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1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1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8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9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21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3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4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5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26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7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8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drawings/drawing30.xml" ContentType="application/vnd.openxmlformats-officedocument.drawing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31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32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drawings/drawing33.xml" ContentType="application/vnd.openxmlformats-officedocument.drawing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34.xml" ContentType="application/vnd.openxmlformats-officedocument.drawing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drawings/drawing35.xml" ContentType="application/vnd.openxmlformats-officedocument.drawing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drawings/drawing36.xml" ContentType="application/vnd.openxmlformats-officedocument.drawing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37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agcc-my.sharepoint.com/personal/cindy_vukasin_usda_gov/Documents/Desktop/STC meeting/CY2026/August 27/Executive/"/>
    </mc:Choice>
  </mc:AlternateContent>
  <xr:revisionPtr revIDLastSave="155" documentId="8_{FDC48E3F-5BF5-4419-8704-F1818FD9A4E4}" xr6:coauthVersionLast="47" xr6:coauthVersionMax="47" xr10:uidLastSave="{05A0A35A-65F1-4FF5-83BB-C4DAD4F49A3B}"/>
  <bookViews>
    <workbookView xWindow="-28920" yWindow="-120" windowWidth="29040" windowHeight="15720" firstSheet="3" activeTab="3" xr2:uid="{87972C9A-0BBD-47C1-A930-CB0F2F60B662}"/>
  </bookViews>
  <sheets>
    <sheet name="MASTER" sheetId="2" r:id="rId1"/>
    <sheet name="Apples" sheetId="4" r:id="rId2"/>
    <sheet name="Apricots" sheetId="5" r:id="rId3"/>
    <sheet name="Cherries" sheetId="6" r:id="rId4"/>
    <sheet name="Garlic" sheetId="38" r:id="rId5"/>
    <sheet name="Grapes" sheetId="7" r:id="rId6"/>
    <sheet name="Honey" sheetId="8" r:id="rId7"/>
    <sheet name="Hops" sheetId="39" r:id="rId8"/>
    <sheet name="Peaches" sheetId="9" r:id="rId9"/>
    <sheet name="Pears" sheetId="10" r:id="rId10"/>
    <sheet name="Triticale" sheetId="11" r:id="rId11"/>
    <sheet name="Asparagus" sheetId="13" r:id="rId12"/>
    <sheet name="Canola" sheetId="14" r:id="rId13"/>
    <sheet name="Cucumbers" sheetId="15" r:id="rId14"/>
    <sheet name="Beans" sheetId="16" r:id="rId15"/>
    <sheet name="Brussel Sprouts" sheetId="17" r:id="rId16"/>
    <sheet name="Canary Melon" sheetId="18" r:id="rId17"/>
    <sheet name="Celery" sheetId="19" r:id="rId18"/>
    <sheet name="Hemp" sheetId="20" r:id="rId19"/>
    <sheet name="Korean Golden Melon" sheetId="21" r:id="rId20"/>
    <sheet name="Leeks" sheetId="22" r:id="rId21"/>
    <sheet name="Peas" sheetId="23" r:id="rId22"/>
    <sheet name="Sweet Potato" sheetId="24" r:id="rId23"/>
    <sheet name="Radish" sheetId="25" r:id="rId24"/>
    <sheet name="Sugar Beet" sheetId="26" r:id="rId25"/>
    <sheet name="Tomatillos" sheetId="27" r:id="rId26"/>
    <sheet name="Beets" sheetId="28" r:id="rId27"/>
    <sheet name="Broccoli" sheetId="29" r:id="rId28"/>
    <sheet name="Cabbage" sheetId="30" r:id="rId29"/>
    <sheet name="Cantaloupes" sheetId="31" r:id="rId30"/>
    <sheet name="Carrots" sheetId="32" r:id="rId31"/>
    <sheet name="Cauliflower" sheetId="33" r:id="rId32"/>
    <sheet name="Corn" sheetId="34" r:id="rId33"/>
    <sheet name="Crenshaw Melon" sheetId="35" r:id="rId34"/>
    <sheet name="Cucumber" sheetId="36" r:id="rId35"/>
    <sheet name="Eggplant" sheetId="37" r:id="rId36"/>
    <sheet name="Flowers" sheetId="40" r:id="rId37"/>
    <sheet name="Gourds" sheetId="41" r:id="rId38"/>
    <sheet name="Template" sheetId="12" r:id="rId3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83" i="2" l="1"/>
  <c r="F383" i="2"/>
  <c r="F2" i="26"/>
  <c r="G2" i="26"/>
</calcChain>
</file>

<file path=xl/sharedStrings.xml><?xml version="1.0" encoding="utf-8"?>
<sst xmlns="http://schemas.openxmlformats.org/spreadsheetml/2006/main" count="4654" uniqueCount="195">
  <si>
    <t>ADAMS</t>
  </si>
  <si>
    <t>GR</t>
  </si>
  <si>
    <t>I</t>
  </si>
  <si>
    <t>County</t>
  </si>
  <si>
    <t>Crop</t>
  </si>
  <si>
    <t>Type</t>
  </si>
  <si>
    <t>Use</t>
  </si>
  <si>
    <t>I/NI</t>
  </si>
  <si>
    <t>DOLORES</t>
  </si>
  <si>
    <t>FREMONT</t>
  </si>
  <si>
    <t>LA PLATA</t>
  </si>
  <si>
    <t>SAN MIGUEL</t>
  </si>
  <si>
    <t>WASHINGTON</t>
  </si>
  <si>
    <t>BOULDER</t>
  </si>
  <si>
    <t>APPLES</t>
  </si>
  <si>
    <t>COM</t>
  </si>
  <si>
    <t>FH</t>
  </si>
  <si>
    <t>Agv APH by Year</t>
  </si>
  <si>
    <t>Similar Areas</t>
  </si>
  <si>
    <t>Other Rel. Srcs</t>
  </si>
  <si>
    <t>FREEMONT</t>
  </si>
  <si>
    <t>PR</t>
  </si>
  <si>
    <t>SPC</t>
  </si>
  <si>
    <t>MONTEZUMA</t>
  </si>
  <si>
    <t>OTERO</t>
  </si>
  <si>
    <t>PUEBLO</t>
  </si>
  <si>
    <t>DELTA</t>
  </si>
  <si>
    <t>MESA</t>
  </si>
  <si>
    <t>APRICOTS</t>
  </si>
  <si>
    <t>CHERRIES</t>
  </si>
  <si>
    <t>MONTROSE</t>
  </si>
  <si>
    <t>SWT</t>
  </si>
  <si>
    <t>TRT</t>
  </si>
  <si>
    <t>GARFIELD</t>
  </si>
  <si>
    <t>GARLIC</t>
  </si>
  <si>
    <t>CAD</t>
  </si>
  <si>
    <t>CAN</t>
  </si>
  <si>
    <t>CBF</t>
  </si>
  <si>
    <t>CBS</t>
  </si>
  <si>
    <t>CHA</t>
  </si>
  <si>
    <t>CHB</t>
  </si>
  <si>
    <t>CMB</t>
  </si>
  <si>
    <t>CON</t>
  </si>
  <si>
    <t>CRN</t>
  </si>
  <si>
    <t>EMS</t>
  </si>
  <si>
    <t>FOC</t>
  </si>
  <si>
    <t>GAM</t>
  </si>
  <si>
    <t>GEW</t>
  </si>
  <si>
    <t>HIM</t>
  </si>
  <si>
    <t>MAB</t>
  </si>
  <si>
    <t>MAL</t>
  </si>
  <si>
    <t>MER</t>
  </si>
  <si>
    <t>MEU</t>
  </si>
  <si>
    <t>MUB</t>
  </si>
  <si>
    <t>MUC</t>
  </si>
  <si>
    <t>PEV</t>
  </si>
  <si>
    <t>PGR</t>
  </si>
  <si>
    <t>PNO</t>
  </si>
  <si>
    <t>PTB</t>
  </si>
  <si>
    <t>RIE</t>
  </si>
  <si>
    <t>SEM</t>
  </si>
  <si>
    <t>SEY</t>
  </si>
  <si>
    <t>SAB</t>
  </si>
  <si>
    <t>VDB</t>
  </si>
  <si>
    <t>VIG</t>
  </si>
  <si>
    <t>WHR</t>
  </si>
  <si>
    <t>GRAPES</t>
  </si>
  <si>
    <t>KIT CARSON</t>
  </si>
  <si>
    <t>CAY</t>
  </si>
  <si>
    <t>CYN</t>
  </si>
  <si>
    <t>LAC</t>
  </si>
  <si>
    <t>NOR</t>
  </si>
  <si>
    <t>MRQ</t>
  </si>
  <si>
    <t>PPL</t>
  </si>
  <si>
    <t>TRA</t>
  </si>
  <si>
    <t>BAR</t>
  </si>
  <si>
    <t>FRO</t>
  </si>
  <si>
    <t>LEM</t>
  </si>
  <si>
    <t>LEO</t>
  </si>
  <si>
    <t>MAC</t>
  </si>
  <si>
    <t>FRG</t>
  </si>
  <si>
    <t>BENT</t>
  </si>
  <si>
    <t>LOGAN</t>
  </si>
  <si>
    <t>OURAY</t>
  </si>
  <si>
    <t>WELD</t>
  </si>
  <si>
    <t>HONEY</t>
  </si>
  <si>
    <t>TB</t>
  </si>
  <si>
    <t>PEACHES</t>
  </si>
  <si>
    <t>CLI</t>
  </si>
  <si>
    <t>FRE</t>
  </si>
  <si>
    <t>PEARS</t>
  </si>
  <si>
    <t>ANJ</t>
  </si>
  <si>
    <t>ASN</t>
  </si>
  <si>
    <t>BLT</t>
  </si>
  <si>
    <t>TRITICALE</t>
  </si>
  <si>
    <t>ALAMOSA</t>
  </si>
  <si>
    <t>ARAPAHOE</t>
  </si>
  <si>
    <t>BACA</t>
  </si>
  <si>
    <t>CHAFFEE</t>
  </si>
  <si>
    <t>CHEYENNE</t>
  </si>
  <si>
    <t>CONEJOS</t>
  </si>
  <si>
    <t>COSTILLA</t>
  </si>
  <si>
    <t>CROWLEY</t>
  </si>
  <si>
    <t>ELBERT</t>
  </si>
  <si>
    <t>EL PASO</t>
  </si>
  <si>
    <t>KIOWA</t>
  </si>
  <si>
    <t>LARIMER</t>
  </si>
  <si>
    <t>LAS ANIMAS</t>
  </si>
  <si>
    <t>LINCOLN</t>
  </si>
  <si>
    <t>MOFFAT</t>
  </si>
  <si>
    <t>MORGAN</t>
  </si>
  <si>
    <t>PROWERS</t>
  </si>
  <si>
    <t>RIO BLANCO</t>
  </si>
  <si>
    <t>RIO GRANDE</t>
  </si>
  <si>
    <t>ROUTT</t>
  </si>
  <si>
    <t>SAGUACHE</t>
  </si>
  <si>
    <t>SEDGWICK</t>
  </si>
  <si>
    <t>YUMA</t>
  </si>
  <si>
    <t>FG</t>
  </si>
  <si>
    <t>SD</t>
  </si>
  <si>
    <t>N</t>
  </si>
  <si>
    <t>ASPARAGUS</t>
  </si>
  <si>
    <t>SPR</t>
  </si>
  <si>
    <t>CANOLA</t>
  </si>
  <si>
    <t>FAL</t>
  </si>
  <si>
    <t>CUCUMBERS</t>
  </si>
  <si>
    <t>ENG</t>
  </si>
  <si>
    <t>PKL</t>
  </si>
  <si>
    <t>CROWLEY'</t>
  </si>
  <si>
    <t>BEANS</t>
  </si>
  <si>
    <t>GRN</t>
  </si>
  <si>
    <t>ANA</t>
  </si>
  <si>
    <t>BTU</t>
  </si>
  <si>
    <t>GTN</t>
  </si>
  <si>
    <t>GAR</t>
  </si>
  <si>
    <t>PNT</t>
  </si>
  <si>
    <t>DE</t>
  </si>
  <si>
    <t>FAV</t>
  </si>
  <si>
    <t>YEY</t>
  </si>
  <si>
    <t>TIG</t>
  </si>
  <si>
    <t>WAX</t>
  </si>
  <si>
    <t>DRK</t>
  </si>
  <si>
    <t>SMR</t>
  </si>
  <si>
    <t>BRUSSEL SPROUTS</t>
  </si>
  <si>
    <t>CANARY MELON</t>
  </si>
  <si>
    <t>CELERY</t>
  </si>
  <si>
    <t>HEMP</t>
  </si>
  <si>
    <t>CB</t>
  </si>
  <si>
    <t>FB</t>
  </si>
  <si>
    <t>KOREAN GOLDEN MELON</t>
  </si>
  <si>
    <t>LEEKS</t>
  </si>
  <si>
    <t>PEAS</t>
  </si>
  <si>
    <t>YEL</t>
  </si>
  <si>
    <t>AUS</t>
  </si>
  <si>
    <t>BLE</t>
  </si>
  <si>
    <t>SNA</t>
  </si>
  <si>
    <t>SNO</t>
  </si>
  <si>
    <t xml:space="preserve">LINCOLN </t>
  </si>
  <si>
    <t>SUG</t>
  </si>
  <si>
    <t>SWEET POTATO</t>
  </si>
  <si>
    <t>BEA</t>
  </si>
  <si>
    <t>RADISH</t>
  </si>
  <si>
    <t>HYB</t>
  </si>
  <si>
    <t>KOR</t>
  </si>
  <si>
    <t>SUGAR BEET</t>
  </si>
  <si>
    <t>TOMATILLOS</t>
  </si>
  <si>
    <t>BEETS</t>
  </si>
  <si>
    <t>OPN</t>
  </si>
  <si>
    <t>NI</t>
  </si>
  <si>
    <t>BROCCOLI</t>
  </si>
  <si>
    <t>CABBAGE</t>
  </si>
  <si>
    <t>NAP</t>
  </si>
  <si>
    <t>RED</t>
  </si>
  <si>
    <t>SAV</t>
  </si>
  <si>
    <t>CANTELOUPE</t>
  </si>
  <si>
    <t>CARROTS</t>
  </si>
  <si>
    <t>CAULIFLOWER</t>
  </si>
  <si>
    <t>CORN</t>
  </si>
  <si>
    <t>SG</t>
  </si>
  <si>
    <t>POP</t>
  </si>
  <si>
    <t>SBI</t>
  </si>
  <si>
    <t>SWH</t>
  </si>
  <si>
    <t>SYE</t>
  </si>
  <si>
    <t>SYL</t>
  </si>
  <si>
    <t>CRENSHAW MELON</t>
  </si>
  <si>
    <t>CUCUMBER</t>
  </si>
  <si>
    <t>EL PASA</t>
  </si>
  <si>
    <t>HOPS</t>
  </si>
  <si>
    <t>EGGPLANT</t>
  </si>
  <si>
    <t>EUR</t>
  </si>
  <si>
    <t>FLOWERS</t>
  </si>
  <si>
    <t>ZIN</t>
  </si>
  <si>
    <t>PEN</t>
  </si>
  <si>
    <t>GOURDS</t>
  </si>
  <si>
    <t>OKR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</si>
</sst>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Apples!$A$2:$E$2</c:f>
              <c:strCache>
                <c:ptCount val="5"/>
                <c:pt idx="0">
                  <c:v>BOULDER</c:v>
                </c:pt>
                <c:pt idx="1">
                  <c:v>APPLES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Apples!$F$2:$O$2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248</c:v>
                </c:pt>
                <c:pt idx="7">
                  <c:v>229</c:v>
                </c:pt>
                <c:pt idx="8">
                  <c:v>172</c:v>
                </c:pt>
                <c:pt idx="9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F-4670-BB2A-84CB9A50E446}"/>
            </c:ext>
          </c:extLst>
        </c:ser>
        <c:ser>
          <c:idx val="1"/>
          <c:order val="1"/>
          <c:tx>
            <c:strRef>
              <c:f>Apples!$A$3:$E$3</c:f>
              <c:strCache>
                <c:ptCount val="5"/>
                <c:pt idx="0">
                  <c:v>FREEMONT</c:v>
                </c:pt>
                <c:pt idx="1">
                  <c:v>APPLES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Apples!$F$3:$O$3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396</c:v>
                </c:pt>
                <c:pt idx="7">
                  <c:v>229</c:v>
                </c:pt>
                <c:pt idx="8">
                  <c:v>172</c:v>
                </c:pt>
                <c:pt idx="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F-4670-BB2A-84CB9A50E446}"/>
            </c:ext>
          </c:extLst>
        </c:ser>
        <c:ser>
          <c:idx val="2"/>
          <c:order val="2"/>
          <c:tx>
            <c:strRef>
              <c:f>Apples!$A$4:$E$4</c:f>
              <c:strCache>
                <c:ptCount val="5"/>
                <c:pt idx="0">
                  <c:v>FREEMONT</c:v>
                </c:pt>
                <c:pt idx="1">
                  <c:v>APPLES</c:v>
                </c:pt>
                <c:pt idx="2">
                  <c:v>COM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Apples!$F$4:$O$4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396</c:v>
                </c:pt>
                <c:pt idx="7">
                  <c:v>229</c:v>
                </c:pt>
                <c:pt idx="8">
                  <c:v>172</c:v>
                </c:pt>
                <c:pt idx="9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F-4670-BB2A-84CB9A50E446}"/>
            </c:ext>
          </c:extLst>
        </c:ser>
        <c:ser>
          <c:idx val="3"/>
          <c:order val="3"/>
          <c:tx>
            <c:strRef>
              <c:f>Apples!$A$5:$E$5</c:f>
              <c:strCache>
                <c:ptCount val="5"/>
                <c:pt idx="0">
                  <c:v>FREEMONT</c:v>
                </c:pt>
                <c:pt idx="1">
                  <c:v>APPLES</c:v>
                </c:pt>
                <c:pt idx="2">
                  <c:v>SPC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Apples!$F$5:$O$5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248</c:v>
                </c:pt>
                <c:pt idx="7">
                  <c:v>223</c:v>
                </c:pt>
                <c:pt idx="8">
                  <c:v>160</c:v>
                </c:pt>
                <c:pt idx="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DF-4670-BB2A-84CB9A50E446}"/>
            </c:ext>
          </c:extLst>
        </c:ser>
        <c:ser>
          <c:idx val="4"/>
          <c:order val="4"/>
          <c:tx>
            <c:strRef>
              <c:f>Apples!$A$6:$E$6</c:f>
              <c:strCache>
                <c:ptCount val="5"/>
                <c:pt idx="0">
                  <c:v>FREEMONT</c:v>
                </c:pt>
                <c:pt idx="1">
                  <c:v>APPLES</c:v>
                </c:pt>
                <c:pt idx="2">
                  <c:v>SPC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Apples!$F$6:$O$6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248</c:v>
                </c:pt>
                <c:pt idx="7">
                  <c:v>223</c:v>
                </c:pt>
                <c:pt idx="8">
                  <c:v>160</c:v>
                </c:pt>
                <c:pt idx="9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DF-4670-BB2A-84CB9A50E446}"/>
            </c:ext>
          </c:extLst>
        </c:ser>
        <c:ser>
          <c:idx val="5"/>
          <c:order val="5"/>
          <c:tx>
            <c:strRef>
              <c:f>Apples!$A$7:$E$7</c:f>
              <c:strCache>
                <c:ptCount val="5"/>
                <c:pt idx="0">
                  <c:v>LA PLATA</c:v>
                </c:pt>
                <c:pt idx="1">
                  <c:v>APPLES</c:v>
                </c:pt>
                <c:pt idx="2">
                  <c:v>COM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Apples!$F$7:$O$7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4">
                  <c:v>235</c:v>
                </c:pt>
                <c:pt idx="5">
                  <c:v>228</c:v>
                </c:pt>
                <c:pt idx="6">
                  <c:v>247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8DF-4670-BB2A-84CB9A50E446}"/>
            </c:ext>
          </c:extLst>
        </c:ser>
        <c:ser>
          <c:idx val="6"/>
          <c:order val="6"/>
          <c:tx>
            <c:strRef>
              <c:f>Apples!$A$8:$E$8</c:f>
              <c:strCache>
                <c:ptCount val="5"/>
                <c:pt idx="0">
                  <c:v>LA PLATA</c:v>
                </c:pt>
                <c:pt idx="1">
                  <c:v>APPLES</c:v>
                </c:pt>
                <c:pt idx="2">
                  <c:v>SPC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Apples!$F$8:$O$8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4">
                  <c:v>235</c:v>
                </c:pt>
                <c:pt idx="5">
                  <c:v>228</c:v>
                </c:pt>
                <c:pt idx="6">
                  <c:v>247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8DF-4670-BB2A-84CB9A50E446}"/>
            </c:ext>
          </c:extLst>
        </c:ser>
        <c:ser>
          <c:idx val="7"/>
          <c:order val="7"/>
          <c:tx>
            <c:strRef>
              <c:f>Apples!$A$9:$E$9</c:f>
              <c:strCache>
                <c:ptCount val="5"/>
                <c:pt idx="0">
                  <c:v>MONTEZUMA</c:v>
                </c:pt>
                <c:pt idx="1">
                  <c:v>APPLES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Apples!$F$9:$O$9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4">
                  <c:v>235</c:v>
                </c:pt>
                <c:pt idx="5">
                  <c:v>228</c:v>
                </c:pt>
                <c:pt idx="6">
                  <c:v>248</c:v>
                </c:pt>
                <c:pt idx="7">
                  <c:v>229</c:v>
                </c:pt>
                <c:pt idx="8">
                  <c:v>158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8DF-4670-BB2A-84CB9A50E446}"/>
            </c:ext>
          </c:extLst>
        </c:ser>
        <c:ser>
          <c:idx val="8"/>
          <c:order val="8"/>
          <c:tx>
            <c:strRef>
              <c:f>Apples!$A$10:$E$10</c:f>
              <c:strCache>
                <c:ptCount val="5"/>
                <c:pt idx="0">
                  <c:v>OTERO</c:v>
                </c:pt>
                <c:pt idx="1">
                  <c:v>APPLES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Apples!$F$10:$O$10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248</c:v>
                </c:pt>
                <c:pt idx="7">
                  <c:v>229</c:v>
                </c:pt>
                <c:pt idx="8">
                  <c:v>158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8DF-4670-BB2A-84CB9A50E446}"/>
            </c:ext>
          </c:extLst>
        </c:ser>
        <c:ser>
          <c:idx val="9"/>
          <c:order val="9"/>
          <c:tx>
            <c:strRef>
              <c:f>Apples!$A$11:$E$11</c:f>
              <c:strCache>
                <c:ptCount val="5"/>
                <c:pt idx="0">
                  <c:v>OTERO</c:v>
                </c:pt>
                <c:pt idx="1">
                  <c:v>APPLES</c:v>
                </c:pt>
                <c:pt idx="2">
                  <c:v>SPC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Apples!$F$11:$O$11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3">
                  <c:v>217</c:v>
                </c:pt>
                <c:pt idx="4">
                  <c:v>235</c:v>
                </c:pt>
                <c:pt idx="5">
                  <c:v>228</c:v>
                </c:pt>
                <c:pt idx="6">
                  <c:v>247</c:v>
                </c:pt>
                <c:pt idx="7">
                  <c:v>223</c:v>
                </c:pt>
                <c:pt idx="8">
                  <c:v>145</c:v>
                </c:pt>
                <c:pt idx="9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8DF-4670-BB2A-84CB9A50E446}"/>
            </c:ext>
          </c:extLst>
        </c:ser>
        <c:ser>
          <c:idx val="10"/>
          <c:order val="10"/>
          <c:tx>
            <c:strRef>
              <c:f>Apples!$A$12:$E$12</c:f>
              <c:strCache>
                <c:ptCount val="5"/>
                <c:pt idx="0">
                  <c:v>PUEBLO</c:v>
                </c:pt>
                <c:pt idx="1">
                  <c:v>APPLES</c:v>
                </c:pt>
                <c:pt idx="2">
                  <c:v>SPC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Apples!$F$12:$O$12</c:f>
              <c:numCache>
                <c:formatCode>General</c:formatCode>
                <c:ptCount val="10"/>
                <c:pt idx="0">
                  <c:v>194</c:v>
                </c:pt>
                <c:pt idx="1">
                  <c:v>194</c:v>
                </c:pt>
                <c:pt idx="2">
                  <c:v>194</c:v>
                </c:pt>
                <c:pt idx="4">
                  <c:v>235</c:v>
                </c:pt>
                <c:pt idx="5">
                  <c:v>228</c:v>
                </c:pt>
                <c:pt idx="6">
                  <c:v>247</c:v>
                </c:pt>
                <c:pt idx="7">
                  <c:v>190</c:v>
                </c:pt>
                <c:pt idx="8">
                  <c:v>112</c:v>
                </c:pt>
                <c:pt idx="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8DF-4670-BB2A-84CB9A50E446}"/>
            </c:ext>
          </c:extLst>
        </c:ser>
        <c:ser>
          <c:idx val="11"/>
          <c:order val="11"/>
          <c:tx>
            <c:strRef>
              <c:f>Apples!$A$13:$E$13</c:f>
              <c:strCache>
                <c:ptCount val="5"/>
                <c:pt idx="0">
                  <c:v>DELTA</c:v>
                </c:pt>
                <c:pt idx="1">
                  <c:v>APRICOTS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Apples!$F$13:$O$13</c:f>
              <c:numCache>
                <c:formatCode>General</c:formatCode>
                <c:ptCount val="10"/>
                <c:pt idx="0">
                  <c:v>110.87</c:v>
                </c:pt>
                <c:pt idx="1">
                  <c:v>108.2</c:v>
                </c:pt>
                <c:pt idx="2">
                  <c:v>108.2</c:v>
                </c:pt>
                <c:pt idx="3">
                  <c:v>91.2</c:v>
                </c:pt>
                <c:pt idx="4">
                  <c:v>86.33</c:v>
                </c:pt>
                <c:pt idx="5">
                  <c:v>86.33</c:v>
                </c:pt>
                <c:pt idx="6">
                  <c:v>81.45</c:v>
                </c:pt>
                <c:pt idx="7">
                  <c:v>66.08</c:v>
                </c:pt>
                <c:pt idx="8">
                  <c:v>67.680000000000007</c:v>
                </c:pt>
                <c:pt idx="9">
                  <c:v>60.16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8DF-4670-BB2A-84CB9A50E446}"/>
            </c:ext>
          </c:extLst>
        </c:ser>
        <c:ser>
          <c:idx val="12"/>
          <c:order val="12"/>
          <c:tx>
            <c:strRef>
              <c:f>Apples!$A$14:$E$14</c:f>
              <c:strCache>
                <c:ptCount val="5"/>
                <c:pt idx="0">
                  <c:v>MESA</c:v>
                </c:pt>
                <c:pt idx="1">
                  <c:v>APRICOTS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Apples!$F$14:$O$14</c:f>
              <c:numCache>
                <c:formatCode>General</c:formatCode>
                <c:ptCount val="10"/>
                <c:pt idx="0">
                  <c:v>110.87</c:v>
                </c:pt>
                <c:pt idx="1">
                  <c:v>108.2</c:v>
                </c:pt>
                <c:pt idx="2">
                  <c:v>108.2</c:v>
                </c:pt>
                <c:pt idx="3">
                  <c:v>91.2</c:v>
                </c:pt>
                <c:pt idx="4">
                  <c:v>86.33</c:v>
                </c:pt>
                <c:pt idx="5">
                  <c:v>86.33</c:v>
                </c:pt>
                <c:pt idx="6">
                  <c:v>81.45</c:v>
                </c:pt>
                <c:pt idx="7">
                  <c:v>81.05</c:v>
                </c:pt>
                <c:pt idx="8">
                  <c:v>86.42</c:v>
                </c:pt>
                <c:pt idx="9">
                  <c:v>81.05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8DF-4670-BB2A-84CB9A50E446}"/>
            </c:ext>
          </c:extLst>
        </c:ser>
        <c:ser>
          <c:idx val="13"/>
          <c:order val="13"/>
          <c:tx>
            <c:strRef>
              <c:f>Apples!$A$15:$E$15</c:f>
              <c:strCache>
                <c:ptCount val="5"/>
                <c:pt idx="0">
                  <c:v>DELTA</c:v>
                </c:pt>
                <c:pt idx="1">
                  <c:v>CHERRIES</c:v>
                </c:pt>
                <c:pt idx="2">
                  <c:v>SWT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Apples!$F$15:$O$15</c:f>
              <c:numCache>
                <c:formatCode>General</c:formatCode>
                <c:ptCount val="10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74.930000000000007</c:v>
                </c:pt>
                <c:pt idx="4">
                  <c:v>73.8</c:v>
                </c:pt>
                <c:pt idx="5">
                  <c:v>73.8</c:v>
                </c:pt>
                <c:pt idx="6">
                  <c:v>71</c:v>
                </c:pt>
                <c:pt idx="7">
                  <c:v>62.84</c:v>
                </c:pt>
                <c:pt idx="8">
                  <c:v>55.02</c:v>
                </c:pt>
                <c:pt idx="9">
                  <c:v>48.53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DF-4670-BB2A-84CB9A50E446}"/>
            </c:ext>
          </c:extLst>
        </c:ser>
        <c:ser>
          <c:idx val="14"/>
          <c:order val="14"/>
          <c:tx>
            <c:strRef>
              <c:f>Apples!$A$16:$E$16</c:f>
              <c:strCache>
                <c:ptCount val="5"/>
                <c:pt idx="0">
                  <c:v>DELTA</c:v>
                </c:pt>
                <c:pt idx="1">
                  <c:v>CHERRIES</c:v>
                </c:pt>
                <c:pt idx="2">
                  <c:v>TRT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Apples!$F$16:$O$16</c:f>
              <c:numCache>
                <c:formatCode>General</c:formatCode>
                <c:ptCount val="10"/>
                <c:pt idx="0">
                  <c:v>74.67</c:v>
                </c:pt>
                <c:pt idx="1">
                  <c:v>76.599999999999994</c:v>
                </c:pt>
                <c:pt idx="2">
                  <c:v>76.599999999999994</c:v>
                </c:pt>
                <c:pt idx="3">
                  <c:v>72.400000000000006</c:v>
                </c:pt>
                <c:pt idx="4">
                  <c:v>72.400000000000006</c:v>
                </c:pt>
                <c:pt idx="5">
                  <c:v>72.400000000000006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8DF-4670-BB2A-84CB9A50E446}"/>
            </c:ext>
          </c:extLst>
        </c:ser>
        <c:ser>
          <c:idx val="15"/>
          <c:order val="15"/>
          <c:tx>
            <c:strRef>
              <c:f>Apples!$A$17:$E$17</c:f>
              <c:strCache>
                <c:ptCount val="5"/>
                <c:pt idx="0">
                  <c:v>DELTA</c:v>
                </c:pt>
                <c:pt idx="1">
                  <c:v>CHERRIES</c:v>
                </c:pt>
                <c:pt idx="2">
                  <c:v>TRT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Apples!$F$17:$O$17</c:f>
              <c:numCache>
                <c:formatCode>General</c:formatCode>
                <c:ptCount val="10"/>
                <c:pt idx="0">
                  <c:v>74.67</c:v>
                </c:pt>
                <c:pt idx="1">
                  <c:v>76.569999999999993</c:v>
                </c:pt>
                <c:pt idx="2">
                  <c:v>76.569999999999993</c:v>
                </c:pt>
                <c:pt idx="3">
                  <c:v>72.37</c:v>
                </c:pt>
                <c:pt idx="4">
                  <c:v>72.37</c:v>
                </c:pt>
                <c:pt idx="5">
                  <c:v>72.37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8DF-4670-BB2A-84CB9A50E446}"/>
            </c:ext>
          </c:extLst>
        </c:ser>
        <c:ser>
          <c:idx val="16"/>
          <c:order val="16"/>
          <c:tx>
            <c:strRef>
              <c:f>Apples!$A$18:$E$18</c:f>
              <c:strCache>
                <c:ptCount val="5"/>
                <c:pt idx="0">
                  <c:v>FREEMONT</c:v>
                </c:pt>
                <c:pt idx="1">
                  <c:v>CHERRIES</c:v>
                </c:pt>
                <c:pt idx="2">
                  <c:v>TRT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Apples!$F$18:$O$18</c:f>
              <c:numCache>
                <c:formatCode>General</c:formatCode>
                <c:ptCount val="10"/>
                <c:pt idx="0">
                  <c:v>74.67</c:v>
                </c:pt>
                <c:pt idx="1">
                  <c:v>76.599999999999994</c:v>
                </c:pt>
                <c:pt idx="2">
                  <c:v>76.599999999999994</c:v>
                </c:pt>
                <c:pt idx="3">
                  <c:v>72.400000000000006</c:v>
                </c:pt>
                <c:pt idx="4">
                  <c:v>72.400000000000006</c:v>
                </c:pt>
                <c:pt idx="5">
                  <c:v>72.400000000000006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8DF-4670-BB2A-84CB9A50E446}"/>
            </c:ext>
          </c:extLst>
        </c:ser>
        <c:ser>
          <c:idx val="17"/>
          <c:order val="17"/>
          <c:tx>
            <c:strRef>
              <c:f>Apples!$A$19:$E$19</c:f>
              <c:strCache>
                <c:ptCount val="5"/>
                <c:pt idx="0">
                  <c:v>FREEMONT</c:v>
                </c:pt>
                <c:pt idx="1">
                  <c:v>CHERRIES</c:v>
                </c:pt>
                <c:pt idx="2">
                  <c:v>TRT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Apples!$F$19:$O$19</c:f>
              <c:numCache>
                <c:formatCode>General</c:formatCode>
                <c:ptCount val="10"/>
                <c:pt idx="0">
                  <c:v>74.67</c:v>
                </c:pt>
                <c:pt idx="1">
                  <c:v>76.569999999999993</c:v>
                </c:pt>
                <c:pt idx="4">
                  <c:v>72.37</c:v>
                </c:pt>
                <c:pt idx="5">
                  <c:v>72.37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8DF-4670-BB2A-84CB9A50E446}"/>
            </c:ext>
          </c:extLst>
        </c:ser>
        <c:ser>
          <c:idx val="18"/>
          <c:order val="18"/>
          <c:tx>
            <c:strRef>
              <c:f>Apples!$A$20:$E$20</c:f>
              <c:strCache>
                <c:ptCount val="5"/>
                <c:pt idx="0">
                  <c:v>MESA</c:v>
                </c:pt>
                <c:pt idx="1">
                  <c:v>CHERRIES</c:v>
                </c:pt>
                <c:pt idx="2">
                  <c:v>SWT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Apples!$F$20:$O$20</c:f>
              <c:numCache>
                <c:formatCode>General</c:formatCode>
                <c:ptCount val="10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74.930000000000007</c:v>
                </c:pt>
                <c:pt idx="4">
                  <c:v>73.8</c:v>
                </c:pt>
                <c:pt idx="5">
                  <c:v>73.8</c:v>
                </c:pt>
                <c:pt idx="6">
                  <c:v>71</c:v>
                </c:pt>
                <c:pt idx="7">
                  <c:v>66.92</c:v>
                </c:pt>
                <c:pt idx="8">
                  <c:v>63.17</c:v>
                </c:pt>
                <c:pt idx="9">
                  <c:v>63.17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8DF-4670-BB2A-84CB9A50E446}"/>
            </c:ext>
          </c:extLst>
        </c:ser>
        <c:ser>
          <c:idx val="19"/>
          <c:order val="19"/>
          <c:tx>
            <c:strRef>
              <c:f>Apples!$A$21:$E$21</c:f>
              <c:strCache>
                <c:ptCount val="5"/>
                <c:pt idx="0">
                  <c:v>MONTROSE</c:v>
                </c:pt>
                <c:pt idx="1">
                  <c:v>CHERRIES</c:v>
                </c:pt>
                <c:pt idx="2">
                  <c:v>SWT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Apples!$F$1:$O$1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Apples!$F$21:$O$21</c:f>
              <c:numCache>
                <c:formatCode>General</c:formatCode>
                <c:ptCount val="10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74.930000000000007</c:v>
                </c:pt>
                <c:pt idx="4">
                  <c:v>73.8</c:v>
                </c:pt>
                <c:pt idx="5">
                  <c:v>73.8</c:v>
                </c:pt>
                <c:pt idx="6">
                  <c:v>71</c:v>
                </c:pt>
                <c:pt idx="7">
                  <c:v>52.68</c:v>
                </c:pt>
                <c:pt idx="8">
                  <c:v>34.700000000000003</c:v>
                </c:pt>
                <c:pt idx="9">
                  <c:v>26.13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8DF-4670-BB2A-84CB9A50E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85935"/>
        <c:axId val="772690255"/>
      </c:lineChart>
      <c:catAx>
        <c:axId val="77268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90255"/>
        <c:crosses val="autoZero"/>
        <c:auto val="1"/>
        <c:lblAlgn val="ctr"/>
        <c:lblOffset val="100"/>
        <c:noMultiLvlLbl val="0"/>
      </c:catAx>
      <c:valAx>
        <c:axId val="77269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8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Apricots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Apricots!$A$2:$E$2</c:f>
              <c:strCache>
                <c:ptCount val="5"/>
                <c:pt idx="0">
                  <c:v>DELTA</c:v>
                </c:pt>
                <c:pt idx="1">
                  <c:v>APRICOTS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Apricots!$F$1:$O$1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Apricots!$F$2:$O$2</c:f>
              <c:numCache>
                <c:formatCode>General</c:formatCode>
                <c:ptCount val="10"/>
                <c:pt idx="0">
                  <c:v>110.87</c:v>
                </c:pt>
                <c:pt idx="1">
                  <c:v>108.2</c:v>
                </c:pt>
                <c:pt idx="2">
                  <c:v>108.2</c:v>
                </c:pt>
                <c:pt idx="3">
                  <c:v>91.2</c:v>
                </c:pt>
                <c:pt idx="4">
                  <c:v>86.33</c:v>
                </c:pt>
                <c:pt idx="5">
                  <c:v>86.33</c:v>
                </c:pt>
                <c:pt idx="6">
                  <c:v>81.45</c:v>
                </c:pt>
                <c:pt idx="7">
                  <c:v>66.08</c:v>
                </c:pt>
                <c:pt idx="8">
                  <c:v>67.680000000000007</c:v>
                </c:pt>
                <c:pt idx="9">
                  <c:v>60.16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A-4CC1-8B96-1C3A7EB0DD5F}"/>
            </c:ext>
          </c:extLst>
        </c:ser>
        <c:ser>
          <c:idx val="1"/>
          <c:order val="1"/>
          <c:tx>
            <c:strRef>
              <c:f>Apricots!$A$3:$E$3</c:f>
              <c:strCache>
                <c:ptCount val="5"/>
                <c:pt idx="0">
                  <c:v>MESA</c:v>
                </c:pt>
                <c:pt idx="1">
                  <c:v>APRICOTS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Apricots!$F$1:$O$1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Apricots!$F$3:$O$3</c:f>
              <c:numCache>
                <c:formatCode>General</c:formatCode>
                <c:ptCount val="10"/>
                <c:pt idx="0">
                  <c:v>110.87</c:v>
                </c:pt>
                <c:pt idx="1">
                  <c:v>108.2</c:v>
                </c:pt>
                <c:pt idx="2">
                  <c:v>108.2</c:v>
                </c:pt>
                <c:pt idx="3">
                  <c:v>91.2</c:v>
                </c:pt>
                <c:pt idx="4">
                  <c:v>86.33</c:v>
                </c:pt>
                <c:pt idx="5">
                  <c:v>86.33</c:v>
                </c:pt>
                <c:pt idx="6">
                  <c:v>81.45</c:v>
                </c:pt>
                <c:pt idx="7">
                  <c:v>81.05</c:v>
                </c:pt>
                <c:pt idx="8">
                  <c:v>86.42</c:v>
                </c:pt>
                <c:pt idx="9">
                  <c:v>81.05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A-4CC1-8B96-1C3A7EB0D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336207"/>
        <c:axId val="650337167"/>
      </c:lineChart>
      <c:catAx>
        <c:axId val="65033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37167"/>
        <c:crosses val="autoZero"/>
        <c:auto val="1"/>
        <c:lblAlgn val="ctr"/>
        <c:lblOffset val="100"/>
        <c:noMultiLvlLbl val="0"/>
      </c:catAx>
      <c:valAx>
        <c:axId val="6503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3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Cherries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Cherries!$A$2:$E$2</c:f>
              <c:strCache>
                <c:ptCount val="5"/>
                <c:pt idx="0">
                  <c:v>DELTA</c:v>
                </c:pt>
                <c:pt idx="1">
                  <c:v>CHERRIES</c:v>
                </c:pt>
                <c:pt idx="2">
                  <c:v>SWT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Cherries!$F$2:$O$2</c:f>
              <c:numCache>
                <c:formatCode>General</c:formatCode>
                <c:ptCount val="10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74.930000000000007</c:v>
                </c:pt>
                <c:pt idx="4">
                  <c:v>73.8</c:v>
                </c:pt>
                <c:pt idx="5">
                  <c:v>73.8</c:v>
                </c:pt>
                <c:pt idx="6">
                  <c:v>71</c:v>
                </c:pt>
                <c:pt idx="7">
                  <c:v>62.84</c:v>
                </c:pt>
                <c:pt idx="8">
                  <c:v>55.02</c:v>
                </c:pt>
                <c:pt idx="9">
                  <c:v>48.53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D-44D6-BCDB-A87EC1CCFD62}"/>
            </c:ext>
          </c:extLst>
        </c:ser>
        <c:ser>
          <c:idx val="1"/>
          <c:order val="1"/>
          <c:tx>
            <c:strRef>
              <c:f>Cherries!$A$3:$E$3</c:f>
              <c:strCache>
                <c:ptCount val="5"/>
                <c:pt idx="0">
                  <c:v>DELTA</c:v>
                </c:pt>
                <c:pt idx="1">
                  <c:v>CHERRIES</c:v>
                </c:pt>
                <c:pt idx="2">
                  <c:v>TRT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Cherries!$F$3:$O$3</c:f>
              <c:numCache>
                <c:formatCode>General</c:formatCode>
                <c:ptCount val="10"/>
                <c:pt idx="0">
                  <c:v>74.67</c:v>
                </c:pt>
                <c:pt idx="1">
                  <c:v>76.599999999999994</c:v>
                </c:pt>
                <c:pt idx="2">
                  <c:v>76.599999999999994</c:v>
                </c:pt>
                <c:pt idx="3">
                  <c:v>72.400000000000006</c:v>
                </c:pt>
                <c:pt idx="4">
                  <c:v>72.400000000000006</c:v>
                </c:pt>
                <c:pt idx="5">
                  <c:v>72.400000000000006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D-44D6-BCDB-A87EC1CCFD62}"/>
            </c:ext>
          </c:extLst>
        </c:ser>
        <c:ser>
          <c:idx val="2"/>
          <c:order val="2"/>
          <c:tx>
            <c:strRef>
              <c:f>Cherries!$A$4:$E$4</c:f>
              <c:strCache>
                <c:ptCount val="5"/>
                <c:pt idx="0">
                  <c:v>DELTA</c:v>
                </c:pt>
                <c:pt idx="1">
                  <c:v>CHERRIES</c:v>
                </c:pt>
                <c:pt idx="2">
                  <c:v>TRT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Cherries!$F$4:$O$4</c:f>
              <c:numCache>
                <c:formatCode>General</c:formatCode>
                <c:ptCount val="10"/>
                <c:pt idx="0">
                  <c:v>74.67</c:v>
                </c:pt>
                <c:pt idx="1">
                  <c:v>76.569999999999993</c:v>
                </c:pt>
                <c:pt idx="2">
                  <c:v>76.569999999999993</c:v>
                </c:pt>
                <c:pt idx="3">
                  <c:v>72.37</c:v>
                </c:pt>
                <c:pt idx="4">
                  <c:v>72.37</c:v>
                </c:pt>
                <c:pt idx="5">
                  <c:v>72.37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24.03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D-44D6-BCDB-A87EC1CCFD62}"/>
            </c:ext>
          </c:extLst>
        </c:ser>
        <c:ser>
          <c:idx val="3"/>
          <c:order val="3"/>
          <c:tx>
            <c:strRef>
              <c:f>Cherries!$A$5:$E$5</c:f>
              <c:strCache>
                <c:ptCount val="5"/>
                <c:pt idx="0">
                  <c:v>FREEMONT</c:v>
                </c:pt>
                <c:pt idx="1">
                  <c:v>CHERRIES</c:v>
                </c:pt>
                <c:pt idx="2">
                  <c:v>TRT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Cherries!$F$5:$O$5</c:f>
              <c:numCache>
                <c:formatCode>General</c:formatCode>
                <c:ptCount val="10"/>
                <c:pt idx="0">
                  <c:v>74.67</c:v>
                </c:pt>
                <c:pt idx="1">
                  <c:v>76.599999999999994</c:v>
                </c:pt>
                <c:pt idx="2">
                  <c:v>76.599999999999994</c:v>
                </c:pt>
                <c:pt idx="3">
                  <c:v>72.400000000000006</c:v>
                </c:pt>
                <c:pt idx="4">
                  <c:v>72.400000000000006</c:v>
                </c:pt>
                <c:pt idx="5">
                  <c:v>72.400000000000006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5D-44D6-BCDB-A87EC1CCFD62}"/>
            </c:ext>
          </c:extLst>
        </c:ser>
        <c:ser>
          <c:idx val="4"/>
          <c:order val="4"/>
          <c:tx>
            <c:strRef>
              <c:f>Cherries!$A$6:$E$6</c:f>
              <c:strCache>
                <c:ptCount val="5"/>
                <c:pt idx="0">
                  <c:v>FREEMONT</c:v>
                </c:pt>
                <c:pt idx="1">
                  <c:v>CHERRIES</c:v>
                </c:pt>
                <c:pt idx="2">
                  <c:v>TRT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Cherries!$F$6:$O$6</c:f>
              <c:numCache>
                <c:formatCode>General</c:formatCode>
                <c:ptCount val="10"/>
                <c:pt idx="0">
                  <c:v>74.67</c:v>
                </c:pt>
                <c:pt idx="1">
                  <c:v>76.569999999999993</c:v>
                </c:pt>
                <c:pt idx="4">
                  <c:v>72.37</c:v>
                </c:pt>
                <c:pt idx="5">
                  <c:v>72.37</c:v>
                </c:pt>
                <c:pt idx="6">
                  <c:v>68.069999999999993</c:v>
                </c:pt>
                <c:pt idx="7">
                  <c:v>47.83</c:v>
                </c:pt>
                <c:pt idx="8">
                  <c:v>34.93</c:v>
                </c:pt>
                <c:pt idx="9">
                  <c:v>17.760000000000002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5D-44D6-BCDB-A87EC1CCFD62}"/>
            </c:ext>
          </c:extLst>
        </c:ser>
        <c:ser>
          <c:idx val="5"/>
          <c:order val="5"/>
          <c:tx>
            <c:strRef>
              <c:f>Cherries!$A$7:$E$7</c:f>
              <c:strCache>
                <c:ptCount val="5"/>
                <c:pt idx="0">
                  <c:v>MESA</c:v>
                </c:pt>
                <c:pt idx="1">
                  <c:v>CHERRIES</c:v>
                </c:pt>
                <c:pt idx="2">
                  <c:v>SWT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Cherries!$F$7:$O$7</c:f>
              <c:numCache>
                <c:formatCode>General</c:formatCode>
                <c:ptCount val="10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74.930000000000007</c:v>
                </c:pt>
                <c:pt idx="4">
                  <c:v>73.8</c:v>
                </c:pt>
                <c:pt idx="5">
                  <c:v>73.8</c:v>
                </c:pt>
                <c:pt idx="6">
                  <c:v>71</c:v>
                </c:pt>
                <c:pt idx="7">
                  <c:v>66.92</c:v>
                </c:pt>
                <c:pt idx="8">
                  <c:v>63.17</c:v>
                </c:pt>
                <c:pt idx="9">
                  <c:v>63.17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5D-44D6-BCDB-A87EC1CCFD62}"/>
            </c:ext>
          </c:extLst>
        </c:ser>
        <c:ser>
          <c:idx val="6"/>
          <c:order val="6"/>
          <c:tx>
            <c:strRef>
              <c:f>Cherries!$A$8:$E$8</c:f>
              <c:strCache>
                <c:ptCount val="5"/>
                <c:pt idx="0">
                  <c:v>MONTROSE</c:v>
                </c:pt>
                <c:pt idx="1">
                  <c:v>CHERRIES</c:v>
                </c:pt>
                <c:pt idx="2">
                  <c:v>SWT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Cherries!$F$1:$O$1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Cherries!$F$8:$O$8</c:f>
              <c:numCache>
                <c:formatCode>General</c:formatCode>
                <c:ptCount val="10"/>
                <c:pt idx="0">
                  <c:v>77.53</c:v>
                </c:pt>
                <c:pt idx="1">
                  <c:v>77.53</c:v>
                </c:pt>
                <c:pt idx="2">
                  <c:v>77.53</c:v>
                </c:pt>
                <c:pt idx="3">
                  <c:v>74.930000000000007</c:v>
                </c:pt>
                <c:pt idx="4">
                  <c:v>73.8</c:v>
                </c:pt>
                <c:pt idx="5">
                  <c:v>73.8</c:v>
                </c:pt>
                <c:pt idx="6">
                  <c:v>71</c:v>
                </c:pt>
                <c:pt idx="7">
                  <c:v>52.68</c:v>
                </c:pt>
                <c:pt idx="8">
                  <c:v>34.700000000000003</c:v>
                </c:pt>
                <c:pt idx="9">
                  <c:v>26.13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5D-44D6-BCDB-A87EC1CCF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59535"/>
        <c:axId val="772644655"/>
      </c:lineChart>
      <c:catAx>
        <c:axId val="77265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44655"/>
        <c:crosses val="autoZero"/>
        <c:auto val="1"/>
        <c:lblAlgn val="ctr"/>
        <c:lblOffset val="100"/>
        <c:noMultiLvlLbl val="0"/>
      </c:catAx>
      <c:valAx>
        <c:axId val="77264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5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Garlic!$A$2:$E$2</c:f>
              <c:strCache>
                <c:ptCount val="5"/>
                <c:pt idx="0">
                  <c:v>FREEMONT</c:v>
                </c:pt>
                <c:pt idx="1">
                  <c:v>GARLIC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Garlic!$F$1:$O$1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Garlic!$F$2:$O$2</c:f>
              <c:numCache>
                <c:formatCode>General</c:formatCode>
                <c:ptCount val="10"/>
                <c:pt idx="0">
                  <c:v>4667</c:v>
                </c:pt>
                <c:pt idx="1">
                  <c:v>4800</c:v>
                </c:pt>
                <c:pt idx="5">
                  <c:v>4291</c:v>
                </c:pt>
                <c:pt idx="6">
                  <c:v>4041</c:v>
                </c:pt>
                <c:pt idx="7">
                  <c:v>3897</c:v>
                </c:pt>
                <c:pt idx="8">
                  <c:v>3656</c:v>
                </c:pt>
                <c:pt idx="9">
                  <c:v>2691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95-4E16-88A7-A0A5E160D13C}"/>
            </c:ext>
          </c:extLst>
        </c:ser>
        <c:ser>
          <c:idx val="1"/>
          <c:order val="1"/>
          <c:tx>
            <c:strRef>
              <c:f>Garlic!$A$3:$E$3</c:f>
              <c:strCache>
                <c:ptCount val="5"/>
                <c:pt idx="0">
                  <c:v>GARFIELD</c:v>
                </c:pt>
                <c:pt idx="1">
                  <c:v>GARLIC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Garlic!$F$1:$O$1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Garlic!$F$3:$O$3</c:f>
              <c:numCache>
                <c:formatCode>General</c:formatCode>
                <c:ptCount val="10"/>
                <c:pt idx="0">
                  <c:v>4667</c:v>
                </c:pt>
                <c:pt idx="1">
                  <c:v>4800</c:v>
                </c:pt>
                <c:pt idx="5">
                  <c:v>4291</c:v>
                </c:pt>
                <c:pt idx="6">
                  <c:v>4041</c:v>
                </c:pt>
                <c:pt idx="7">
                  <c:v>3897</c:v>
                </c:pt>
                <c:pt idx="8">
                  <c:v>3656</c:v>
                </c:pt>
                <c:pt idx="9">
                  <c:v>2691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95-4E16-88A7-A0A5E160D13C}"/>
            </c:ext>
          </c:extLst>
        </c:ser>
        <c:ser>
          <c:idx val="2"/>
          <c:order val="2"/>
          <c:tx>
            <c:strRef>
              <c:f>Garlic!$A$4:$E$4</c:f>
              <c:strCache>
                <c:ptCount val="5"/>
                <c:pt idx="0">
                  <c:v>PUEBLO</c:v>
                </c:pt>
                <c:pt idx="1">
                  <c:v>GARLIC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Garlic!$F$1:$O$1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Garlic!$F$4:$O$4</c:f>
              <c:numCache>
                <c:formatCode>General</c:formatCode>
                <c:ptCount val="10"/>
                <c:pt idx="7">
                  <c:v>884</c:v>
                </c:pt>
                <c:pt idx="8">
                  <c:v>884</c:v>
                </c:pt>
                <c:pt idx="9">
                  <c:v>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95-4E16-88A7-A0A5E160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918143"/>
        <c:axId val="1707891247"/>
      </c:lineChart>
      <c:catAx>
        <c:axId val="173591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91247"/>
        <c:crosses val="autoZero"/>
        <c:auto val="1"/>
        <c:lblAlgn val="ctr"/>
        <c:lblOffset val="100"/>
        <c:noMultiLvlLbl val="0"/>
      </c:catAx>
      <c:valAx>
        <c:axId val="170789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1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Grapes!$A$2:$E$2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CAD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Grapes!$F$2:$O$2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3-4751-8343-74B6928FAFF3}"/>
            </c:ext>
          </c:extLst>
        </c:ser>
        <c:ser>
          <c:idx val="1"/>
          <c:order val="1"/>
          <c:tx>
            <c:strRef>
              <c:f>Grapes!$A$3:$E$3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CAD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Grapes!$F$3:$O$3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2.65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3-4751-8343-74B6928FAFF3}"/>
            </c:ext>
          </c:extLst>
        </c:ser>
        <c:ser>
          <c:idx val="2"/>
          <c:order val="2"/>
          <c:tx>
            <c:strRef>
              <c:f>Grapes!$A$4:$E$4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CAN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Grapes!$F$4:$O$4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3-4751-8343-74B6928FAFF3}"/>
            </c:ext>
          </c:extLst>
        </c:ser>
        <c:ser>
          <c:idx val="3"/>
          <c:order val="3"/>
          <c:tx>
            <c:strRef>
              <c:f>Grapes!$A$5:$E$5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CAN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Grapes!$F$5:$O$5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73-4751-8343-74B6928FAFF3}"/>
            </c:ext>
          </c:extLst>
        </c:ser>
        <c:ser>
          <c:idx val="4"/>
          <c:order val="4"/>
          <c:tx>
            <c:strRef>
              <c:f>Grapes!$A$6:$E$6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CBF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Grapes!$F$6:$O$6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73-4751-8343-74B6928FAFF3}"/>
            </c:ext>
          </c:extLst>
        </c:ser>
        <c:ser>
          <c:idx val="5"/>
          <c:order val="5"/>
          <c:tx>
            <c:strRef>
              <c:f>Grapes!$A$7:$E$7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CBS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Grapes!$F$7:$O$7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73-4751-8343-74B6928FAFF3}"/>
            </c:ext>
          </c:extLst>
        </c:ser>
        <c:ser>
          <c:idx val="6"/>
          <c:order val="6"/>
          <c:tx>
            <c:strRef>
              <c:f>Grapes!$A$8:$E$8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CHA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Grapes!$F$8:$O$8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73-4751-8343-74B6928FAFF3}"/>
            </c:ext>
          </c:extLst>
        </c:ser>
        <c:ser>
          <c:idx val="7"/>
          <c:order val="7"/>
          <c:tx>
            <c:strRef>
              <c:f>Grapes!$A$9:$E$9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CHB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Grapes!$F$9:$O$9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73-4751-8343-74B6928FAFF3}"/>
            </c:ext>
          </c:extLst>
        </c:ser>
        <c:ser>
          <c:idx val="8"/>
          <c:order val="8"/>
          <c:tx>
            <c:strRef>
              <c:f>Grapes!$A$10:$E$10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CMB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Grapes!$F$10:$O$10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73-4751-8343-74B6928FAFF3}"/>
            </c:ext>
          </c:extLst>
        </c:ser>
        <c:ser>
          <c:idx val="9"/>
          <c:order val="9"/>
          <c:tx>
            <c:strRef>
              <c:f>Grapes!$A$11:$E$11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Grapes!$F$11:$O$11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273-4751-8343-74B6928FAFF3}"/>
            </c:ext>
          </c:extLst>
        </c:ser>
        <c:ser>
          <c:idx val="10"/>
          <c:order val="10"/>
          <c:tx>
            <c:strRef>
              <c:f>Grapes!$A$12:$E$12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CON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Grapes!$F$12:$O$12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73-4751-8343-74B6928FAFF3}"/>
            </c:ext>
          </c:extLst>
        </c:ser>
        <c:ser>
          <c:idx val="11"/>
          <c:order val="11"/>
          <c:tx>
            <c:strRef>
              <c:f>Grapes!$A$13:$E$13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CRN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Grapes!$F$13:$O$13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273-4751-8343-74B6928FAFF3}"/>
            </c:ext>
          </c:extLst>
        </c:ser>
        <c:ser>
          <c:idx val="12"/>
          <c:order val="12"/>
          <c:tx>
            <c:strRef>
              <c:f>Grapes!$A$14:$E$14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EMS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Grapes!$F$14:$O$14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73-4751-8343-74B6928FAFF3}"/>
            </c:ext>
          </c:extLst>
        </c:ser>
        <c:ser>
          <c:idx val="13"/>
          <c:order val="13"/>
          <c:tx>
            <c:strRef>
              <c:f>Grapes!$A$15:$E$15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FOC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Grapes!$F$15:$O$15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273-4751-8343-74B6928FAFF3}"/>
            </c:ext>
          </c:extLst>
        </c:ser>
        <c:ser>
          <c:idx val="14"/>
          <c:order val="14"/>
          <c:tx>
            <c:strRef>
              <c:f>Grapes!$A$16:$E$16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GAM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Grapes!$F$16:$O$16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73-4751-8343-74B6928FAFF3}"/>
            </c:ext>
          </c:extLst>
        </c:ser>
        <c:ser>
          <c:idx val="15"/>
          <c:order val="15"/>
          <c:tx>
            <c:strRef>
              <c:f>Grapes!$A$17:$E$17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GEW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Grapes!$F$17:$O$17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273-4751-8343-74B6928FAFF3}"/>
            </c:ext>
          </c:extLst>
        </c:ser>
        <c:ser>
          <c:idx val="16"/>
          <c:order val="16"/>
          <c:tx>
            <c:strRef>
              <c:f>Grapes!$A$18:$E$18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HIM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Grapes!$F$18:$O$18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273-4751-8343-74B6928FAFF3}"/>
            </c:ext>
          </c:extLst>
        </c:ser>
        <c:ser>
          <c:idx val="17"/>
          <c:order val="17"/>
          <c:tx>
            <c:strRef>
              <c:f>Grapes!$A$19:$E$19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HIM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Grapes!$F$19:$O$19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273-4751-8343-74B6928FAFF3}"/>
            </c:ext>
          </c:extLst>
        </c:ser>
        <c:ser>
          <c:idx val="18"/>
          <c:order val="18"/>
          <c:tx>
            <c:strRef>
              <c:f>Grapes!$A$20:$E$20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MAB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Grapes!$F$20:$O$20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273-4751-8343-74B6928FAFF3}"/>
            </c:ext>
          </c:extLst>
        </c:ser>
        <c:ser>
          <c:idx val="19"/>
          <c:order val="19"/>
          <c:tx>
            <c:strRef>
              <c:f>Grapes!$A$21:$E$21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MAL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Grapes!$F$21:$O$21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273-4751-8343-74B6928FAFF3}"/>
            </c:ext>
          </c:extLst>
        </c:ser>
        <c:ser>
          <c:idx val="20"/>
          <c:order val="20"/>
          <c:tx>
            <c:strRef>
              <c:f>Grapes!$A$22:$E$22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MER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Grapes!$F$22:$O$22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273-4751-8343-74B6928FAFF3}"/>
            </c:ext>
          </c:extLst>
        </c:ser>
        <c:ser>
          <c:idx val="21"/>
          <c:order val="21"/>
          <c:tx>
            <c:strRef>
              <c:f>Grapes!$A$23:$E$23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MEU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Grapes!$F$23:$O$23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2.65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273-4751-8343-74B6928FAFF3}"/>
            </c:ext>
          </c:extLst>
        </c:ser>
        <c:ser>
          <c:idx val="22"/>
          <c:order val="22"/>
          <c:tx>
            <c:strRef>
              <c:f>Grapes!$A$24:$E$24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MUB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Grapes!$F$24:$O$24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273-4751-8343-74B6928FAFF3}"/>
            </c:ext>
          </c:extLst>
        </c:ser>
        <c:ser>
          <c:idx val="23"/>
          <c:order val="23"/>
          <c:tx>
            <c:strRef>
              <c:f>Grapes!$A$25:$E$25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MUC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Grapes!$F$25:$O$25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273-4751-8343-74B6928FAFF3}"/>
            </c:ext>
          </c:extLst>
        </c:ser>
        <c:ser>
          <c:idx val="24"/>
          <c:order val="24"/>
          <c:tx>
            <c:strRef>
              <c:f>Grapes!$A$26:$E$26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PEV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Grapes!$F$26:$O$26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273-4751-8343-74B6928FAFF3}"/>
            </c:ext>
          </c:extLst>
        </c:ser>
        <c:ser>
          <c:idx val="25"/>
          <c:order val="25"/>
          <c:tx>
            <c:strRef>
              <c:f>Grapes!$A$27:$E$27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PGR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Grapes!$F$27:$O$27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273-4751-8343-74B6928FAFF3}"/>
            </c:ext>
          </c:extLst>
        </c:ser>
        <c:ser>
          <c:idx val="26"/>
          <c:order val="26"/>
          <c:tx>
            <c:strRef>
              <c:f>Grapes!$A$28:$E$28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PNO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Grapes!$F$28:$O$28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273-4751-8343-74B6928FAFF3}"/>
            </c:ext>
          </c:extLst>
        </c:ser>
        <c:ser>
          <c:idx val="27"/>
          <c:order val="27"/>
          <c:tx>
            <c:strRef>
              <c:f>Grapes!$A$29:$E$29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PTB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Grapes!$F$29:$O$29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273-4751-8343-74B6928FAFF3}"/>
            </c:ext>
          </c:extLst>
        </c:ser>
        <c:ser>
          <c:idx val="28"/>
          <c:order val="28"/>
          <c:tx>
            <c:strRef>
              <c:f>Grapes!$A$30:$E$30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RIE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Grapes!$F$30:$O$30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273-4751-8343-74B6928FAFF3}"/>
            </c:ext>
          </c:extLst>
        </c:ser>
        <c:ser>
          <c:idx val="29"/>
          <c:order val="29"/>
          <c:tx>
            <c:strRef>
              <c:f>Grapes!$A$31:$E$31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SAB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Grapes!$F$31:$O$31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273-4751-8343-74B6928FAFF3}"/>
            </c:ext>
          </c:extLst>
        </c:ser>
        <c:ser>
          <c:idx val="30"/>
          <c:order val="30"/>
          <c:tx>
            <c:strRef>
              <c:f>Grapes!$A$32:$E$32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SEM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Grapes!$F$32:$O$32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273-4751-8343-74B6928FAFF3}"/>
            </c:ext>
          </c:extLst>
        </c:ser>
        <c:ser>
          <c:idx val="31"/>
          <c:order val="31"/>
          <c:tx>
            <c:strRef>
              <c:f>Grapes!$A$33:$E$33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SEY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Grapes!$F$33:$O$33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2273-4751-8343-74B6928FAFF3}"/>
            </c:ext>
          </c:extLst>
        </c:ser>
        <c:ser>
          <c:idx val="32"/>
          <c:order val="32"/>
          <c:tx>
            <c:strRef>
              <c:f>Grapes!$A$34:$E$34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SEY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Grapes!$F$34:$O$34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273-4751-8343-74B6928FAFF3}"/>
            </c:ext>
          </c:extLst>
        </c:ser>
        <c:ser>
          <c:idx val="33"/>
          <c:order val="33"/>
          <c:tx>
            <c:strRef>
              <c:f>Grapes!$A$35:$E$35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VDB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Grapes!$F$35:$O$35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2273-4751-8343-74B6928FAFF3}"/>
            </c:ext>
          </c:extLst>
        </c:ser>
        <c:ser>
          <c:idx val="34"/>
          <c:order val="34"/>
          <c:tx>
            <c:strRef>
              <c:f>Grapes!$A$36:$E$36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VIG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Grapes!$F$36:$O$36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273-4751-8343-74B6928FAFF3}"/>
            </c:ext>
          </c:extLst>
        </c:ser>
        <c:ser>
          <c:idx val="35"/>
          <c:order val="35"/>
          <c:tx>
            <c:strRef>
              <c:f>Grapes!$A$37:$E$37</c:f>
              <c:strCache>
                <c:ptCount val="5"/>
                <c:pt idx="0">
                  <c:v>DELTA</c:v>
                </c:pt>
                <c:pt idx="1">
                  <c:v>GRAPES</c:v>
                </c:pt>
                <c:pt idx="2">
                  <c:v>WHR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Grapes!$F$37:$O$37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2273-4751-8343-74B6928FA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315567"/>
        <c:axId val="650332847"/>
      </c:lineChart>
      <c:catAx>
        <c:axId val="650315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32847"/>
        <c:crosses val="autoZero"/>
        <c:auto val="1"/>
        <c:lblAlgn val="ctr"/>
        <c:lblOffset val="100"/>
        <c:noMultiLvlLbl val="0"/>
      </c:catAx>
      <c:valAx>
        <c:axId val="65033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1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Grapes!$A$39:$E$39</c:f>
              <c:strCache>
                <c:ptCount val="5"/>
                <c:pt idx="0">
                  <c:v>KIT CARSON</c:v>
                </c:pt>
                <c:pt idx="1">
                  <c:v>GRAPES</c:v>
                </c:pt>
                <c:pt idx="2">
                  <c:v>CAY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Grapes!$F$38:$O$38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Grapes!$F$39:$O$39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94-483B-90F6-2880E88B5B80}"/>
            </c:ext>
          </c:extLst>
        </c:ser>
        <c:ser>
          <c:idx val="1"/>
          <c:order val="1"/>
          <c:tx>
            <c:strRef>
              <c:f>Grapes!$A$40:$E$40</c:f>
              <c:strCache>
                <c:ptCount val="5"/>
                <c:pt idx="0">
                  <c:v>KIT CARSON</c:v>
                </c:pt>
                <c:pt idx="1">
                  <c:v>GRAPES</c:v>
                </c:pt>
                <c:pt idx="2">
                  <c:v>CYN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Grapes!$F$38:$O$38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Grapes!$F$40:$O$40</c:f>
              <c:numCache>
                <c:formatCode>General</c:formatCode>
                <c:ptCount val="10"/>
                <c:pt idx="0">
                  <c:v>2.5</c:v>
                </c:pt>
                <c:pt idx="1">
                  <c:v>2.65</c:v>
                </c:pt>
                <c:pt idx="2">
                  <c:v>2.65</c:v>
                </c:pt>
                <c:pt idx="3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94-483B-90F6-2880E88B5B80}"/>
            </c:ext>
          </c:extLst>
        </c:ser>
        <c:ser>
          <c:idx val="2"/>
          <c:order val="2"/>
          <c:tx>
            <c:strRef>
              <c:f>Grapes!$A$41:$E$41</c:f>
              <c:strCache>
                <c:ptCount val="5"/>
                <c:pt idx="0">
                  <c:v>KIT CARSON</c:v>
                </c:pt>
                <c:pt idx="1">
                  <c:v>GRAPES</c:v>
                </c:pt>
                <c:pt idx="2">
                  <c:v>LAC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Grapes!$F$38:$O$38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Grapes!$F$41:$O$41</c:f>
              <c:numCache>
                <c:formatCode>General</c:formatCode>
                <c:ptCount val="10"/>
                <c:pt idx="0">
                  <c:v>2.5</c:v>
                </c:pt>
                <c:pt idx="1">
                  <c:v>2.6</c:v>
                </c:pt>
                <c:pt idx="2">
                  <c:v>2.6</c:v>
                </c:pt>
                <c:pt idx="3">
                  <c:v>2.6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94-483B-90F6-2880E88B5B80}"/>
            </c:ext>
          </c:extLst>
        </c:ser>
        <c:ser>
          <c:idx val="3"/>
          <c:order val="3"/>
          <c:tx>
            <c:strRef>
              <c:f>Grapes!$A$42:$E$42</c:f>
              <c:strCache>
                <c:ptCount val="5"/>
                <c:pt idx="0">
                  <c:v>KIT CARSON</c:v>
                </c:pt>
                <c:pt idx="1">
                  <c:v>GRAPES</c:v>
                </c:pt>
                <c:pt idx="2">
                  <c:v>NOR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Grapes!$F$38:$O$38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Grapes!$F$42:$O$42</c:f>
              <c:numCache>
                <c:formatCode>General</c:formatCode>
                <c:ptCount val="10"/>
                <c:pt idx="0">
                  <c:v>2.5</c:v>
                </c:pt>
                <c:pt idx="1">
                  <c:v>2.65</c:v>
                </c:pt>
                <c:pt idx="2">
                  <c:v>2.65</c:v>
                </c:pt>
                <c:pt idx="3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94-483B-90F6-2880E88B5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723967"/>
        <c:axId val="787728767"/>
      </c:lineChart>
      <c:catAx>
        <c:axId val="78772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28767"/>
        <c:crosses val="autoZero"/>
        <c:auto val="1"/>
        <c:lblAlgn val="ctr"/>
        <c:lblOffset val="100"/>
        <c:noMultiLvlLbl val="0"/>
      </c:catAx>
      <c:valAx>
        <c:axId val="78772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2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Grapes!$B$44:$E$44</c:f>
              <c:strCache>
                <c:ptCount val="4"/>
                <c:pt idx="0">
                  <c:v>GRAPES</c:v>
                </c:pt>
                <c:pt idx="1">
                  <c:v>CAY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Grapes!$F$44:$O$44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2.4500000000000002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8-49FC-9965-176D5C0DA143}"/>
            </c:ext>
          </c:extLst>
        </c:ser>
        <c:ser>
          <c:idx val="1"/>
          <c:order val="1"/>
          <c:tx>
            <c:strRef>
              <c:f>Grapes!$B$45:$E$45</c:f>
              <c:strCache>
                <c:ptCount val="4"/>
                <c:pt idx="0">
                  <c:v>GRAPES</c:v>
                </c:pt>
                <c:pt idx="1">
                  <c:v>CRN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Grapes!$F$45:$O$45</c:f>
              <c:numCache>
                <c:formatCode>General</c:formatCode>
                <c:ptCount val="10"/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8-49FC-9965-176D5C0DA143}"/>
            </c:ext>
          </c:extLst>
        </c:ser>
        <c:ser>
          <c:idx val="2"/>
          <c:order val="2"/>
          <c:tx>
            <c:strRef>
              <c:f>Grapes!$B$46:$E$46</c:f>
              <c:strCache>
                <c:ptCount val="4"/>
                <c:pt idx="0">
                  <c:v>GRAPES</c:v>
                </c:pt>
                <c:pt idx="1">
                  <c:v>MRQ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Grapes!$F$46:$O$46</c:f>
              <c:numCache>
                <c:formatCode>General</c:formatCode>
                <c:ptCount val="10"/>
                <c:pt idx="2">
                  <c:v>2.58</c:v>
                </c:pt>
                <c:pt idx="3">
                  <c:v>2.58</c:v>
                </c:pt>
                <c:pt idx="4">
                  <c:v>2.69</c:v>
                </c:pt>
                <c:pt idx="5">
                  <c:v>2.69</c:v>
                </c:pt>
                <c:pt idx="6">
                  <c:v>2.65</c:v>
                </c:pt>
                <c:pt idx="7">
                  <c:v>2.5499999999999998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8-49FC-9965-176D5C0DA143}"/>
            </c:ext>
          </c:extLst>
        </c:ser>
        <c:ser>
          <c:idx val="3"/>
          <c:order val="3"/>
          <c:tx>
            <c:strRef>
              <c:f>Grapes!$B$47:$E$47</c:f>
              <c:strCache>
                <c:ptCount val="4"/>
                <c:pt idx="0">
                  <c:v>GRAPES</c:v>
                </c:pt>
                <c:pt idx="1">
                  <c:v>PPL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Grapes!$F$47:$O$47</c:f>
              <c:numCache>
                <c:formatCode>General</c:formatCode>
                <c:ptCount val="10"/>
                <c:pt idx="2">
                  <c:v>2.58</c:v>
                </c:pt>
                <c:pt idx="3">
                  <c:v>2.58</c:v>
                </c:pt>
                <c:pt idx="4">
                  <c:v>2.69</c:v>
                </c:pt>
                <c:pt idx="5">
                  <c:v>2.69</c:v>
                </c:pt>
                <c:pt idx="6">
                  <c:v>2.65</c:v>
                </c:pt>
                <c:pt idx="7">
                  <c:v>2.5499999999999998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8-49FC-9965-176D5C0DA143}"/>
            </c:ext>
          </c:extLst>
        </c:ser>
        <c:ser>
          <c:idx val="4"/>
          <c:order val="4"/>
          <c:tx>
            <c:strRef>
              <c:f>Grapes!$B$48:$E$48</c:f>
              <c:strCache>
                <c:ptCount val="4"/>
                <c:pt idx="0">
                  <c:v>GRAPES</c:v>
                </c:pt>
                <c:pt idx="1">
                  <c:v>RIE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Grapes!$F$48:$O$48</c:f>
              <c:numCache>
                <c:formatCode>General</c:formatCode>
                <c:ptCount val="10"/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1.3</c:v>
                </c:pt>
                <c:pt idx="8">
                  <c:v>1.31</c:v>
                </c:pt>
                <c:pt idx="9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8-49FC-9965-176D5C0DA143}"/>
            </c:ext>
          </c:extLst>
        </c:ser>
        <c:ser>
          <c:idx val="5"/>
          <c:order val="5"/>
          <c:tx>
            <c:strRef>
              <c:f>Grapes!$B$49:$E$49</c:f>
              <c:strCache>
                <c:ptCount val="4"/>
                <c:pt idx="0">
                  <c:v>GRAPES</c:v>
                </c:pt>
                <c:pt idx="1">
                  <c:v>TRA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Grapes!$F$49:$O$49</c:f>
              <c:numCache>
                <c:formatCode>General</c:formatCode>
                <c:ptCount val="10"/>
                <c:pt idx="2">
                  <c:v>2.58</c:v>
                </c:pt>
                <c:pt idx="3">
                  <c:v>2.58</c:v>
                </c:pt>
                <c:pt idx="4">
                  <c:v>2.69</c:v>
                </c:pt>
                <c:pt idx="5">
                  <c:v>2.69</c:v>
                </c:pt>
                <c:pt idx="6">
                  <c:v>2.65</c:v>
                </c:pt>
                <c:pt idx="7">
                  <c:v>2.5499999999999998</c:v>
                </c:pt>
                <c:pt idx="8">
                  <c:v>2.5099999999999998</c:v>
                </c:pt>
                <c:pt idx="9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8-49FC-9965-176D5C0DA143}"/>
            </c:ext>
          </c:extLst>
        </c:ser>
        <c:ser>
          <c:idx val="6"/>
          <c:order val="6"/>
          <c:tx>
            <c:strRef>
              <c:f>Grapes!$B$50:$E$50</c:f>
              <c:strCache>
                <c:ptCount val="4"/>
                <c:pt idx="0">
                  <c:v>GRAPES</c:v>
                </c:pt>
                <c:pt idx="1">
                  <c:v>VIG</c:v>
                </c:pt>
                <c:pt idx="2">
                  <c:v>PR</c:v>
                </c:pt>
                <c:pt idx="3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Grapes!$F$43:$O$43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Grapes!$F$50:$O$50</c:f>
              <c:numCache>
                <c:formatCode>General</c:formatCode>
                <c:ptCount val="10"/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8-49FC-9965-176D5C0DA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7756127"/>
        <c:axId val="787763807"/>
      </c:lineChart>
      <c:catAx>
        <c:axId val="78775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63807"/>
        <c:crosses val="autoZero"/>
        <c:auto val="1"/>
        <c:lblAlgn val="ctr"/>
        <c:lblOffset val="100"/>
        <c:noMultiLvlLbl val="0"/>
      </c:catAx>
      <c:valAx>
        <c:axId val="7877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75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Grapes!$A$52:$E$52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BAR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Grapes!$F$52:$O$52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4-496B-BA37-E277C99536DF}"/>
            </c:ext>
          </c:extLst>
        </c:ser>
        <c:ser>
          <c:idx val="1"/>
          <c:order val="1"/>
          <c:tx>
            <c:strRef>
              <c:f>Grapes!$A$53:$E$53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CAY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Grapes!$F$53:$O$53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4-496B-BA37-E277C99536DF}"/>
            </c:ext>
          </c:extLst>
        </c:ser>
        <c:ser>
          <c:idx val="2"/>
          <c:order val="2"/>
          <c:tx>
            <c:strRef>
              <c:f>Grapes!$A$54:$E$54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CBF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Grapes!$F$54:$O$54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C4-496B-BA37-E277C99536DF}"/>
            </c:ext>
          </c:extLst>
        </c:ser>
        <c:ser>
          <c:idx val="3"/>
          <c:order val="3"/>
          <c:tx>
            <c:strRef>
              <c:f>Grapes!$A$55:$E$55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CBS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Grapes!$F$55:$O$55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C4-496B-BA37-E277C99536DF}"/>
            </c:ext>
          </c:extLst>
        </c:ser>
        <c:ser>
          <c:idx val="4"/>
          <c:order val="4"/>
          <c:tx>
            <c:strRef>
              <c:f>Grapes!$A$56:$E$56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CHA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Grapes!$F$56:$O$56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C4-496B-BA37-E277C99536DF}"/>
            </c:ext>
          </c:extLst>
        </c:ser>
        <c:ser>
          <c:idx val="5"/>
          <c:order val="5"/>
          <c:tx>
            <c:strRef>
              <c:f>Grapes!$A$57:$E$57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CHB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Grapes!$F$57:$O$57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CC4-496B-BA37-E277C99536DF}"/>
            </c:ext>
          </c:extLst>
        </c:ser>
        <c:ser>
          <c:idx val="6"/>
          <c:order val="6"/>
          <c:tx>
            <c:strRef>
              <c:f>Grapes!$A$58:$E$58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CMB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Grapes!$F$58:$O$58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C4-496B-BA37-E277C99536DF}"/>
            </c:ext>
          </c:extLst>
        </c:ser>
        <c:ser>
          <c:idx val="7"/>
          <c:order val="7"/>
          <c:tx>
            <c:strRef>
              <c:f>Grapes!$A$59:$E$59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FOC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Grapes!$F$59:$O$59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CC4-496B-BA37-E277C99536DF}"/>
            </c:ext>
          </c:extLst>
        </c:ser>
        <c:ser>
          <c:idx val="8"/>
          <c:order val="8"/>
          <c:tx>
            <c:strRef>
              <c:f>Grapes!$A$60:$E$60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FOC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Grapes!$F$60:$O$60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CC4-496B-BA37-E277C99536DF}"/>
            </c:ext>
          </c:extLst>
        </c:ser>
        <c:ser>
          <c:idx val="9"/>
          <c:order val="9"/>
          <c:tx>
            <c:strRef>
              <c:f>Grapes!$A$61:$E$61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FRG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Grapes!$F$61:$O$61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CC4-496B-BA37-E277C99536DF}"/>
            </c:ext>
          </c:extLst>
        </c:ser>
        <c:ser>
          <c:idx val="10"/>
          <c:order val="10"/>
          <c:tx>
            <c:strRef>
              <c:f>Grapes!$A$62:$E$62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FRO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Grapes!$F$62:$O$62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CC4-496B-BA37-E277C99536DF}"/>
            </c:ext>
          </c:extLst>
        </c:ser>
        <c:ser>
          <c:idx val="11"/>
          <c:order val="11"/>
          <c:tx>
            <c:strRef>
              <c:f>Grapes!$A$63:$E$63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FRO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Grapes!$F$63:$O$63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CC4-496B-BA37-E277C99536DF}"/>
            </c:ext>
          </c:extLst>
        </c:ser>
        <c:ser>
          <c:idx val="12"/>
          <c:order val="12"/>
          <c:tx>
            <c:strRef>
              <c:f>Grapes!$A$64:$E$64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GAM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Grapes!$F$64:$O$64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CC4-496B-BA37-E277C99536DF}"/>
            </c:ext>
          </c:extLst>
        </c:ser>
        <c:ser>
          <c:idx val="13"/>
          <c:order val="13"/>
          <c:tx>
            <c:strRef>
              <c:f>Grapes!$A$65:$E$65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GEW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Grapes!$F$65:$O$65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CC4-496B-BA37-E277C99536DF}"/>
            </c:ext>
          </c:extLst>
        </c:ser>
        <c:ser>
          <c:idx val="14"/>
          <c:order val="14"/>
          <c:tx>
            <c:strRef>
              <c:f>Grapes!$A$66:$E$66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LEM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Grapes!$F$66:$O$66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CC4-496B-BA37-E277C99536DF}"/>
            </c:ext>
          </c:extLst>
        </c:ser>
        <c:ser>
          <c:idx val="15"/>
          <c:order val="15"/>
          <c:tx>
            <c:strRef>
              <c:f>Grapes!$A$67:$E$67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LEO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Grapes!$F$67:$O$67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CC4-496B-BA37-E277C99536DF}"/>
            </c:ext>
          </c:extLst>
        </c:ser>
        <c:ser>
          <c:idx val="16"/>
          <c:order val="16"/>
          <c:tx>
            <c:strRef>
              <c:f>Grapes!$A$68:$E$68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LEO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Grapes!$F$68:$O$68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CC4-496B-BA37-E277C99536DF}"/>
            </c:ext>
          </c:extLst>
        </c:ser>
        <c:ser>
          <c:idx val="17"/>
          <c:order val="17"/>
          <c:tx>
            <c:strRef>
              <c:f>Grapes!$A$69:$E$69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MAC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Grapes!$F$69:$O$69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CC4-496B-BA37-E277C99536DF}"/>
            </c:ext>
          </c:extLst>
        </c:ser>
        <c:ser>
          <c:idx val="18"/>
          <c:order val="18"/>
          <c:tx>
            <c:strRef>
              <c:f>Grapes!$A$70:$E$70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MAC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Grapes!$F$70:$O$70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CC4-496B-BA37-E277C99536DF}"/>
            </c:ext>
          </c:extLst>
        </c:ser>
        <c:ser>
          <c:idx val="19"/>
          <c:order val="19"/>
          <c:tx>
            <c:strRef>
              <c:f>Grapes!$A$71:$E$71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MER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Grapes!$F$71:$O$71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CC4-496B-BA37-E277C99536DF}"/>
            </c:ext>
          </c:extLst>
        </c:ser>
        <c:ser>
          <c:idx val="20"/>
          <c:order val="20"/>
          <c:tx>
            <c:strRef>
              <c:f>Grapes!$A$72:$E$72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MUB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Grapes!$F$72:$O$72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2.8</c:v>
                </c:pt>
                <c:pt idx="7">
                  <c:v>2.65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CC4-496B-BA37-E277C99536DF}"/>
            </c:ext>
          </c:extLst>
        </c:ser>
        <c:ser>
          <c:idx val="21"/>
          <c:order val="21"/>
          <c:tx>
            <c:strRef>
              <c:f>Grapes!$A$73:$E$73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MUC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Grapes!$F$73:$O$73</c:f>
              <c:numCache>
                <c:formatCode>General</c:formatCode>
                <c:ptCount val="10"/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CC4-496B-BA37-E277C99536DF}"/>
            </c:ext>
          </c:extLst>
        </c:ser>
        <c:ser>
          <c:idx val="22"/>
          <c:order val="22"/>
          <c:tx>
            <c:strRef>
              <c:f>Grapes!$A$74:$E$74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MUC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Grapes!$F$74:$O$74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CC4-496B-BA37-E277C99536DF}"/>
            </c:ext>
          </c:extLst>
        </c:ser>
        <c:ser>
          <c:idx val="23"/>
          <c:order val="23"/>
          <c:tx>
            <c:strRef>
              <c:f>Grapes!$A$75:$E$75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PGR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Grapes!$F$75:$O$75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CC4-496B-BA37-E277C99536DF}"/>
            </c:ext>
          </c:extLst>
        </c:ser>
        <c:ser>
          <c:idx val="24"/>
          <c:order val="24"/>
          <c:tx>
            <c:strRef>
              <c:f>Grapes!$A$76:$E$76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PNO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Grapes!$F$76:$O$76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CC4-496B-BA37-E277C99536DF}"/>
            </c:ext>
          </c:extLst>
        </c:ser>
        <c:ser>
          <c:idx val="25"/>
          <c:order val="25"/>
          <c:tx>
            <c:strRef>
              <c:f>Grapes!$A$77:$E$77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PTB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Grapes!$F$77:$O$77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</c:v>
                </c:pt>
                <c:pt idx="7">
                  <c:v>2.2000000000000002</c:v>
                </c:pt>
                <c:pt idx="8">
                  <c:v>2.19</c:v>
                </c:pt>
                <c:pt idx="9">
                  <c:v>2.0499999999999998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CC4-496B-BA37-E277C99536DF}"/>
            </c:ext>
          </c:extLst>
        </c:ser>
        <c:ser>
          <c:idx val="26"/>
          <c:order val="26"/>
          <c:tx>
            <c:strRef>
              <c:f>Grapes!$A$78:$E$78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RIE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Grapes!$F$78:$O$78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2.8</c:v>
                </c:pt>
                <c:pt idx="3">
                  <c:v>2.8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CC4-496B-BA37-E277C99536DF}"/>
            </c:ext>
          </c:extLst>
        </c:ser>
        <c:ser>
          <c:idx val="27"/>
          <c:order val="27"/>
          <c:tx>
            <c:strRef>
              <c:f>Grapes!$A$79:$E$79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SAB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Grapes!$F$79:$O$79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CC4-496B-BA37-E277C99536DF}"/>
            </c:ext>
          </c:extLst>
        </c:ser>
        <c:ser>
          <c:idx val="28"/>
          <c:order val="28"/>
          <c:tx>
            <c:strRef>
              <c:f>Grapes!$A$80:$E$80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SEM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Grapes!$F$80:$O$80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CC4-496B-BA37-E277C99536DF}"/>
            </c:ext>
          </c:extLst>
        </c:ser>
        <c:ser>
          <c:idx val="29"/>
          <c:order val="29"/>
          <c:tx>
            <c:strRef>
              <c:f>Grapes!$A$81:$E$81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SEY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Grapes!$F$81:$O$81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3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CC4-496B-BA37-E277C99536DF}"/>
            </c:ext>
          </c:extLst>
        </c:ser>
        <c:ser>
          <c:idx val="30"/>
          <c:order val="30"/>
          <c:tx>
            <c:strRef>
              <c:f>Grapes!$A$82:$E$82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VDB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Grapes!$F$82:$O$82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CC4-496B-BA37-E277C99536DF}"/>
            </c:ext>
          </c:extLst>
        </c:ser>
        <c:ser>
          <c:idx val="31"/>
          <c:order val="31"/>
          <c:tx>
            <c:strRef>
              <c:f>Grapes!$A$83:$E$83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VIG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Grapes!$F$83:$O$83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CC4-496B-BA37-E277C99536DF}"/>
            </c:ext>
          </c:extLst>
        </c:ser>
        <c:ser>
          <c:idx val="32"/>
          <c:order val="32"/>
          <c:tx>
            <c:strRef>
              <c:f>Grapes!$A$84:$E$84</c:f>
              <c:strCache>
                <c:ptCount val="5"/>
                <c:pt idx="0">
                  <c:v>MONTROSE</c:v>
                </c:pt>
                <c:pt idx="1">
                  <c:v>GRAPES</c:v>
                </c:pt>
                <c:pt idx="2">
                  <c:v>WHR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Grapes!$F$51:$O$51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Grapes!$F$84:$O$84</c:f>
              <c:numCache>
                <c:formatCode>General</c:formatCode>
                <c:ptCount val="10"/>
                <c:pt idx="0">
                  <c:v>2.72</c:v>
                </c:pt>
                <c:pt idx="1">
                  <c:v>2.65</c:v>
                </c:pt>
                <c:pt idx="2">
                  <c:v>2.65</c:v>
                </c:pt>
                <c:pt idx="4">
                  <c:v>2.8</c:v>
                </c:pt>
                <c:pt idx="5">
                  <c:v>2.8</c:v>
                </c:pt>
                <c:pt idx="6">
                  <c:v>2.65</c:v>
                </c:pt>
                <c:pt idx="7">
                  <c:v>2.4500000000000002</c:v>
                </c:pt>
                <c:pt idx="8">
                  <c:v>2.4700000000000002</c:v>
                </c:pt>
                <c:pt idx="9">
                  <c:v>2.06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CC4-496B-BA37-E277C9953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832511"/>
        <c:axId val="212833951"/>
      </c:lineChart>
      <c:catAx>
        <c:axId val="212832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3951"/>
        <c:crosses val="autoZero"/>
        <c:auto val="1"/>
        <c:lblAlgn val="ctr"/>
        <c:lblOffset val="100"/>
        <c:noMultiLvlLbl val="0"/>
      </c:catAx>
      <c:valAx>
        <c:axId val="21283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3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Honey!$A$2:$E$2</c:f>
              <c:strCache>
                <c:ptCount val="5"/>
                <c:pt idx="0">
                  <c:v>BENT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Honey!$F$2:$O$2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40-4534-8D2D-9666FA690E08}"/>
            </c:ext>
          </c:extLst>
        </c:ser>
        <c:ser>
          <c:idx val="1"/>
          <c:order val="1"/>
          <c:tx>
            <c:strRef>
              <c:f>Honey!$A$3:$E$3</c:f>
              <c:strCache>
                <c:ptCount val="5"/>
                <c:pt idx="0">
                  <c:v>DELTA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Honey!$F$3:$O$3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0-4534-8D2D-9666FA690E08}"/>
            </c:ext>
          </c:extLst>
        </c:ser>
        <c:ser>
          <c:idx val="2"/>
          <c:order val="2"/>
          <c:tx>
            <c:strRef>
              <c:f>Honey!$A$4:$E$4</c:f>
              <c:strCache>
                <c:ptCount val="5"/>
                <c:pt idx="0">
                  <c:v>FREMONT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Honey!$F$4:$O$4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42</c:v>
                </c:pt>
                <c:pt idx="4">
                  <c:v>46</c:v>
                </c:pt>
                <c:pt idx="5">
                  <c:v>43</c:v>
                </c:pt>
                <c:pt idx="7">
                  <c:v>34</c:v>
                </c:pt>
                <c:pt idx="8">
                  <c:v>31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40-4534-8D2D-9666FA690E08}"/>
            </c:ext>
          </c:extLst>
        </c:ser>
        <c:ser>
          <c:idx val="3"/>
          <c:order val="3"/>
          <c:tx>
            <c:strRef>
              <c:f>Honey!$A$5:$E$5</c:f>
              <c:strCache>
                <c:ptCount val="5"/>
                <c:pt idx="0">
                  <c:v>GARFIELD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Honey!$F$5:$O$5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42</c:v>
                </c:pt>
                <c:pt idx="4">
                  <c:v>46</c:v>
                </c:pt>
                <c:pt idx="5">
                  <c:v>43</c:v>
                </c:pt>
                <c:pt idx="7">
                  <c:v>34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40-4534-8D2D-9666FA690E08}"/>
            </c:ext>
          </c:extLst>
        </c:ser>
        <c:ser>
          <c:idx val="4"/>
          <c:order val="4"/>
          <c:tx>
            <c:strRef>
              <c:f>Honey!$A$6:$E$6</c:f>
              <c:strCache>
                <c:ptCount val="5"/>
                <c:pt idx="0">
                  <c:v>LOGAN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Honey!$F$6:$O$6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40-4534-8D2D-9666FA690E08}"/>
            </c:ext>
          </c:extLst>
        </c:ser>
        <c:ser>
          <c:idx val="5"/>
          <c:order val="5"/>
          <c:tx>
            <c:strRef>
              <c:f>Honey!$A$7:$E$7</c:f>
              <c:strCache>
                <c:ptCount val="5"/>
                <c:pt idx="0">
                  <c:v>MESA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Honey!$F$7:$O$7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42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40-4534-8D2D-9666FA690E08}"/>
            </c:ext>
          </c:extLst>
        </c:ser>
        <c:ser>
          <c:idx val="6"/>
          <c:order val="6"/>
          <c:tx>
            <c:strRef>
              <c:f>Honey!$A$8:$E$8</c:f>
              <c:strCache>
                <c:ptCount val="5"/>
                <c:pt idx="0">
                  <c:v>OTERO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Honey!$F$8:$O$8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42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40-4534-8D2D-9666FA690E08}"/>
            </c:ext>
          </c:extLst>
        </c:ser>
        <c:ser>
          <c:idx val="7"/>
          <c:order val="7"/>
          <c:tx>
            <c:strRef>
              <c:f>Honey!$A$9:$E$9</c:f>
              <c:strCache>
                <c:ptCount val="5"/>
                <c:pt idx="0">
                  <c:v>OURAY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Honey!$F$9:$O$9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25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40-4534-8D2D-9666FA690E08}"/>
            </c:ext>
          </c:extLst>
        </c:ser>
        <c:ser>
          <c:idx val="8"/>
          <c:order val="8"/>
          <c:tx>
            <c:strRef>
              <c:f>Honey!$A$10:$E$10</c:f>
              <c:strCache>
                <c:ptCount val="5"/>
                <c:pt idx="0">
                  <c:v>PUEBLO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Honey!$F$10:$O$10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42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540-4534-8D2D-9666FA690E08}"/>
            </c:ext>
          </c:extLst>
        </c:ser>
        <c:ser>
          <c:idx val="9"/>
          <c:order val="9"/>
          <c:tx>
            <c:strRef>
              <c:f>Honey!$A$11:$E$11</c:f>
              <c:strCache>
                <c:ptCount val="5"/>
                <c:pt idx="0">
                  <c:v>WASHINGTON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Honey!$F$11:$O$11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42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25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540-4534-8D2D-9666FA690E08}"/>
            </c:ext>
          </c:extLst>
        </c:ser>
        <c:ser>
          <c:idx val="10"/>
          <c:order val="10"/>
          <c:tx>
            <c:strRef>
              <c:f>Honey!$A$12:$E$12</c:f>
              <c:strCache>
                <c:ptCount val="5"/>
                <c:pt idx="0">
                  <c:v>WELD</c:v>
                </c:pt>
                <c:pt idx="1">
                  <c:v>HONEY</c:v>
                </c:pt>
                <c:pt idx="3">
                  <c:v>TB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Honey!$F$1:$O$1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Honey!$F$12:$O$12</c:f>
              <c:numCache>
                <c:formatCode>General</c:formatCode>
                <c:ptCount val="10"/>
                <c:pt idx="0">
                  <c:v>44</c:v>
                </c:pt>
                <c:pt idx="1">
                  <c:v>42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43</c:v>
                </c:pt>
                <c:pt idx="6">
                  <c:v>39</c:v>
                </c:pt>
                <c:pt idx="7">
                  <c:v>34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540-4534-8D2D-9666FA69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339535"/>
        <c:axId val="876323215"/>
      </c:lineChart>
      <c:catAx>
        <c:axId val="87633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23215"/>
        <c:crosses val="autoZero"/>
        <c:auto val="1"/>
        <c:lblAlgn val="ctr"/>
        <c:lblOffset val="100"/>
        <c:noMultiLvlLbl val="0"/>
      </c:catAx>
      <c:valAx>
        <c:axId val="87632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3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Hops!$A$2:$E$2</c:f>
              <c:strCache>
                <c:ptCount val="5"/>
                <c:pt idx="0">
                  <c:v>EL PASA</c:v>
                </c:pt>
                <c:pt idx="1">
                  <c:v>HOPS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Hops!$F$1:$O$1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Hops!$F$2:$O$2</c:f>
              <c:numCache>
                <c:formatCode>General</c:formatCode>
                <c:ptCount val="10"/>
                <c:pt idx="0">
                  <c:v>1864</c:v>
                </c:pt>
                <c:pt idx="1">
                  <c:v>1878</c:v>
                </c:pt>
                <c:pt idx="2">
                  <c:v>1878</c:v>
                </c:pt>
                <c:pt idx="3">
                  <c:v>1878</c:v>
                </c:pt>
                <c:pt idx="4">
                  <c:v>1886</c:v>
                </c:pt>
                <c:pt idx="5">
                  <c:v>1886</c:v>
                </c:pt>
                <c:pt idx="6">
                  <c:v>1961</c:v>
                </c:pt>
                <c:pt idx="7">
                  <c:v>1893</c:v>
                </c:pt>
                <c:pt idx="8">
                  <c:v>1810</c:v>
                </c:pt>
                <c:pt idx="9">
                  <c:v>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0C-4248-9B30-445C495A7656}"/>
            </c:ext>
          </c:extLst>
        </c:ser>
        <c:ser>
          <c:idx val="1"/>
          <c:order val="1"/>
          <c:tx>
            <c:strRef>
              <c:f>Hops!$A$3:$E$3</c:f>
              <c:strCache>
                <c:ptCount val="5"/>
                <c:pt idx="0">
                  <c:v>MONTROSE</c:v>
                </c:pt>
                <c:pt idx="1">
                  <c:v>HOPS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Hops!$F$1:$O$1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Hops!$F$3:$O$3</c:f>
              <c:numCache>
                <c:formatCode>General</c:formatCode>
                <c:ptCount val="10"/>
                <c:pt idx="0">
                  <c:v>1864</c:v>
                </c:pt>
                <c:pt idx="1">
                  <c:v>1878</c:v>
                </c:pt>
                <c:pt idx="2">
                  <c:v>1878</c:v>
                </c:pt>
                <c:pt idx="3">
                  <c:v>1878</c:v>
                </c:pt>
                <c:pt idx="4">
                  <c:v>1886</c:v>
                </c:pt>
                <c:pt idx="5">
                  <c:v>1886</c:v>
                </c:pt>
                <c:pt idx="6">
                  <c:v>1961</c:v>
                </c:pt>
                <c:pt idx="7">
                  <c:v>1893</c:v>
                </c:pt>
                <c:pt idx="8">
                  <c:v>2482</c:v>
                </c:pt>
                <c:pt idx="9">
                  <c:v>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C-4248-9B30-445C495A7656}"/>
            </c:ext>
          </c:extLst>
        </c:ser>
        <c:ser>
          <c:idx val="2"/>
          <c:order val="2"/>
          <c:tx>
            <c:strRef>
              <c:f>Hops!$A$4:$E$4</c:f>
              <c:strCache>
                <c:ptCount val="5"/>
                <c:pt idx="0">
                  <c:v>WELD</c:v>
                </c:pt>
                <c:pt idx="1">
                  <c:v>HOPS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Hops!$F$1:$O$1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Hops!$F$4:$O$4</c:f>
              <c:numCache>
                <c:formatCode>General</c:formatCode>
                <c:ptCount val="10"/>
                <c:pt idx="0">
                  <c:v>1864</c:v>
                </c:pt>
                <c:pt idx="1">
                  <c:v>1878</c:v>
                </c:pt>
                <c:pt idx="2">
                  <c:v>1878</c:v>
                </c:pt>
                <c:pt idx="3">
                  <c:v>1878</c:v>
                </c:pt>
                <c:pt idx="4">
                  <c:v>1886</c:v>
                </c:pt>
                <c:pt idx="5">
                  <c:v>1886</c:v>
                </c:pt>
                <c:pt idx="6">
                  <c:v>1961</c:v>
                </c:pt>
                <c:pt idx="7">
                  <c:v>1893</c:v>
                </c:pt>
                <c:pt idx="8">
                  <c:v>1810</c:v>
                </c:pt>
                <c:pt idx="9">
                  <c:v>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0C-4248-9B30-445C495A7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677855"/>
        <c:axId val="1707905647"/>
      </c:lineChart>
      <c:catAx>
        <c:axId val="170567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05647"/>
        <c:crosses val="autoZero"/>
        <c:auto val="1"/>
        <c:lblAlgn val="ctr"/>
        <c:lblOffset val="100"/>
        <c:noMultiLvlLbl val="0"/>
      </c:catAx>
      <c:valAx>
        <c:axId val="170790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7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Peaches!$A$2:$E$2</c:f>
              <c:strCache>
                <c:ptCount val="5"/>
                <c:pt idx="0">
                  <c:v>FREEMONT</c:v>
                </c:pt>
                <c:pt idx="1">
                  <c:v>PEACHES</c:v>
                </c:pt>
                <c:pt idx="2">
                  <c:v>CLI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Peaches!$F$1:$O$1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Peaches!$F$2:$O$2</c:f>
              <c:numCache>
                <c:formatCode>General</c:formatCode>
                <c:ptCount val="10"/>
                <c:pt idx="0">
                  <c:v>204</c:v>
                </c:pt>
                <c:pt idx="1">
                  <c:v>188</c:v>
                </c:pt>
                <c:pt idx="2">
                  <c:v>188</c:v>
                </c:pt>
                <c:pt idx="3">
                  <c:v>213</c:v>
                </c:pt>
                <c:pt idx="4">
                  <c:v>213</c:v>
                </c:pt>
                <c:pt idx="5">
                  <c:v>227</c:v>
                </c:pt>
                <c:pt idx="6">
                  <c:v>229</c:v>
                </c:pt>
                <c:pt idx="7">
                  <c:v>229</c:v>
                </c:pt>
                <c:pt idx="8">
                  <c:v>188</c:v>
                </c:pt>
                <c:pt idx="9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DF-4E29-B402-49AFA0FDC78E}"/>
            </c:ext>
          </c:extLst>
        </c:ser>
        <c:ser>
          <c:idx val="1"/>
          <c:order val="1"/>
          <c:tx>
            <c:strRef>
              <c:f>Peaches!$A$3:$E$3</c:f>
              <c:strCache>
                <c:ptCount val="5"/>
                <c:pt idx="0">
                  <c:v>FREEMONT</c:v>
                </c:pt>
                <c:pt idx="1">
                  <c:v>PEACHES</c:v>
                </c:pt>
                <c:pt idx="2">
                  <c:v>FRE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Peaches!$F$1:$O$1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Peaches!$F$3:$O$3</c:f>
              <c:numCache>
                <c:formatCode>General</c:formatCode>
                <c:ptCount val="10"/>
                <c:pt idx="5">
                  <c:v>229</c:v>
                </c:pt>
                <c:pt idx="6">
                  <c:v>229</c:v>
                </c:pt>
                <c:pt idx="7">
                  <c:v>229</c:v>
                </c:pt>
                <c:pt idx="8">
                  <c:v>188</c:v>
                </c:pt>
                <c:pt idx="9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F-4E29-B402-49AFA0FDC78E}"/>
            </c:ext>
          </c:extLst>
        </c:ser>
        <c:ser>
          <c:idx val="2"/>
          <c:order val="2"/>
          <c:tx>
            <c:strRef>
              <c:f>Peaches!$A$4:$E$4</c:f>
              <c:strCache>
                <c:ptCount val="5"/>
                <c:pt idx="0">
                  <c:v>PUEBLO</c:v>
                </c:pt>
                <c:pt idx="1">
                  <c:v>PEACHES</c:v>
                </c:pt>
                <c:pt idx="2">
                  <c:v>FRE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Peaches!$F$1:$O$1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Peaches!$F$4:$O$4</c:f>
              <c:numCache>
                <c:formatCode>General</c:formatCode>
                <c:ptCount val="10"/>
                <c:pt idx="0">
                  <c:v>204</c:v>
                </c:pt>
                <c:pt idx="1">
                  <c:v>188</c:v>
                </c:pt>
                <c:pt idx="2">
                  <c:v>188</c:v>
                </c:pt>
                <c:pt idx="4">
                  <c:v>213</c:v>
                </c:pt>
                <c:pt idx="5">
                  <c:v>227</c:v>
                </c:pt>
                <c:pt idx="6">
                  <c:v>229</c:v>
                </c:pt>
                <c:pt idx="7">
                  <c:v>229</c:v>
                </c:pt>
                <c:pt idx="8">
                  <c:v>188</c:v>
                </c:pt>
                <c:pt idx="9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DF-4E29-B402-49AFA0FDC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262735"/>
        <c:axId val="876267535"/>
      </c:lineChart>
      <c:catAx>
        <c:axId val="87626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67535"/>
        <c:crosses val="autoZero"/>
        <c:auto val="1"/>
        <c:lblAlgn val="ctr"/>
        <c:lblOffset val="100"/>
        <c:noMultiLvlLbl val="0"/>
      </c:catAx>
      <c:valAx>
        <c:axId val="87626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62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Pears!$A$2:$E$2</c:f>
              <c:strCache>
                <c:ptCount val="5"/>
                <c:pt idx="0">
                  <c:v>DELTA</c:v>
                </c:pt>
                <c:pt idx="1">
                  <c:v>PEARS</c:v>
                </c:pt>
                <c:pt idx="2">
                  <c:v>ANJ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Pears!$F$2:$O$2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15.8</c:v>
                </c:pt>
                <c:pt idx="7">
                  <c:v>12.37</c:v>
                </c:pt>
                <c:pt idx="8">
                  <c:v>10.52</c:v>
                </c:pt>
                <c:pt idx="9">
                  <c:v>9.8800000000000008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B9-4848-84AB-8D27B5E7ED1F}"/>
            </c:ext>
          </c:extLst>
        </c:ser>
        <c:ser>
          <c:idx val="1"/>
          <c:order val="1"/>
          <c:tx>
            <c:strRef>
              <c:f>Pears!$A$3:$E$3</c:f>
              <c:strCache>
                <c:ptCount val="5"/>
                <c:pt idx="0">
                  <c:v>DELTA</c:v>
                </c:pt>
                <c:pt idx="1">
                  <c:v>PEARS</c:v>
                </c:pt>
                <c:pt idx="2">
                  <c:v>ASN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Pears!$F$3:$O$3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15.8</c:v>
                </c:pt>
                <c:pt idx="7">
                  <c:v>12.37</c:v>
                </c:pt>
                <c:pt idx="8">
                  <c:v>12.02</c:v>
                </c:pt>
                <c:pt idx="9">
                  <c:v>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B9-4848-84AB-8D27B5E7ED1F}"/>
            </c:ext>
          </c:extLst>
        </c:ser>
        <c:ser>
          <c:idx val="2"/>
          <c:order val="2"/>
          <c:tx>
            <c:strRef>
              <c:f>Pears!$A$4:$E$4</c:f>
              <c:strCache>
                <c:ptCount val="5"/>
                <c:pt idx="0">
                  <c:v>DELTA</c:v>
                </c:pt>
                <c:pt idx="1">
                  <c:v>PEARS</c:v>
                </c:pt>
                <c:pt idx="2">
                  <c:v>BLT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Pears!$F$4:$O$4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15.8</c:v>
                </c:pt>
                <c:pt idx="7">
                  <c:v>12.37</c:v>
                </c:pt>
                <c:pt idx="8">
                  <c:v>9.09</c:v>
                </c:pt>
                <c:pt idx="9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B9-4848-84AB-8D27B5E7ED1F}"/>
            </c:ext>
          </c:extLst>
        </c:ser>
        <c:ser>
          <c:idx val="3"/>
          <c:order val="3"/>
          <c:tx>
            <c:strRef>
              <c:f>Pears!$A$5:$E$5</c:f>
              <c:strCache>
                <c:ptCount val="5"/>
                <c:pt idx="0">
                  <c:v>DELTA</c:v>
                </c:pt>
                <c:pt idx="1">
                  <c:v>PEARS</c:v>
                </c:pt>
                <c:pt idx="2">
                  <c:v>SPC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Pears!$F$5:$O$5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16.23</c:v>
                </c:pt>
                <c:pt idx="4">
                  <c:v>15.93</c:v>
                </c:pt>
                <c:pt idx="5">
                  <c:v>15.93</c:v>
                </c:pt>
                <c:pt idx="6">
                  <c:v>15.83</c:v>
                </c:pt>
                <c:pt idx="7">
                  <c:v>15.57</c:v>
                </c:pt>
                <c:pt idx="8">
                  <c:v>13.8</c:v>
                </c:pt>
                <c:pt idx="9">
                  <c:v>11.42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B9-4848-84AB-8D27B5E7ED1F}"/>
            </c:ext>
          </c:extLst>
        </c:ser>
        <c:ser>
          <c:idx val="4"/>
          <c:order val="4"/>
          <c:tx>
            <c:strRef>
              <c:f>Pears!$A$6:$E$6</c:f>
              <c:strCache>
                <c:ptCount val="5"/>
                <c:pt idx="0">
                  <c:v>FREEMONT</c:v>
                </c:pt>
                <c:pt idx="1">
                  <c:v>PEARS</c:v>
                </c:pt>
                <c:pt idx="2">
                  <c:v>BLT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Pears!$F$6:$O$6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15.8</c:v>
                </c:pt>
                <c:pt idx="7">
                  <c:v>11.86</c:v>
                </c:pt>
                <c:pt idx="8">
                  <c:v>7.08</c:v>
                </c:pt>
                <c:pt idx="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BB9-4848-84AB-8D27B5E7ED1F}"/>
            </c:ext>
          </c:extLst>
        </c:ser>
        <c:ser>
          <c:idx val="5"/>
          <c:order val="5"/>
          <c:tx>
            <c:strRef>
              <c:f>Pears!$A$7:$E$7</c:f>
              <c:strCache>
                <c:ptCount val="5"/>
                <c:pt idx="0">
                  <c:v>FREEMONT</c:v>
                </c:pt>
                <c:pt idx="1">
                  <c:v>PEARS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Pears!$F$7:$O$7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16.07</c:v>
                </c:pt>
                <c:pt idx="7">
                  <c:v>11.86</c:v>
                </c:pt>
                <c:pt idx="8">
                  <c:v>7.08</c:v>
                </c:pt>
                <c:pt idx="9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BB9-4848-84AB-8D27B5E7ED1F}"/>
            </c:ext>
          </c:extLst>
        </c:ser>
        <c:ser>
          <c:idx val="6"/>
          <c:order val="6"/>
          <c:tx>
            <c:strRef>
              <c:f>Pears!$A$8:$E$8</c:f>
              <c:strCache>
                <c:ptCount val="5"/>
                <c:pt idx="0">
                  <c:v>MESA</c:v>
                </c:pt>
                <c:pt idx="1">
                  <c:v>PEARS</c:v>
                </c:pt>
                <c:pt idx="2">
                  <c:v>BLT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Pears!$F$8:$O$8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15.8</c:v>
                </c:pt>
                <c:pt idx="7">
                  <c:v>13.64</c:v>
                </c:pt>
                <c:pt idx="8">
                  <c:v>11.41</c:v>
                </c:pt>
                <c:pt idx="9">
                  <c:v>9.42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BB9-4848-84AB-8D27B5E7ED1F}"/>
            </c:ext>
          </c:extLst>
        </c:ser>
        <c:ser>
          <c:idx val="7"/>
          <c:order val="7"/>
          <c:tx>
            <c:strRef>
              <c:f>Pears!$A$9:$E$9</c:f>
              <c:strCache>
                <c:ptCount val="5"/>
                <c:pt idx="0">
                  <c:v>MONTROSE</c:v>
                </c:pt>
                <c:pt idx="1">
                  <c:v>PEARS</c:v>
                </c:pt>
                <c:pt idx="2">
                  <c:v>BLT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Pears!$F$9:$O$9</c:f>
              <c:numCache>
                <c:formatCode>General</c:formatCode>
                <c:ptCount val="10"/>
                <c:pt idx="0">
                  <c:v>16.57</c:v>
                </c:pt>
                <c:pt idx="1">
                  <c:v>16.57</c:v>
                </c:pt>
                <c:pt idx="2">
                  <c:v>16.57</c:v>
                </c:pt>
                <c:pt idx="3">
                  <c:v>16.3</c:v>
                </c:pt>
                <c:pt idx="4">
                  <c:v>16</c:v>
                </c:pt>
                <c:pt idx="5">
                  <c:v>16</c:v>
                </c:pt>
                <c:pt idx="6">
                  <c:v>15.8</c:v>
                </c:pt>
                <c:pt idx="7">
                  <c:v>12.37</c:v>
                </c:pt>
                <c:pt idx="8">
                  <c:v>9.09</c:v>
                </c:pt>
                <c:pt idx="9">
                  <c:v>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BB9-4848-84AB-8D27B5E7E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318895"/>
        <c:axId val="876320815"/>
      </c:lineChart>
      <c:catAx>
        <c:axId val="876318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20815"/>
        <c:crosses val="autoZero"/>
        <c:auto val="1"/>
        <c:lblAlgn val="ctr"/>
        <c:lblOffset val="100"/>
        <c:noMultiLvlLbl val="0"/>
      </c:catAx>
      <c:valAx>
        <c:axId val="87632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18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Irrigated Forage Triticale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Triticale!$A$2:$E$2</c:f>
              <c:strCache>
                <c:ptCount val="5"/>
                <c:pt idx="0">
                  <c:v>ALAMOSA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Triticale!$F$2:$O$2</c:f>
              <c:numCache>
                <c:formatCode>General</c:formatCode>
                <c:ptCount val="10"/>
                <c:pt idx="0">
                  <c:v>1.77</c:v>
                </c:pt>
                <c:pt idx="1">
                  <c:v>2.08</c:v>
                </c:pt>
                <c:pt idx="2">
                  <c:v>2.4</c:v>
                </c:pt>
                <c:pt idx="3">
                  <c:v>2.4</c:v>
                </c:pt>
                <c:pt idx="4">
                  <c:v>2.2200000000000002</c:v>
                </c:pt>
                <c:pt idx="5">
                  <c:v>2.2200000000000002</c:v>
                </c:pt>
                <c:pt idx="6">
                  <c:v>1.87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E-457A-BD20-4377DD626376}"/>
            </c:ext>
          </c:extLst>
        </c:ser>
        <c:ser>
          <c:idx val="1"/>
          <c:order val="1"/>
          <c:tx>
            <c:strRef>
              <c:f>Triticale!$A$3:$E$3</c:f>
              <c:strCache>
                <c:ptCount val="5"/>
                <c:pt idx="0">
                  <c:v>BACA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Triticale!$F$3:$O$3</c:f>
              <c:numCache>
                <c:formatCode>General</c:formatCode>
                <c:ptCount val="10"/>
                <c:pt idx="0">
                  <c:v>2.0099999999999998</c:v>
                </c:pt>
                <c:pt idx="1">
                  <c:v>2.06</c:v>
                </c:pt>
                <c:pt idx="2">
                  <c:v>1.19</c:v>
                </c:pt>
                <c:pt idx="3">
                  <c:v>1.19</c:v>
                </c:pt>
                <c:pt idx="4">
                  <c:v>1.27</c:v>
                </c:pt>
                <c:pt idx="5">
                  <c:v>1.27</c:v>
                </c:pt>
                <c:pt idx="6">
                  <c:v>1.23</c:v>
                </c:pt>
                <c:pt idx="7">
                  <c:v>1.27</c:v>
                </c:pt>
                <c:pt idx="8">
                  <c:v>1.51</c:v>
                </c:pt>
                <c:pt idx="9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E-457A-BD20-4377DD626376}"/>
            </c:ext>
          </c:extLst>
        </c:ser>
        <c:ser>
          <c:idx val="2"/>
          <c:order val="2"/>
          <c:tx>
            <c:strRef>
              <c:f>Triticale!$A$4:$E$4</c:f>
              <c:strCache>
                <c:ptCount val="5"/>
                <c:pt idx="0">
                  <c:v>BENT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Triticale!$F$4:$O$4</c:f>
              <c:numCache>
                <c:formatCode>General</c:formatCode>
                <c:ptCount val="10"/>
                <c:pt idx="0">
                  <c:v>2.2000000000000002</c:v>
                </c:pt>
                <c:pt idx="1">
                  <c:v>2.2200000000000002</c:v>
                </c:pt>
                <c:pt idx="2">
                  <c:v>1.33</c:v>
                </c:pt>
                <c:pt idx="3">
                  <c:v>1.6</c:v>
                </c:pt>
                <c:pt idx="4">
                  <c:v>1.53</c:v>
                </c:pt>
                <c:pt idx="5">
                  <c:v>1.53</c:v>
                </c:pt>
                <c:pt idx="6">
                  <c:v>1.32</c:v>
                </c:pt>
                <c:pt idx="7">
                  <c:v>1.31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DE-457A-BD20-4377DD626376}"/>
            </c:ext>
          </c:extLst>
        </c:ser>
        <c:ser>
          <c:idx val="3"/>
          <c:order val="3"/>
          <c:tx>
            <c:strRef>
              <c:f>Triticale!$A$5:$E$5</c:f>
              <c:strCache>
                <c:ptCount val="5"/>
                <c:pt idx="0">
                  <c:v>CHAFFEE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Triticale!$F$5:$O$5</c:f>
              <c:numCache>
                <c:formatCode>General</c:formatCode>
                <c:ptCount val="10"/>
                <c:pt idx="0">
                  <c:v>1.77</c:v>
                </c:pt>
                <c:pt idx="1">
                  <c:v>1.44</c:v>
                </c:pt>
                <c:pt idx="3">
                  <c:v>1.33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1.32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DE-457A-BD20-4377DD626376}"/>
            </c:ext>
          </c:extLst>
        </c:ser>
        <c:ser>
          <c:idx val="4"/>
          <c:order val="4"/>
          <c:tx>
            <c:strRef>
              <c:f>Triticale!$A$6:$E$6</c:f>
              <c:strCache>
                <c:ptCount val="5"/>
                <c:pt idx="0">
                  <c:v>CHEYENNE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Triticale!$F$6:$O$6</c:f>
              <c:numCache>
                <c:formatCode>General</c:formatCode>
                <c:ptCount val="10"/>
                <c:pt idx="2">
                  <c:v>1.33</c:v>
                </c:pt>
                <c:pt idx="3">
                  <c:v>1.33</c:v>
                </c:pt>
                <c:pt idx="4">
                  <c:v>1.35</c:v>
                </c:pt>
                <c:pt idx="5">
                  <c:v>1.35</c:v>
                </c:pt>
                <c:pt idx="6">
                  <c:v>1.35</c:v>
                </c:pt>
                <c:pt idx="7">
                  <c:v>1.37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DE-457A-BD20-4377DD626376}"/>
            </c:ext>
          </c:extLst>
        </c:ser>
        <c:ser>
          <c:idx val="5"/>
          <c:order val="5"/>
          <c:tx>
            <c:strRef>
              <c:f>Triticale!$A$7:$E$7</c:f>
              <c:strCache>
                <c:ptCount val="5"/>
                <c:pt idx="0">
                  <c:v>CONEJOS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Triticale!$F$7:$O$7</c:f>
              <c:numCache>
                <c:formatCode>General</c:formatCode>
                <c:ptCount val="10"/>
                <c:pt idx="0">
                  <c:v>1.74</c:v>
                </c:pt>
                <c:pt idx="1">
                  <c:v>1.76</c:v>
                </c:pt>
                <c:pt idx="2">
                  <c:v>2.58</c:v>
                </c:pt>
                <c:pt idx="3">
                  <c:v>2.58</c:v>
                </c:pt>
                <c:pt idx="4">
                  <c:v>2.31</c:v>
                </c:pt>
                <c:pt idx="5">
                  <c:v>2.31</c:v>
                </c:pt>
                <c:pt idx="6">
                  <c:v>1.91</c:v>
                </c:pt>
                <c:pt idx="7">
                  <c:v>1.56</c:v>
                </c:pt>
                <c:pt idx="8">
                  <c:v>1.39</c:v>
                </c:pt>
                <c:pt idx="9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DE-457A-BD20-4377DD626376}"/>
            </c:ext>
          </c:extLst>
        </c:ser>
        <c:ser>
          <c:idx val="6"/>
          <c:order val="6"/>
          <c:tx>
            <c:strRef>
              <c:f>Triticale!$A$8:$E$8</c:f>
              <c:strCache>
                <c:ptCount val="5"/>
                <c:pt idx="0">
                  <c:v>COSTILLA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Triticale!$F$8:$O$8</c:f>
              <c:numCache>
                <c:formatCode>General</c:formatCode>
                <c:ptCount val="10"/>
                <c:pt idx="0">
                  <c:v>2.11</c:v>
                </c:pt>
                <c:pt idx="1">
                  <c:v>2.34</c:v>
                </c:pt>
                <c:pt idx="2">
                  <c:v>2.4700000000000002</c:v>
                </c:pt>
                <c:pt idx="3">
                  <c:v>2.4700000000000002</c:v>
                </c:pt>
                <c:pt idx="4">
                  <c:v>2.2400000000000002</c:v>
                </c:pt>
                <c:pt idx="5">
                  <c:v>2.2400000000000002</c:v>
                </c:pt>
                <c:pt idx="6">
                  <c:v>1.84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DE-457A-BD20-4377DD626376}"/>
            </c:ext>
          </c:extLst>
        </c:ser>
        <c:ser>
          <c:idx val="7"/>
          <c:order val="7"/>
          <c:tx>
            <c:strRef>
              <c:f>Triticale!$A$9:$E$9</c:f>
              <c:strCache>
                <c:ptCount val="5"/>
                <c:pt idx="0">
                  <c:v>CROWLEY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Triticale!$F$9:$O$9</c:f>
              <c:numCache>
                <c:formatCode>General</c:formatCode>
                <c:ptCount val="10"/>
                <c:pt idx="0">
                  <c:v>2.12</c:v>
                </c:pt>
                <c:pt idx="1">
                  <c:v>1.98</c:v>
                </c:pt>
                <c:pt idx="2">
                  <c:v>1.17</c:v>
                </c:pt>
                <c:pt idx="3">
                  <c:v>1.66</c:v>
                </c:pt>
                <c:pt idx="4">
                  <c:v>1.62</c:v>
                </c:pt>
                <c:pt idx="5">
                  <c:v>1.62</c:v>
                </c:pt>
                <c:pt idx="6">
                  <c:v>1.58</c:v>
                </c:pt>
                <c:pt idx="7">
                  <c:v>1.41</c:v>
                </c:pt>
                <c:pt idx="8">
                  <c:v>1.41</c:v>
                </c:pt>
                <c:pt idx="9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DE-457A-BD20-4377DD626376}"/>
            </c:ext>
          </c:extLst>
        </c:ser>
        <c:ser>
          <c:idx val="8"/>
          <c:order val="8"/>
          <c:tx>
            <c:strRef>
              <c:f>Triticale!$A$10:$E$10</c:f>
              <c:strCache>
                <c:ptCount val="5"/>
                <c:pt idx="0">
                  <c:v>DOLORES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Triticale!$F$10:$O$10</c:f>
              <c:numCache>
                <c:formatCode>General</c:formatCode>
                <c:ptCount val="10"/>
                <c:pt idx="0">
                  <c:v>2.0299999999999998</c:v>
                </c:pt>
                <c:pt idx="1">
                  <c:v>2.17</c:v>
                </c:pt>
                <c:pt idx="2">
                  <c:v>1.51</c:v>
                </c:pt>
                <c:pt idx="3">
                  <c:v>1.67</c:v>
                </c:pt>
                <c:pt idx="4">
                  <c:v>1.61</c:v>
                </c:pt>
                <c:pt idx="5">
                  <c:v>1.61</c:v>
                </c:pt>
                <c:pt idx="6">
                  <c:v>1.44</c:v>
                </c:pt>
                <c:pt idx="7">
                  <c:v>1.37</c:v>
                </c:pt>
                <c:pt idx="8">
                  <c:v>1.37</c:v>
                </c:pt>
                <c:pt idx="9">
                  <c:v>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DE-457A-BD20-4377DD626376}"/>
            </c:ext>
          </c:extLst>
        </c:ser>
        <c:ser>
          <c:idx val="9"/>
          <c:order val="9"/>
          <c:tx>
            <c:strRef>
              <c:f>Triticale!$A$11:$E$11</c:f>
              <c:strCache>
                <c:ptCount val="5"/>
                <c:pt idx="0">
                  <c:v>ELBERT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Triticale!$F$11:$O$11</c:f>
              <c:numCache>
                <c:formatCode>General</c:formatCode>
                <c:ptCount val="10"/>
                <c:pt idx="0">
                  <c:v>1.28</c:v>
                </c:pt>
                <c:pt idx="1">
                  <c:v>1.3</c:v>
                </c:pt>
                <c:pt idx="2">
                  <c:v>1.35</c:v>
                </c:pt>
                <c:pt idx="3">
                  <c:v>1.35</c:v>
                </c:pt>
                <c:pt idx="4">
                  <c:v>1.37</c:v>
                </c:pt>
                <c:pt idx="5">
                  <c:v>1.37</c:v>
                </c:pt>
                <c:pt idx="6">
                  <c:v>1.37</c:v>
                </c:pt>
                <c:pt idx="7">
                  <c:v>1.39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DE-457A-BD20-4377DD626376}"/>
            </c:ext>
          </c:extLst>
        </c:ser>
        <c:ser>
          <c:idx val="10"/>
          <c:order val="10"/>
          <c:tx>
            <c:strRef>
              <c:f>Triticale!$A$12:$E$12</c:f>
              <c:strCache>
                <c:ptCount val="5"/>
                <c:pt idx="0">
                  <c:v>EL PASO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Triticale!$F$12:$O$12</c:f>
              <c:numCache>
                <c:formatCode>General</c:formatCode>
                <c:ptCount val="10"/>
                <c:pt idx="0">
                  <c:v>1.27</c:v>
                </c:pt>
                <c:pt idx="1">
                  <c:v>1.37</c:v>
                </c:pt>
                <c:pt idx="2">
                  <c:v>1.39</c:v>
                </c:pt>
                <c:pt idx="3">
                  <c:v>1.39</c:v>
                </c:pt>
                <c:pt idx="4">
                  <c:v>1.41</c:v>
                </c:pt>
                <c:pt idx="5">
                  <c:v>1.41</c:v>
                </c:pt>
                <c:pt idx="6">
                  <c:v>1.36</c:v>
                </c:pt>
                <c:pt idx="7">
                  <c:v>1.33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3DE-457A-BD20-4377DD626376}"/>
            </c:ext>
          </c:extLst>
        </c:ser>
        <c:ser>
          <c:idx val="11"/>
          <c:order val="11"/>
          <c:tx>
            <c:strRef>
              <c:f>Triticale!$A$13:$E$13</c:f>
              <c:strCache>
                <c:ptCount val="5"/>
                <c:pt idx="0">
                  <c:v>GARFIELD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Triticale!$F$13:$O$13</c:f>
              <c:numCache>
                <c:formatCode>General</c:formatCode>
                <c:ptCount val="10"/>
                <c:pt idx="7">
                  <c:v>1.49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3DE-457A-BD20-4377DD626376}"/>
            </c:ext>
          </c:extLst>
        </c:ser>
        <c:ser>
          <c:idx val="12"/>
          <c:order val="12"/>
          <c:tx>
            <c:strRef>
              <c:f>Triticale!$A$14:$E$14</c:f>
              <c:strCache>
                <c:ptCount val="5"/>
                <c:pt idx="0">
                  <c:v>KIOWA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Triticale!$F$14:$O$14</c:f>
              <c:numCache>
                <c:formatCode>General</c:formatCode>
                <c:ptCount val="10"/>
                <c:pt idx="0">
                  <c:v>1.71</c:v>
                </c:pt>
                <c:pt idx="1">
                  <c:v>1.83</c:v>
                </c:pt>
                <c:pt idx="2">
                  <c:v>0.72</c:v>
                </c:pt>
                <c:pt idx="3">
                  <c:v>0.72</c:v>
                </c:pt>
                <c:pt idx="4">
                  <c:v>0.94</c:v>
                </c:pt>
                <c:pt idx="5">
                  <c:v>0.94</c:v>
                </c:pt>
                <c:pt idx="6">
                  <c:v>1.05</c:v>
                </c:pt>
                <c:pt idx="7">
                  <c:v>1.24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3DE-457A-BD20-4377DD626376}"/>
            </c:ext>
          </c:extLst>
        </c:ser>
        <c:ser>
          <c:idx val="13"/>
          <c:order val="13"/>
          <c:tx>
            <c:strRef>
              <c:f>Triticale!$A$15:$E$15</c:f>
              <c:strCache>
                <c:ptCount val="5"/>
                <c:pt idx="0">
                  <c:v>LA PLATA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Triticale!$F$15:$O$15</c:f>
              <c:numCache>
                <c:formatCode>General</c:formatCode>
                <c:ptCount val="10"/>
                <c:pt idx="0">
                  <c:v>2.19</c:v>
                </c:pt>
                <c:pt idx="1">
                  <c:v>2.33</c:v>
                </c:pt>
                <c:pt idx="2">
                  <c:v>1.51</c:v>
                </c:pt>
                <c:pt idx="3">
                  <c:v>1.51</c:v>
                </c:pt>
                <c:pt idx="4">
                  <c:v>1.51</c:v>
                </c:pt>
                <c:pt idx="5">
                  <c:v>1.51</c:v>
                </c:pt>
                <c:pt idx="6">
                  <c:v>1.44</c:v>
                </c:pt>
                <c:pt idx="7">
                  <c:v>1.37</c:v>
                </c:pt>
                <c:pt idx="8">
                  <c:v>1.3</c:v>
                </c:pt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3DE-457A-BD20-4377DD626376}"/>
            </c:ext>
          </c:extLst>
        </c:ser>
        <c:ser>
          <c:idx val="14"/>
          <c:order val="14"/>
          <c:tx>
            <c:strRef>
              <c:f>Triticale!$A$16:$E$16</c:f>
              <c:strCache>
                <c:ptCount val="5"/>
                <c:pt idx="0">
                  <c:v>LAS ANIMAS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Triticale!$F$16:$O$16</c:f>
              <c:numCache>
                <c:formatCode>General</c:formatCode>
                <c:ptCount val="10"/>
                <c:pt idx="0">
                  <c:v>1.9</c:v>
                </c:pt>
                <c:pt idx="1">
                  <c:v>1.55</c:v>
                </c:pt>
                <c:pt idx="2">
                  <c:v>1.19</c:v>
                </c:pt>
                <c:pt idx="3">
                  <c:v>1.19</c:v>
                </c:pt>
                <c:pt idx="4">
                  <c:v>1.27</c:v>
                </c:pt>
                <c:pt idx="5">
                  <c:v>1.27</c:v>
                </c:pt>
                <c:pt idx="6">
                  <c:v>1.23</c:v>
                </c:pt>
                <c:pt idx="7">
                  <c:v>1.27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3DE-457A-BD20-4377DD626376}"/>
            </c:ext>
          </c:extLst>
        </c:ser>
        <c:ser>
          <c:idx val="15"/>
          <c:order val="15"/>
          <c:tx>
            <c:strRef>
              <c:f>Triticale!$A$17:$E$17</c:f>
              <c:strCache>
                <c:ptCount val="5"/>
                <c:pt idx="0">
                  <c:v>LOGAN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Triticale!$F$17:$O$17</c:f>
              <c:numCache>
                <c:formatCode>General</c:formatCode>
                <c:ptCount val="10"/>
                <c:pt idx="0">
                  <c:v>1.91</c:v>
                </c:pt>
                <c:pt idx="1">
                  <c:v>1.97</c:v>
                </c:pt>
                <c:pt idx="2">
                  <c:v>1.61</c:v>
                </c:pt>
                <c:pt idx="3">
                  <c:v>1.61</c:v>
                </c:pt>
                <c:pt idx="4">
                  <c:v>1.61</c:v>
                </c:pt>
                <c:pt idx="5">
                  <c:v>1.61</c:v>
                </c:pt>
                <c:pt idx="6">
                  <c:v>1.54</c:v>
                </c:pt>
                <c:pt idx="7">
                  <c:v>1.47</c:v>
                </c:pt>
                <c:pt idx="8">
                  <c:v>1.31</c:v>
                </c:pt>
                <c:pt idx="9">
                  <c:v>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3DE-457A-BD20-4377DD626376}"/>
            </c:ext>
          </c:extLst>
        </c:ser>
        <c:ser>
          <c:idx val="16"/>
          <c:order val="16"/>
          <c:tx>
            <c:strRef>
              <c:f>Triticale!$A$18:$E$18</c:f>
              <c:strCache>
                <c:ptCount val="5"/>
                <c:pt idx="0">
                  <c:v>MESA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Triticale!$F$18:$O$18</c:f>
              <c:numCache>
                <c:formatCode>General</c:formatCode>
                <c:ptCount val="10"/>
                <c:pt idx="0">
                  <c:v>2.38</c:v>
                </c:pt>
                <c:pt idx="1">
                  <c:v>2.4500000000000002</c:v>
                </c:pt>
                <c:pt idx="2">
                  <c:v>2.48</c:v>
                </c:pt>
                <c:pt idx="3">
                  <c:v>2.48</c:v>
                </c:pt>
                <c:pt idx="4">
                  <c:v>2.2200000000000002</c:v>
                </c:pt>
                <c:pt idx="5">
                  <c:v>2.2200000000000002</c:v>
                </c:pt>
                <c:pt idx="6">
                  <c:v>1.87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3DE-457A-BD20-4377DD626376}"/>
            </c:ext>
          </c:extLst>
        </c:ser>
        <c:ser>
          <c:idx val="17"/>
          <c:order val="17"/>
          <c:tx>
            <c:strRef>
              <c:f>Triticale!$A$19:$E$19</c:f>
              <c:strCache>
                <c:ptCount val="5"/>
                <c:pt idx="0">
                  <c:v>MOFFAT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Triticale!$F$19:$O$19</c:f>
              <c:numCache>
                <c:formatCode>General</c:formatCode>
                <c:ptCount val="10"/>
                <c:pt idx="1">
                  <c:v>2.27</c:v>
                </c:pt>
                <c:pt idx="2">
                  <c:v>0.74</c:v>
                </c:pt>
                <c:pt idx="3">
                  <c:v>0.74</c:v>
                </c:pt>
                <c:pt idx="4">
                  <c:v>0.95</c:v>
                </c:pt>
                <c:pt idx="5">
                  <c:v>0.95</c:v>
                </c:pt>
                <c:pt idx="6">
                  <c:v>1.05</c:v>
                </c:pt>
                <c:pt idx="7">
                  <c:v>1.24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3DE-457A-BD20-4377DD626376}"/>
            </c:ext>
          </c:extLst>
        </c:ser>
        <c:ser>
          <c:idx val="18"/>
          <c:order val="18"/>
          <c:tx>
            <c:strRef>
              <c:f>Triticale!$A$20:$E$20</c:f>
              <c:strCache>
                <c:ptCount val="5"/>
                <c:pt idx="0">
                  <c:v>MONTEZUMA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Triticale!$F$20:$O$20</c:f>
              <c:numCache>
                <c:formatCode>General</c:formatCode>
                <c:ptCount val="10"/>
                <c:pt idx="0">
                  <c:v>2.41</c:v>
                </c:pt>
                <c:pt idx="1">
                  <c:v>2.46</c:v>
                </c:pt>
                <c:pt idx="2">
                  <c:v>2.08</c:v>
                </c:pt>
                <c:pt idx="3">
                  <c:v>2.3199999999999998</c:v>
                </c:pt>
                <c:pt idx="4">
                  <c:v>2.02</c:v>
                </c:pt>
                <c:pt idx="5">
                  <c:v>2.02</c:v>
                </c:pt>
                <c:pt idx="6">
                  <c:v>1.74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3DE-457A-BD20-4377DD626376}"/>
            </c:ext>
          </c:extLst>
        </c:ser>
        <c:ser>
          <c:idx val="19"/>
          <c:order val="19"/>
          <c:tx>
            <c:strRef>
              <c:f>Triticale!$A$21:$E$21</c:f>
              <c:strCache>
                <c:ptCount val="5"/>
                <c:pt idx="0">
                  <c:v>MORGAN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Triticale!$F$21:$O$21</c:f>
              <c:numCache>
                <c:formatCode>General</c:formatCode>
                <c:ptCount val="10"/>
                <c:pt idx="0">
                  <c:v>2.39</c:v>
                </c:pt>
                <c:pt idx="1">
                  <c:v>2.3199999999999998</c:v>
                </c:pt>
                <c:pt idx="2">
                  <c:v>1.18</c:v>
                </c:pt>
                <c:pt idx="3">
                  <c:v>1.18</c:v>
                </c:pt>
                <c:pt idx="4">
                  <c:v>1.25</c:v>
                </c:pt>
                <c:pt idx="5">
                  <c:v>1.25</c:v>
                </c:pt>
                <c:pt idx="6">
                  <c:v>1.25</c:v>
                </c:pt>
                <c:pt idx="7">
                  <c:v>1.32</c:v>
                </c:pt>
                <c:pt idx="8">
                  <c:v>1.3</c:v>
                </c:pt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3DE-457A-BD20-4377DD626376}"/>
            </c:ext>
          </c:extLst>
        </c:ser>
        <c:ser>
          <c:idx val="20"/>
          <c:order val="20"/>
          <c:tx>
            <c:strRef>
              <c:f>Triticale!$A$22:$E$22</c:f>
              <c:strCache>
                <c:ptCount val="5"/>
                <c:pt idx="0">
                  <c:v>OTERO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Triticale!$F$22:$O$22</c:f>
              <c:numCache>
                <c:formatCode>General</c:formatCode>
                <c:ptCount val="10"/>
                <c:pt idx="0">
                  <c:v>2.54</c:v>
                </c:pt>
                <c:pt idx="1">
                  <c:v>2.57</c:v>
                </c:pt>
                <c:pt idx="2">
                  <c:v>1.64</c:v>
                </c:pt>
                <c:pt idx="3">
                  <c:v>1.64</c:v>
                </c:pt>
                <c:pt idx="4">
                  <c:v>1.64</c:v>
                </c:pt>
                <c:pt idx="5">
                  <c:v>1.64</c:v>
                </c:pt>
                <c:pt idx="6">
                  <c:v>1.53</c:v>
                </c:pt>
                <c:pt idx="7">
                  <c:v>1.42</c:v>
                </c:pt>
                <c:pt idx="8">
                  <c:v>1.48</c:v>
                </c:pt>
                <c:pt idx="9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3DE-457A-BD20-4377DD626376}"/>
            </c:ext>
          </c:extLst>
        </c:ser>
        <c:ser>
          <c:idx val="21"/>
          <c:order val="21"/>
          <c:tx>
            <c:strRef>
              <c:f>Triticale!$A$23:$E$23</c:f>
              <c:strCache>
                <c:ptCount val="5"/>
                <c:pt idx="0">
                  <c:v>PROWERS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Triticale!$F$23:$O$23</c:f>
              <c:numCache>
                <c:formatCode>General</c:formatCode>
                <c:ptCount val="10"/>
                <c:pt idx="0">
                  <c:v>2.12</c:v>
                </c:pt>
                <c:pt idx="1">
                  <c:v>2.17</c:v>
                </c:pt>
                <c:pt idx="2">
                  <c:v>0.81</c:v>
                </c:pt>
                <c:pt idx="3">
                  <c:v>1.26</c:v>
                </c:pt>
                <c:pt idx="4">
                  <c:v>1.35</c:v>
                </c:pt>
                <c:pt idx="5">
                  <c:v>1.35</c:v>
                </c:pt>
                <c:pt idx="6">
                  <c:v>1.07</c:v>
                </c:pt>
                <c:pt idx="7">
                  <c:v>1.24</c:v>
                </c:pt>
                <c:pt idx="8">
                  <c:v>1.3</c:v>
                </c:pt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3DE-457A-BD20-4377DD626376}"/>
            </c:ext>
          </c:extLst>
        </c:ser>
        <c:ser>
          <c:idx val="22"/>
          <c:order val="22"/>
          <c:tx>
            <c:strRef>
              <c:f>Triticale!$A$24:$E$24</c:f>
              <c:strCache>
                <c:ptCount val="5"/>
                <c:pt idx="0">
                  <c:v>PUEBLO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Triticale!$F$24:$O$24</c:f>
              <c:numCache>
                <c:formatCode>General</c:formatCode>
                <c:ptCount val="10"/>
                <c:pt idx="0">
                  <c:v>2.12</c:v>
                </c:pt>
                <c:pt idx="1">
                  <c:v>2.17</c:v>
                </c:pt>
                <c:pt idx="2">
                  <c:v>1.55</c:v>
                </c:pt>
                <c:pt idx="3">
                  <c:v>1.55</c:v>
                </c:pt>
                <c:pt idx="4">
                  <c:v>1.55</c:v>
                </c:pt>
                <c:pt idx="5">
                  <c:v>1.55</c:v>
                </c:pt>
                <c:pt idx="6">
                  <c:v>1.5</c:v>
                </c:pt>
                <c:pt idx="7">
                  <c:v>1.45</c:v>
                </c:pt>
                <c:pt idx="8">
                  <c:v>1.34</c:v>
                </c:pt>
                <c:pt idx="9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DE-457A-BD20-4377DD626376}"/>
            </c:ext>
          </c:extLst>
        </c:ser>
        <c:ser>
          <c:idx val="23"/>
          <c:order val="23"/>
          <c:tx>
            <c:strRef>
              <c:f>Triticale!$A$25:$E$25</c:f>
              <c:strCache>
                <c:ptCount val="5"/>
                <c:pt idx="0">
                  <c:v>RIO GRANDE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Triticale!$F$25:$O$25</c:f>
              <c:numCache>
                <c:formatCode>General</c:formatCode>
                <c:ptCount val="10"/>
                <c:pt idx="0">
                  <c:v>2.78</c:v>
                </c:pt>
                <c:pt idx="1">
                  <c:v>2.52</c:v>
                </c:pt>
                <c:pt idx="2">
                  <c:v>3.06</c:v>
                </c:pt>
                <c:pt idx="3">
                  <c:v>3.06</c:v>
                </c:pt>
                <c:pt idx="4">
                  <c:v>2.6</c:v>
                </c:pt>
                <c:pt idx="5">
                  <c:v>2.6</c:v>
                </c:pt>
                <c:pt idx="6">
                  <c:v>2.06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3DE-457A-BD20-4377DD626376}"/>
            </c:ext>
          </c:extLst>
        </c:ser>
        <c:ser>
          <c:idx val="24"/>
          <c:order val="24"/>
          <c:tx>
            <c:strRef>
              <c:f>Triticale!$A$26:$E$26</c:f>
              <c:strCache>
                <c:ptCount val="5"/>
                <c:pt idx="0">
                  <c:v>ROUTT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Triticale!$F$26:$O$26</c:f>
              <c:numCache>
                <c:formatCode>General</c:formatCode>
                <c:ptCount val="10"/>
                <c:pt idx="0">
                  <c:v>1.91</c:v>
                </c:pt>
                <c:pt idx="1">
                  <c:v>1.92</c:v>
                </c:pt>
                <c:pt idx="2">
                  <c:v>0.78</c:v>
                </c:pt>
                <c:pt idx="3">
                  <c:v>0.78</c:v>
                </c:pt>
                <c:pt idx="4">
                  <c:v>0.98</c:v>
                </c:pt>
                <c:pt idx="5">
                  <c:v>0.98</c:v>
                </c:pt>
                <c:pt idx="6">
                  <c:v>1.07</c:v>
                </c:pt>
                <c:pt idx="7">
                  <c:v>1.24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3DE-457A-BD20-4377DD626376}"/>
            </c:ext>
          </c:extLst>
        </c:ser>
        <c:ser>
          <c:idx val="25"/>
          <c:order val="25"/>
          <c:tx>
            <c:strRef>
              <c:f>Triticale!$A$27:$E$27</c:f>
              <c:strCache>
                <c:ptCount val="5"/>
                <c:pt idx="0">
                  <c:v>SAGUACHE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Triticale!$F$27:$O$27</c:f>
              <c:numCache>
                <c:formatCode>General</c:formatCode>
                <c:ptCount val="10"/>
                <c:pt idx="0">
                  <c:v>1.47</c:v>
                </c:pt>
                <c:pt idx="1">
                  <c:v>1.75</c:v>
                </c:pt>
                <c:pt idx="2">
                  <c:v>2.4300000000000002</c:v>
                </c:pt>
                <c:pt idx="3">
                  <c:v>2.4300000000000002</c:v>
                </c:pt>
                <c:pt idx="4">
                  <c:v>2.2400000000000002</c:v>
                </c:pt>
                <c:pt idx="5">
                  <c:v>2.2400000000000002</c:v>
                </c:pt>
                <c:pt idx="6">
                  <c:v>1.88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3DE-457A-BD20-4377DD626376}"/>
            </c:ext>
          </c:extLst>
        </c:ser>
        <c:ser>
          <c:idx val="26"/>
          <c:order val="26"/>
          <c:tx>
            <c:strRef>
              <c:f>Triticale!$A$28:$E$28</c:f>
              <c:strCache>
                <c:ptCount val="5"/>
                <c:pt idx="0">
                  <c:v>SAN MIGUEL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Triticale!$F$28:$O$28</c:f>
              <c:numCache>
                <c:formatCode>General</c:formatCode>
                <c:ptCount val="10"/>
                <c:pt idx="0">
                  <c:v>1.53</c:v>
                </c:pt>
                <c:pt idx="1">
                  <c:v>1.29</c:v>
                </c:pt>
                <c:pt idx="2">
                  <c:v>1.86</c:v>
                </c:pt>
                <c:pt idx="3">
                  <c:v>1.92</c:v>
                </c:pt>
                <c:pt idx="4">
                  <c:v>1.88</c:v>
                </c:pt>
                <c:pt idx="5">
                  <c:v>1.88</c:v>
                </c:pt>
                <c:pt idx="6">
                  <c:v>1.67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3DE-457A-BD20-4377DD626376}"/>
            </c:ext>
          </c:extLst>
        </c:ser>
        <c:ser>
          <c:idx val="27"/>
          <c:order val="27"/>
          <c:tx>
            <c:strRef>
              <c:f>Triticale!$A$29:$E$29</c:f>
              <c:strCache>
                <c:ptCount val="5"/>
                <c:pt idx="0">
                  <c:v>SEDGWICK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Triticale!$F$29:$O$29</c:f>
              <c:numCache>
                <c:formatCode>General</c:formatCode>
                <c:ptCount val="10"/>
                <c:pt idx="0">
                  <c:v>1.97</c:v>
                </c:pt>
                <c:pt idx="1">
                  <c:v>2.21</c:v>
                </c:pt>
                <c:pt idx="2">
                  <c:v>1.1100000000000001</c:v>
                </c:pt>
                <c:pt idx="3">
                  <c:v>2.0499999999999998</c:v>
                </c:pt>
                <c:pt idx="4">
                  <c:v>1.98</c:v>
                </c:pt>
                <c:pt idx="5">
                  <c:v>1.98</c:v>
                </c:pt>
                <c:pt idx="6">
                  <c:v>1.75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3DE-457A-BD20-4377DD626376}"/>
            </c:ext>
          </c:extLst>
        </c:ser>
        <c:ser>
          <c:idx val="28"/>
          <c:order val="28"/>
          <c:tx>
            <c:strRef>
              <c:f>Triticale!$A$30:$E$30</c:f>
              <c:strCache>
                <c:ptCount val="5"/>
                <c:pt idx="0">
                  <c:v>WASHINGTON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Triticale!$F$30:$O$30</c:f>
              <c:numCache>
                <c:formatCode>General</c:formatCode>
                <c:ptCount val="10"/>
                <c:pt idx="0">
                  <c:v>2.04</c:v>
                </c:pt>
                <c:pt idx="1">
                  <c:v>2.11</c:v>
                </c:pt>
                <c:pt idx="2">
                  <c:v>1.61</c:v>
                </c:pt>
                <c:pt idx="3">
                  <c:v>1.61</c:v>
                </c:pt>
                <c:pt idx="4">
                  <c:v>1.61</c:v>
                </c:pt>
                <c:pt idx="5">
                  <c:v>1.61</c:v>
                </c:pt>
                <c:pt idx="6">
                  <c:v>1.54</c:v>
                </c:pt>
                <c:pt idx="7">
                  <c:v>1.47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3DE-457A-BD20-4377DD626376}"/>
            </c:ext>
          </c:extLst>
        </c:ser>
        <c:ser>
          <c:idx val="29"/>
          <c:order val="29"/>
          <c:tx>
            <c:strRef>
              <c:f>Triticale!$A$31:$E$31</c:f>
              <c:strCache>
                <c:ptCount val="5"/>
                <c:pt idx="0">
                  <c:v>WELD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Triticale!$F$31:$O$31</c:f>
              <c:numCache>
                <c:formatCode>General</c:formatCode>
                <c:ptCount val="10"/>
                <c:pt idx="0">
                  <c:v>2.66</c:v>
                </c:pt>
                <c:pt idx="1">
                  <c:v>2.64</c:v>
                </c:pt>
                <c:pt idx="2">
                  <c:v>1.74</c:v>
                </c:pt>
                <c:pt idx="3">
                  <c:v>1.74</c:v>
                </c:pt>
                <c:pt idx="4">
                  <c:v>1.74</c:v>
                </c:pt>
                <c:pt idx="5">
                  <c:v>1.74</c:v>
                </c:pt>
                <c:pt idx="6">
                  <c:v>1.63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3DE-457A-BD20-4377DD626376}"/>
            </c:ext>
          </c:extLst>
        </c:ser>
        <c:ser>
          <c:idx val="30"/>
          <c:order val="30"/>
          <c:tx>
            <c:strRef>
              <c:f>Triticale!$A$32:$E$32</c:f>
              <c:strCache>
                <c:ptCount val="5"/>
                <c:pt idx="0">
                  <c:v>YUMA</c:v>
                </c:pt>
                <c:pt idx="1">
                  <c:v>TRITICALE</c:v>
                </c:pt>
                <c:pt idx="3">
                  <c:v>FG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Triticale!$F$32:$O$32</c:f>
              <c:numCache>
                <c:formatCode>General</c:formatCode>
                <c:ptCount val="10"/>
                <c:pt idx="0">
                  <c:v>2.44</c:v>
                </c:pt>
                <c:pt idx="1">
                  <c:v>2.06</c:v>
                </c:pt>
                <c:pt idx="2">
                  <c:v>2.02</c:v>
                </c:pt>
                <c:pt idx="3">
                  <c:v>2.02</c:v>
                </c:pt>
                <c:pt idx="4">
                  <c:v>1.92</c:v>
                </c:pt>
                <c:pt idx="5">
                  <c:v>1.92</c:v>
                </c:pt>
                <c:pt idx="6">
                  <c:v>1.72</c:v>
                </c:pt>
                <c:pt idx="7">
                  <c:v>1.51</c:v>
                </c:pt>
                <c:pt idx="8">
                  <c:v>1.3</c:v>
                </c:pt>
                <c:pt idx="9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3DE-457A-BD20-4377DD626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269935"/>
        <c:axId val="876255535"/>
      </c:lineChart>
      <c:catAx>
        <c:axId val="8762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55535"/>
        <c:crosses val="autoZero"/>
        <c:auto val="1"/>
        <c:lblAlgn val="ctr"/>
        <c:lblOffset val="100"/>
        <c:noMultiLvlLbl val="0"/>
      </c:catAx>
      <c:valAx>
        <c:axId val="87625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Non-Irrigated Forage Triticale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Triticale!$F$33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Triticale!$F$34:$F$61</c:f>
              <c:numCache>
                <c:formatCode>General</c:formatCode>
                <c:ptCount val="28"/>
                <c:pt idx="0">
                  <c:v>0.87</c:v>
                </c:pt>
                <c:pt idx="1">
                  <c:v>0.56000000000000005</c:v>
                </c:pt>
                <c:pt idx="2">
                  <c:v>1.0900000000000001</c:v>
                </c:pt>
                <c:pt idx="3">
                  <c:v>1.18</c:v>
                </c:pt>
                <c:pt idx="7">
                  <c:v>0.66</c:v>
                </c:pt>
                <c:pt idx="8">
                  <c:v>0.69</c:v>
                </c:pt>
                <c:pt idx="9">
                  <c:v>0.82</c:v>
                </c:pt>
                <c:pt idx="10">
                  <c:v>1.1599999999999999</c:v>
                </c:pt>
                <c:pt idx="12">
                  <c:v>1.07</c:v>
                </c:pt>
                <c:pt idx="13">
                  <c:v>0.86</c:v>
                </c:pt>
                <c:pt idx="14">
                  <c:v>0.98</c:v>
                </c:pt>
                <c:pt idx="17">
                  <c:v>1.33</c:v>
                </c:pt>
                <c:pt idx="19">
                  <c:v>1.0900000000000001</c:v>
                </c:pt>
                <c:pt idx="20">
                  <c:v>1.0900000000000001</c:v>
                </c:pt>
                <c:pt idx="22">
                  <c:v>1.05</c:v>
                </c:pt>
                <c:pt idx="24">
                  <c:v>1.07</c:v>
                </c:pt>
                <c:pt idx="25">
                  <c:v>1.02</c:v>
                </c:pt>
                <c:pt idx="26">
                  <c:v>1.38</c:v>
                </c:pt>
                <c:pt idx="27">
                  <c:v>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19-4195-95FC-A7CC46E339CD}"/>
            </c:ext>
          </c:extLst>
        </c:ser>
        <c:ser>
          <c:idx val="1"/>
          <c:order val="1"/>
          <c:tx>
            <c:strRef>
              <c:f>Triticale!$G$33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Triticale!$G$34:$G$61</c:f>
              <c:numCache>
                <c:formatCode>General</c:formatCode>
                <c:ptCount val="28"/>
                <c:pt idx="0">
                  <c:v>0.98</c:v>
                </c:pt>
                <c:pt idx="1">
                  <c:v>0.67</c:v>
                </c:pt>
                <c:pt idx="2">
                  <c:v>1.1299999999999999</c:v>
                </c:pt>
                <c:pt idx="3">
                  <c:v>1.2</c:v>
                </c:pt>
                <c:pt idx="7">
                  <c:v>0.68</c:v>
                </c:pt>
                <c:pt idx="8">
                  <c:v>0.79</c:v>
                </c:pt>
                <c:pt idx="9">
                  <c:v>0.88</c:v>
                </c:pt>
                <c:pt idx="10">
                  <c:v>1.23</c:v>
                </c:pt>
                <c:pt idx="12">
                  <c:v>0.9</c:v>
                </c:pt>
                <c:pt idx="13">
                  <c:v>0.86</c:v>
                </c:pt>
                <c:pt idx="14">
                  <c:v>1.05</c:v>
                </c:pt>
                <c:pt idx="15">
                  <c:v>1.04</c:v>
                </c:pt>
                <c:pt idx="17">
                  <c:v>1.26</c:v>
                </c:pt>
                <c:pt idx="19">
                  <c:v>1.1299999999999999</c:v>
                </c:pt>
                <c:pt idx="20">
                  <c:v>1.1299999999999999</c:v>
                </c:pt>
                <c:pt idx="21">
                  <c:v>1.05</c:v>
                </c:pt>
                <c:pt idx="22">
                  <c:v>1.05</c:v>
                </c:pt>
                <c:pt idx="24">
                  <c:v>1.22</c:v>
                </c:pt>
                <c:pt idx="25">
                  <c:v>1.04</c:v>
                </c:pt>
                <c:pt idx="26">
                  <c:v>1.37</c:v>
                </c:pt>
                <c:pt idx="27">
                  <c:v>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19-4195-95FC-A7CC46E339CD}"/>
            </c:ext>
          </c:extLst>
        </c:ser>
        <c:ser>
          <c:idx val="2"/>
          <c:order val="2"/>
          <c:tx>
            <c:strRef>
              <c:f>Triticale!$H$33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Triticale!$H$34:$H$61</c:f>
              <c:numCache>
                <c:formatCode>General</c:formatCode>
                <c:ptCount val="28"/>
                <c:pt idx="0">
                  <c:v>0.95</c:v>
                </c:pt>
                <c:pt idx="1">
                  <c:v>0.93</c:v>
                </c:pt>
                <c:pt idx="2">
                  <c:v>0.56000000000000005</c:v>
                </c:pt>
                <c:pt idx="3">
                  <c:v>0.45</c:v>
                </c:pt>
                <c:pt idx="4">
                  <c:v>0.71</c:v>
                </c:pt>
                <c:pt idx="7">
                  <c:v>0.7</c:v>
                </c:pt>
                <c:pt idx="8">
                  <c:v>0.47</c:v>
                </c:pt>
                <c:pt idx="9">
                  <c:v>0.62</c:v>
                </c:pt>
                <c:pt idx="10">
                  <c:v>0.4</c:v>
                </c:pt>
                <c:pt idx="11">
                  <c:v>0.74</c:v>
                </c:pt>
                <c:pt idx="12">
                  <c:v>0.9</c:v>
                </c:pt>
                <c:pt idx="13">
                  <c:v>0.79</c:v>
                </c:pt>
                <c:pt idx="14">
                  <c:v>0.9</c:v>
                </c:pt>
                <c:pt idx="15">
                  <c:v>0.74</c:v>
                </c:pt>
                <c:pt idx="17">
                  <c:v>0.93</c:v>
                </c:pt>
                <c:pt idx="19">
                  <c:v>0.56000000000000005</c:v>
                </c:pt>
                <c:pt idx="20">
                  <c:v>0.44</c:v>
                </c:pt>
                <c:pt idx="21">
                  <c:v>0.69</c:v>
                </c:pt>
                <c:pt idx="22">
                  <c:v>0.69</c:v>
                </c:pt>
                <c:pt idx="24">
                  <c:v>1.1100000000000001</c:v>
                </c:pt>
                <c:pt idx="25">
                  <c:v>0.93</c:v>
                </c:pt>
                <c:pt idx="26">
                  <c:v>0.74</c:v>
                </c:pt>
                <c:pt idx="27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19-4195-95FC-A7CC46E339CD}"/>
            </c:ext>
          </c:extLst>
        </c:ser>
        <c:ser>
          <c:idx val="3"/>
          <c:order val="3"/>
          <c:tx>
            <c:strRef>
              <c:f>Triticale!$I$33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Triticale!$I$34:$I$61</c:f>
              <c:numCache>
                <c:formatCode>General</c:formatCode>
                <c:ptCount val="28"/>
                <c:pt idx="0">
                  <c:v>0.95</c:v>
                </c:pt>
                <c:pt idx="1">
                  <c:v>0.93</c:v>
                </c:pt>
                <c:pt idx="2">
                  <c:v>0.56000000000000005</c:v>
                </c:pt>
                <c:pt idx="3">
                  <c:v>0.68</c:v>
                </c:pt>
                <c:pt idx="4">
                  <c:v>0.71</c:v>
                </c:pt>
                <c:pt idx="7">
                  <c:v>0.7</c:v>
                </c:pt>
                <c:pt idx="8">
                  <c:v>0.47</c:v>
                </c:pt>
                <c:pt idx="9">
                  <c:v>0.62</c:v>
                </c:pt>
                <c:pt idx="10">
                  <c:v>0.4</c:v>
                </c:pt>
                <c:pt idx="11">
                  <c:v>0.74</c:v>
                </c:pt>
                <c:pt idx="12">
                  <c:v>0.9</c:v>
                </c:pt>
                <c:pt idx="13">
                  <c:v>0.79</c:v>
                </c:pt>
                <c:pt idx="14">
                  <c:v>0.9</c:v>
                </c:pt>
                <c:pt idx="15">
                  <c:v>0.74</c:v>
                </c:pt>
                <c:pt idx="17">
                  <c:v>0.93</c:v>
                </c:pt>
                <c:pt idx="19">
                  <c:v>0.78</c:v>
                </c:pt>
                <c:pt idx="20">
                  <c:v>0.44</c:v>
                </c:pt>
                <c:pt idx="21">
                  <c:v>0.69</c:v>
                </c:pt>
                <c:pt idx="22">
                  <c:v>0.69</c:v>
                </c:pt>
                <c:pt idx="25">
                  <c:v>0.93</c:v>
                </c:pt>
                <c:pt idx="26">
                  <c:v>0.74</c:v>
                </c:pt>
                <c:pt idx="27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19-4195-95FC-A7CC46E339CD}"/>
            </c:ext>
          </c:extLst>
        </c:ser>
        <c:ser>
          <c:idx val="4"/>
          <c:order val="4"/>
          <c:tx>
            <c:strRef>
              <c:f>Triticale!$J$33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Triticale!$J$34:$J$61</c:f>
              <c:numCache>
                <c:formatCode>General</c:formatCode>
                <c:ptCount val="28"/>
                <c:pt idx="0">
                  <c:v>0.95</c:v>
                </c:pt>
                <c:pt idx="1">
                  <c:v>0.93</c:v>
                </c:pt>
                <c:pt idx="2">
                  <c:v>0.56999999999999995</c:v>
                </c:pt>
                <c:pt idx="3">
                  <c:v>0.96</c:v>
                </c:pt>
                <c:pt idx="4">
                  <c:v>0.71</c:v>
                </c:pt>
                <c:pt idx="7">
                  <c:v>0.7</c:v>
                </c:pt>
                <c:pt idx="8">
                  <c:v>0.47</c:v>
                </c:pt>
                <c:pt idx="9">
                  <c:v>0.63</c:v>
                </c:pt>
                <c:pt idx="10">
                  <c:v>0.41</c:v>
                </c:pt>
                <c:pt idx="11">
                  <c:v>0.74</c:v>
                </c:pt>
                <c:pt idx="12">
                  <c:v>0.94</c:v>
                </c:pt>
                <c:pt idx="13">
                  <c:v>0.79</c:v>
                </c:pt>
                <c:pt idx="14">
                  <c:v>0.9</c:v>
                </c:pt>
                <c:pt idx="15">
                  <c:v>0.74</c:v>
                </c:pt>
                <c:pt idx="17">
                  <c:v>0.93</c:v>
                </c:pt>
                <c:pt idx="19">
                  <c:v>0.99</c:v>
                </c:pt>
                <c:pt idx="20">
                  <c:v>0.45</c:v>
                </c:pt>
                <c:pt idx="21">
                  <c:v>0.69</c:v>
                </c:pt>
                <c:pt idx="22">
                  <c:v>0.69</c:v>
                </c:pt>
                <c:pt idx="24">
                  <c:v>1.1100000000000001</c:v>
                </c:pt>
                <c:pt idx="25">
                  <c:v>0.93</c:v>
                </c:pt>
                <c:pt idx="26">
                  <c:v>0.74</c:v>
                </c:pt>
                <c:pt idx="27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19-4195-95FC-A7CC46E339CD}"/>
            </c:ext>
          </c:extLst>
        </c:ser>
        <c:ser>
          <c:idx val="5"/>
          <c:order val="5"/>
          <c:tx>
            <c:strRef>
              <c:f>Triticale!$K$33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Triticale!$K$34:$K$61</c:f>
              <c:numCache>
                <c:formatCode>General</c:formatCode>
                <c:ptCount val="28"/>
                <c:pt idx="0">
                  <c:v>0.98</c:v>
                </c:pt>
                <c:pt idx="1">
                  <c:v>0.97</c:v>
                </c:pt>
                <c:pt idx="2">
                  <c:v>0.72</c:v>
                </c:pt>
                <c:pt idx="3">
                  <c:v>0.92</c:v>
                </c:pt>
                <c:pt idx="4">
                  <c:v>0.82</c:v>
                </c:pt>
                <c:pt idx="5">
                  <c:v>0.64</c:v>
                </c:pt>
                <c:pt idx="7">
                  <c:v>0.81</c:v>
                </c:pt>
                <c:pt idx="8">
                  <c:v>0.66</c:v>
                </c:pt>
                <c:pt idx="9">
                  <c:v>0.76</c:v>
                </c:pt>
                <c:pt idx="10">
                  <c:v>0.61</c:v>
                </c:pt>
                <c:pt idx="11">
                  <c:v>0.84</c:v>
                </c:pt>
                <c:pt idx="12">
                  <c:v>0.92</c:v>
                </c:pt>
                <c:pt idx="13">
                  <c:v>0.87</c:v>
                </c:pt>
                <c:pt idx="14">
                  <c:v>0.95</c:v>
                </c:pt>
                <c:pt idx="15">
                  <c:v>0.84</c:v>
                </c:pt>
                <c:pt idx="17">
                  <c:v>0.97</c:v>
                </c:pt>
                <c:pt idx="18">
                  <c:v>0.64</c:v>
                </c:pt>
                <c:pt idx="19">
                  <c:v>0.95</c:v>
                </c:pt>
                <c:pt idx="20">
                  <c:v>0.64</c:v>
                </c:pt>
                <c:pt idx="21">
                  <c:v>0.8</c:v>
                </c:pt>
                <c:pt idx="22">
                  <c:v>0.8</c:v>
                </c:pt>
                <c:pt idx="24">
                  <c:v>1.1100000000000001</c:v>
                </c:pt>
                <c:pt idx="25">
                  <c:v>0.97</c:v>
                </c:pt>
                <c:pt idx="26">
                  <c:v>0.84</c:v>
                </c:pt>
                <c:pt idx="27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19-4195-95FC-A7CC46E339CD}"/>
            </c:ext>
          </c:extLst>
        </c:ser>
        <c:ser>
          <c:idx val="6"/>
          <c:order val="6"/>
          <c:tx>
            <c:strRef>
              <c:f>Triticale!$L$33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Triticale!$L$34:$L$61</c:f>
              <c:numCache>
                <c:formatCode>General</c:formatCode>
                <c:ptCount val="28"/>
                <c:pt idx="0">
                  <c:v>0.98</c:v>
                </c:pt>
                <c:pt idx="1">
                  <c:v>0.97</c:v>
                </c:pt>
                <c:pt idx="2">
                  <c:v>0.71</c:v>
                </c:pt>
                <c:pt idx="3">
                  <c:v>0.64</c:v>
                </c:pt>
                <c:pt idx="4">
                  <c:v>0.82</c:v>
                </c:pt>
                <c:pt idx="5">
                  <c:v>0.63</c:v>
                </c:pt>
                <c:pt idx="6">
                  <c:v>0.61</c:v>
                </c:pt>
                <c:pt idx="7">
                  <c:v>0.81</c:v>
                </c:pt>
                <c:pt idx="8">
                  <c:v>0.66</c:v>
                </c:pt>
                <c:pt idx="9">
                  <c:v>0.75</c:v>
                </c:pt>
                <c:pt idx="10">
                  <c:v>0.61</c:v>
                </c:pt>
                <c:pt idx="11">
                  <c:v>0.84</c:v>
                </c:pt>
                <c:pt idx="12">
                  <c:v>0.92</c:v>
                </c:pt>
                <c:pt idx="13">
                  <c:v>0.87</c:v>
                </c:pt>
                <c:pt idx="14">
                  <c:v>0.95</c:v>
                </c:pt>
                <c:pt idx="15">
                  <c:v>0.84</c:v>
                </c:pt>
                <c:pt idx="16">
                  <c:v>0.61</c:v>
                </c:pt>
                <c:pt idx="17">
                  <c:v>0.97</c:v>
                </c:pt>
                <c:pt idx="18">
                  <c:v>0.63</c:v>
                </c:pt>
                <c:pt idx="19">
                  <c:v>0.72</c:v>
                </c:pt>
                <c:pt idx="20">
                  <c:v>0.63</c:v>
                </c:pt>
                <c:pt idx="21">
                  <c:v>0.8</c:v>
                </c:pt>
                <c:pt idx="22">
                  <c:v>0.8</c:v>
                </c:pt>
                <c:pt idx="24">
                  <c:v>1.0900000000000001</c:v>
                </c:pt>
                <c:pt idx="25">
                  <c:v>0.97</c:v>
                </c:pt>
                <c:pt idx="26">
                  <c:v>0.84</c:v>
                </c:pt>
                <c:pt idx="27">
                  <c:v>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19-4195-95FC-A7CC46E339CD}"/>
            </c:ext>
          </c:extLst>
        </c:ser>
        <c:ser>
          <c:idx val="7"/>
          <c:order val="7"/>
          <c:tx>
            <c:strRef>
              <c:f>Triticale!$M$33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Triticale!$M$34:$M$61</c:f>
              <c:numCache>
                <c:formatCode>General</c:formatCode>
                <c:ptCount val="28"/>
                <c:pt idx="0">
                  <c:v>0.86</c:v>
                </c:pt>
                <c:pt idx="1">
                  <c:v>0.86</c:v>
                </c:pt>
                <c:pt idx="2">
                  <c:v>0.65</c:v>
                </c:pt>
                <c:pt idx="3">
                  <c:v>0.68</c:v>
                </c:pt>
                <c:pt idx="4">
                  <c:v>0.78</c:v>
                </c:pt>
                <c:pt idx="5">
                  <c:v>0.63</c:v>
                </c:pt>
                <c:pt idx="6">
                  <c:v>0.66</c:v>
                </c:pt>
                <c:pt idx="7">
                  <c:v>0.77</c:v>
                </c:pt>
                <c:pt idx="8">
                  <c:v>0.7</c:v>
                </c:pt>
                <c:pt idx="9">
                  <c:v>0.73</c:v>
                </c:pt>
                <c:pt idx="10">
                  <c:v>0.57999999999999996</c:v>
                </c:pt>
                <c:pt idx="11">
                  <c:v>0.79</c:v>
                </c:pt>
                <c:pt idx="12">
                  <c:v>0.71</c:v>
                </c:pt>
                <c:pt idx="13">
                  <c:v>0.8</c:v>
                </c:pt>
                <c:pt idx="14">
                  <c:v>0.85</c:v>
                </c:pt>
                <c:pt idx="15">
                  <c:v>0.79</c:v>
                </c:pt>
                <c:pt idx="16">
                  <c:v>0.66</c:v>
                </c:pt>
                <c:pt idx="17">
                  <c:v>0.86</c:v>
                </c:pt>
                <c:pt idx="18">
                  <c:v>0.68</c:v>
                </c:pt>
                <c:pt idx="19">
                  <c:v>0.73</c:v>
                </c:pt>
                <c:pt idx="20">
                  <c:v>0.67</c:v>
                </c:pt>
                <c:pt idx="21">
                  <c:v>0.76</c:v>
                </c:pt>
                <c:pt idx="22">
                  <c:v>0.76</c:v>
                </c:pt>
                <c:pt idx="23">
                  <c:v>0.69</c:v>
                </c:pt>
                <c:pt idx="24">
                  <c:v>0.92</c:v>
                </c:pt>
                <c:pt idx="25">
                  <c:v>0.86</c:v>
                </c:pt>
                <c:pt idx="26">
                  <c:v>0.84</c:v>
                </c:pt>
                <c:pt idx="27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19-4195-95FC-A7CC46E339CD}"/>
            </c:ext>
          </c:extLst>
        </c:ser>
        <c:ser>
          <c:idx val="8"/>
          <c:order val="8"/>
          <c:tx>
            <c:strRef>
              <c:f>Triticale!$N$33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Triticale!$N$34:$N$61</c:f>
              <c:numCache>
                <c:formatCode>General</c:formatCode>
                <c:ptCount val="28"/>
                <c:pt idx="0">
                  <c:v>0.64</c:v>
                </c:pt>
                <c:pt idx="1">
                  <c:v>0.64</c:v>
                </c:pt>
                <c:pt idx="2">
                  <c:v>0.57999999999999996</c:v>
                </c:pt>
                <c:pt idx="3">
                  <c:v>0.64</c:v>
                </c:pt>
                <c:pt idx="4">
                  <c:v>0.64</c:v>
                </c:pt>
                <c:pt idx="5">
                  <c:v>0.59</c:v>
                </c:pt>
                <c:pt idx="6">
                  <c:v>0.64</c:v>
                </c:pt>
                <c:pt idx="7">
                  <c:v>0.64</c:v>
                </c:pt>
                <c:pt idx="8">
                  <c:v>0.64</c:v>
                </c:pt>
                <c:pt idx="9">
                  <c:v>0.64</c:v>
                </c:pt>
                <c:pt idx="10">
                  <c:v>0.48</c:v>
                </c:pt>
                <c:pt idx="11">
                  <c:v>0.64</c:v>
                </c:pt>
                <c:pt idx="12">
                  <c:v>0.64</c:v>
                </c:pt>
                <c:pt idx="13">
                  <c:v>0.64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0.64</c:v>
                </c:pt>
                <c:pt idx="18">
                  <c:v>0.67</c:v>
                </c:pt>
                <c:pt idx="19">
                  <c:v>0.64</c:v>
                </c:pt>
                <c:pt idx="20">
                  <c:v>0.64</c:v>
                </c:pt>
                <c:pt idx="21">
                  <c:v>0.64</c:v>
                </c:pt>
                <c:pt idx="22">
                  <c:v>0.64</c:v>
                </c:pt>
                <c:pt idx="23">
                  <c:v>0.67</c:v>
                </c:pt>
                <c:pt idx="24">
                  <c:v>0.64</c:v>
                </c:pt>
                <c:pt idx="25">
                  <c:v>0.64</c:v>
                </c:pt>
                <c:pt idx="26">
                  <c:v>0.72</c:v>
                </c:pt>
                <c:pt idx="27">
                  <c:v>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19-4195-95FC-A7CC46E339CD}"/>
            </c:ext>
          </c:extLst>
        </c:ser>
        <c:ser>
          <c:idx val="9"/>
          <c:order val="9"/>
          <c:tx>
            <c:strRef>
              <c:f>Triticale!$O$33</c:f>
              <c:strCache>
                <c:ptCount val="1"/>
                <c:pt idx="0">
                  <c:v>2027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Triticale!$B$34:$E$61</c15:sqref>
                  </c15:fullRef>
                  <c15:levelRef>
                    <c15:sqref>Triticale!$B$34:$B$61</c15:sqref>
                  </c15:levelRef>
                </c:ext>
              </c:extLst>
              <c:f>Triticale!$B$34:$B$61</c:f>
              <c:strCache>
                <c:ptCount val="28"/>
                <c:pt idx="0">
                  <c:v>TRITICALE</c:v>
                </c:pt>
                <c:pt idx="1">
                  <c:v>TRITICALE</c:v>
                </c:pt>
                <c:pt idx="2">
                  <c:v>TRITICALE</c:v>
                </c:pt>
                <c:pt idx="3">
                  <c:v>TRITICALE</c:v>
                </c:pt>
                <c:pt idx="4">
                  <c:v>TRITICALE</c:v>
                </c:pt>
                <c:pt idx="5">
                  <c:v>TRITICALE</c:v>
                </c:pt>
                <c:pt idx="6">
                  <c:v>TRITICALE</c:v>
                </c:pt>
                <c:pt idx="7">
                  <c:v>TRITICALE</c:v>
                </c:pt>
                <c:pt idx="8">
                  <c:v>TRITICALE</c:v>
                </c:pt>
                <c:pt idx="9">
                  <c:v>TRITICALE</c:v>
                </c:pt>
                <c:pt idx="10">
                  <c:v>TRITICALE</c:v>
                </c:pt>
                <c:pt idx="11">
                  <c:v>TRITICALE</c:v>
                </c:pt>
                <c:pt idx="12">
                  <c:v>TRITICALE</c:v>
                </c:pt>
                <c:pt idx="13">
                  <c:v>TRITICALE</c:v>
                </c:pt>
                <c:pt idx="14">
                  <c:v>TRITICALE</c:v>
                </c:pt>
                <c:pt idx="15">
                  <c:v>TRITICALE</c:v>
                </c:pt>
                <c:pt idx="16">
                  <c:v>TRITICALE</c:v>
                </c:pt>
                <c:pt idx="17">
                  <c:v>TRITICALE</c:v>
                </c:pt>
                <c:pt idx="18">
                  <c:v>TRITICALE</c:v>
                </c:pt>
                <c:pt idx="19">
                  <c:v>TRITICALE</c:v>
                </c:pt>
                <c:pt idx="20">
                  <c:v>TRITICALE</c:v>
                </c:pt>
                <c:pt idx="21">
                  <c:v>TRITICALE</c:v>
                </c:pt>
                <c:pt idx="22">
                  <c:v>TRITICALE</c:v>
                </c:pt>
                <c:pt idx="23">
                  <c:v>TRITICALE</c:v>
                </c:pt>
                <c:pt idx="24">
                  <c:v>TRITICALE</c:v>
                </c:pt>
                <c:pt idx="25">
                  <c:v>TRITICALE</c:v>
                </c:pt>
                <c:pt idx="26">
                  <c:v>TRITICALE</c:v>
                </c:pt>
                <c:pt idx="27">
                  <c:v>TRITICALE</c:v>
                </c:pt>
              </c:strCache>
            </c:strRef>
          </c:cat>
          <c:val>
            <c:numRef>
              <c:f>Triticale!$O$34:$O$61</c:f>
              <c:numCache>
                <c:formatCode>General</c:formatCode>
                <c:ptCount val="28"/>
                <c:pt idx="0">
                  <c:v>0.49</c:v>
                </c:pt>
                <c:pt idx="1">
                  <c:v>0.49</c:v>
                </c:pt>
                <c:pt idx="2">
                  <c:v>0.31</c:v>
                </c:pt>
                <c:pt idx="3">
                  <c:v>0.49</c:v>
                </c:pt>
                <c:pt idx="4">
                  <c:v>0.49</c:v>
                </c:pt>
                <c:pt idx="5">
                  <c:v>0.63</c:v>
                </c:pt>
                <c:pt idx="6">
                  <c:v>0.41</c:v>
                </c:pt>
                <c:pt idx="7">
                  <c:v>0.64</c:v>
                </c:pt>
                <c:pt idx="8">
                  <c:v>0.49</c:v>
                </c:pt>
                <c:pt idx="9">
                  <c:v>0.37</c:v>
                </c:pt>
                <c:pt idx="10">
                  <c:v>0.25</c:v>
                </c:pt>
                <c:pt idx="11">
                  <c:v>0.49</c:v>
                </c:pt>
                <c:pt idx="12">
                  <c:v>0.51</c:v>
                </c:pt>
                <c:pt idx="13">
                  <c:v>0.49</c:v>
                </c:pt>
                <c:pt idx="14">
                  <c:v>1.49</c:v>
                </c:pt>
                <c:pt idx="15">
                  <c:v>0.49</c:v>
                </c:pt>
                <c:pt idx="16">
                  <c:v>0.49</c:v>
                </c:pt>
                <c:pt idx="17">
                  <c:v>0.49</c:v>
                </c:pt>
                <c:pt idx="18">
                  <c:v>0.71</c:v>
                </c:pt>
                <c:pt idx="19">
                  <c:v>0.37</c:v>
                </c:pt>
                <c:pt idx="20">
                  <c:v>0.49</c:v>
                </c:pt>
                <c:pt idx="21">
                  <c:v>0.37</c:v>
                </c:pt>
                <c:pt idx="22">
                  <c:v>0.49</c:v>
                </c:pt>
                <c:pt idx="23">
                  <c:v>0.49</c:v>
                </c:pt>
                <c:pt idx="24">
                  <c:v>0.49</c:v>
                </c:pt>
                <c:pt idx="25">
                  <c:v>0.64</c:v>
                </c:pt>
                <c:pt idx="26">
                  <c:v>0.44</c:v>
                </c:pt>
                <c:pt idx="27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19-4195-95FC-A7CC46E33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332815"/>
        <c:axId val="876332335"/>
      </c:lineChart>
      <c:catAx>
        <c:axId val="876332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32335"/>
        <c:crosses val="autoZero"/>
        <c:auto val="1"/>
        <c:lblAlgn val="ctr"/>
        <c:lblOffset val="100"/>
        <c:noMultiLvlLbl val="0"/>
      </c:catAx>
      <c:valAx>
        <c:axId val="87633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3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Irrigated Grain Triticale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Triticale!$A$63:$E$63</c:f>
              <c:strCache>
                <c:ptCount val="5"/>
                <c:pt idx="0">
                  <c:v>ARAPAHOE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Triticale!$F$63:$O$63</c:f>
              <c:numCache>
                <c:formatCode>General</c:formatCode>
                <c:ptCount val="10"/>
                <c:pt idx="0">
                  <c:v>41</c:v>
                </c:pt>
                <c:pt idx="1">
                  <c:v>44</c:v>
                </c:pt>
                <c:pt idx="2">
                  <c:v>48</c:v>
                </c:pt>
                <c:pt idx="3">
                  <c:v>48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36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6-4CAD-BEF6-6A73714127A1}"/>
            </c:ext>
          </c:extLst>
        </c:ser>
        <c:ser>
          <c:idx val="1"/>
          <c:order val="1"/>
          <c:tx>
            <c:strRef>
              <c:f>Triticale!$A$64:$E$64</c:f>
              <c:strCache>
                <c:ptCount val="5"/>
                <c:pt idx="0">
                  <c:v>BACA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Triticale!$F$64:$O$64</c:f>
              <c:numCache>
                <c:formatCode>General</c:formatCode>
                <c:ptCount val="10"/>
                <c:pt idx="0">
                  <c:v>30</c:v>
                </c:pt>
                <c:pt idx="1">
                  <c:v>32</c:v>
                </c:pt>
                <c:pt idx="2">
                  <c:v>40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41</c:v>
                </c:pt>
                <c:pt idx="7">
                  <c:v>35</c:v>
                </c:pt>
                <c:pt idx="8">
                  <c:v>29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C6-4CAD-BEF6-6A73714127A1}"/>
            </c:ext>
          </c:extLst>
        </c:ser>
        <c:ser>
          <c:idx val="2"/>
          <c:order val="2"/>
          <c:tx>
            <c:strRef>
              <c:f>Triticale!$A$65:$E$65</c:f>
              <c:strCache>
                <c:ptCount val="5"/>
                <c:pt idx="0">
                  <c:v>BENT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Triticale!$F$65:$O$65</c:f>
              <c:numCache>
                <c:formatCode>General</c:formatCode>
                <c:ptCount val="10"/>
                <c:pt idx="0">
                  <c:v>43</c:v>
                </c:pt>
                <c:pt idx="1">
                  <c:v>46</c:v>
                </c:pt>
                <c:pt idx="2">
                  <c:v>44</c:v>
                </c:pt>
                <c:pt idx="3">
                  <c:v>44</c:v>
                </c:pt>
                <c:pt idx="4">
                  <c:v>46</c:v>
                </c:pt>
                <c:pt idx="5">
                  <c:v>46</c:v>
                </c:pt>
                <c:pt idx="6">
                  <c:v>46</c:v>
                </c:pt>
                <c:pt idx="7">
                  <c:v>44</c:v>
                </c:pt>
                <c:pt idx="8">
                  <c:v>37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6-4CAD-BEF6-6A73714127A1}"/>
            </c:ext>
          </c:extLst>
        </c:ser>
        <c:ser>
          <c:idx val="3"/>
          <c:order val="3"/>
          <c:tx>
            <c:strRef>
              <c:f>Triticale!$A$66:$E$66</c:f>
              <c:strCache>
                <c:ptCount val="5"/>
                <c:pt idx="0">
                  <c:v>DOLORES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Triticale!$F$66:$O$66</c:f>
              <c:numCache>
                <c:formatCode>General</c:formatCode>
                <c:ptCount val="10"/>
                <c:pt idx="0">
                  <c:v>33</c:v>
                </c:pt>
                <c:pt idx="1">
                  <c:v>37</c:v>
                </c:pt>
                <c:pt idx="2">
                  <c:v>49</c:v>
                </c:pt>
                <c:pt idx="3">
                  <c:v>45</c:v>
                </c:pt>
                <c:pt idx="4">
                  <c:v>45</c:v>
                </c:pt>
                <c:pt idx="5">
                  <c:v>46</c:v>
                </c:pt>
                <c:pt idx="6">
                  <c:v>47</c:v>
                </c:pt>
                <c:pt idx="7">
                  <c:v>46</c:v>
                </c:pt>
                <c:pt idx="8">
                  <c:v>38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6-4CAD-BEF6-6A73714127A1}"/>
            </c:ext>
          </c:extLst>
        </c:ser>
        <c:ser>
          <c:idx val="4"/>
          <c:order val="4"/>
          <c:tx>
            <c:strRef>
              <c:f>Triticale!$A$67:$E$67</c:f>
              <c:strCache>
                <c:ptCount val="5"/>
                <c:pt idx="0">
                  <c:v>LAS ANIMAS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Triticale!$F$67:$O$67</c:f>
              <c:numCache>
                <c:formatCode>General</c:formatCode>
                <c:ptCount val="10"/>
                <c:pt idx="0">
                  <c:v>34</c:v>
                </c:pt>
                <c:pt idx="1">
                  <c:v>36</c:v>
                </c:pt>
                <c:pt idx="2">
                  <c:v>40</c:v>
                </c:pt>
                <c:pt idx="3">
                  <c:v>40</c:v>
                </c:pt>
                <c:pt idx="4">
                  <c:v>41</c:v>
                </c:pt>
                <c:pt idx="5">
                  <c:v>42</c:v>
                </c:pt>
                <c:pt idx="6">
                  <c:v>44</c:v>
                </c:pt>
                <c:pt idx="7">
                  <c:v>43</c:v>
                </c:pt>
                <c:pt idx="8">
                  <c:v>37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C6-4CAD-BEF6-6A73714127A1}"/>
            </c:ext>
          </c:extLst>
        </c:ser>
        <c:ser>
          <c:idx val="5"/>
          <c:order val="5"/>
          <c:tx>
            <c:strRef>
              <c:f>Triticale!$A$68:$E$68</c:f>
              <c:strCache>
                <c:ptCount val="5"/>
                <c:pt idx="0">
                  <c:v>LINCOLN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Triticale!$F$68:$O$68</c:f>
              <c:numCache>
                <c:formatCode>General</c:formatCode>
                <c:ptCount val="10"/>
                <c:pt idx="0">
                  <c:v>37</c:v>
                </c:pt>
                <c:pt idx="1">
                  <c:v>37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43</c:v>
                </c:pt>
                <c:pt idx="6">
                  <c:v>45</c:v>
                </c:pt>
                <c:pt idx="7">
                  <c:v>45</c:v>
                </c:pt>
                <c:pt idx="8">
                  <c:v>44</c:v>
                </c:pt>
                <c:pt idx="9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C6-4CAD-BEF6-6A73714127A1}"/>
            </c:ext>
          </c:extLst>
        </c:ser>
        <c:ser>
          <c:idx val="6"/>
          <c:order val="6"/>
          <c:tx>
            <c:strRef>
              <c:f>Triticale!$A$69:$E$69</c:f>
              <c:strCache>
                <c:ptCount val="5"/>
                <c:pt idx="0">
                  <c:v>MONTEZUMA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Triticale!$F$69:$O$69</c:f>
              <c:numCache>
                <c:formatCode>General</c:formatCode>
                <c:ptCount val="10"/>
                <c:pt idx="0">
                  <c:v>34</c:v>
                </c:pt>
                <c:pt idx="1">
                  <c:v>41</c:v>
                </c:pt>
                <c:pt idx="2">
                  <c:v>69</c:v>
                </c:pt>
                <c:pt idx="3">
                  <c:v>64</c:v>
                </c:pt>
                <c:pt idx="4">
                  <c:v>54</c:v>
                </c:pt>
                <c:pt idx="5">
                  <c:v>53</c:v>
                </c:pt>
                <c:pt idx="6">
                  <c:v>54</c:v>
                </c:pt>
                <c:pt idx="7">
                  <c:v>46</c:v>
                </c:pt>
                <c:pt idx="8">
                  <c:v>38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C6-4CAD-BEF6-6A73714127A1}"/>
            </c:ext>
          </c:extLst>
        </c:ser>
        <c:ser>
          <c:idx val="7"/>
          <c:order val="7"/>
          <c:tx>
            <c:strRef>
              <c:f>Triticale!$A$70:$E$70</c:f>
              <c:strCache>
                <c:ptCount val="5"/>
                <c:pt idx="0">
                  <c:v>PROWERS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Triticale!$F$70:$O$70</c:f>
              <c:numCache>
                <c:formatCode>General</c:formatCode>
                <c:ptCount val="10"/>
                <c:pt idx="0">
                  <c:v>34</c:v>
                </c:pt>
                <c:pt idx="1">
                  <c:v>33</c:v>
                </c:pt>
                <c:pt idx="2">
                  <c:v>37</c:v>
                </c:pt>
                <c:pt idx="3">
                  <c:v>37</c:v>
                </c:pt>
                <c:pt idx="4">
                  <c:v>38</c:v>
                </c:pt>
                <c:pt idx="5">
                  <c:v>40</c:v>
                </c:pt>
                <c:pt idx="6">
                  <c:v>43</c:v>
                </c:pt>
                <c:pt idx="7">
                  <c:v>42</c:v>
                </c:pt>
                <c:pt idx="8">
                  <c:v>37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C6-4CAD-BEF6-6A73714127A1}"/>
            </c:ext>
          </c:extLst>
        </c:ser>
        <c:ser>
          <c:idx val="8"/>
          <c:order val="8"/>
          <c:tx>
            <c:strRef>
              <c:f>Triticale!$A$71:$E$71</c:f>
              <c:strCache>
                <c:ptCount val="5"/>
                <c:pt idx="0">
                  <c:v>RIO GRANDE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Triticale!$F$71:$O$71</c:f>
              <c:numCache>
                <c:formatCode>General</c:formatCode>
                <c:ptCount val="10"/>
                <c:pt idx="0">
                  <c:v>98</c:v>
                </c:pt>
                <c:pt idx="1">
                  <c:v>90</c:v>
                </c:pt>
                <c:pt idx="2">
                  <c:v>69</c:v>
                </c:pt>
                <c:pt idx="3">
                  <c:v>102</c:v>
                </c:pt>
                <c:pt idx="4">
                  <c:v>99</c:v>
                </c:pt>
                <c:pt idx="5">
                  <c:v>102</c:v>
                </c:pt>
                <c:pt idx="6">
                  <c:v>85</c:v>
                </c:pt>
                <c:pt idx="7">
                  <c:v>67</c:v>
                </c:pt>
                <c:pt idx="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C6-4CAD-BEF6-6A73714127A1}"/>
            </c:ext>
          </c:extLst>
        </c:ser>
        <c:ser>
          <c:idx val="9"/>
          <c:order val="9"/>
          <c:tx>
            <c:strRef>
              <c:f>Triticale!$A$72:$E$72</c:f>
              <c:strCache>
                <c:ptCount val="5"/>
                <c:pt idx="0">
                  <c:v>SAGUACHE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Triticale!$F$72:$O$72</c:f>
              <c:numCache>
                <c:formatCode>General</c:formatCode>
                <c:ptCount val="10"/>
                <c:pt idx="0">
                  <c:v>98</c:v>
                </c:pt>
                <c:pt idx="1">
                  <c:v>90</c:v>
                </c:pt>
                <c:pt idx="2">
                  <c:v>81</c:v>
                </c:pt>
                <c:pt idx="3">
                  <c:v>81</c:v>
                </c:pt>
                <c:pt idx="4">
                  <c:v>81</c:v>
                </c:pt>
                <c:pt idx="5">
                  <c:v>70</c:v>
                </c:pt>
                <c:pt idx="6">
                  <c:v>58</c:v>
                </c:pt>
                <c:pt idx="7">
                  <c:v>46</c:v>
                </c:pt>
                <c:pt idx="8">
                  <c:v>38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C6-4CAD-BEF6-6A73714127A1}"/>
            </c:ext>
          </c:extLst>
        </c:ser>
        <c:ser>
          <c:idx val="10"/>
          <c:order val="10"/>
          <c:tx>
            <c:strRef>
              <c:f>Triticale!$A$73:$E$73</c:f>
              <c:strCache>
                <c:ptCount val="5"/>
                <c:pt idx="0">
                  <c:v>SAN MIGUEL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Triticale!$F$73:$O$73</c:f>
              <c:numCache>
                <c:formatCode>General</c:formatCode>
                <c:ptCount val="10"/>
                <c:pt idx="0">
                  <c:v>37</c:v>
                </c:pt>
                <c:pt idx="1">
                  <c:v>42</c:v>
                </c:pt>
                <c:pt idx="2">
                  <c:v>62</c:v>
                </c:pt>
                <c:pt idx="3">
                  <c:v>55</c:v>
                </c:pt>
                <c:pt idx="4">
                  <c:v>48</c:v>
                </c:pt>
                <c:pt idx="5">
                  <c:v>51</c:v>
                </c:pt>
                <c:pt idx="6">
                  <c:v>51</c:v>
                </c:pt>
                <c:pt idx="7">
                  <c:v>46</c:v>
                </c:pt>
                <c:pt idx="8">
                  <c:v>38</c:v>
                </c:pt>
                <c:pt idx="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1C6-4CAD-BEF6-6A73714127A1}"/>
            </c:ext>
          </c:extLst>
        </c:ser>
        <c:ser>
          <c:idx val="11"/>
          <c:order val="11"/>
          <c:tx>
            <c:strRef>
              <c:f>Triticale!$A$74:$E$74</c:f>
              <c:strCache>
                <c:ptCount val="5"/>
                <c:pt idx="0">
                  <c:v>WASHINGTON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Triticale!$F$74:$O$74</c:f>
              <c:numCache>
                <c:formatCode>General</c:formatCode>
                <c:ptCount val="10"/>
                <c:pt idx="0">
                  <c:v>44</c:v>
                </c:pt>
                <c:pt idx="1">
                  <c:v>44</c:v>
                </c:pt>
                <c:pt idx="2">
                  <c:v>54</c:v>
                </c:pt>
                <c:pt idx="3">
                  <c:v>54</c:v>
                </c:pt>
                <c:pt idx="4">
                  <c:v>52</c:v>
                </c:pt>
                <c:pt idx="5">
                  <c:v>57</c:v>
                </c:pt>
                <c:pt idx="6">
                  <c:v>49</c:v>
                </c:pt>
                <c:pt idx="7">
                  <c:v>46</c:v>
                </c:pt>
                <c:pt idx="8">
                  <c:v>46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1C6-4CAD-BEF6-6A73714127A1}"/>
            </c:ext>
          </c:extLst>
        </c:ser>
        <c:ser>
          <c:idx val="12"/>
          <c:order val="12"/>
          <c:tx>
            <c:strRef>
              <c:f>Triticale!$A$75:$E$75</c:f>
              <c:strCache>
                <c:ptCount val="5"/>
                <c:pt idx="0">
                  <c:v>WELD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Triticale!$F$75:$O$75</c:f>
              <c:numCache>
                <c:formatCode>General</c:formatCode>
                <c:ptCount val="10"/>
                <c:pt idx="0">
                  <c:v>52</c:v>
                </c:pt>
                <c:pt idx="1">
                  <c:v>52</c:v>
                </c:pt>
                <c:pt idx="2">
                  <c:v>58</c:v>
                </c:pt>
                <c:pt idx="3">
                  <c:v>58</c:v>
                </c:pt>
                <c:pt idx="4">
                  <c:v>56</c:v>
                </c:pt>
                <c:pt idx="5">
                  <c:v>53</c:v>
                </c:pt>
                <c:pt idx="6">
                  <c:v>50</c:v>
                </c:pt>
                <c:pt idx="7">
                  <c:v>46</c:v>
                </c:pt>
                <c:pt idx="8">
                  <c:v>46</c:v>
                </c:pt>
                <c:pt idx="9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1C6-4CAD-BEF6-6A73714127A1}"/>
            </c:ext>
          </c:extLst>
        </c:ser>
        <c:ser>
          <c:idx val="13"/>
          <c:order val="13"/>
          <c:tx>
            <c:strRef>
              <c:f>Triticale!$A$76:$E$76</c:f>
              <c:strCache>
                <c:ptCount val="5"/>
                <c:pt idx="0">
                  <c:v>YUMA</c:v>
                </c:pt>
                <c:pt idx="1">
                  <c:v>TRITICALE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Triticale!$F$62:$O$62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Triticale!$F$76:$O$76</c:f>
              <c:numCache>
                <c:formatCode>General</c:formatCode>
                <c:ptCount val="10"/>
                <c:pt idx="0">
                  <c:v>55</c:v>
                </c:pt>
                <c:pt idx="1">
                  <c:v>59</c:v>
                </c:pt>
                <c:pt idx="2">
                  <c:v>67</c:v>
                </c:pt>
                <c:pt idx="3">
                  <c:v>67</c:v>
                </c:pt>
                <c:pt idx="4">
                  <c:v>65</c:v>
                </c:pt>
                <c:pt idx="5">
                  <c:v>59</c:v>
                </c:pt>
                <c:pt idx="6">
                  <c:v>53</c:v>
                </c:pt>
                <c:pt idx="7">
                  <c:v>46</c:v>
                </c:pt>
                <c:pt idx="8">
                  <c:v>46</c:v>
                </c:pt>
                <c:pt idx="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1C6-4CAD-BEF6-6A7371412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343855"/>
        <c:axId val="876339055"/>
      </c:lineChart>
      <c:catAx>
        <c:axId val="876343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39055"/>
        <c:crosses val="autoZero"/>
        <c:auto val="1"/>
        <c:lblAlgn val="ctr"/>
        <c:lblOffset val="100"/>
        <c:noMultiLvlLbl val="0"/>
      </c:catAx>
      <c:valAx>
        <c:axId val="87633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43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Non-Irrigated Grain Triticale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Triticale!$A$78:$E$78</c:f>
              <c:strCache>
                <c:ptCount val="5"/>
                <c:pt idx="0">
                  <c:v>ARAPAHOE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Triticale!$F$78:$O$78</c:f>
              <c:numCache>
                <c:formatCode>General</c:formatCode>
                <c:ptCount val="10"/>
                <c:pt idx="0">
                  <c:v>24</c:v>
                </c:pt>
                <c:pt idx="1">
                  <c:v>24</c:v>
                </c:pt>
                <c:pt idx="2">
                  <c:v>31</c:v>
                </c:pt>
                <c:pt idx="3">
                  <c:v>31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27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97-42CB-A15B-F36F54F0B23C}"/>
            </c:ext>
          </c:extLst>
        </c:ser>
        <c:ser>
          <c:idx val="1"/>
          <c:order val="1"/>
          <c:tx>
            <c:strRef>
              <c:f>Triticale!$A$79:$E$79</c:f>
              <c:strCache>
                <c:ptCount val="5"/>
                <c:pt idx="0">
                  <c:v>BACA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Triticale!$F$79:$O$79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19</c:v>
                </c:pt>
                <c:pt idx="3">
                  <c:v>31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24</c:v>
                </c:pt>
                <c:pt idx="9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97-42CB-A15B-F36F54F0B23C}"/>
            </c:ext>
          </c:extLst>
        </c:ser>
        <c:ser>
          <c:idx val="2"/>
          <c:order val="2"/>
          <c:tx>
            <c:strRef>
              <c:f>Triticale!$A$80:$E$80</c:f>
              <c:strCache>
                <c:ptCount val="5"/>
                <c:pt idx="0">
                  <c:v>BENT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Triticale!$F$80:$O$80</c:f>
              <c:numCache>
                <c:formatCode>General</c:formatCode>
                <c:ptCount val="10"/>
                <c:pt idx="0">
                  <c:v>22</c:v>
                </c:pt>
                <c:pt idx="1">
                  <c:v>21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19</c:v>
                </c:pt>
                <c:pt idx="6">
                  <c:v>24</c:v>
                </c:pt>
                <c:pt idx="7">
                  <c:v>29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97-42CB-A15B-F36F54F0B23C}"/>
            </c:ext>
          </c:extLst>
        </c:ser>
        <c:ser>
          <c:idx val="3"/>
          <c:order val="3"/>
          <c:tx>
            <c:strRef>
              <c:f>Triticale!$A$81:$E$81</c:f>
              <c:strCache>
                <c:ptCount val="5"/>
                <c:pt idx="0">
                  <c:v>CHEYENNE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Triticale!$F$81:$O$81</c:f>
              <c:numCache>
                <c:formatCode>General</c:formatCode>
                <c:ptCount val="10"/>
                <c:pt idx="2">
                  <c:v>24</c:v>
                </c:pt>
                <c:pt idx="4">
                  <c:v>24</c:v>
                </c:pt>
                <c:pt idx="5">
                  <c:v>25</c:v>
                </c:pt>
                <c:pt idx="6">
                  <c:v>28</c:v>
                </c:pt>
                <c:pt idx="7">
                  <c:v>29</c:v>
                </c:pt>
                <c:pt idx="8">
                  <c:v>24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97-42CB-A15B-F36F54F0B23C}"/>
            </c:ext>
          </c:extLst>
        </c:ser>
        <c:ser>
          <c:idx val="4"/>
          <c:order val="4"/>
          <c:tx>
            <c:strRef>
              <c:f>Triticale!$A$82:$E$82</c:f>
              <c:strCache>
                <c:ptCount val="5"/>
                <c:pt idx="0">
                  <c:v>DOLORES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Triticale!$F$82:$O$82</c:f>
              <c:numCache>
                <c:formatCode>General</c:formatCode>
                <c:ptCount val="10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19</c:v>
                </c:pt>
                <c:pt idx="6">
                  <c:v>24</c:v>
                </c:pt>
                <c:pt idx="7">
                  <c:v>29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97-42CB-A15B-F36F54F0B23C}"/>
            </c:ext>
          </c:extLst>
        </c:ser>
        <c:ser>
          <c:idx val="5"/>
          <c:order val="5"/>
          <c:tx>
            <c:strRef>
              <c:f>Triticale!$A$83:$E$83</c:f>
              <c:strCache>
                <c:ptCount val="5"/>
                <c:pt idx="0">
                  <c:v>LAS ANIMAS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Triticale!$F$83:$O$83</c:f>
              <c:numCache>
                <c:formatCode>General</c:formatCode>
                <c:ptCount val="10"/>
                <c:pt idx="0">
                  <c:v>17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20</c:v>
                </c:pt>
                <c:pt idx="6">
                  <c:v>25</c:v>
                </c:pt>
                <c:pt idx="7">
                  <c:v>29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97-42CB-A15B-F36F54F0B23C}"/>
            </c:ext>
          </c:extLst>
        </c:ser>
        <c:ser>
          <c:idx val="6"/>
          <c:order val="6"/>
          <c:tx>
            <c:strRef>
              <c:f>Triticale!$A$84:$E$84</c:f>
              <c:strCache>
                <c:ptCount val="5"/>
                <c:pt idx="0">
                  <c:v>LINCOLN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Triticale!$F$84:$O$84</c:f>
              <c:numCache>
                <c:formatCode>General</c:formatCode>
                <c:ptCount val="10"/>
                <c:pt idx="0">
                  <c:v>23</c:v>
                </c:pt>
                <c:pt idx="1">
                  <c:v>23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26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97-42CB-A15B-F36F54F0B23C}"/>
            </c:ext>
          </c:extLst>
        </c:ser>
        <c:ser>
          <c:idx val="7"/>
          <c:order val="7"/>
          <c:tx>
            <c:strRef>
              <c:f>Triticale!$A$85:$E$85</c:f>
              <c:strCache>
                <c:ptCount val="5"/>
                <c:pt idx="0">
                  <c:v>MORGAN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Triticale!$F$85:$O$85</c:f>
              <c:numCache>
                <c:formatCode>General</c:formatCode>
                <c:ptCount val="10"/>
                <c:pt idx="0">
                  <c:v>44</c:v>
                </c:pt>
                <c:pt idx="1">
                  <c:v>40</c:v>
                </c:pt>
                <c:pt idx="2">
                  <c:v>31</c:v>
                </c:pt>
                <c:pt idx="3">
                  <c:v>31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29</c:v>
                </c:pt>
                <c:pt idx="8">
                  <c:v>27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97-42CB-A15B-F36F54F0B23C}"/>
            </c:ext>
          </c:extLst>
        </c:ser>
        <c:ser>
          <c:idx val="8"/>
          <c:order val="8"/>
          <c:tx>
            <c:strRef>
              <c:f>Triticale!$A$86:$E$86</c:f>
              <c:strCache>
                <c:ptCount val="5"/>
                <c:pt idx="0">
                  <c:v>PROWERS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Triticale!$F$86:$O$86</c:f>
              <c:numCache>
                <c:formatCode>General</c:formatCode>
                <c:ptCount val="10"/>
                <c:pt idx="0">
                  <c:v>25</c:v>
                </c:pt>
                <c:pt idx="1">
                  <c:v>22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97-42CB-A15B-F36F54F0B23C}"/>
            </c:ext>
          </c:extLst>
        </c:ser>
        <c:ser>
          <c:idx val="9"/>
          <c:order val="9"/>
          <c:tx>
            <c:strRef>
              <c:f>Triticale!$A$87:$E$87</c:f>
              <c:strCache>
                <c:ptCount val="5"/>
                <c:pt idx="0">
                  <c:v>SAN MIGUEL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Triticale!$F$87:$O$87</c:f>
              <c:numCache>
                <c:formatCode>General</c:formatCode>
                <c:ptCount val="10"/>
                <c:pt idx="0">
                  <c:v>20</c:v>
                </c:pt>
                <c:pt idx="1">
                  <c:v>19</c:v>
                </c:pt>
                <c:pt idx="2">
                  <c:v>14</c:v>
                </c:pt>
                <c:pt idx="3">
                  <c:v>62</c:v>
                </c:pt>
                <c:pt idx="4">
                  <c:v>37</c:v>
                </c:pt>
                <c:pt idx="5">
                  <c:v>62</c:v>
                </c:pt>
                <c:pt idx="6">
                  <c:v>52</c:v>
                </c:pt>
                <c:pt idx="7">
                  <c:v>29</c:v>
                </c:pt>
                <c:pt idx="8">
                  <c:v>24</c:v>
                </c:pt>
                <c:pt idx="9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97-42CB-A15B-F36F54F0B23C}"/>
            </c:ext>
          </c:extLst>
        </c:ser>
        <c:ser>
          <c:idx val="10"/>
          <c:order val="10"/>
          <c:tx>
            <c:strRef>
              <c:f>Triticale!$A$88:$E$88</c:f>
              <c:strCache>
                <c:ptCount val="5"/>
                <c:pt idx="0">
                  <c:v>WASHINGTON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Triticale!$F$88:$O$88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31</c:v>
                </c:pt>
                <c:pt idx="3">
                  <c:v>31</c:v>
                </c:pt>
                <c:pt idx="4">
                  <c:v>30</c:v>
                </c:pt>
                <c:pt idx="5">
                  <c:v>34</c:v>
                </c:pt>
                <c:pt idx="6">
                  <c:v>30</c:v>
                </c:pt>
                <c:pt idx="7">
                  <c:v>29</c:v>
                </c:pt>
                <c:pt idx="8">
                  <c:v>27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97-42CB-A15B-F36F54F0B23C}"/>
            </c:ext>
          </c:extLst>
        </c:ser>
        <c:ser>
          <c:idx val="11"/>
          <c:order val="11"/>
          <c:tx>
            <c:strRef>
              <c:f>Triticale!$A$89:$E$89</c:f>
              <c:strCache>
                <c:ptCount val="5"/>
                <c:pt idx="0">
                  <c:v>WELD</c:v>
                </c:pt>
                <c:pt idx="1">
                  <c:v>TRITICALE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Triticale!$F$77:$O$77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Triticale!$F$89:$O$89</c:f>
              <c:numCache>
                <c:formatCode>General</c:formatCode>
                <c:ptCount val="10"/>
                <c:pt idx="0">
                  <c:v>34</c:v>
                </c:pt>
                <c:pt idx="1">
                  <c:v>32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28</c:v>
                </c:pt>
                <c:pt idx="7">
                  <c:v>29</c:v>
                </c:pt>
                <c:pt idx="8">
                  <c:v>27</c:v>
                </c:pt>
                <c:pt idx="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97-42CB-A15B-F36F54F0B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363279"/>
        <c:axId val="664359919"/>
      </c:lineChart>
      <c:catAx>
        <c:axId val="66436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59919"/>
        <c:crosses val="autoZero"/>
        <c:auto val="1"/>
        <c:lblAlgn val="ctr"/>
        <c:lblOffset val="100"/>
        <c:noMultiLvlLbl val="0"/>
      </c:catAx>
      <c:valAx>
        <c:axId val="66435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6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Non-Irrigated Seed Triticale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Triticale!$A$91:$E$91</c:f>
              <c:strCache>
                <c:ptCount val="5"/>
                <c:pt idx="0">
                  <c:v>ARAPAHOE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Triticale!$F$91:$O$91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4">
                  <c:v>34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E-42A9-96BB-C3AF20DA3BE4}"/>
            </c:ext>
          </c:extLst>
        </c:ser>
        <c:ser>
          <c:idx val="1"/>
          <c:order val="1"/>
          <c:tx>
            <c:strRef>
              <c:f>Triticale!$A$92:$E$92</c:f>
              <c:strCache>
                <c:ptCount val="5"/>
                <c:pt idx="0">
                  <c:v>ELBERT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Triticale!$F$92:$O$92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4">
                  <c:v>34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E-42A9-96BB-C3AF20DA3BE4}"/>
            </c:ext>
          </c:extLst>
        </c:ser>
        <c:ser>
          <c:idx val="2"/>
          <c:order val="2"/>
          <c:tx>
            <c:strRef>
              <c:f>Triticale!$A$93:$E$93</c:f>
              <c:strCache>
                <c:ptCount val="5"/>
                <c:pt idx="0">
                  <c:v>LINCOLN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Triticale!$F$93:$O$93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E-42A9-96BB-C3AF20DA3BE4}"/>
            </c:ext>
          </c:extLst>
        </c:ser>
        <c:ser>
          <c:idx val="3"/>
          <c:order val="3"/>
          <c:tx>
            <c:strRef>
              <c:f>Triticale!$A$94:$E$94</c:f>
              <c:strCache>
                <c:ptCount val="5"/>
                <c:pt idx="0">
                  <c:v>MORGAN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Triticale!$F$94:$O$94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6E-42A9-96BB-C3AF20DA3BE4}"/>
            </c:ext>
          </c:extLst>
        </c:ser>
        <c:ser>
          <c:idx val="4"/>
          <c:order val="4"/>
          <c:tx>
            <c:strRef>
              <c:f>Triticale!$A$95:$E$95</c:f>
              <c:strCache>
                <c:ptCount val="5"/>
                <c:pt idx="0">
                  <c:v>SEDGWICK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Triticale!$F$95:$O$95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4">
                  <c:v>34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6E-42A9-96BB-C3AF20DA3BE4}"/>
            </c:ext>
          </c:extLst>
        </c:ser>
        <c:ser>
          <c:idx val="5"/>
          <c:order val="5"/>
          <c:tx>
            <c:strRef>
              <c:f>Triticale!$A$96:$E$96</c:f>
              <c:strCache>
                <c:ptCount val="5"/>
                <c:pt idx="0">
                  <c:v>WELD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Triticale!$F$96:$O$96</c:f>
              <c:numCache>
                <c:formatCode>General</c:formatCode>
                <c:ptCount val="10"/>
                <c:pt idx="1">
                  <c:v>40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6E-42A9-96BB-C3AF20DA3BE4}"/>
            </c:ext>
          </c:extLst>
        </c:ser>
        <c:ser>
          <c:idx val="6"/>
          <c:order val="6"/>
          <c:tx>
            <c:strRef>
              <c:f>Triticale!$A$97:$E$97</c:f>
              <c:strCache>
                <c:ptCount val="5"/>
                <c:pt idx="0">
                  <c:v>YUMA</c:v>
                </c:pt>
                <c:pt idx="1">
                  <c:v>TRITICALE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Triticale!$F$90:$O$90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Triticale!$F$97:$O$97</c:f>
              <c:numCache>
                <c:formatCode>General</c:formatCode>
                <c:ptCount val="10"/>
                <c:pt idx="0">
                  <c:v>39</c:v>
                </c:pt>
                <c:pt idx="1">
                  <c:v>40</c:v>
                </c:pt>
                <c:pt idx="4">
                  <c:v>34</c:v>
                </c:pt>
                <c:pt idx="6">
                  <c:v>50</c:v>
                </c:pt>
                <c:pt idx="7">
                  <c:v>24</c:v>
                </c:pt>
                <c:pt idx="8">
                  <c:v>24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6E-42A9-96BB-C3AF20DA3B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0534943"/>
        <c:axId val="810535903"/>
      </c:lineChart>
      <c:catAx>
        <c:axId val="81053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35903"/>
        <c:crosses val="autoZero"/>
        <c:auto val="1"/>
        <c:lblAlgn val="ctr"/>
        <c:lblOffset val="100"/>
        <c:noMultiLvlLbl val="0"/>
      </c:catAx>
      <c:valAx>
        <c:axId val="81053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53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Asparagus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Asparagus!$A$2:$E$2</c:f>
              <c:strCache>
                <c:ptCount val="5"/>
                <c:pt idx="0">
                  <c:v>FREEMONT</c:v>
                </c:pt>
                <c:pt idx="1">
                  <c:v>ASPARAGUS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Asparagus!$F$1:$O$1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Asparagus!$F$2:$O$2</c:f>
              <c:numCache>
                <c:formatCode>General</c:formatCode>
                <c:ptCount val="10"/>
                <c:pt idx="5">
                  <c:v>31</c:v>
                </c:pt>
                <c:pt idx="6">
                  <c:v>31</c:v>
                </c:pt>
                <c:pt idx="7">
                  <c:v>34.03</c:v>
                </c:pt>
                <c:pt idx="8">
                  <c:v>37.97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45-4177-A691-722F840CABF3}"/>
            </c:ext>
          </c:extLst>
        </c:ser>
        <c:ser>
          <c:idx val="1"/>
          <c:order val="1"/>
          <c:tx>
            <c:strRef>
              <c:f>Asparagus!$A$3:$E$3</c:f>
              <c:strCache>
                <c:ptCount val="5"/>
                <c:pt idx="0">
                  <c:v>OTERO</c:v>
                </c:pt>
                <c:pt idx="1">
                  <c:v>ASPARAGUS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Asparagus!$F$1:$O$1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Asparagus!$F$3:$O$3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32.630000000000003</c:v>
                </c:pt>
                <c:pt idx="5">
                  <c:v>29.22</c:v>
                </c:pt>
                <c:pt idx="6">
                  <c:v>31</c:v>
                </c:pt>
                <c:pt idx="7">
                  <c:v>34.03</c:v>
                </c:pt>
                <c:pt idx="8">
                  <c:v>37.97</c:v>
                </c:pt>
                <c:pt idx="9">
                  <c:v>60.14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45-4177-A691-722F840CABF3}"/>
            </c:ext>
          </c:extLst>
        </c:ser>
        <c:ser>
          <c:idx val="2"/>
          <c:order val="2"/>
          <c:tx>
            <c:strRef>
              <c:f>Asparagus!$A$4:$E$4</c:f>
              <c:strCache>
                <c:ptCount val="5"/>
                <c:pt idx="0">
                  <c:v>PUEBLO</c:v>
                </c:pt>
                <c:pt idx="1">
                  <c:v>ASPARAGUS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Asparagus!$F$1:$O$1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Asparagus!$F$4:$O$4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32.53</c:v>
                </c:pt>
                <c:pt idx="5">
                  <c:v>29.22</c:v>
                </c:pt>
                <c:pt idx="6">
                  <c:v>31</c:v>
                </c:pt>
                <c:pt idx="7">
                  <c:v>34.03</c:v>
                </c:pt>
                <c:pt idx="8">
                  <c:v>37.97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45-4177-A691-722F840C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296815"/>
        <c:axId val="876302575"/>
      </c:lineChart>
      <c:catAx>
        <c:axId val="87629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302575"/>
        <c:crosses val="autoZero"/>
        <c:auto val="1"/>
        <c:lblAlgn val="ctr"/>
        <c:lblOffset val="100"/>
        <c:noMultiLvlLbl val="0"/>
      </c:catAx>
      <c:valAx>
        <c:axId val="876302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96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Canola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Canola!$A$2:$E$2</c:f>
              <c:strCache>
                <c:ptCount val="5"/>
                <c:pt idx="0">
                  <c:v>ALAMOSA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Canola!$F$2:$O$2</c:f>
              <c:numCache>
                <c:formatCode>General</c:formatCode>
                <c:ptCount val="10"/>
                <c:pt idx="0">
                  <c:v>1491</c:v>
                </c:pt>
                <c:pt idx="1">
                  <c:v>1491</c:v>
                </c:pt>
                <c:pt idx="2">
                  <c:v>1360</c:v>
                </c:pt>
                <c:pt idx="3">
                  <c:v>1347</c:v>
                </c:pt>
                <c:pt idx="4">
                  <c:v>1353</c:v>
                </c:pt>
                <c:pt idx="5">
                  <c:v>1353</c:v>
                </c:pt>
                <c:pt idx="6">
                  <c:v>1264</c:v>
                </c:pt>
                <c:pt idx="7">
                  <c:v>1264</c:v>
                </c:pt>
                <c:pt idx="8">
                  <c:v>1227</c:v>
                </c:pt>
                <c:pt idx="9">
                  <c:v>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1C-4E1C-B487-D8E10512F1BD}"/>
            </c:ext>
          </c:extLst>
        </c:ser>
        <c:ser>
          <c:idx val="1"/>
          <c:order val="1"/>
          <c:tx>
            <c:strRef>
              <c:f>Canola!$A$3:$E$3</c:f>
              <c:strCache>
                <c:ptCount val="5"/>
                <c:pt idx="0">
                  <c:v>CONEJOS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Canola!$F$3:$O$3</c:f>
              <c:numCache>
                <c:formatCode>General</c:formatCode>
                <c:ptCount val="10"/>
                <c:pt idx="0">
                  <c:v>1491</c:v>
                </c:pt>
                <c:pt idx="1">
                  <c:v>1491</c:v>
                </c:pt>
                <c:pt idx="2">
                  <c:v>1177</c:v>
                </c:pt>
                <c:pt idx="3">
                  <c:v>1235</c:v>
                </c:pt>
                <c:pt idx="4">
                  <c:v>1353</c:v>
                </c:pt>
                <c:pt idx="5">
                  <c:v>1353</c:v>
                </c:pt>
                <c:pt idx="6">
                  <c:v>1264</c:v>
                </c:pt>
                <c:pt idx="7">
                  <c:v>1264</c:v>
                </c:pt>
                <c:pt idx="8">
                  <c:v>1227</c:v>
                </c:pt>
                <c:pt idx="9">
                  <c:v>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C-4E1C-B487-D8E10512F1BD}"/>
            </c:ext>
          </c:extLst>
        </c:ser>
        <c:ser>
          <c:idx val="2"/>
          <c:order val="2"/>
          <c:tx>
            <c:strRef>
              <c:f>Canola!$A$4:$E$4</c:f>
              <c:strCache>
                <c:ptCount val="5"/>
                <c:pt idx="0">
                  <c:v>LA PLATA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Canola!$F$4:$O$4</c:f>
              <c:numCache>
                <c:formatCode>General</c:formatCode>
                <c:ptCount val="10"/>
                <c:pt idx="0">
                  <c:v>1044</c:v>
                </c:pt>
                <c:pt idx="1">
                  <c:v>976</c:v>
                </c:pt>
                <c:pt idx="4">
                  <c:v>912</c:v>
                </c:pt>
                <c:pt idx="5">
                  <c:v>912</c:v>
                </c:pt>
                <c:pt idx="6">
                  <c:v>846</c:v>
                </c:pt>
                <c:pt idx="7">
                  <c:v>921</c:v>
                </c:pt>
                <c:pt idx="8">
                  <c:v>879</c:v>
                </c:pt>
                <c:pt idx="9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1C-4E1C-B487-D8E10512F1BD}"/>
            </c:ext>
          </c:extLst>
        </c:ser>
        <c:ser>
          <c:idx val="3"/>
          <c:order val="3"/>
          <c:tx>
            <c:strRef>
              <c:f>Canola!$A$5:$E$5</c:f>
              <c:strCache>
                <c:ptCount val="5"/>
                <c:pt idx="0">
                  <c:v>RIO GRANDE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Canola!$F$5:$O$5</c:f>
              <c:numCache>
                <c:formatCode>General</c:formatCode>
                <c:ptCount val="10"/>
                <c:pt idx="0">
                  <c:v>1491</c:v>
                </c:pt>
                <c:pt idx="1">
                  <c:v>1491</c:v>
                </c:pt>
                <c:pt idx="2">
                  <c:v>1177</c:v>
                </c:pt>
                <c:pt idx="3">
                  <c:v>1347</c:v>
                </c:pt>
                <c:pt idx="4">
                  <c:v>1347</c:v>
                </c:pt>
                <c:pt idx="5">
                  <c:v>1347</c:v>
                </c:pt>
                <c:pt idx="6">
                  <c:v>1264</c:v>
                </c:pt>
                <c:pt idx="7">
                  <c:v>1264</c:v>
                </c:pt>
                <c:pt idx="8">
                  <c:v>1227</c:v>
                </c:pt>
                <c:pt idx="9">
                  <c:v>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1C-4E1C-B487-D8E10512F1BD}"/>
            </c:ext>
          </c:extLst>
        </c:ser>
        <c:ser>
          <c:idx val="4"/>
          <c:order val="4"/>
          <c:tx>
            <c:strRef>
              <c:f>Canola!$A$6:$E$6</c:f>
              <c:strCache>
                <c:ptCount val="5"/>
                <c:pt idx="0">
                  <c:v>SAGUACHE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Canola!$F$6:$O$6</c:f>
              <c:numCache>
                <c:formatCode>General</c:formatCode>
                <c:ptCount val="10"/>
                <c:pt idx="0">
                  <c:v>1491</c:v>
                </c:pt>
                <c:pt idx="1">
                  <c:v>1491</c:v>
                </c:pt>
                <c:pt idx="2">
                  <c:v>1177</c:v>
                </c:pt>
                <c:pt idx="3">
                  <c:v>1347</c:v>
                </c:pt>
                <c:pt idx="4">
                  <c:v>1347</c:v>
                </c:pt>
                <c:pt idx="5">
                  <c:v>1347</c:v>
                </c:pt>
                <c:pt idx="6">
                  <c:v>1264</c:v>
                </c:pt>
                <c:pt idx="7">
                  <c:v>1261</c:v>
                </c:pt>
                <c:pt idx="8">
                  <c:v>1227</c:v>
                </c:pt>
                <c:pt idx="9">
                  <c:v>1310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1C-4E1C-B487-D8E10512F1BD}"/>
            </c:ext>
          </c:extLst>
        </c:ser>
        <c:ser>
          <c:idx val="5"/>
          <c:order val="5"/>
          <c:tx>
            <c:strRef>
              <c:f>Canola!$A$7:$E$7</c:f>
              <c:strCache>
                <c:ptCount val="5"/>
                <c:pt idx="0">
                  <c:v>YUMA</c:v>
                </c:pt>
                <c:pt idx="1">
                  <c:v>CANOLA</c:v>
                </c:pt>
                <c:pt idx="2">
                  <c:v>FAL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Canola!$F$7:$O$7</c:f>
              <c:numCache>
                <c:formatCode>General</c:formatCode>
                <c:ptCount val="10"/>
                <c:pt idx="0">
                  <c:v>1491</c:v>
                </c:pt>
                <c:pt idx="1">
                  <c:v>1491</c:v>
                </c:pt>
                <c:pt idx="2">
                  <c:v>1177</c:v>
                </c:pt>
                <c:pt idx="3">
                  <c:v>1235</c:v>
                </c:pt>
                <c:pt idx="4">
                  <c:v>1353</c:v>
                </c:pt>
                <c:pt idx="5">
                  <c:v>1353</c:v>
                </c:pt>
                <c:pt idx="7">
                  <c:v>1264</c:v>
                </c:pt>
                <c:pt idx="8">
                  <c:v>1198</c:v>
                </c:pt>
                <c:pt idx="9">
                  <c:v>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1C-4E1C-B487-D8E10512F1BD}"/>
            </c:ext>
          </c:extLst>
        </c:ser>
        <c:ser>
          <c:idx val="6"/>
          <c:order val="6"/>
          <c:tx>
            <c:strRef>
              <c:f>Canola!$A$8:$E$8</c:f>
              <c:strCache>
                <c:ptCount val="5"/>
                <c:pt idx="0">
                  <c:v>YUMA</c:v>
                </c:pt>
                <c:pt idx="1">
                  <c:v>CANOLA</c:v>
                </c:pt>
                <c:pt idx="2">
                  <c:v>FAL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Canola!$F$8:$O$8</c:f>
              <c:numCache>
                <c:formatCode>General</c:formatCode>
                <c:ptCount val="10"/>
                <c:pt idx="0">
                  <c:v>1044</c:v>
                </c:pt>
                <c:pt idx="1">
                  <c:v>976</c:v>
                </c:pt>
                <c:pt idx="2">
                  <c:v>883</c:v>
                </c:pt>
                <c:pt idx="3">
                  <c:v>927</c:v>
                </c:pt>
                <c:pt idx="4">
                  <c:v>1015</c:v>
                </c:pt>
                <c:pt idx="5">
                  <c:v>1015</c:v>
                </c:pt>
                <c:pt idx="6">
                  <c:v>921</c:v>
                </c:pt>
                <c:pt idx="7">
                  <c:v>921</c:v>
                </c:pt>
                <c:pt idx="8">
                  <c:v>862</c:v>
                </c:pt>
                <c:pt idx="9">
                  <c:v>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1C-4E1C-B487-D8E10512F1BD}"/>
            </c:ext>
          </c:extLst>
        </c:ser>
        <c:ser>
          <c:idx val="7"/>
          <c:order val="7"/>
          <c:tx>
            <c:strRef>
              <c:f>Canola!$A$9:$E$9</c:f>
              <c:strCache>
                <c:ptCount val="5"/>
                <c:pt idx="0">
                  <c:v>YUMA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Canola!$F$9:$O$9</c:f>
              <c:numCache>
                <c:formatCode>General</c:formatCode>
                <c:ptCount val="10"/>
                <c:pt idx="0">
                  <c:v>1491</c:v>
                </c:pt>
                <c:pt idx="1">
                  <c:v>1491</c:v>
                </c:pt>
                <c:pt idx="2">
                  <c:v>1177</c:v>
                </c:pt>
                <c:pt idx="3">
                  <c:v>1235</c:v>
                </c:pt>
                <c:pt idx="4">
                  <c:v>1353</c:v>
                </c:pt>
                <c:pt idx="5">
                  <c:v>1353</c:v>
                </c:pt>
                <c:pt idx="6">
                  <c:v>1264</c:v>
                </c:pt>
                <c:pt idx="7">
                  <c:v>1264</c:v>
                </c:pt>
                <c:pt idx="8">
                  <c:v>1227</c:v>
                </c:pt>
                <c:pt idx="9">
                  <c:v>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1C-4E1C-B487-D8E10512F1BD}"/>
            </c:ext>
          </c:extLst>
        </c:ser>
        <c:ser>
          <c:idx val="8"/>
          <c:order val="8"/>
          <c:tx>
            <c:strRef>
              <c:f>Canola!$A$10:$E$10</c:f>
              <c:strCache>
                <c:ptCount val="5"/>
                <c:pt idx="0">
                  <c:v>YUMA</c:v>
                </c:pt>
                <c:pt idx="1">
                  <c:v>CANOLA</c:v>
                </c:pt>
                <c:pt idx="2">
                  <c:v>SPR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Canola!$F$1:$O$1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Canola!$F$10:$O$10</c:f>
              <c:numCache>
                <c:formatCode>General</c:formatCode>
                <c:ptCount val="10"/>
                <c:pt idx="0">
                  <c:v>1044</c:v>
                </c:pt>
                <c:pt idx="1">
                  <c:v>976</c:v>
                </c:pt>
                <c:pt idx="2">
                  <c:v>883</c:v>
                </c:pt>
                <c:pt idx="3">
                  <c:v>927</c:v>
                </c:pt>
                <c:pt idx="4">
                  <c:v>1015</c:v>
                </c:pt>
                <c:pt idx="5">
                  <c:v>1015</c:v>
                </c:pt>
                <c:pt idx="6">
                  <c:v>921</c:v>
                </c:pt>
                <c:pt idx="7">
                  <c:v>921</c:v>
                </c:pt>
                <c:pt idx="8">
                  <c:v>879</c:v>
                </c:pt>
                <c:pt idx="9">
                  <c:v>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1C-4E1C-B487-D8E10512F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356847"/>
        <c:axId val="650350127"/>
      </c:lineChart>
      <c:catAx>
        <c:axId val="65035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50127"/>
        <c:crosses val="autoZero"/>
        <c:auto val="1"/>
        <c:lblAlgn val="ctr"/>
        <c:lblOffset val="100"/>
        <c:noMultiLvlLbl val="0"/>
      </c:catAx>
      <c:valAx>
        <c:axId val="6503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356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Cucumbers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Cucumbers!$A$2:$E$2</c:f>
              <c:strCache>
                <c:ptCount val="5"/>
                <c:pt idx="0">
                  <c:v>CROWLEY</c:v>
                </c:pt>
                <c:pt idx="1">
                  <c:v>CUCUMBERS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Cucumbers!$F$2:$O$2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5.76</c:v>
                </c:pt>
                <c:pt idx="6">
                  <c:v>7.28</c:v>
                </c:pt>
                <c:pt idx="7">
                  <c:v>7.36</c:v>
                </c:pt>
                <c:pt idx="8">
                  <c:v>8.6300000000000008</c:v>
                </c:pt>
                <c:pt idx="9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F-4C73-8B75-819C47A2FD4E}"/>
            </c:ext>
          </c:extLst>
        </c:ser>
        <c:ser>
          <c:idx val="1"/>
          <c:order val="1"/>
          <c:tx>
            <c:strRef>
              <c:f>Cucumbers!$A$3:$E$3</c:f>
              <c:strCache>
                <c:ptCount val="5"/>
                <c:pt idx="0">
                  <c:v>FREEMONT</c:v>
                </c:pt>
                <c:pt idx="1">
                  <c:v>CUCUMBERS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Cucumbers!$F$3:$O$3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5.9</c:v>
                </c:pt>
                <c:pt idx="6">
                  <c:v>6.54</c:v>
                </c:pt>
                <c:pt idx="7">
                  <c:v>5.16</c:v>
                </c:pt>
                <c:pt idx="8">
                  <c:v>5.26</c:v>
                </c:pt>
                <c:pt idx="9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F-4C73-8B75-819C47A2FD4E}"/>
            </c:ext>
          </c:extLst>
        </c:ser>
        <c:ser>
          <c:idx val="2"/>
          <c:order val="2"/>
          <c:tx>
            <c:strRef>
              <c:f>Cucumbers!$A$4:$E$4</c:f>
              <c:strCache>
                <c:ptCount val="5"/>
                <c:pt idx="0">
                  <c:v>OTERO</c:v>
                </c:pt>
                <c:pt idx="1">
                  <c:v>CUCUMBERS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Cucumbers!$F$4:$O$4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7.11</c:v>
                </c:pt>
                <c:pt idx="4">
                  <c:v>6.91</c:v>
                </c:pt>
                <c:pt idx="5">
                  <c:v>6.09</c:v>
                </c:pt>
                <c:pt idx="6">
                  <c:v>7.28</c:v>
                </c:pt>
                <c:pt idx="7">
                  <c:v>7.36</c:v>
                </c:pt>
                <c:pt idx="8">
                  <c:v>6.8</c:v>
                </c:pt>
                <c:pt idx="9">
                  <c:v>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F-4C73-8B75-819C47A2FD4E}"/>
            </c:ext>
          </c:extLst>
        </c:ser>
        <c:ser>
          <c:idx val="3"/>
          <c:order val="3"/>
          <c:tx>
            <c:strRef>
              <c:f>Cucumbers!$A$5:$E$5</c:f>
              <c:strCache>
                <c:ptCount val="5"/>
                <c:pt idx="0">
                  <c:v>OTERO</c:v>
                </c:pt>
                <c:pt idx="1">
                  <c:v>CUCUMBERS</c:v>
                </c:pt>
                <c:pt idx="2">
                  <c:v>PKL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Cucumbers!$F$5:$O$5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7.11</c:v>
                </c:pt>
                <c:pt idx="4">
                  <c:v>6.91</c:v>
                </c:pt>
                <c:pt idx="5">
                  <c:v>5.74</c:v>
                </c:pt>
                <c:pt idx="6">
                  <c:v>7.53</c:v>
                </c:pt>
                <c:pt idx="7">
                  <c:v>6.76</c:v>
                </c:pt>
                <c:pt idx="8">
                  <c:v>6.36</c:v>
                </c:pt>
                <c:pt idx="9">
                  <c:v>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1BF-4C73-8B75-819C47A2FD4E}"/>
            </c:ext>
          </c:extLst>
        </c:ser>
        <c:ser>
          <c:idx val="4"/>
          <c:order val="4"/>
          <c:tx>
            <c:strRef>
              <c:f>Cucumbers!$A$6:$E$6</c:f>
              <c:strCache>
                <c:ptCount val="5"/>
                <c:pt idx="0">
                  <c:v>PUEBLO</c:v>
                </c:pt>
                <c:pt idx="1">
                  <c:v>CUCUMBERS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Cucumbers!$F$6:$O$6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8.14</c:v>
                </c:pt>
                <c:pt idx="4">
                  <c:v>7.96</c:v>
                </c:pt>
                <c:pt idx="5">
                  <c:v>7.3</c:v>
                </c:pt>
                <c:pt idx="6">
                  <c:v>6.54</c:v>
                </c:pt>
                <c:pt idx="7">
                  <c:v>5.8</c:v>
                </c:pt>
                <c:pt idx="8">
                  <c:v>5.8</c:v>
                </c:pt>
                <c:pt idx="9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BF-4C73-8B75-819C47A2FD4E}"/>
            </c:ext>
          </c:extLst>
        </c:ser>
        <c:ser>
          <c:idx val="5"/>
          <c:order val="5"/>
          <c:tx>
            <c:strRef>
              <c:f>Cucumbers!$A$7:$E$7</c:f>
              <c:strCache>
                <c:ptCount val="5"/>
                <c:pt idx="0">
                  <c:v>PUEBLO</c:v>
                </c:pt>
                <c:pt idx="1">
                  <c:v>CUCUMBERS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Cucumbers!$F$7:$O$7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5.76</c:v>
                </c:pt>
                <c:pt idx="6">
                  <c:v>7.28</c:v>
                </c:pt>
                <c:pt idx="7">
                  <c:v>6.54</c:v>
                </c:pt>
                <c:pt idx="8">
                  <c:v>6.71</c:v>
                </c:pt>
                <c:pt idx="9">
                  <c:v>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BF-4C73-8B75-819C47A2FD4E}"/>
            </c:ext>
          </c:extLst>
        </c:ser>
        <c:ser>
          <c:idx val="6"/>
          <c:order val="6"/>
          <c:tx>
            <c:strRef>
              <c:f>Cucumbers!$A$8:$E$8</c:f>
              <c:strCache>
                <c:ptCount val="5"/>
                <c:pt idx="0">
                  <c:v>PUEBLO</c:v>
                </c:pt>
                <c:pt idx="1">
                  <c:v>CUCUMBERS</c:v>
                </c:pt>
                <c:pt idx="2">
                  <c:v>PKL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Cucumbers!$F$8:$O$8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8.14</c:v>
                </c:pt>
                <c:pt idx="4">
                  <c:v>7.94</c:v>
                </c:pt>
                <c:pt idx="5">
                  <c:v>6.76</c:v>
                </c:pt>
                <c:pt idx="6">
                  <c:v>7.53</c:v>
                </c:pt>
                <c:pt idx="7">
                  <c:v>6.61</c:v>
                </c:pt>
                <c:pt idx="8">
                  <c:v>5.74</c:v>
                </c:pt>
                <c:pt idx="9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1BF-4C73-8B75-819C47A2FD4E}"/>
            </c:ext>
          </c:extLst>
        </c:ser>
        <c:ser>
          <c:idx val="7"/>
          <c:order val="7"/>
          <c:tx>
            <c:strRef>
              <c:f>Cucumbers!$A$9:$E$9</c:f>
              <c:strCache>
                <c:ptCount val="5"/>
                <c:pt idx="0">
                  <c:v>WELD</c:v>
                </c:pt>
                <c:pt idx="1">
                  <c:v>CUCUMBERS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Cucumbers!$F$9:$O$9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5.9</c:v>
                </c:pt>
                <c:pt idx="6">
                  <c:v>5.52</c:v>
                </c:pt>
                <c:pt idx="7">
                  <c:v>5.16</c:v>
                </c:pt>
                <c:pt idx="8">
                  <c:v>6.62</c:v>
                </c:pt>
                <c:pt idx="9">
                  <c:v>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1BF-4C73-8B75-819C47A2FD4E}"/>
            </c:ext>
          </c:extLst>
        </c:ser>
        <c:ser>
          <c:idx val="8"/>
          <c:order val="8"/>
          <c:tx>
            <c:strRef>
              <c:f>Cucumbers!$A$10:$E$10</c:f>
              <c:strCache>
                <c:ptCount val="5"/>
                <c:pt idx="0">
                  <c:v>WELD</c:v>
                </c:pt>
                <c:pt idx="1">
                  <c:v>CUCUMBERS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Cucumbers!$F$10:$O$10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5.76</c:v>
                </c:pt>
                <c:pt idx="6">
                  <c:v>7.28</c:v>
                </c:pt>
                <c:pt idx="7">
                  <c:v>6.54</c:v>
                </c:pt>
                <c:pt idx="8">
                  <c:v>4.97</c:v>
                </c:pt>
                <c:pt idx="9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1BF-4C73-8B75-819C47A2FD4E}"/>
            </c:ext>
          </c:extLst>
        </c:ser>
        <c:ser>
          <c:idx val="9"/>
          <c:order val="9"/>
          <c:tx>
            <c:strRef>
              <c:f>Cucumbers!$A$11:$E$11</c:f>
              <c:strCache>
                <c:ptCount val="5"/>
                <c:pt idx="0">
                  <c:v>WELD</c:v>
                </c:pt>
                <c:pt idx="1">
                  <c:v>CUCUMBERS</c:v>
                </c:pt>
                <c:pt idx="2">
                  <c:v>PKL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Cucumbers!$F$11:$O$11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5.5</c:v>
                </c:pt>
                <c:pt idx="6">
                  <c:v>7.53</c:v>
                </c:pt>
                <c:pt idx="7">
                  <c:v>6.43</c:v>
                </c:pt>
                <c:pt idx="8">
                  <c:v>5.18</c:v>
                </c:pt>
                <c:pt idx="9">
                  <c:v>4.8899999999999997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1BF-4C73-8B75-819C47A2F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379599"/>
        <c:axId val="664381039"/>
      </c:lineChart>
      <c:catAx>
        <c:axId val="66437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81039"/>
        <c:crosses val="autoZero"/>
        <c:auto val="1"/>
        <c:lblAlgn val="ctr"/>
        <c:lblOffset val="100"/>
        <c:noMultiLvlLbl val="0"/>
      </c:catAx>
      <c:valAx>
        <c:axId val="664381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7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Beans!$A$2:$E$2</c:f>
              <c:strCache>
                <c:ptCount val="5"/>
                <c:pt idx="0">
                  <c:v>CROWLEY'</c:v>
                </c:pt>
                <c:pt idx="1">
                  <c:v>BEANS</c:v>
                </c:pt>
                <c:pt idx="2">
                  <c:v>ANA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Beans!$F$2:$O$2</c:f>
              <c:numCache>
                <c:formatCode>General</c:formatCode>
                <c:ptCount val="10"/>
                <c:pt idx="0">
                  <c:v>1641</c:v>
                </c:pt>
                <c:pt idx="1">
                  <c:v>1603</c:v>
                </c:pt>
                <c:pt idx="2">
                  <c:v>1603</c:v>
                </c:pt>
                <c:pt idx="3">
                  <c:v>1688</c:v>
                </c:pt>
                <c:pt idx="4">
                  <c:v>1847</c:v>
                </c:pt>
                <c:pt idx="5">
                  <c:v>1847</c:v>
                </c:pt>
                <c:pt idx="6">
                  <c:v>1938</c:v>
                </c:pt>
                <c:pt idx="7">
                  <c:v>1986</c:v>
                </c:pt>
                <c:pt idx="8">
                  <c:v>1961</c:v>
                </c:pt>
                <c:pt idx="9">
                  <c:v>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34-4CE2-9AB9-B837D7B2FC2A}"/>
            </c:ext>
          </c:extLst>
        </c:ser>
        <c:ser>
          <c:idx val="1"/>
          <c:order val="1"/>
          <c:tx>
            <c:strRef>
              <c:f>Beans!$A$3:$E$3</c:f>
              <c:strCache>
                <c:ptCount val="5"/>
                <c:pt idx="0">
                  <c:v>CROWLEY'</c:v>
                </c:pt>
                <c:pt idx="1">
                  <c:v>BEANS</c:v>
                </c:pt>
                <c:pt idx="2">
                  <c:v>BTU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Beans!$F$3:$O$3</c:f>
              <c:numCache>
                <c:formatCode>General</c:formatCode>
                <c:ptCount val="10"/>
                <c:pt idx="0">
                  <c:v>1641</c:v>
                </c:pt>
                <c:pt idx="1">
                  <c:v>1603</c:v>
                </c:pt>
                <c:pt idx="2">
                  <c:v>1603</c:v>
                </c:pt>
                <c:pt idx="3">
                  <c:v>1688</c:v>
                </c:pt>
                <c:pt idx="4">
                  <c:v>1847</c:v>
                </c:pt>
                <c:pt idx="5">
                  <c:v>1847</c:v>
                </c:pt>
                <c:pt idx="6">
                  <c:v>1927</c:v>
                </c:pt>
                <c:pt idx="7">
                  <c:v>1972</c:v>
                </c:pt>
                <c:pt idx="8">
                  <c:v>1943</c:v>
                </c:pt>
                <c:pt idx="9">
                  <c:v>1973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34-4CE2-9AB9-B837D7B2FC2A}"/>
            </c:ext>
          </c:extLst>
        </c:ser>
        <c:ser>
          <c:idx val="2"/>
          <c:order val="2"/>
          <c:tx>
            <c:strRef>
              <c:f>Beans!$A$4:$E$4</c:f>
              <c:strCache>
                <c:ptCount val="5"/>
                <c:pt idx="0">
                  <c:v>CROWLEY'</c:v>
                </c:pt>
                <c:pt idx="1">
                  <c:v>BEANS</c:v>
                </c:pt>
                <c:pt idx="2">
                  <c:v>GTN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Beans!$F$4:$O$4</c:f>
              <c:numCache>
                <c:formatCode>General</c:formatCode>
                <c:ptCount val="10"/>
                <c:pt idx="0">
                  <c:v>1641</c:v>
                </c:pt>
                <c:pt idx="1">
                  <c:v>1603</c:v>
                </c:pt>
                <c:pt idx="2">
                  <c:v>1603</c:v>
                </c:pt>
                <c:pt idx="3">
                  <c:v>1688</c:v>
                </c:pt>
                <c:pt idx="4">
                  <c:v>1847</c:v>
                </c:pt>
                <c:pt idx="5">
                  <c:v>1847</c:v>
                </c:pt>
                <c:pt idx="6">
                  <c:v>1938</c:v>
                </c:pt>
                <c:pt idx="7">
                  <c:v>1986</c:v>
                </c:pt>
                <c:pt idx="8">
                  <c:v>1961</c:v>
                </c:pt>
                <c:pt idx="9">
                  <c:v>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4-4CE2-9AB9-B837D7B2FC2A}"/>
            </c:ext>
          </c:extLst>
        </c:ser>
        <c:ser>
          <c:idx val="3"/>
          <c:order val="3"/>
          <c:tx>
            <c:strRef>
              <c:f>Beans!$A$5:$E$5</c:f>
              <c:strCache>
                <c:ptCount val="5"/>
                <c:pt idx="0">
                  <c:v>KIT CARSON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Beans!$F$5:$O$5</c:f>
              <c:numCache>
                <c:formatCode>General</c:formatCode>
                <c:ptCount val="10"/>
                <c:pt idx="0">
                  <c:v>1900</c:v>
                </c:pt>
                <c:pt idx="1">
                  <c:v>1850</c:v>
                </c:pt>
                <c:pt idx="2">
                  <c:v>1850</c:v>
                </c:pt>
                <c:pt idx="3">
                  <c:v>1810</c:v>
                </c:pt>
                <c:pt idx="4">
                  <c:v>1720</c:v>
                </c:pt>
                <c:pt idx="5">
                  <c:v>1720</c:v>
                </c:pt>
                <c:pt idx="6">
                  <c:v>1685</c:v>
                </c:pt>
                <c:pt idx="7">
                  <c:v>1662</c:v>
                </c:pt>
                <c:pt idx="8">
                  <c:v>1716</c:v>
                </c:pt>
                <c:pt idx="9">
                  <c:v>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4-4CE2-9AB9-B837D7B2FC2A}"/>
            </c:ext>
          </c:extLst>
        </c:ser>
        <c:ser>
          <c:idx val="4"/>
          <c:order val="4"/>
          <c:tx>
            <c:strRef>
              <c:f>Beans!$A$6:$E$6</c:f>
              <c:strCache>
                <c:ptCount val="5"/>
                <c:pt idx="0">
                  <c:v>KIT CARSON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Beans!$F$6:$O$6</c:f>
              <c:numCache>
                <c:formatCode>General</c:formatCode>
                <c:ptCount val="10"/>
                <c:pt idx="0">
                  <c:v>948</c:v>
                </c:pt>
                <c:pt idx="1">
                  <c:v>936</c:v>
                </c:pt>
                <c:pt idx="2">
                  <c:v>936</c:v>
                </c:pt>
                <c:pt idx="3">
                  <c:v>919</c:v>
                </c:pt>
                <c:pt idx="4">
                  <c:v>891</c:v>
                </c:pt>
                <c:pt idx="5">
                  <c:v>891</c:v>
                </c:pt>
                <c:pt idx="6">
                  <c:v>877</c:v>
                </c:pt>
                <c:pt idx="7">
                  <c:v>860</c:v>
                </c:pt>
                <c:pt idx="8">
                  <c:v>860</c:v>
                </c:pt>
                <c:pt idx="9">
                  <c:v>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34-4CE2-9AB9-B837D7B2FC2A}"/>
            </c:ext>
          </c:extLst>
        </c:ser>
        <c:ser>
          <c:idx val="5"/>
          <c:order val="5"/>
          <c:tx>
            <c:strRef>
              <c:f>Beans!$A$7:$E$7</c:f>
              <c:strCache>
                <c:ptCount val="5"/>
                <c:pt idx="0">
                  <c:v>LA PLATA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Beans!$F$7:$O$7</c:f>
              <c:numCache>
                <c:formatCode>General</c:formatCode>
                <c:ptCount val="10"/>
                <c:pt idx="2">
                  <c:v>936</c:v>
                </c:pt>
                <c:pt idx="3">
                  <c:v>919</c:v>
                </c:pt>
                <c:pt idx="4">
                  <c:v>891</c:v>
                </c:pt>
                <c:pt idx="5">
                  <c:v>891</c:v>
                </c:pt>
                <c:pt idx="6">
                  <c:v>877</c:v>
                </c:pt>
                <c:pt idx="7">
                  <c:v>860</c:v>
                </c:pt>
                <c:pt idx="8">
                  <c:v>860</c:v>
                </c:pt>
                <c:pt idx="9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34-4CE2-9AB9-B837D7B2FC2A}"/>
            </c:ext>
          </c:extLst>
        </c:ser>
        <c:ser>
          <c:idx val="6"/>
          <c:order val="6"/>
          <c:tx>
            <c:strRef>
              <c:f>Beans!$A$8:$E$8</c:f>
              <c:strCache>
                <c:ptCount val="5"/>
                <c:pt idx="0">
                  <c:v>LAS ANIMAS</c:v>
                </c:pt>
                <c:pt idx="1">
                  <c:v>BEANS</c:v>
                </c:pt>
                <c:pt idx="2">
                  <c:v>PNT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Beans!$F$8:$O$8</c:f>
              <c:numCache>
                <c:formatCode>General</c:formatCode>
                <c:ptCount val="10"/>
                <c:pt idx="8">
                  <c:v>1112</c:v>
                </c:pt>
                <c:pt idx="9">
                  <c:v>1112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34-4CE2-9AB9-B837D7B2FC2A}"/>
            </c:ext>
          </c:extLst>
        </c:ser>
        <c:ser>
          <c:idx val="7"/>
          <c:order val="7"/>
          <c:tx>
            <c:strRef>
              <c:f>Beans!$A$9:$E$9</c:f>
              <c:strCache>
                <c:ptCount val="5"/>
                <c:pt idx="0">
                  <c:v>MONTEZUMA</c:v>
                </c:pt>
                <c:pt idx="1">
                  <c:v>BEANS</c:v>
                </c:pt>
                <c:pt idx="2">
                  <c:v>BTU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Beans!$F$9:$O$9</c:f>
              <c:numCache>
                <c:formatCode>General</c:formatCode>
                <c:ptCount val="10"/>
                <c:pt idx="0">
                  <c:v>542</c:v>
                </c:pt>
                <c:pt idx="1">
                  <c:v>500</c:v>
                </c:pt>
                <c:pt idx="2">
                  <c:v>500</c:v>
                </c:pt>
                <c:pt idx="3">
                  <c:v>465</c:v>
                </c:pt>
                <c:pt idx="4">
                  <c:v>458</c:v>
                </c:pt>
                <c:pt idx="5">
                  <c:v>458</c:v>
                </c:pt>
                <c:pt idx="6">
                  <c:v>467</c:v>
                </c:pt>
                <c:pt idx="7">
                  <c:v>481</c:v>
                </c:pt>
                <c:pt idx="8">
                  <c:v>485</c:v>
                </c:pt>
                <c:pt idx="9">
                  <c:v>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34-4CE2-9AB9-B837D7B2FC2A}"/>
            </c:ext>
          </c:extLst>
        </c:ser>
        <c:ser>
          <c:idx val="8"/>
          <c:order val="8"/>
          <c:tx>
            <c:strRef>
              <c:f>Beans!$A$10:$E$10</c:f>
              <c:strCache>
                <c:ptCount val="5"/>
                <c:pt idx="0">
                  <c:v>MONTEZUMA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Beans!$F$10:$O$10</c:f>
              <c:numCache>
                <c:formatCode>General</c:formatCode>
                <c:ptCount val="10"/>
                <c:pt idx="0">
                  <c:v>948</c:v>
                </c:pt>
                <c:pt idx="1">
                  <c:v>936</c:v>
                </c:pt>
                <c:pt idx="2">
                  <c:v>936</c:v>
                </c:pt>
                <c:pt idx="3">
                  <c:v>919</c:v>
                </c:pt>
                <c:pt idx="4">
                  <c:v>891</c:v>
                </c:pt>
                <c:pt idx="5">
                  <c:v>891</c:v>
                </c:pt>
                <c:pt idx="6">
                  <c:v>877</c:v>
                </c:pt>
                <c:pt idx="7">
                  <c:v>860</c:v>
                </c:pt>
                <c:pt idx="8">
                  <c:v>860</c:v>
                </c:pt>
                <c:pt idx="9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34-4CE2-9AB9-B837D7B2FC2A}"/>
            </c:ext>
          </c:extLst>
        </c:ser>
        <c:ser>
          <c:idx val="9"/>
          <c:order val="9"/>
          <c:tx>
            <c:strRef>
              <c:f>Beans!$A$11:$E$11</c:f>
              <c:strCache>
                <c:ptCount val="5"/>
                <c:pt idx="0">
                  <c:v>OTERO</c:v>
                </c:pt>
                <c:pt idx="1">
                  <c:v>BEANS</c:v>
                </c:pt>
                <c:pt idx="2">
                  <c:v>GTN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Beans!$F$11:$O$11</c:f>
              <c:numCache>
                <c:formatCode>General</c:formatCode>
                <c:ptCount val="10"/>
                <c:pt idx="0">
                  <c:v>1641</c:v>
                </c:pt>
                <c:pt idx="1">
                  <c:v>1603</c:v>
                </c:pt>
                <c:pt idx="2">
                  <c:v>1603</c:v>
                </c:pt>
                <c:pt idx="3">
                  <c:v>1688</c:v>
                </c:pt>
                <c:pt idx="4">
                  <c:v>1847</c:v>
                </c:pt>
                <c:pt idx="5">
                  <c:v>1847</c:v>
                </c:pt>
                <c:pt idx="6">
                  <c:v>1938</c:v>
                </c:pt>
                <c:pt idx="7">
                  <c:v>1986</c:v>
                </c:pt>
                <c:pt idx="8">
                  <c:v>1961</c:v>
                </c:pt>
                <c:pt idx="9">
                  <c:v>1986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34-4CE2-9AB9-B837D7B2FC2A}"/>
            </c:ext>
          </c:extLst>
        </c:ser>
        <c:ser>
          <c:idx val="10"/>
          <c:order val="10"/>
          <c:tx>
            <c:strRef>
              <c:f>Beans!$A$12:$E$12</c:f>
              <c:strCache>
                <c:ptCount val="5"/>
                <c:pt idx="0">
                  <c:v>SAN MIGUEL</c:v>
                </c:pt>
                <c:pt idx="1">
                  <c:v>BEANS</c:v>
                </c:pt>
                <c:pt idx="2">
                  <c:v>ANA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Beans!$F$12:$O$12</c:f>
              <c:numCache>
                <c:formatCode>General</c:formatCode>
                <c:ptCount val="10"/>
                <c:pt idx="0">
                  <c:v>438</c:v>
                </c:pt>
                <c:pt idx="1">
                  <c:v>434</c:v>
                </c:pt>
                <c:pt idx="2">
                  <c:v>434</c:v>
                </c:pt>
                <c:pt idx="4">
                  <c:v>429</c:v>
                </c:pt>
                <c:pt idx="5">
                  <c:v>365</c:v>
                </c:pt>
                <c:pt idx="6">
                  <c:v>375</c:v>
                </c:pt>
                <c:pt idx="7">
                  <c:v>867</c:v>
                </c:pt>
                <c:pt idx="8">
                  <c:v>1052</c:v>
                </c:pt>
                <c:pt idx="9">
                  <c:v>1285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34-4CE2-9AB9-B837D7B2FC2A}"/>
            </c:ext>
          </c:extLst>
        </c:ser>
        <c:ser>
          <c:idx val="11"/>
          <c:order val="11"/>
          <c:tx>
            <c:strRef>
              <c:f>Beans!$A$13:$E$13</c:f>
              <c:strCache>
                <c:ptCount val="5"/>
                <c:pt idx="0">
                  <c:v>SEDGWICK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Beans!$F$13:$O$13</c:f>
              <c:numCache>
                <c:formatCode>General</c:formatCode>
                <c:ptCount val="10"/>
                <c:pt idx="0">
                  <c:v>948</c:v>
                </c:pt>
                <c:pt idx="1">
                  <c:v>936</c:v>
                </c:pt>
                <c:pt idx="2">
                  <c:v>936</c:v>
                </c:pt>
                <c:pt idx="3">
                  <c:v>919</c:v>
                </c:pt>
                <c:pt idx="4">
                  <c:v>891</c:v>
                </c:pt>
                <c:pt idx="5">
                  <c:v>891</c:v>
                </c:pt>
                <c:pt idx="6">
                  <c:v>877</c:v>
                </c:pt>
                <c:pt idx="7">
                  <c:v>927</c:v>
                </c:pt>
                <c:pt idx="8">
                  <c:v>927</c:v>
                </c:pt>
                <c:pt idx="9">
                  <c:v>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34-4CE2-9AB9-B837D7B2FC2A}"/>
            </c:ext>
          </c:extLst>
        </c:ser>
        <c:ser>
          <c:idx val="12"/>
          <c:order val="12"/>
          <c:tx>
            <c:strRef>
              <c:f>Beans!$A$14:$E$14</c:f>
              <c:strCache>
                <c:ptCount val="5"/>
                <c:pt idx="0">
                  <c:v>YUMA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Beans!$F$14:$O$14</c:f>
              <c:numCache>
                <c:formatCode>General</c:formatCode>
                <c:ptCount val="10"/>
                <c:pt idx="7">
                  <c:v>1662</c:v>
                </c:pt>
                <c:pt idx="8">
                  <c:v>1716</c:v>
                </c:pt>
                <c:pt idx="9">
                  <c:v>1802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634-4CE2-9AB9-B837D7B2FC2A}"/>
            </c:ext>
          </c:extLst>
        </c:ser>
        <c:ser>
          <c:idx val="13"/>
          <c:order val="13"/>
          <c:tx>
            <c:strRef>
              <c:f>Beans!$A$15:$E$15</c:f>
              <c:strCache>
                <c:ptCount val="5"/>
                <c:pt idx="0">
                  <c:v>YUMA</c:v>
                </c:pt>
                <c:pt idx="1">
                  <c:v>BEANS</c:v>
                </c:pt>
                <c:pt idx="2">
                  <c:v>GAR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Beans!$F$15:$O$15</c:f>
              <c:numCache>
                <c:formatCode>General</c:formatCode>
                <c:ptCount val="10"/>
                <c:pt idx="7">
                  <c:v>860</c:v>
                </c:pt>
                <c:pt idx="8">
                  <c:v>860</c:v>
                </c:pt>
                <c:pt idx="9">
                  <c:v>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634-4CE2-9AB9-B837D7B2FC2A}"/>
            </c:ext>
          </c:extLst>
        </c:ser>
        <c:ser>
          <c:idx val="14"/>
          <c:order val="14"/>
          <c:tx>
            <c:strRef>
              <c:f>Beans!$A$16:$E$16</c:f>
              <c:strCache>
                <c:ptCount val="5"/>
                <c:pt idx="0">
                  <c:v>YUMA</c:v>
                </c:pt>
                <c:pt idx="1">
                  <c:v>BEANS</c:v>
                </c:pt>
                <c:pt idx="2">
                  <c:v>SMR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Beans!$F$16:$O$16</c:f>
              <c:numCache>
                <c:formatCode>General</c:formatCode>
                <c:ptCount val="10"/>
                <c:pt idx="5">
                  <c:v>2362</c:v>
                </c:pt>
                <c:pt idx="6">
                  <c:v>2362</c:v>
                </c:pt>
                <c:pt idx="7">
                  <c:v>2214</c:v>
                </c:pt>
                <c:pt idx="8">
                  <c:v>1922</c:v>
                </c:pt>
                <c:pt idx="9">
                  <c:v>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634-4CE2-9AB9-B837D7B2F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870303"/>
        <c:axId val="555877023"/>
      </c:lineChart>
      <c:catAx>
        <c:axId val="55587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77023"/>
        <c:crosses val="autoZero"/>
        <c:auto val="1"/>
        <c:lblAlgn val="ctr"/>
        <c:lblOffset val="100"/>
        <c:noMultiLvlLbl val="0"/>
      </c:catAx>
      <c:valAx>
        <c:axId val="55587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70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Beans!$A$18:$E$18</c:f>
              <c:strCache>
                <c:ptCount val="5"/>
                <c:pt idx="0">
                  <c:v>ADAMS</c:v>
                </c:pt>
                <c:pt idx="1">
                  <c:v>BEANS</c:v>
                </c:pt>
                <c:pt idx="2">
                  <c:v>GRN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Beans!$F$18:$O$18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3767</c:v>
                </c:pt>
                <c:pt idx="5">
                  <c:v>3767</c:v>
                </c:pt>
                <c:pt idx="6">
                  <c:v>3627</c:v>
                </c:pt>
                <c:pt idx="7">
                  <c:v>3473</c:v>
                </c:pt>
                <c:pt idx="8">
                  <c:v>2988</c:v>
                </c:pt>
                <c:pt idx="9">
                  <c:v>2510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6-4123-8D83-A42A232EB33C}"/>
            </c:ext>
          </c:extLst>
        </c:ser>
        <c:ser>
          <c:idx val="1"/>
          <c:order val="1"/>
          <c:tx>
            <c:strRef>
              <c:f>Beans!$A$19:$E$19</c:f>
              <c:strCache>
                <c:ptCount val="5"/>
                <c:pt idx="0">
                  <c:v>CROWLEY'</c:v>
                </c:pt>
                <c:pt idx="1">
                  <c:v>BEANS</c:v>
                </c:pt>
                <c:pt idx="2">
                  <c:v>GRN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Beans!$F$19:$O$19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3600</c:v>
                </c:pt>
                <c:pt idx="5">
                  <c:v>3335</c:v>
                </c:pt>
                <c:pt idx="6">
                  <c:v>3262</c:v>
                </c:pt>
                <c:pt idx="7">
                  <c:v>2778</c:v>
                </c:pt>
                <c:pt idx="8">
                  <c:v>1713</c:v>
                </c:pt>
                <c:pt idx="9">
                  <c:v>1540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6-4123-8D83-A42A232EB33C}"/>
            </c:ext>
          </c:extLst>
        </c:ser>
        <c:ser>
          <c:idx val="2"/>
          <c:order val="2"/>
          <c:tx>
            <c:strRef>
              <c:f>Beans!$A$20:$E$20</c:f>
              <c:strCache>
                <c:ptCount val="5"/>
                <c:pt idx="0">
                  <c:v>FREMONT</c:v>
                </c:pt>
                <c:pt idx="1">
                  <c:v>BEANS</c:v>
                </c:pt>
                <c:pt idx="2">
                  <c:v>GRN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Beans!$F$20:$O$20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4">
                  <c:v>3667</c:v>
                </c:pt>
                <c:pt idx="5">
                  <c:v>3584</c:v>
                </c:pt>
                <c:pt idx="6">
                  <c:v>3444</c:v>
                </c:pt>
                <c:pt idx="7">
                  <c:v>3444</c:v>
                </c:pt>
                <c:pt idx="8">
                  <c:v>3644</c:v>
                </c:pt>
                <c:pt idx="9">
                  <c:v>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86-4123-8D83-A42A232EB33C}"/>
            </c:ext>
          </c:extLst>
        </c:ser>
        <c:ser>
          <c:idx val="3"/>
          <c:order val="3"/>
          <c:tx>
            <c:strRef>
              <c:f>Beans!$A$21:$E$21</c:f>
              <c:strCache>
                <c:ptCount val="5"/>
                <c:pt idx="0">
                  <c:v>OTERO</c:v>
                </c:pt>
                <c:pt idx="1">
                  <c:v>BEANS</c:v>
                </c:pt>
                <c:pt idx="2">
                  <c:v>FAV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Beans!$F$21:$O$21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3753</c:v>
                </c:pt>
                <c:pt idx="5">
                  <c:v>3753</c:v>
                </c:pt>
                <c:pt idx="6">
                  <c:v>3285</c:v>
                </c:pt>
                <c:pt idx="7">
                  <c:v>2703</c:v>
                </c:pt>
                <c:pt idx="8">
                  <c:v>2042</c:v>
                </c:pt>
                <c:pt idx="9">
                  <c:v>1544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86-4123-8D83-A42A232EB33C}"/>
            </c:ext>
          </c:extLst>
        </c:ser>
        <c:ser>
          <c:idx val="4"/>
          <c:order val="4"/>
          <c:tx>
            <c:strRef>
              <c:f>Beans!$A$22:$E$22</c:f>
              <c:strCache>
                <c:ptCount val="5"/>
                <c:pt idx="0">
                  <c:v>OTERO</c:v>
                </c:pt>
                <c:pt idx="1">
                  <c:v>BEANS</c:v>
                </c:pt>
                <c:pt idx="2">
                  <c:v>GRN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Beans!$F$22:$O$22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3600</c:v>
                </c:pt>
                <c:pt idx="5">
                  <c:v>3335</c:v>
                </c:pt>
                <c:pt idx="6">
                  <c:v>3262</c:v>
                </c:pt>
                <c:pt idx="7">
                  <c:v>3262</c:v>
                </c:pt>
                <c:pt idx="8">
                  <c:v>2778</c:v>
                </c:pt>
                <c:pt idx="9">
                  <c:v>2561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286-4123-8D83-A42A232EB33C}"/>
            </c:ext>
          </c:extLst>
        </c:ser>
        <c:ser>
          <c:idx val="5"/>
          <c:order val="5"/>
          <c:tx>
            <c:strRef>
              <c:f>Beans!$A$23:$E$23</c:f>
              <c:strCache>
                <c:ptCount val="5"/>
                <c:pt idx="0">
                  <c:v>OTERO</c:v>
                </c:pt>
                <c:pt idx="1">
                  <c:v>BEANS</c:v>
                </c:pt>
                <c:pt idx="2">
                  <c:v>WAX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Beans!$F$23:$O$23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3753</c:v>
                </c:pt>
                <c:pt idx="5">
                  <c:v>3753</c:v>
                </c:pt>
                <c:pt idx="6">
                  <c:v>3641</c:v>
                </c:pt>
                <c:pt idx="7">
                  <c:v>3226</c:v>
                </c:pt>
                <c:pt idx="8">
                  <c:v>2565</c:v>
                </c:pt>
                <c:pt idx="9">
                  <c:v>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286-4123-8D83-A42A232EB33C}"/>
            </c:ext>
          </c:extLst>
        </c:ser>
        <c:ser>
          <c:idx val="6"/>
          <c:order val="6"/>
          <c:tx>
            <c:strRef>
              <c:f>Beans!$A$24:$E$24</c:f>
              <c:strCache>
                <c:ptCount val="5"/>
                <c:pt idx="0">
                  <c:v>OTERO</c:v>
                </c:pt>
                <c:pt idx="1">
                  <c:v>BEANS</c:v>
                </c:pt>
                <c:pt idx="2">
                  <c:v>YEY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Beans!$F$24:$O$24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5">
                  <c:v>3753</c:v>
                </c:pt>
                <c:pt idx="6">
                  <c:v>3641</c:v>
                </c:pt>
                <c:pt idx="7">
                  <c:v>3226</c:v>
                </c:pt>
                <c:pt idx="8">
                  <c:v>2565</c:v>
                </c:pt>
                <c:pt idx="9">
                  <c:v>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286-4123-8D83-A42A232EB33C}"/>
            </c:ext>
          </c:extLst>
        </c:ser>
        <c:ser>
          <c:idx val="7"/>
          <c:order val="7"/>
          <c:tx>
            <c:strRef>
              <c:f>Beans!$A$25:$E$25</c:f>
              <c:strCache>
                <c:ptCount val="5"/>
                <c:pt idx="0">
                  <c:v>PUEBLO</c:v>
                </c:pt>
                <c:pt idx="1">
                  <c:v>BEANS</c:v>
                </c:pt>
                <c:pt idx="2">
                  <c:v>FAV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Beans!$F$25:$O$25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3753</c:v>
                </c:pt>
                <c:pt idx="5">
                  <c:v>3753</c:v>
                </c:pt>
                <c:pt idx="6">
                  <c:v>3285</c:v>
                </c:pt>
                <c:pt idx="7">
                  <c:v>2703</c:v>
                </c:pt>
                <c:pt idx="8">
                  <c:v>2047</c:v>
                </c:pt>
                <c:pt idx="9">
                  <c:v>1965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86-4123-8D83-A42A232EB33C}"/>
            </c:ext>
          </c:extLst>
        </c:ser>
        <c:ser>
          <c:idx val="8"/>
          <c:order val="8"/>
          <c:tx>
            <c:strRef>
              <c:f>Beans!$A$26:$E$26</c:f>
              <c:strCache>
                <c:ptCount val="5"/>
                <c:pt idx="0">
                  <c:v>PUEBLO</c:v>
                </c:pt>
                <c:pt idx="1">
                  <c:v>BEANS</c:v>
                </c:pt>
                <c:pt idx="2">
                  <c:v>GRN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Beans!$F$26:$O$26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3600</c:v>
                </c:pt>
                <c:pt idx="5">
                  <c:v>3517</c:v>
                </c:pt>
                <c:pt idx="6">
                  <c:v>3444</c:v>
                </c:pt>
                <c:pt idx="7">
                  <c:v>3444</c:v>
                </c:pt>
                <c:pt idx="8">
                  <c:v>3930</c:v>
                </c:pt>
                <c:pt idx="9">
                  <c:v>4021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86-4123-8D83-A42A232EB33C}"/>
            </c:ext>
          </c:extLst>
        </c:ser>
        <c:ser>
          <c:idx val="9"/>
          <c:order val="9"/>
          <c:tx>
            <c:strRef>
              <c:f>Beans!$A$27:$E$27</c:f>
              <c:strCache>
                <c:ptCount val="5"/>
                <c:pt idx="0">
                  <c:v>PUEBLO</c:v>
                </c:pt>
                <c:pt idx="1">
                  <c:v>BEANS</c:v>
                </c:pt>
                <c:pt idx="2">
                  <c:v>YEY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Beans!$F$27:$O$27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5">
                  <c:v>3753</c:v>
                </c:pt>
                <c:pt idx="6">
                  <c:v>3641</c:v>
                </c:pt>
                <c:pt idx="7">
                  <c:v>3226</c:v>
                </c:pt>
                <c:pt idx="8">
                  <c:v>2571</c:v>
                </c:pt>
                <c:pt idx="9">
                  <c:v>2357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86-4123-8D83-A42A232EB33C}"/>
            </c:ext>
          </c:extLst>
        </c:ser>
        <c:ser>
          <c:idx val="10"/>
          <c:order val="10"/>
          <c:tx>
            <c:strRef>
              <c:f>Beans!$A$28:$E$28</c:f>
              <c:strCache>
                <c:ptCount val="5"/>
                <c:pt idx="0">
                  <c:v>WELD</c:v>
                </c:pt>
                <c:pt idx="1">
                  <c:v>BEANS</c:v>
                </c:pt>
                <c:pt idx="2">
                  <c:v>GRN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Beans!$F$28:$O$28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4">
                  <c:v>3767</c:v>
                </c:pt>
                <c:pt idx="5">
                  <c:v>3767</c:v>
                </c:pt>
                <c:pt idx="6">
                  <c:v>3627</c:v>
                </c:pt>
                <c:pt idx="7">
                  <c:v>3473</c:v>
                </c:pt>
                <c:pt idx="8">
                  <c:v>2988</c:v>
                </c:pt>
                <c:pt idx="9">
                  <c:v>2510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86-4123-8D83-A42A232EB33C}"/>
            </c:ext>
          </c:extLst>
        </c:ser>
        <c:ser>
          <c:idx val="11"/>
          <c:order val="11"/>
          <c:tx>
            <c:strRef>
              <c:f>Beans!$A$29:$E$29</c:f>
              <c:strCache>
                <c:ptCount val="5"/>
                <c:pt idx="0">
                  <c:v>WELD</c:v>
                </c:pt>
                <c:pt idx="1">
                  <c:v>BEANS</c:v>
                </c:pt>
                <c:pt idx="2">
                  <c:v>TIG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Beans!$F$29:$O$29</c:f>
              <c:numCache>
                <c:formatCode>General</c:formatCode>
                <c:ptCount val="10"/>
                <c:pt idx="2">
                  <c:v>1607</c:v>
                </c:pt>
                <c:pt idx="3">
                  <c:v>1573</c:v>
                </c:pt>
                <c:pt idx="6">
                  <c:v>1517</c:v>
                </c:pt>
                <c:pt idx="7">
                  <c:v>1517</c:v>
                </c:pt>
                <c:pt idx="8">
                  <c:v>1517</c:v>
                </c:pt>
                <c:pt idx="9">
                  <c:v>1330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86-4123-8D83-A42A232EB33C}"/>
            </c:ext>
          </c:extLst>
        </c:ser>
        <c:ser>
          <c:idx val="12"/>
          <c:order val="12"/>
          <c:tx>
            <c:strRef>
              <c:f>Beans!$A$30:$E$30</c:f>
              <c:strCache>
                <c:ptCount val="5"/>
                <c:pt idx="0">
                  <c:v>WELD</c:v>
                </c:pt>
                <c:pt idx="1">
                  <c:v>BEANS</c:v>
                </c:pt>
                <c:pt idx="2">
                  <c:v>WAX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Beans!$F$30:$O$30</c:f>
              <c:numCache>
                <c:formatCode>General</c:formatCode>
                <c:ptCount val="10"/>
                <c:pt idx="0">
                  <c:v>4233</c:v>
                </c:pt>
                <c:pt idx="1">
                  <c:v>3933</c:v>
                </c:pt>
                <c:pt idx="2">
                  <c:v>3933</c:v>
                </c:pt>
                <c:pt idx="3">
                  <c:v>3767</c:v>
                </c:pt>
                <c:pt idx="5">
                  <c:v>3753</c:v>
                </c:pt>
                <c:pt idx="6">
                  <c:v>3641</c:v>
                </c:pt>
                <c:pt idx="7">
                  <c:v>3694</c:v>
                </c:pt>
                <c:pt idx="8">
                  <c:v>3452</c:v>
                </c:pt>
                <c:pt idx="9">
                  <c:v>4490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86-4123-8D83-A42A232EB33C}"/>
            </c:ext>
          </c:extLst>
        </c:ser>
        <c:ser>
          <c:idx val="13"/>
          <c:order val="13"/>
          <c:tx>
            <c:strRef>
              <c:f>Beans!$A$31:$E$31</c:f>
              <c:strCache>
                <c:ptCount val="5"/>
                <c:pt idx="0">
                  <c:v>WELD</c:v>
                </c:pt>
                <c:pt idx="1">
                  <c:v>BEANS</c:v>
                </c:pt>
                <c:pt idx="2">
                  <c:v>DRK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Beans!$F$17:$O$17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Beans!$F$31:$O$31</c:f>
              <c:numCache>
                <c:formatCode>General</c:formatCode>
                <c:ptCount val="10"/>
                <c:pt idx="7">
                  <c:v>3226</c:v>
                </c:pt>
                <c:pt idx="8">
                  <c:v>2565</c:v>
                </c:pt>
                <c:pt idx="9">
                  <c:v>2066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286-4123-8D83-A42A232EB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818943"/>
        <c:axId val="555805023"/>
      </c:lineChart>
      <c:catAx>
        <c:axId val="55581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05023"/>
        <c:crosses val="autoZero"/>
        <c:auto val="1"/>
        <c:lblAlgn val="ctr"/>
        <c:lblOffset val="100"/>
        <c:noMultiLvlLbl val="0"/>
      </c:catAx>
      <c:valAx>
        <c:axId val="55580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1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Beans!$A$33:$E$33</c:f>
              <c:strCache>
                <c:ptCount val="5"/>
                <c:pt idx="0">
                  <c:v>KIT CARSON</c:v>
                </c:pt>
                <c:pt idx="1">
                  <c:v>BEANS</c:v>
                </c:pt>
                <c:pt idx="2">
                  <c:v>PNT</c:v>
                </c:pt>
                <c:pt idx="3">
                  <c:v>SD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Beans!$F$32:$O$32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Beans!$F$33:$O$33</c:f>
              <c:numCache>
                <c:formatCode>General</c:formatCode>
                <c:ptCount val="10"/>
                <c:pt idx="0">
                  <c:v>556</c:v>
                </c:pt>
                <c:pt idx="1">
                  <c:v>561</c:v>
                </c:pt>
                <c:pt idx="2">
                  <c:v>561</c:v>
                </c:pt>
                <c:pt idx="3">
                  <c:v>555</c:v>
                </c:pt>
                <c:pt idx="4">
                  <c:v>558</c:v>
                </c:pt>
                <c:pt idx="5">
                  <c:v>558</c:v>
                </c:pt>
                <c:pt idx="6">
                  <c:v>558</c:v>
                </c:pt>
                <c:pt idx="7">
                  <c:v>558</c:v>
                </c:pt>
                <c:pt idx="8">
                  <c:v>558</c:v>
                </c:pt>
                <c:pt idx="9">
                  <c:v>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AE-4B11-86C8-D6FCD05BB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886623"/>
        <c:axId val="555887103"/>
      </c:lineChart>
      <c:catAx>
        <c:axId val="55588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87103"/>
        <c:crosses val="autoZero"/>
        <c:auto val="1"/>
        <c:lblAlgn val="ctr"/>
        <c:lblOffset val="100"/>
        <c:noMultiLvlLbl val="0"/>
      </c:catAx>
      <c:valAx>
        <c:axId val="55588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86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'Brussel Sprouts'!$A$2:$E$2</c:f>
              <c:strCache>
                <c:ptCount val="5"/>
                <c:pt idx="0">
                  <c:v>WELD</c:v>
                </c:pt>
                <c:pt idx="1">
                  <c:v>BRUSSEL SPROUTS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'Brussel Sprouts'!$F$1:$O$1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'Brussel Sprouts'!$F$2:$O$2</c:f>
              <c:numCache>
                <c:formatCode>General</c:formatCode>
                <c:ptCount val="10"/>
                <c:pt idx="0">
                  <c:v>129.68</c:v>
                </c:pt>
                <c:pt idx="1">
                  <c:v>129.99</c:v>
                </c:pt>
                <c:pt idx="2">
                  <c:v>129.99</c:v>
                </c:pt>
                <c:pt idx="3">
                  <c:v>130.24</c:v>
                </c:pt>
                <c:pt idx="4">
                  <c:v>130.24</c:v>
                </c:pt>
                <c:pt idx="5">
                  <c:v>139.37</c:v>
                </c:pt>
                <c:pt idx="6">
                  <c:v>139.37</c:v>
                </c:pt>
                <c:pt idx="7">
                  <c:v>133.38999999999999</c:v>
                </c:pt>
                <c:pt idx="8">
                  <c:v>104.58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38-41AB-9D14-EF3546FD85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933183"/>
        <c:axId val="555928863"/>
      </c:lineChart>
      <c:catAx>
        <c:axId val="55593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28863"/>
        <c:crosses val="autoZero"/>
        <c:auto val="1"/>
        <c:lblAlgn val="ctr"/>
        <c:lblOffset val="100"/>
        <c:noMultiLvlLbl val="0"/>
      </c:catAx>
      <c:valAx>
        <c:axId val="55592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3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'Canary Melon'!$A$2:$E$2</c:f>
              <c:strCache>
                <c:ptCount val="5"/>
                <c:pt idx="0">
                  <c:v>WELD</c:v>
                </c:pt>
                <c:pt idx="1">
                  <c:v>CANARY MELON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'Canary Melon'!$F$1:$O$1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'Canary Melon'!$F$2:$O$2</c:f>
              <c:numCache>
                <c:formatCode>General</c:formatCode>
                <c:ptCount val="10"/>
                <c:pt idx="0">
                  <c:v>216.67</c:v>
                </c:pt>
                <c:pt idx="1">
                  <c:v>220.67</c:v>
                </c:pt>
                <c:pt idx="2">
                  <c:v>220.67</c:v>
                </c:pt>
                <c:pt idx="3">
                  <c:v>233</c:v>
                </c:pt>
                <c:pt idx="4">
                  <c:v>237.93</c:v>
                </c:pt>
                <c:pt idx="5">
                  <c:v>233.87</c:v>
                </c:pt>
                <c:pt idx="6">
                  <c:v>233.87</c:v>
                </c:pt>
                <c:pt idx="7">
                  <c:v>217.57</c:v>
                </c:pt>
                <c:pt idx="8">
                  <c:v>166.47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48-4F94-9600-72B6DD8C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899103"/>
        <c:axId val="555901983"/>
      </c:lineChart>
      <c:catAx>
        <c:axId val="55589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01983"/>
        <c:crosses val="autoZero"/>
        <c:auto val="1"/>
        <c:lblAlgn val="ctr"/>
        <c:lblOffset val="100"/>
        <c:noMultiLvlLbl val="0"/>
      </c:catAx>
      <c:valAx>
        <c:axId val="5559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89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Celery!$A$2:$E$2</c:f>
              <c:strCache>
                <c:ptCount val="5"/>
                <c:pt idx="0">
                  <c:v>WELD</c:v>
                </c:pt>
                <c:pt idx="1">
                  <c:v>CELERY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Celery!$F$1:$O$1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Celery!$F$2:$O$2</c:f>
              <c:numCache>
                <c:formatCode>General</c:formatCode>
                <c:ptCount val="10"/>
                <c:pt idx="0">
                  <c:v>620</c:v>
                </c:pt>
                <c:pt idx="1">
                  <c:v>615.66999999999996</c:v>
                </c:pt>
                <c:pt idx="2">
                  <c:v>615.66999999999996</c:v>
                </c:pt>
                <c:pt idx="3">
                  <c:v>604</c:v>
                </c:pt>
                <c:pt idx="4">
                  <c:v>589.66999999999996</c:v>
                </c:pt>
                <c:pt idx="5">
                  <c:v>567.66999999999996</c:v>
                </c:pt>
                <c:pt idx="6">
                  <c:v>531.29999999999995</c:v>
                </c:pt>
                <c:pt idx="7">
                  <c:v>355.88</c:v>
                </c:pt>
                <c:pt idx="8">
                  <c:v>187.12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5D-4C54-9134-3DFE91F2B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906303"/>
        <c:axId val="555911103"/>
      </c:lineChart>
      <c:catAx>
        <c:axId val="55590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11103"/>
        <c:crosses val="autoZero"/>
        <c:auto val="1"/>
        <c:lblAlgn val="ctr"/>
        <c:lblOffset val="100"/>
        <c:noMultiLvlLbl val="0"/>
      </c:catAx>
      <c:valAx>
        <c:axId val="5559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590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Hemp!$A$2:$E$2</c:f>
              <c:strCache>
                <c:ptCount val="5"/>
                <c:pt idx="0">
                  <c:v>ADAMS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Hemp!$F$2:$O$2</c:f>
              <c:numCache>
                <c:formatCode>General</c:formatCode>
                <c:ptCount val="10"/>
                <c:pt idx="2">
                  <c:v>288</c:v>
                </c:pt>
                <c:pt idx="3">
                  <c:v>288</c:v>
                </c:pt>
                <c:pt idx="4">
                  <c:v>288</c:v>
                </c:pt>
                <c:pt idx="5">
                  <c:v>190</c:v>
                </c:pt>
                <c:pt idx="6">
                  <c:v>191</c:v>
                </c:pt>
                <c:pt idx="7">
                  <c:v>190</c:v>
                </c:pt>
                <c:pt idx="8">
                  <c:v>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AA-4760-A1FE-B806C50991F1}"/>
            </c:ext>
          </c:extLst>
        </c:ser>
        <c:ser>
          <c:idx val="1"/>
          <c:order val="1"/>
          <c:tx>
            <c:strRef>
              <c:f>Hemp!$A$3:$E$3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Hemp!$F$3:$O$3</c:f>
              <c:numCache>
                <c:formatCode>General</c:formatCode>
                <c:ptCount val="10"/>
                <c:pt idx="2">
                  <c:v>828</c:v>
                </c:pt>
                <c:pt idx="3">
                  <c:v>828</c:v>
                </c:pt>
                <c:pt idx="4">
                  <c:v>828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AA-4760-A1FE-B806C50991F1}"/>
            </c:ext>
          </c:extLst>
        </c:ser>
        <c:ser>
          <c:idx val="2"/>
          <c:order val="2"/>
          <c:tx>
            <c:strRef>
              <c:f>Hemp!$A$4:$E$4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Hemp!$F$4:$O$4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329</c:v>
                </c:pt>
                <c:pt idx="5">
                  <c:v>329</c:v>
                </c:pt>
                <c:pt idx="6">
                  <c:v>329</c:v>
                </c:pt>
                <c:pt idx="7">
                  <c:v>329</c:v>
                </c:pt>
                <c:pt idx="8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AA-4760-A1FE-B806C50991F1}"/>
            </c:ext>
          </c:extLst>
        </c:ser>
        <c:ser>
          <c:idx val="3"/>
          <c:order val="3"/>
          <c:tx>
            <c:strRef>
              <c:f>Hemp!$A$5:$E$5</c:f>
              <c:strCache>
                <c:ptCount val="5"/>
                <c:pt idx="0">
                  <c:v>ARAPAHOE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Hemp!$F$5:$O$5</c:f>
              <c:numCache>
                <c:formatCode>General</c:formatCode>
                <c:ptCount val="10"/>
                <c:pt idx="2">
                  <c:v>254</c:v>
                </c:pt>
                <c:pt idx="3">
                  <c:v>254</c:v>
                </c:pt>
                <c:pt idx="4">
                  <c:v>254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AA-4760-A1FE-B806C50991F1}"/>
            </c:ext>
          </c:extLst>
        </c:ser>
        <c:ser>
          <c:idx val="4"/>
          <c:order val="4"/>
          <c:tx>
            <c:strRef>
              <c:f>Hemp!$A$6:$E$6</c:f>
              <c:strCache>
                <c:ptCount val="5"/>
                <c:pt idx="0">
                  <c:v>COSTILLA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Hemp!$F$6:$O$6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306</c:v>
                </c:pt>
                <c:pt idx="5">
                  <c:v>306</c:v>
                </c:pt>
                <c:pt idx="6">
                  <c:v>306</c:v>
                </c:pt>
                <c:pt idx="7">
                  <c:v>306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AA-4760-A1FE-B806C50991F1}"/>
            </c:ext>
          </c:extLst>
        </c:ser>
        <c:ser>
          <c:idx val="5"/>
          <c:order val="5"/>
          <c:tx>
            <c:strRef>
              <c:f>Hemp!$A$7:$E$7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Hemp!$F$7:$O$7</c:f>
              <c:numCache>
                <c:formatCode>General</c:formatCode>
                <c:ptCount val="10"/>
                <c:pt idx="2">
                  <c:v>671</c:v>
                </c:pt>
                <c:pt idx="3">
                  <c:v>671</c:v>
                </c:pt>
                <c:pt idx="4">
                  <c:v>671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AA-4760-A1FE-B806C50991F1}"/>
            </c:ext>
          </c:extLst>
        </c:ser>
        <c:ser>
          <c:idx val="6"/>
          <c:order val="6"/>
          <c:tx>
            <c:strRef>
              <c:f>Hemp!$A$8:$E$8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Hemp!$F$8:$O$8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266</c:v>
                </c:pt>
                <c:pt idx="5">
                  <c:v>266</c:v>
                </c:pt>
                <c:pt idx="6">
                  <c:v>266</c:v>
                </c:pt>
                <c:pt idx="7">
                  <c:v>266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AA-4760-A1FE-B806C50991F1}"/>
            </c:ext>
          </c:extLst>
        </c:ser>
        <c:ser>
          <c:idx val="7"/>
          <c:order val="7"/>
          <c:tx>
            <c:strRef>
              <c:f>Hemp!$A$9:$E$9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Hemp!$F$9:$O$9</c:f>
              <c:numCache>
                <c:formatCode>General</c:formatCode>
                <c:ptCount val="10"/>
                <c:pt idx="2">
                  <c:v>389</c:v>
                </c:pt>
                <c:pt idx="3">
                  <c:v>389</c:v>
                </c:pt>
                <c:pt idx="4">
                  <c:v>389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5AA-4760-A1FE-B806C50991F1}"/>
            </c:ext>
          </c:extLst>
        </c:ser>
        <c:ser>
          <c:idx val="8"/>
          <c:order val="8"/>
          <c:tx>
            <c:strRef>
              <c:f>Hemp!$A$10:$E$10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Hemp!$F$10:$O$10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154</c:v>
                </c:pt>
                <c:pt idx="5">
                  <c:v>154</c:v>
                </c:pt>
                <c:pt idx="6">
                  <c:v>154</c:v>
                </c:pt>
                <c:pt idx="7">
                  <c:v>154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5AA-4760-A1FE-B806C50991F1}"/>
            </c:ext>
          </c:extLst>
        </c:ser>
        <c:ser>
          <c:idx val="9"/>
          <c:order val="9"/>
          <c:tx>
            <c:strRef>
              <c:f>Hemp!$A$11:$E$11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Hemp!$F$11:$O$11</c:f>
              <c:numCache>
                <c:formatCode>General</c:formatCode>
                <c:ptCount val="10"/>
                <c:pt idx="2">
                  <c:v>391</c:v>
                </c:pt>
                <c:pt idx="3">
                  <c:v>391</c:v>
                </c:pt>
                <c:pt idx="4">
                  <c:v>391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5AA-4760-A1FE-B806C50991F1}"/>
            </c:ext>
          </c:extLst>
        </c:ser>
        <c:ser>
          <c:idx val="10"/>
          <c:order val="10"/>
          <c:tx>
            <c:strRef>
              <c:f>Hemp!$A$12:$E$12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Hemp!$F$12:$O$12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155</c:v>
                </c:pt>
                <c:pt idx="5">
                  <c:v>155</c:v>
                </c:pt>
                <c:pt idx="6">
                  <c:v>155</c:v>
                </c:pt>
                <c:pt idx="7">
                  <c:v>155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5AA-4760-A1FE-B806C50991F1}"/>
            </c:ext>
          </c:extLst>
        </c:ser>
        <c:ser>
          <c:idx val="11"/>
          <c:order val="11"/>
          <c:tx>
            <c:strRef>
              <c:f>Hemp!$A$13:$E$13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Hemp!$F$13:$O$13</c:f>
              <c:numCache>
                <c:formatCode>General</c:formatCode>
                <c:ptCount val="10"/>
                <c:pt idx="2">
                  <c:v>243</c:v>
                </c:pt>
                <c:pt idx="3">
                  <c:v>243</c:v>
                </c:pt>
                <c:pt idx="4">
                  <c:v>243</c:v>
                </c:pt>
                <c:pt idx="5">
                  <c:v>167</c:v>
                </c:pt>
                <c:pt idx="6">
                  <c:v>152</c:v>
                </c:pt>
                <c:pt idx="7">
                  <c:v>96</c:v>
                </c:pt>
                <c:pt idx="8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5AA-4760-A1FE-B806C50991F1}"/>
            </c:ext>
          </c:extLst>
        </c:ser>
        <c:ser>
          <c:idx val="12"/>
          <c:order val="12"/>
          <c:tx>
            <c:strRef>
              <c:f>Hemp!$A$14:$E$14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Hemp!$F$14:$O$14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96</c:v>
                </c:pt>
                <c:pt idx="5">
                  <c:v>96</c:v>
                </c:pt>
                <c:pt idx="6">
                  <c:v>96</c:v>
                </c:pt>
                <c:pt idx="7">
                  <c:v>349</c:v>
                </c:pt>
                <c:pt idx="8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5AA-4760-A1FE-B806C50991F1}"/>
            </c:ext>
          </c:extLst>
        </c:ser>
        <c:ser>
          <c:idx val="13"/>
          <c:order val="13"/>
          <c:tx>
            <c:strRef>
              <c:f>Hemp!$A$15:$E$15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Hemp!$F$15:$O$15</c:f>
              <c:numCache>
                <c:formatCode>General</c:formatCode>
                <c:ptCount val="10"/>
                <c:pt idx="2">
                  <c:v>923</c:v>
                </c:pt>
                <c:pt idx="3">
                  <c:v>923</c:v>
                </c:pt>
                <c:pt idx="4">
                  <c:v>923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5AA-4760-A1FE-B806C50991F1}"/>
            </c:ext>
          </c:extLst>
        </c:ser>
        <c:ser>
          <c:idx val="14"/>
          <c:order val="14"/>
          <c:tx>
            <c:strRef>
              <c:f>Hemp!$A$16:$E$16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Hemp!$F$16:$O$16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366</c:v>
                </c:pt>
                <c:pt idx="5">
                  <c:v>366</c:v>
                </c:pt>
                <c:pt idx="6">
                  <c:v>366</c:v>
                </c:pt>
                <c:pt idx="7">
                  <c:v>366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5AA-4760-A1FE-B806C50991F1}"/>
            </c:ext>
          </c:extLst>
        </c:ser>
        <c:ser>
          <c:idx val="15"/>
          <c:order val="15"/>
          <c:tx>
            <c:strRef>
              <c:f>Hemp!$A$17:$E$17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Hemp!$F$17:$O$17</c:f>
              <c:numCache>
                <c:formatCode>General</c:formatCode>
                <c:ptCount val="10"/>
                <c:pt idx="2">
                  <c:v>925</c:v>
                </c:pt>
                <c:pt idx="3">
                  <c:v>925</c:v>
                </c:pt>
                <c:pt idx="4">
                  <c:v>925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5AA-4760-A1FE-B806C50991F1}"/>
            </c:ext>
          </c:extLst>
        </c:ser>
        <c:ser>
          <c:idx val="16"/>
          <c:order val="16"/>
          <c:tx>
            <c:strRef>
              <c:f>Hemp!$A$18:$E$18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Hemp!$F$18:$O$18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367</c:v>
                </c:pt>
                <c:pt idx="5">
                  <c:v>367</c:v>
                </c:pt>
                <c:pt idx="6">
                  <c:v>367</c:v>
                </c:pt>
                <c:pt idx="7">
                  <c:v>367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5AA-4760-A1FE-B806C50991F1}"/>
            </c:ext>
          </c:extLst>
        </c:ser>
        <c:ser>
          <c:idx val="17"/>
          <c:order val="17"/>
          <c:tx>
            <c:strRef>
              <c:f>Hemp!$A$19:$E$19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CB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Hemp!$F$19:$O$19</c:f>
              <c:numCache>
                <c:formatCode>General</c:formatCode>
                <c:ptCount val="10"/>
                <c:pt idx="2">
                  <c:v>882</c:v>
                </c:pt>
                <c:pt idx="3">
                  <c:v>882</c:v>
                </c:pt>
                <c:pt idx="4">
                  <c:v>882</c:v>
                </c:pt>
                <c:pt idx="5">
                  <c:v>299</c:v>
                </c:pt>
                <c:pt idx="6">
                  <c:v>299</c:v>
                </c:pt>
                <c:pt idx="7">
                  <c:v>359</c:v>
                </c:pt>
                <c:pt idx="8">
                  <c:v>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5AA-4760-A1FE-B806C50991F1}"/>
            </c:ext>
          </c:extLst>
        </c:ser>
        <c:ser>
          <c:idx val="18"/>
          <c:order val="18"/>
          <c:tx>
            <c:strRef>
              <c:f>Hemp!$A$20:$E$20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CB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Hemp!$F$20:$O$20</c:f>
              <c:numCache>
                <c:formatCode>General</c:formatCode>
                <c:ptCount val="10"/>
                <c:pt idx="2">
                  <c:v>275</c:v>
                </c:pt>
                <c:pt idx="3">
                  <c:v>275</c:v>
                </c:pt>
                <c:pt idx="4">
                  <c:v>350</c:v>
                </c:pt>
                <c:pt idx="5">
                  <c:v>350</c:v>
                </c:pt>
                <c:pt idx="7">
                  <c:v>350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5AA-4760-A1FE-B806C5099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04159"/>
        <c:axId val="852799359"/>
      </c:lineChart>
      <c:catAx>
        <c:axId val="85280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99359"/>
        <c:crosses val="autoZero"/>
        <c:auto val="1"/>
        <c:lblAlgn val="ctr"/>
        <c:lblOffset val="100"/>
        <c:noMultiLvlLbl val="0"/>
      </c:catAx>
      <c:valAx>
        <c:axId val="852799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0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Hemp!$A$22:$E$22</c:f>
              <c:strCache>
                <c:ptCount val="5"/>
                <c:pt idx="0">
                  <c:v>ADAMS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Hemp!$F$22:$O$22</c:f>
              <c:numCache>
                <c:formatCode>General</c:formatCode>
                <c:ptCount val="10"/>
                <c:pt idx="2">
                  <c:v>2388</c:v>
                </c:pt>
                <c:pt idx="3">
                  <c:v>2388</c:v>
                </c:pt>
                <c:pt idx="4">
                  <c:v>2388</c:v>
                </c:pt>
                <c:pt idx="5">
                  <c:v>2534</c:v>
                </c:pt>
                <c:pt idx="6">
                  <c:v>2271</c:v>
                </c:pt>
                <c:pt idx="7">
                  <c:v>2271</c:v>
                </c:pt>
                <c:pt idx="8">
                  <c:v>1476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1E-4C81-9DF1-13DC01445FA9}"/>
            </c:ext>
          </c:extLst>
        </c:ser>
        <c:ser>
          <c:idx val="1"/>
          <c:order val="1"/>
          <c:tx>
            <c:strRef>
              <c:f>Hemp!$A$23:$E$23</c:f>
              <c:strCache>
                <c:ptCount val="5"/>
                <c:pt idx="0">
                  <c:v>ADAMS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Hemp!$F$23:$O$23</c:f>
              <c:numCache>
                <c:formatCode>General</c:formatCode>
                <c:ptCount val="10"/>
                <c:pt idx="2">
                  <c:v>759</c:v>
                </c:pt>
                <c:pt idx="3">
                  <c:v>759</c:v>
                </c:pt>
                <c:pt idx="4">
                  <c:v>759</c:v>
                </c:pt>
                <c:pt idx="5">
                  <c:v>601</c:v>
                </c:pt>
                <c:pt idx="6">
                  <c:v>601</c:v>
                </c:pt>
                <c:pt idx="7">
                  <c:v>601</c:v>
                </c:pt>
                <c:pt idx="8">
                  <c:v>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1E-4C81-9DF1-13DC01445FA9}"/>
            </c:ext>
          </c:extLst>
        </c:ser>
        <c:ser>
          <c:idx val="2"/>
          <c:order val="2"/>
          <c:tx>
            <c:strRef>
              <c:f>Hemp!$A$24:$E$24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Hemp!$F$24:$O$24</c:f>
              <c:numCache>
                <c:formatCode>General</c:formatCode>
                <c:ptCount val="10"/>
                <c:pt idx="2">
                  <c:v>2147</c:v>
                </c:pt>
                <c:pt idx="3">
                  <c:v>2147</c:v>
                </c:pt>
                <c:pt idx="4">
                  <c:v>2147</c:v>
                </c:pt>
                <c:pt idx="5">
                  <c:v>2345</c:v>
                </c:pt>
                <c:pt idx="6">
                  <c:v>1921</c:v>
                </c:pt>
                <c:pt idx="7">
                  <c:v>1921</c:v>
                </c:pt>
                <c:pt idx="8">
                  <c:v>1249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1E-4C81-9DF1-13DC01445FA9}"/>
            </c:ext>
          </c:extLst>
        </c:ser>
        <c:ser>
          <c:idx val="3"/>
          <c:order val="3"/>
          <c:tx>
            <c:strRef>
              <c:f>Hemp!$A$25:$E$25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Hemp!$F$25:$O$25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852</c:v>
                </c:pt>
                <c:pt idx="5">
                  <c:v>852</c:v>
                </c:pt>
                <c:pt idx="6">
                  <c:v>852</c:v>
                </c:pt>
                <c:pt idx="7">
                  <c:v>852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1E-4C81-9DF1-13DC01445FA9}"/>
            </c:ext>
          </c:extLst>
        </c:ser>
        <c:ser>
          <c:idx val="4"/>
          <c:order val="4"/>
          <c:tx>
            <c:strRef>
              <c:f>Hemp!$A$26:$E$26</c:f>
              <c:strCache>
                <c:ptCount val="5"/>
                <c:pt idx="0">
                  <c:v>ARAPAHOE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Hemp!$F$26:$O$26</c:f>
              <c:numCache>
                <c:formatCode>General</c:formatCode>
                <c:ptCount val="10"/>
                <c:pt idx="2">
                  <c:v>1549</c:v>
                </c:pt>
                <c:pt idx="3">
                  <c:v>1549</c:v>
                </c:pt>
                <c:pt idx="4">
                  <c:v>1549</c:v>
                </c:pt>
                <c:pt idx="5">
                  <c:v>1605</c:v>
                </c:pt>
                <c:pt idx="6">
                  <c:v>1034</c:v>
                </c:pt>
                <c:pt idx="7">
                  <c:v>1034</c:v>
                </c:pt>
                <c:pt idx="8">
                  <c:v>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F1E-4C81-9DF1-13DC01445FA9}"/>
            </c:ext>
          </c:extLst>
        </c:ser>
        <c:ser>
          <c:idx val="5"/>
          <c:order val="5"/>
          <c:tx>
            <c:strRef>
              <c:f>Hemp!$A$27:$E$27</c:f>
              <c:strCache>
                <c:ptCount val="5"/>
                <c:pt idx="0">
                  <c:v>ARAPAHOE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Hemp!$F$27:$O$27</c:f>
              <c:numCache>
                <c:formatCode>General</c:formatCode>
                <c:ptCount val="10"/>
                <c:pt idx="2">
                  <c:v>674</c:v>
                </c:pt>
                <c:pt idx="3">
                  <c:v>674</c:v>
                </c:pt>
                <c:pt idx="4">
                  <c:v>674</c:v>
                </c:pt>
                <c:pt idx="5">
                  <c:v>502</c:v>
                </c:pt>
                <c:pt idx="6">
                  <c:v>502</c:v>
                </c:pt>
                <c:pt idx="7">
                  <c:v>502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F1E-4C81-9DF1-13DC01445FA9}"/>
            </c:ext>
          </c:extLst>
        </c:ser>
        <c:ser>
          <c:idx val="6"/>
          <c:order val="6"/>
          <c:tx>
            <c:strRef>
              <c:f>Hemp!$A$28:$E$28</c:f>
              <c:strCache>
                <c:ptCount val="5"/>
                <c:pt idx="0">
                  <c:v>CONEJOS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Hemp!$F$28:$O$28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815</c:v>
                </c:pt>
                <c:pt idx="5">
                  <c:v>815</c:v>
                </c:pt>
                <c:pt idx="8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F1E-4C81-9DF1-13DC01445FA9}"/>
            </c:ext>
          </c:extLst>
        </c:ser>
        <c:ser>
          <c:idx val="7"/>
          <c:order val="7"/>
          <c:tx>
            <c:strRef>
              <c:f>Hemp!$A$29:$E$29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Hemp!$F$29:$O$29</c:f>
              <c:numCache>
                <c:formatCode>General</c:formatCode>
                <c:ptCount val="10"/>
                <c:pt idx="2">
                  <c:v>1715</c:v>
                </c:pt>
                <c:pt idx="3">
                  <c:v>1715</c:v>
                </c:pt>
                <c:pt idx="4">
                  <c:v>1715</c:v>
                </c:pt>
                <c:pt idx="5">
                  <c:v>1739</c:v>
                </c:pt>
                <c:pt idx="6">
                  <c:v>1715</c:v>
                </c:pt>
                <c:pt idx="7">
                  <c:v>1715</c:v>
                </c:pt>
                <c:pt idx="8">
                  <c:v>1115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F1E-4C81-9DF1-13DC01445FA9}"/>
            </c:ext>
          </c:extLst>
        </c:ser>
        <c:ser>
          <c:idx val="8"/>
          <c:order val="8"/>
          <c:tx>
            <c:strRef>
              <c:f>Hemp!$A$30:$E$30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Hemp!$F$30:$O$30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681</c:v>
                </c:pt>
                <c:pt idx="5">
                  <c:v>681</c:v>
                </c:pt>
                <c:pt idx="6">
                  <c:v>681</c:v>
                </c:pt>
                <c:pt idx="7">
                  <c:v>681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F1E-4C81-9DF1-13DC01445FA9}"/>
            </c:ext>
          </c:extLst>
        </c:ser>
        <c:ser>
          <c:idx val="9"/>
          <c:order val="9"/>
          <c:tx>
            <c:strRef>
              <c:f>Hemp!$A$31:$E$31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Hemp!$F$31:$O$31</c:f>
              <c:numCache>
                <c:formatCode>General</c:formatCode>
                <c:ptCount val="10"/>
                <c:pt idx="2">
                  <c:v>981</c:v>
                </c:pt>
                <c:pt idx="3">
                  <c:v>981</c:v>
                </c:pt>
                <c:pt idx="4">
                  <c:v>981</c:v>
                </c:pt>
                <c:pt idx="5">
                  <c:v>1063</c:v>
                </c:pt>
                <c:pt idx="6">
                  <c:v>981</c:v>
                </c:pt>
                <c:pt idx="7">
                  <c:v>981</c:v>
                </c:pt>
                <c:pt idx="8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F1E-4C81-9DF1-13DC01445FA9}"/>
            </c:ext>
          </c:extLst>
        </c:ser>
        <c:ser>
          <c:idx val="10"/>
          <c:order val="10"/>
          <c:tx>
            <c:strRef>
              <c:f>Hemp!$A$32:$E$32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Hemp!$F$32:$O$32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389</c:v>
                </c:pt>
                <c:pt idx="5">
                  <c:v>389</c:v>
                </c:pt>
                <c:pt idx="6">
                  <c:v>389</c:v>
                </c:pt>
                <c:pt idx="7">
                  <c:v>389</c:v>
                </c:pt>
                <c:pt idx="8">
                  <c:v>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1E-4C81-9DF1-13DC01445FA9}"/>
            </c:ext>
          </c:extLst>
        </c:ser>
        <c:ser>
          <c:idx val="11"/>
          <c:order val="11"/>
          <c:tx>
            <c:strRef>
              <c:f>Hemp!$A$33:$E$33</c:f>
              <c:strCache>
                <c:ptCount val="5"/>
                <c:pt idx="0">
                  <c:v>EL PASO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Hemp!$F$33:$O$33</c:f>
              <c:numCache>
                <c:formatCode>General</c:formatCode>
                <c:ptCount val="10"/>
                <c:pt idx="2">
                  <c:v>881</c:v>
                </c:pt>
                <c:pt idx="3">
                  <c:v>881</c:v>
                </c:pt>
                <c:pt idx="4">
                  <c:v>1803</c:v>
                </c:pt>
                <c:pt idx="5">
                  <c:v>1803</c:v>
                </c:pt>
                <c:pt idx="6">
                  <c:v>1803</c:v>
                </c:pt>
                <c:pt idx="7">
                  <c:v>1803</c:v>
                </c:pt>
                <c:pt idx="8">
                  <c:v>1030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1E-4C81-9DF1-13DC01445FA9}"/>
            </c:ext>
          </c:extLst>
        </c:ser>
        <c:ser>
          <c:idx val="12"/>
          <c:order val="12"/>
          <c:tx>
            <c:strRef>
              <c:f>Hemp!$A$34:$E$34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Hemp!$F$34:$O$34</c:f>
              <c:numCache>
                <c:formatCode>General</c:formatCode>
                <c:ptCount val="10"/>
                <c:pt idx="2">
                  <c:v>989</c:v>
                </c:pt>
                <c:pt idx="3">
                  <c:v>989</c:v>
                </c:pt>
                <c:pt idx="4">
                  <c:v>989</c:v>
                </c:pt>
                <c:pt idx="5">
                  <c:v>985</c:v>
                </c:pt>
                <c:pt idx="6">
                  <c:v>941</c:v>
                </c:pt>
                <c:pt idx="7">
                  <c:v>941</c:v>
                </c:pt>
                <c:pt idx="8">
                  <c:v>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1E-4C81-9DF1-13DC01445FA9}"/>
            </c:ext>
          </c:extLst>
        </c:ser>
        <c:ser>
          <c:idx val="13"/>
          <c:order val="13"/>
          <c:tx>
            <c:strRef>
              <c:f>Hemp!$A$35:$E$35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Hemp!$F$35:$O$35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392</c:v>
                </c:pt>
                <c:pt idx="5">
                  <c:v>392</c:v>
                </c:pt>
                <c:pt idx="6">
                  <c:v>392</c:v>
                </c:pt>
                <c:pt idx="7">
                  <c:v>392</c:v>
                </c:pt>
                <c:pt idx="8">
                  <c:v>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1E-4C81-9DF1-13DC01445FA9}"/>
            </c:ext>
          </c:extLst>
        </c:ser>
        <c:ser>
          <c:idx val="14"/>
          <c:order val="14"/>
          <c:tx>
            <c:strRef>
              <c:f>Hemp!$A$36:$E$36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Hemp!$F$36:$O$36</c:f>
              <c:numCache>
                <c:formatCode>General</c:formatCode>
                <c:ptCount val="10"/>
                <c:pt idx="2">
                  <c:v>620</c:v>
                </c:pt>
                <c:pt idx="3">
                  <c:v>620</c:v>
                </c:pt>
                <c:pt idx="4">
                  <c:v>620</c:v>
                </c:pt>
                <c:pt idx="5">
                  <c:v>349</c:v>
                </c:pt>
                <c:pt idx="6">
                  <c:v>349</c:v>
                </c:pt>
                <c:pt idx="7">
                  <c:v>246</c:v>
                </c:pt>
                <c:pt idx="8">
                  <c:v>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1E-4C81-9DF1-13DC01445FA9}"/>
            </c:ext>
          </c:extLst>
        </c:ser>
        <c:ser>
          <c:idx val="15"/>
          <c:order val="15"/>
          <c:tx>
            <c:strRef>
              <c:f>Hemp!$A$37:$E$37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Hemp!$F$37:$O$37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246</c:v>
                </c:pt>
                <c:pt idx="5">
                  <c:v>246</c:v>
                </c:pt>
                <c:pt idx="6">
                  <c:v>246</c:v>
                </c:pt>
                <c:pt idx="7">
                  <c:v>171</c:v>
                </c:pt>
                <c:pt idx="8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1E-4C81-9DF1-13DC01445FA9}"/>
            </c:ext>
          </c:extLst>
        </c:ser>
        <c:ser>
          <c:idx val="16"/>
          <c:order val="16"/>
          <c:tx>
            <c:strRef>
              <c:f>Hemp!$A$38:$E$38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Hemp!$F$38:$O$38</c:f>
              <c:numCache>
                <c:formatCode>General</c:formatCode>
                <c:ptCount val="10"/>
                <c:pt idx="2">
                  <c:v>2350</c:v>
                </c:pt>
                <c:pt idx="3">
                  <c:v>2350</c:v>
                </c:pt>
                <c:pt idx="4">
                  <c:v>2350</c:v>
                </c:pt>
                <c:pt idx="5">
                  <c:v>1725</c:v>
                </c:pt>
                <c:pt idx="6">
                  <c:v>1725</c:v>
                </c:pt>
                <c:pt idx="7">
                  <c:v>1725</c:v>
                </c:pt>
                <c:pt idx="8">
                  <c:v>1414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1E-4C81-9DF1-13DC01445FA9}"/>
            </c:ext>
          </c:extLst>
        </c:ser>
        <c:ser>
          <c:idx val="17"/>
          <c:order val="17"/>
          <c:tx>
            <c:strRef>
              <c:f>Hemp!$A$39:$E$39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Hemp!$F$39:$O$39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933</c:v>
                </c:pt>
                <c:pt idx="5">
                  <c:v>933</c:v>
                </c:pt>
                <c:pt idx="6">
                  <c:v>933</c:v>
                </c:pt>
                <c:pt idx="7">
                  <c:v>933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F1E-4C81-9DF1-13DC01445FA9}"/>
            </c:ext>
          </c:extLst>
        </c:ser>
        <c:ser>
          <c:idx val="18"/>
          <c:order val="18"/>
          <c:tx>
            <c:strRef>
              <c:f>Hemp!$A$40:$E$40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Hemp!$F$40:$O$40</c:f>
              <c:numCache>
                <c:formatCode>General</c:formatCode>
                <c:ptCount val="10"/>
                <c:pt idx="2">
                  <c:v>2352</c:v>
                </c:pt>
                <c:pt idx="3">
                  <c:v>2352</c:v>
                </c:pt>
                <c:pt idx="4">
                  <c:v>2352</c:v>
                </c:pt>
                <c:pt idx="5">
                  <c:v>2335</c:v>
                </c:pt>
                <c:pt idx="6">
                  <c:v>2312</c:v>
                </c:pt>
                <c:pt idx="7">
                  <c:v>2312</c:v>
                </c:pt>
                <c:pt idx="8">
                  <c:v>1503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1E-4C81-9DF1-13DC01445FA9}"/>
            </c:ext>
          </c:extLst>
        </c:ser>
        <c:ser>
          <c:idx val="19"/>
          <c:order val="19"/>
          <c:tx>
            <c:strRef>
              <c:f>Hemp!$A$41:$E$41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Hemp!$F$41:$O$41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933</c:v>
                </c:pt>
                <c:pt idx="5">
                  <c:v>933</c:v>
                </c:pt>
                <c:pt idx="6">
                  <c:v>933</c:v>
                </c:pt>
                <c:pt idx="7">
                  <c:v>933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F1E-4C81-9DF1-13DC01445FA9}"/>
            </c:ext>
          </c:extLst>
        </c:ser>
        <c:ser>
          <c:idx val="20"/>
          <c:order val="20"/>
          <c:tx>
            <c:strRef>
              <c:f>Hemp!$A$42:$E$42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FB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Hemp!$F$42:$O$42</c:f>
              <c:numCache>
                <c:formatCode>General</c:formatCode>
                <c:ptCount val="10"/>
                <c:pt idx="2">
                  <c:v>2261</c:v>
                </c:pt>
                <c:pt idx="3">
                  <c:v>2261</c:v>
                </c:pt>
                <c:pt idx="4">
                  <c:v>2261</c:v>
                </c:pt>
                <c:pt idx="5">
                  <c:v>2315</c:v>
                </c:pt>
                <c:pt idx="6">
                  <c:v>2261</c:v>
                </c:pt>
                <c:pt idx="7">
                  <c:v>2261</c:v>
                </c:pt>
                <c:pt idx="8">
                  <c:v>1470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1E-4C81-9DF1-13DC01445FA9}"/>
            </c:ext>
          </c:extLst>
        </c:ser>
        <c:ser>
          <c:idx val="21"/>
          <c:order val="21"/>
          <c:tx>
            <c:strRef>
              <c:f>Hemp!$A$43:$E$43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FB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Hemp!$F$21:$O$21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Hemp!$F$43:$O$43</c:f>
              <c:numCache>
                <c:formatCode>General</c:formatCode>
                <c:ptCount val="10"/>
                <c:pt idx="2">
                  <c:v>709</c:v>
                </c:pt>
                <c:pt idx="3">
                  <c:v>709</c:v>
                </c:pt>
                <c:pt idx="4">
                  <c:v>897</c:v>
                </c:pt>
                <c:pt idx="5">
                  <c:v>897</c:v>
                </c:pt>
                <c:pt idx="6">
                  <c:v>897</c:v>
                </c:pt>
                <c:pt idx="7">
                  <c:v>897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F1E-4C81-9DF1-13DC01445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15679"/>
        <c:axId val="852810879"/>
      </c:lineChart>
      <c:catAx>
        <c:axId val="852815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10879"/>
        <c:crosses val="autoZero"/>
        <c:auto val="1"/>
        <c:lblAlgn val="ctr"/>
        <c:lblOffset val="100"/>
        <c:noMultiLvlLbl val="0"/>
      </c:catAx>
      <c:valAx>
        <c:axId val="8528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15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Hemp!$A$45:$E$45</c:f>
              <c:strCache>
                <c:ptCount val="5"/>
                <c:pt idx="0">
                  <c:v>ADAMS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Hemp!$F$45:$O$45</c:f>
              <c:numCache>
                <c:formatCode>General</c:formatCode>
                <c:ptCount val="10"/>
                <c:pt idx="2">
                  <c:v>961</c:v>
                </c:pt>
                <c:pt idx="3">
                  <c:v>961</c:v>
                </c:pt>
                <c:pt idx="4">
                  <c:v>961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F-4BB8-B2A0-781C94A8222C}"/>
            </c:ext>
          </c:extLst>
        </c:ser>
        <c:ser>
          <c:idx val="1"/>
          <c:order val="1"/>
          <c:tx>
            <c:strRef>
              <c:f>Hemp!$A$46:$E$46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Hemp!$F$46:$O$46</c:f>
              <c:numCache>
                <c:formatCode>General</c:formatCode>
                <c:ptCount val="10"/>
                <c:pt idx="2">
                  <c:v>857</c:v>
                </c:pt>
                <c:pt idx="3">
                  <c:v>857</c:v>
                </c:pt>
                <c:pt idx="4">
                  <c:v>857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CF-4BB8-B2A0-781C94A8222C}"/>
            </c:ext>
          </c:extLst>
        </c:ser>
        <c:ser>
          <c:idx val="2"/>
          <c:order val="2"/>
          <c:tx>
            <c:strRef>
              <c:f>Hemp!$A$47:$E$47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Hemp!$F$47:$O$47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340</c:v>
                </c:pt>
                <c:pt idx="5">
                  <c:v>340</c:v>
                </c:pt>
                <c:pt idx="6">
                  <c:v>340</c:v>
                </c:pt>
                <c:pt idx="7">
                  <c:v>340</c:v>
                </c:pt>
                <c:pt idx="8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CF-4BB8-B2A0-781C94A8222C}"/>
            </c:ext>
          </c:extLst>
        </c:ser>
        <c:ser>
          <c:idx val="3"/>
          <c:order val="3"/>
          <c:tx>
            <c:strRef>
              <c:f>Hemp!$A$48:$E$48</c:f>
              <c:strCache>
                <c:ptCount val="5"/>
                <c:pt idx="0">
                  <c:v>ARAPAHOE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Hemp!$F$48:$O$48</c:f>
              <c:numCache>
                <c:formatCode>General</c:formatCode>
                <c:ptCount val="10"/>
                <c:pt idx="2">
                  <c:v>622</c:v>
                </c:pt>
                <c:pt idx="3">
                  <c:v>622</c:v>
                </c:pt>
                <c:pt idx="4">
                  <c:v>622</c:v>
                </c:pt>
                <c:pt idx="5">
                  <c:v>463</c:v>
                </c:pt>
                <c:pt idx="6">
                  <c:v>315</c:v>
                </c:pt>
                <c:pt idx="7">
                  <c:v>315</c:v>
                </c:pt>
                <c:pt idx="8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CF-4BB8-B2A0-781C94A8222C}"/>
            </c:ext>
          </c:extLst>
        </c:ser>
        <c:ser>
          <c:idx val="4"/>
          <c:order val="4"/>
          <c:tx>
            <c:strRef>
              <c:f>Hemp!$A$49:$E$49</c:f>
              <c:strCache>
                <c:ptCount val="5"/>
                <c:pt idx="0">
                  <c:v>CONEJOS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Hemp!$F$49:$O$49</c:f>
              <c:numCache>
                <c:formatCode>General</c:formatCode>
                <c:ptCount val="10"/>
                <c:pt idx="2">
                  <c:v>358</c:v>
                </c:pt>
                <c:pt idx="3">
                  <c:v>358</c:v>
                </c:pt>
                <c:pt idx="4">
                  <c:v>829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CF-4BB8-B2A0-781C94A8222C}"/>
            </c:ext>
          </c:extLst>
        </c:ser>
        <c:ser>
          <c:idx val="5"/>
          <c:order val="5"/>
          <c:tx>
            <c:strRef>
              <c:f>Hemp!$A$50:$E$50</c:f>
              <c:strCache>
                <c:ptCount val="5"/>
                <c:pt idx="0">
                  <c:v>CONEJOS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Hemp!$F$50:$O$50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329</c:v>
                </c:pt>
                <c:pt idx="5">
                  <c:v>329</c:v>
                </c:pt>
                <c:pt idx="6">
                  <c:v>329</c:v>
                </c:pt>
                <c:pt idx="7">
                  <c:v>329</c:v>
                </c:pt>
                <c:pt idx="8">
                  <c:v>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CF-4BB8-B2A0-781C94A8222C}"/>
            </c:ext>
          </c:extLst>
        </c:ser>
        <c:ser>
          <c:idx val="6"/>
          <c:order val="6"/>
          <c:tx>
            <c:strRef>
              <c:f>Hemp!$A$51:$E$51</c:f>
              <c:strCache>
                <c:ptCount val="5"/>
                <c:pt idx="0">
                  <c:v>COSTILLA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Hemp!$F$51:$O$51</c:f>
              <c:numCache>
                <c:formatCode>General</c:formatCode>
                <c:ptCount val="10"/>
                <c:pt idx="2">
                  <c:v>793</c:v>
                </c:pt>
                <c:pt idx="3">
                  <c:v>793</c:v>
                </c:pt>
                <c:pt idx="4">
                  <c:v>793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CF-4BB8-B2A0-781C94A8222C}"/>
            </c:ext>
          </c:extLst>
        </c:ser>
        <c:ser>
          <c:idx val="7"/>
          <c:order val="7"/>
          <c:tx>
            <c:strRef>
              <c:f>Hemp!$A$52:$E$52</c:f>
              <c:strCache>
                <c:ptCount val="5"/>
                <c:pt idx="0">
                  <c:v>COSTILLA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Hemp!$F$52:$O$52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315</c:v>
                </c:pt>
                <c:pt idx="5">
                  <c:v>315</c:v>
                </c:pt>
                <c:pt idx="6">
                  <c:v>315</c:v>
                </c:pt>
                <c:pt idx="7">
                  <c:v>315</c:v>
                </c:pt>
                <c:pt idx="8">
                  <c:v>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CF-4BB8-B2A0-781C94A8222C}"/>
            </c:ext>
          </c:extLst>
        </c:ser>
        <c:ser>
          <c:idx val="8"/>
          <c:order val="8"/>
          <c:tx>
            <c:strRef>
              <c:f>Hemp!$A$53:$E$53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Hemp!$F$53:$O$53</c:f>
              <c:numCache>
                <c:formatCode>General</c:formatCode>
                <c:ptCount val="10"/>
                <c:pt idx="2">
                  <c:v>692</c:v>
                </c:pt>
                <c:pt idx="3">
                  <c:v>692</c:v>
                </c:pt>
                <c:pt idx="4">
                  <c:v>692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CF-4BB8-B2A0-781C94A8222C}"/>
            </c:ext>
          </c:extLst>
        </c:ser>
        <c:ser>
          <c:idx val="9"/>
          <c:order val="9"/>
          <c:tx>
            <c:strRef>
              <c:f>Hemp!$A$54:$E$54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Hemp!$F$54:$O$54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275</c:v>
                </c:pt>
                <c:pt idx="5">
                  <c:v>275</c:v>
                </c:pt>
                <c:pt idx="6">
                  <c:v>275</c:v>
                </c:pt>
                <c:pt idx="7">
                  <c:v>275</c:v>
                </c:pt>
                <c:pt idx="8">
                  <c:v>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CF-4BB8-B2A0-781C94A8222C}"/>
            </c:ext>
          </c:extLst>
        </c:ser>
        <c:ser>
          <c:idx val="10"/>
          <c:order val="10"/>
          <c:tx>
            <c:strRef>
              <c:f>Hemp!$A$55:$E$55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Hemp!$F$55:$O$55</c:f>
              <c:numCache>
                <c:formatCode>General</c:formatCode>
                <c:ptCount val="10"/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463</c:v>
                </c:pt>
                <c:pt idx="6">
                  <c:v>352</c:v>
                </c:pt>
                <c:pt idx="7">
                  <c:v>352</c:v>
                </c:pt>
                <c:pt idx="8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CF-4BB8-B2A0-781C94A8222C}"/>
            </c:ext>
          </c:extLst>
        </c:ser>
        <c:ser>
          <c:idx val="11"/>
          <c:order val="11"/>
          <c:tx>
            <c:strRef>
              <c:f>Hemp!$A$56:$E$56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Hemp!$F$56:$O$56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159</c:v>
                </c:pt>
                <c:pt idx="5">
                  <c:v>159</c:v>
                </c:pt>
                <c:pt idx="6">
                  <c:v>159</c:v>
                </c:pt>
                <c:pt idx="7">
                  <c:v>159</c:v>
                </c:pt>
                <c:pt idx="8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CF-4BB8-B2A0-781C94A8222C}"/>
            </c:ext>
          </c:extLst>
        </c:ser>
        <c:ser>
          <c:idx val="12"/>
          <c:order val="12"/>
          <c:tx>
            <c:strRef>
              <c:f>Hemp!$A$57:$E$57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Hemp!$F$57:$O$57</c:f>
              <c:numCache>
                <c:formatCode>General</c:formatCode>
                <c:ptCount val="10"/>
                <c:pt idx="2">
                  <c:v>402</c:v>
                </c:pt>
                <c:pt idx="3">
                  <c:v>402</c:v>
                </c:pt>
                <c:pt idx="4">
                  <c:v>402</c:v>
                </c:pt>
                <c:pt idx="5">
                  <c:v>463</c:v>
                </c:pt>
                <c:pt idx="6">
                  <c:v>320</c:v>
                </c:pt>
                <c:pt idx="7">
                  <c:v>322</c:v>
                </c:pt>
                <c:pt idx="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CF-4BB8-B2A0-781C94A8222C}"/>
            </c:ext>
          </c:extLst>
        </c:ser>
        <c:ser>
          <c:idx val="13"/>
          <c:order val="13"/>
          <c:tx>
            <c:strRef>
              <c:f>Hemp!$A$58:$E$58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Hemp!$F$58:$O$58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160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CF-4BB8-B2A0-781C94A8222C}"/>
            </c:ext>
          </c:extLst>
        </c:ser>
        <c:ser>
          <c:idx val="14"/>
          <c:order val="14"/>
          <c:tx>
            <c:strRef>
              <c:f>Hemp!$A$59:$E$59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Hemp!$F$59:$O$59</c:f>
              <c:numCache>
                <c:formatCode>General</c:formatCode>
                <c:ptCount val="10"/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171</c:v>
                </c:pt>
                <c:pt idx="6">
                  <c:v>171</c:v>
                </c:pt>
                <c:pt idx="7">
                  <c:v>99</c:v>
                </c:pt>
                <c:pt idx="8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CF-4BB8-B2A0-781C94A8222C}"/>
            </c:ext>
          </c:extLst>
        </c:ser>
        <c:ser>
          <c:idx val="15"/>
          <c:order val="15"/>
          <c:tx>
            <c:strRef>
              <c:f>Hemp!$A$60:$E$60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Hemp!$F$60:$O$60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99</c:v>
                </c:pt>
                <c:pt idx="5">
                  <c:v>99</c:v>
                </c:pt>
                <c:pt idx="6">
                  <c:v>99</c:v>
                </c:pt>
                <c:pt idx="7">
                  <c:v>171</c:v>
                </c:pt>
                <c:pt idx="8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CF-4BB8-B2A0-781C94A8222C}"/>
            </c:ext>
          </c:extLst>
        </c:ser>
        <c:ser>
          <c:idx val="16"/>
          <c:order val="16"/>
          <c:tx>
            <c:strRef>
              <c:f>Hemp!$A$61:$E$61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Hemp!$F$61:$O$61</c:f>
              <c:numCache>
                <c:formatCode>General</c:formatCode>
                <c:ptCount val="10"/>
                <c:pt idx="2">
                  <c:v>951</c:v>
                </c:pt>
                <c:pt idx="3">
                  <c:v>951</c:v>
                </c:pt>
                <c:pt idx="4">
                  <c:v>951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CF-4BB8-B2A0-781C94A8222C}"/>
            </c:ext>
          </c:extLst>
        </c:ser>
        <c:ser>
          <c:idx val="17"/>
          <c:order val="17"/>
          <c:tx>
            <c:strRef>
              <c:f>Hemp!$A$62:$E$62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Hemp!$F$62:$O$62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377</c:v>
                </c:pt>
                <c:pt idx="5">
                  <c:v>377</c:v>
                </c:pt>
                <c:pt idx="6">
                  <c:v>377</c:v>
                </c:pt>
                <c:pt idx="7">
                  <c:v>377</c:v>
                </c:pt>
                <c:pt idx="8">
                  <c:v>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CF-4BB8-B2A0-781C94A8222C}"/>
            </c:ext>
          </c:extLst>
        </c:ser>
        <c:ser>
          <c:idx val="18"/>
          <c:order val="18"/>
          <c:tx>
            <c:strRef>
              <c:f>Hemp!$A$63:$E$63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Hemp!$F$63:$O$63</c:f>
              <c:numCache>
                <c:formatCode>General</c:formatCode>
                <c:ptCount val="10"/>
                <c:pt idx="2">
                  <c:v>955</c:v>
                </c:pt>
                <c:pt idx="3">
                  <c:v>955</c:v>
                </c:pt>
                <c:pt idx="4">
                  <c:v>955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CF-4BB8-B2A0-781C94A8222C}"/>
            </c:ext>
          </c:extLst>
        </c:ser>
        <c:ser>
          <c:idx val="19"/>
          <c:order val="19"/>
          <c:tx>
            <c:strRef>
              <c:f>Hemp!$A$64:$E$64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Hemp!$F$64:$O$64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379</c:v>
                </c:pt>
                <c:pt idx="5">
                  <c:v>379</c:v>
                </c:pt>
                <c:pt idx="6">
                  <c:v>379</c:v>
                </c:pt>
                <c:pt idx="7">
                  <c:v>379</c:v>
                </c:pt>
                <c:pt idx="8">
                  <c:v>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CF-4BB8-B2A0-781C94A8222C}"/>
            </c:ext>
          </c:extLst>
        </c:ser>
        <c:ser>
          <c:idx val="20"/>
          <c:order val="20"/>
          <c:tx>
            <c:strRef>
              <c:f>Hemp!$A$65:$E$65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Hemp!$F$65:$O$65</c:f>
              <c:numCache>
                <c:formatCode>General</c:formatCode>
                <c:ptCount val="10"/>
                <c:pt idx="2">
                  <c:v>910</c:v>
                </c:pt>
                <c:pt idx="3">
                  <c:v>910</c:v>
                </c:pt>
                <c:pt idx="4">
                  <c:v>910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CF-4BB8-B2A0-781C94A8222C}"/>
            </c:ext>
          </c:extLst>
        </c:ser>
        <c:ser>
          <c:idx val="21"/>
          <c:order val="21"/>
          <c:tx>
            <c:strRef>
              <c:f>Hemp!$A$66:$E$66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GR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Hemp!$F$44:$O$44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Hemp!$F$66:$O$66</c:f>
              <c:numCache>
                <c:formatCode>General</c:formatCode>
                <c:ptCount val="10"/>
                <c:pt idx="2">
                  <c:v>281</c:v>
                </c:pt>
                <c:pt idx="3">
                  <c:v>281</c:v>
                </c:pt>
                <c:pt idx="4">
                  <c:v>361</c:v>
                </c:pt>
                <c:pt idx="5">
                  <c:v>361</c:v>
                </c:pt>
                <c:pt idx="6">
                  <c:v>361</c:v>
                </c:pt>
                <c:pt idx="7">
                  <c:v>361</c:v>
                </c:pt>
                <c:pt idx="8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CF-4BB8-B2A0-781C94A82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925119"/>
        <c:axId val="852918399"/>
      </c:lineChart>
      <c:catAx>
        <c:axId val="85292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18399"/>
        <c:crosses val="autoZero"/>
        <c:auto val="1"/>
        <c:lblAlgn val="ctr"/>
        <c:lblOffset val="100"/>
        <c:noMultiLvlLbl val="0"/>
      </c:catAx>
      <c:valAx>
        <c:axId val="85291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2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Hemp!$A$68:$E$68</c:f>
              <c:strCache>
                <c:ptCount val="5"/>
                <c:pt idx="0">
                  <c:v>ADAMS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Hemp!$F$68:$O$68</c:f>
              <c:numCache>
                <c:formatCode>General</c:formatCode>
                <c:ptCount val="10"/>
                <c:pt idx="2">
                  <c:v>961</c:v>
                </c:pt>
                <c:pt idx="3">
                  <c:v>961</c:v>
                </c:pt>
                <c:pt idx="4">
                  <c:v>961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8D-4748-A805-58A1A55C19EE}"/>
            </c:ext>
          </c:extLst>
        </c:ser>
        <c:ser>
          <c:idx val="1"/>
          <c:order val="1"/>
          <c:tx>
            <c:strRef>
              <c:f>Hemp!$A$69:$E$69</c:f>
              <c:strCache>
                <c:ptCount val="5"/>
                <c:pt idx="0">
                  <c:v>ALAMOSA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Hemp!$F$69:$O$69</c:f>
              <c:numCache>
                <c:formatCode>General</c:formatCode>
                <c:ptCount val="10"/>
                <c:pt idx="2">
                  <c:v>857</c:v>
                </c:pt>
                <c:pt idx="3">
                  <c:v>857</c:v>
                </c:pt>
                <c:pt idx="4">
                  <c:v>857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8D-4748-A805-58A1A55C19EE}"/>
            </c:ext>
          </c:extLst>
        </c:ser>
        <c:ser>
          <c:idx val="2"/>
          <c:order val="2"/>
          <c:tx>
            <c:strRef>
              <c:f>Hemp!$A$70:$E$70</c:f>
              <c:strCache>
                <c:ptCount val="5"/>
                <c:pt idx="0">
                  <c:v>ARAPAHOE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Hemp!$F$70:$O$70</c:f>
              <c:numCache>
                <c:formatCode>General</c:formatCode>
                <c:ptCount val="10"/>
                <c:pt idx="2">
                  <c:v>622</c:v>
                </c:pt>
                <c:pt idx="3">
                  <c:v>622</c:v>
                </c:pt>
                <c:pt idx="4">
                  <c:v>622</c:v>
                </c:pt>
                <c:pt idx="5">
                  <c:v>463</c:v>
                </c:pt>
                <c:pt idx="6">
                  <c:v>315</c:v>
                </c:pt>
                <c:pt idx="7">
                  <c:v>315</c:v>
                </c:pt>
                <c:pt idx="8">
                  <c:v>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8D-4748-A805-58A1A55C19EE}"/>
            </c:ext>
          </c:extLst>
        </c:ser>
        <c:ser>
          <c:idx val="3"/>
          <c:order val="3"/>
          <c:tx>
            <c:strRef>
              <c:f>Hemp!$A$71:$E$71</c:f>
              <c:strCache>
                <c:ptCount val="5"/>
                <c:pt idx="0">
                  <c:v>CONEJOS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Hemp!$F$71:$O$71</c:f>
              <c:numCache>
                <c:formatCode>General</c:formatCode>
                <c:ptCount val="10"/>
                <c:pt idx="2">
                  <c:v>358</c:v>
                </c:pt>
                <c:pt idx="3">
                  <c:v>358</c:v>
                </c:pt>
                <c:pt idx="4">
                  <c:v>829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8D-4748-A805-58A1A55C19EE}"/>
            </c:ext>
          </c:extLst>
        </c:ser>
        <c:ser>
          <c:idx val="4"/>
          <c:order val="4"/>
          <c:tx>
            <c:strRef>
              <c:f>Hemp!$A$72:$E$72</c:f>
              <c:strCache>
                <c:ptCount val="5"/>
                <c:pt idx="0">
                  <c:v>COSTILLA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Hemp!$F$72:$O$72</c:f>
              <c:numCache>
                <c:formatCode>General</c:formatCode>
                <c:ptCount val="10"/>
                <c:pt idx="2">
                  <c:v>793</c:v>
                </c:pt>
                <c:pt idx="3">
                  <c:v>793</c:v>
                </c:pt>
                <c:pt idx="4">
                  <c:v>793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8D-4748-A805-58A1A55C19EE}"/>
            </c:ext>
          </c:extLst>
        </c:ser>
        <c:ser>
          <c:idx val="5"/>
          <c:order val="5"/>
          <c:tx>
            <c:strRef>
              <c:f>Hemp!$A$73:$E$73</c:f>
              <c:strCache>
                <c:ptCount val="5"/>
                <c:pt idx="0">
                  <c:v>CROWLEY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Hemp!$F$73:$O$73</c:f>
              <c:numCache>
                <c:formatCode>General</c:formatCode>
                <c:ptCount val="10"/>
                <c:pt idx="2">
                  <c:v>692</c:v>
                </c:pt>
                <c:pt idx="3">
                  <c:v>692</c:v>
                </c:pt>
                <c:pt idx="4">
                  <c:v>692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8D-4748-A805-58A1A55C19EE}"/>
            </c:ext>
          </c:extLst>
        </c:ser>
        <c:ser>
          <c:idx val="6"/>
          <c:order val="6"/>
          <c:tx>
            <c:strRef>
              <c:f>Hemp!$A$74:$E$74</c:f>
              <c:strCache>
                <c:ptCount val="5"/>
                <c:pt idx="0">
                  <c:v>DOLORES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Hemp!$F$74:$O$74</c:f>
              <c:numCache>
                <c:formatCode>General</c:formatCode>
                <c:ptCount val="10"/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463</c:v>
                </c:pt>
                <c:pt idx="6">
                  <c:v>352</c:v>
                </c:pt>
                <c:pt idx="7">
                  <c:v>352</c:v>
                </c:pt>
                <c:pt idx="8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8D-4748-A805-58A1A55C19EE}"/>
            </c:ext>
          </c:extLst>
        </c:ser>
        <c:ser>
          <c:idx val="7"/>
          <c:order val="7"/>
          <c:tx>
            <c:strRef>
              <c:f>Hemp!$A$75:$E$75</c:f>
              <c:strCache>
                <c:ptCount val="5"/>
                <c:pt idx="0">
                  <c:v>MONTEZUMA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Hemp!$F$75:$O$75</c:f>
              <c:numCache>
                <c:formatCode>General</c:formatCode>
                <c:ptCount val="10"/>
                <c:pt idx="2">
                  <c:v>402</c:v>
                </c:pt>
                <c:pt idx="3">
                  <c:v>402</c:v>
                </c:pt>
                <c:pt idx="4">
                  <c:v>402</c:v>
                </c:pt>
                <c:pt idx="5">
                  <c:v>463</c:v>
                </c:pt>
                <c:pt idx="6">
                  <c:v>320</c:v>
                </c:pt>
                <c:pt idx="7">
                  <c:v>322</c:v>
                </c:pt>
                <c:pt idx="8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8D-4748-A805-58A1A55C19EE}"/>
            </c:ext>
          </c:extLst>
        </c:ser>
        <c:ser>
          <c:idx val="8"/>
          <c:order val="8"/>
          <c:tx>
            <c:strRef>
              <c:f>Hemp!$A$76:$E$76</c:f>
              <c:strCache>
                <c:ptCount val="5"/>
                <c:pt idx="0">
                  <c:v>MONTROSE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Hemp!$F$76:$O$76</c:f>
              <c:numCache>
                <c:formatCode>General</c:formatCode>
                <c:ptCount val="10"/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171</c:v>
                </c:pt>
                <c:pt idx="6">
                  <c:v>171</c:v>
                </c:pt>
                <c:pt idx="7">
                  <c:v>171</c:v>
                </c:pt>
                <c:pt idx="8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8D-4748-A805-58A1A55C19EE}"/>
            </c:ext>
          </c:extLst>
        </c:ser>
        <c:ser>
          <c:idx val="9"/>
          <c:order val="9"/>
          <c:tx>
            <c:strRef>
              <c:f>Hemp!$A$77:$E$77</c:f>
              <c:strCache>
                <c:ptCount val="5"/>
                <c:pt idx="0">
                  <c:v>OTERO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Hemp!$F$77:$O$77</c:f>
              <c:numCache>
                <c:formatCode>General</c:formatCode>
                <c:ptCount val="10"/>
                <c:pt idx="2">
                  <c:v>951</c:v>
                </c:pt>
                <c:pt idx="3">
                  <c:v>951</c:v>
                </c:pt>
                <c:pt idx="4">
                  <c:v>951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8D-4748-A805-58A1A55C19EE}"/>
            </c:ext>
          </c:extLst>
        </c:ser>
        <c:ser>
          <c:idx val="10"/>
          <c:order val="10"/>
          <c:tx>
            <c:strRef>
              <c:f>Hemp!$A$78:$E$78</c:f>
              <c:strCache>
                <c:ptCount val="5"/>
                <c:pt idx="0">
                  <c:v>PROWERS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Hemp!$F$78:$O$78</c:f>
              <c:numCache>
                <c:formatCode>General</c:formatCode>
                <c:ptCount val="10"/>
                <c:pt idx="2">
                  <c:v>955</c:v>
                </c:pt>
                <c:pt idx="3">
                  <c:v>955</c:v>
                </c:pt>
                <c:pt idx="4">
                  <c:v>955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8D-4748-A805-58A1A55C19EE}"/>
            </c:ext>
          </c:extLst>
        </c:ser>
        <c:ser>
          <c:idx val="11"/>
          <c:order val="11"/>
          <c:tx>
            <c:strRef>
              <c:f>Hemp!$A$79:$E$79</c:f>
              <c:strCache>
                <c:ptCount val="5"/>
                <c:pt idx="0">
                  <c:v>PUEBLO</c:v>
                </c:pt>
                <c:pt idx="1">
                  <c:v>HEMP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Hemp!$F$67:$O$67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Hemp!$F$79:$O$79</c:f>
              <c:numCache>
                <c:formatCode>General</c:formatCode>
                <c:ptCount val="10"/>
                <c:pt idx="2">
                  <c:v>910</c:v>
                </c:pt>
                <c:pt idx="3">
                  <c:v>910</c:v>
                </c:pt>
                <c:pt idx="4">
                  <c:v>910</c:v>
                </c:pt>
                <c:pt idx="5">
                  <c:v>463</c:v>
                </c:pt>
                <c:pt idx="6">
                  <c:v>463</c:v>
                </c:pt>
                <c:pt idx="7">
                  <c:v>463</c:v>
                </c:pt>
                <c:pt idx="8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8D-4748-A805-58A1A55C1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951999"/>
        <c:axId val="852954399"/>
      </c:lineChart>
      <c:catAx>
        <c:axId val="8529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54399"/>
        <c:crosses val="autoZero"/>
        <c:auto val="1"/>
        <c:lblAlgn val="ctr"/>
        <c:lblOffset val="100"/>
        <c:noMultiLvlLbl val="0"/>
      </c:catAx>
      <c:valAx>
        <c:axId val="8529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9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'Korean Golden Melon'!$A$2:$E$2</c:f>
              <c:strCache>
                <c:ptCount val="5"/>
                <c:pt idx="0">
                  <c:v>PUEBLO</c:v>
                </c:pt>
                <c:pt idx="1">
                  <c:v>KOREAN GOLDEN MELON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'Korean Golden Melon'!$F$1:$O$1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'Korean Golden Melon'!$F$2:$O$2</c:f>
              <c:numCache>
                <c:formatCode>General</c:formatCode>
                <c:ptCount val="10"/>
                <c:pt idx="0">
                  <c:v>216.67</c:v>
                </c:pt>
                <c:pt idx="1">
                  <c:v>215.77</c:v>
                </c:pt>
                <c:pt idx="2">
                  <c:v>215.77</c:v>
                </c:pt>
                <c:pt idx="3">
                  <c:v>229.87</c:v>
                </c:pt>
                <c:pt idx="4">
                  <c:v>235.84</c:v>
                </c:pt>
                <c:pt idx="5">
                  <c:v>215.07</c:v>
                </c:pt>
                <c:pt idx="6">
                  <c:v>193.58</c:v>
                </c:pt>
                <c:pt idx="7">
                  <c:v>149.24</c:v>
                </c:pt>
                <c:pt idx="8">
                  <c:v>84.71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F-4207-B5D3-0464BABFFACE}"/>
            </c:ext>
          </c:extLst>
        </c:ser>
        <c:ser>
          <c:idx val="1"/>
          <c:order val="1"/>
          <c:tx>
            <c:strRef>
              <c:f>'Korean Golden Melon'!$A$2:$E$2</c:f>
              <c:strCache>
                <c:ptCount val="5"/>
                <c:pt idx="0">
                  <c:v>PUEBLO</c:v>
                </c:pt>
                <c:pt idx="1">
                  <c:v>KOREAN GOLDEN MELON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'Korean Golden Melon'!$F$1:$O$1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'Korean Golden Melon'!$F$2:$N$2</c:f>
              <c:numCache>
                <c:formatCode>General</c:formatCode>
                <c:ptCount val="9"/>
                <c:pt idx="0">
                  <c:v>216.67</c:v>
                </c:pt>
                <c:pt idx="1">
                  <c:v>215.77</c:v>
                </c:pt>
                <c:pt idx="2">
                  <c:v>215.77</c:v>
                </c:pt>
                <c:pt idx="3">
                  <c:v>229.87</c:v>
                </c:pt>
                <c:pt idx="4">
                  <c:v>235.84</c:v>
                </c:pt>
                <c:pt idx="5">
                  <c:v>215.07</c:v>
                </c:pt>
                <c:pt idx="6">
                  <c:v>193.58</c:v>
                </c:pt>
                <c:pt idx="7">
                  <c:v>149.24</c:v>
                </c:pt>
                <c:pt idx="8">
                  <c:v>84.71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CF-4207-B5D3-0464BABFF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57439"/>
        <c:axId val="852855999"/>
      </c:lineChart>
      <c:catAx>
        <c:axId val="85285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55999"/>
        <c:crosses val="autoZero"/>
        <c:auto val="1"/>
        <c:lblAlgn val="ctr"/>
        <c:lblOffset val="100"/>
        <c:noMultiLvlLbl val="0"/>
      </c:catAx>
      <c:valAx>
        <c:axId val="8528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5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Leeks!$A$2:$E$2</c:f>
              <c:strCache>
                <c:ptCount val="5"/>
                <c:pt idx="0">
                  <c:v>WELD</c:v>
                </c:pt>
                <c:pt idx="1">
                  <c:v>LEEKS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Leeks!$F$1:$O$1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Leeks!$F$2:$O$2</c:f>
              <c:numCache>
                <c:formatCode>General</c:formatCode>
                <c:ptCount val="10"/>
                <c:pt idx="0">
                  <c:v>51.47</c:v>
                </c:pt>
                <c:pt idx="1">
                  <c:v>51.47</c:v>
                </c:pt>
                <c:pt idx="2">
                  <c:v>51.47</c:v>
                </c:pt>
                <c:pt idx="3">
                  <c:v>51.46</c:v>
                </c:pt>
                <c:pt idx="4">
                  <c:v>51.46</c:v>
                </c:pt>
                <c:pt idx="5">
                  <c:v>51.46</c:v>
                </c:pt>
                <c:pt idx="6">
                  <c:v>51.46</c:v>
                </c:pt>
                <c:pt idx="7">
                  <c:v>51.46</c:v>
                </c:pt>
                <c:pt idx="8">
                  <c:v>42.66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1-467B-9622-08CD17493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56959"/>
        <c:axId val="852865599"/>
      </c:lineChart>
      <c:catAx>
        <c:axId val="8528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65599"/>
        <c:crosses val="autoZero"/>
        <c:auto val="1"/>
        <c:lblAlgn val="ctr"/>
        <c:lblOffset val="100"/>
        <c:noMultiLvlLbl val="0"/>
      </c:catAx>
      <c:valAx>
        <c:axId val="85286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5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Peas!$A$2:$E$2</c:f>
              <c:strCache>
                <c:ptCount val="5"/>
                <c:pt idx="0">
                  <c:v>ADAMS</c:v>
                </c:pt>
                <c:pt idx="1">
                  <c:v>PEAS</c:v>
                </c:pt>
                <c:pt idx="2">
                  <c:v>YEL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Peas!$F$2:$O$2</c:f>
              <c:numCache>
                <c:formatCode>General</c:formatCode>
                <c:ptCount val="10"/>
                <c:pt idx="0">
                  <c:v>1100</c:v>
                </c:pt>
                <c:pt idx="1">
                  <c:v>1017</c:v>
                </c:pt>
                <c:pt idx="2">
                  <c:v>1017</c:v>
                </c:pt>
                <c:pt idx="4">
                  <c:v>1013</c:v>
                </c:pt>
                <c:pt idx="6">
                  <c:v>995</c:v>
                </c:pt>
                <c:pt idx="7">
                  <c:v>1004</c:v>
                </c:pt>
                <c:pt idx="8">
                  <c:v>1103</c:v>
                </c:pt>
                <c:pt idx="9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D-4DD9-A808-7BFF1CCB5D21}"/>
            </c:ext>
          </c:extLst>
        </c:ser>
        <c:ser>
          <c:idx val="1"/>
          <c:order val="1"/>
          <c:tx>
            <c:strRef>
              <c:f>Peas!$A$3:$E$3</c:f>
              <c:strCache>
                <c:ptCount val="5"/>
                <c:pt idx="0">
                  <c:v>CONEJOS</c:v>
                </c:pt>
                <c:pt idx="1">
                  <c:v>PEAS</c:v>
                </c:pt>
                <c:pt idx="2">
                  <c:v>AUS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Peas!$F$3:$O$3</c:f>
              <c:numCache>
                <c:formatCode>General</c:formatCode>
                <c:ptCount val="10"/>
                <c:pt idx="0">
                  <c:v>1117</c:v>
                </c:pt>
                <c:pt idx="1">
                  <c:v>1117</c:v>
                </c:pt>
                <c:pt idx="2">
                  <c:v>1117</c:v>
                </c:pt>
                <c:pt idx="3">
                  <c:v>1015</c:v>
                </c:pt>
                <c:pt idx="4">
                  <c:v>1013</c:v>
                </c:pt>
                <c:pt idx="6">
                  <c:v>994</c:v>
                </c:pt>
                <c:pt idx="7">
                  <c:v>996</c:v>
                </c:pt>
                <c:pt idx="8">
                  <c:v>998</c:v>
                </c:pt>
                <c:pt idx="9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D-4DD9-A808-7BFF1CCB5D21}"/>
            </c:ext>
          </c:extLst>
        </c:ser>
        <c:ser>
          <c:idx val="2"/>
          <c:order val="2"/>
          <c:tx>
            <c:strRef>
              <c:f>Peas!$A$4:$E$4</c:f>
              <c:strCache>
                <c:ptCount val="5"/>
                <c:pt idx="0">
                  <c:v>COSTILLA</c:v>
                </c:pt>
                <c:pt idx="1">
                  <c:v>PEAS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Peas!$F$4:$O$4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4">
                  <c:v>4557</c:v>
                </c:pt>
                <c:pt idx="5">
                  <c:v>4352</c:v>
                </c:pt>
                <c:pt idx="6">
                  <c:v>4149</c:v>
                </c:pt>
                <c:pt idx="7">
                  <c:v>3865</c:v>
                </c:pt>
                <c:pt idx="8">
                  <c:v>3583</c:v>
                </c:pt>
                <c:pt idx="9">
                  <c:v>3068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D-4DD9-A808-7BFF1CCB5D21}"/>
            </c:ext>
          </c:extLst>
        </c:ser>
        <c:ser>
          <c:idx val="3"/>
          <c:order val="3"/>
          <c:tx>
            <c:strRef>
              <c:f>Peas!$A$5:$E$5</c:f>
              <c:strCache>
                <c:ptCount val="5"/>
                <c:pt idx="0">
                  <c:v>CROWLEY</c:v>
                </c:pt>
                <c:pt idx="1">
                  <c:v>PEAS</c:v>
                </c:pt>
                <c:pt idx="2">
                  <c:v>BLE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Peas!$F$5:$O$5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1140</c:v>
                </c:pt>
                <c:pt idx="3">
                  <c:v>1140</c:v>
                </c:pt>
                <c:pt idx="4">
                  <c:v>1140</c:v>
                </c:pt>
                <c:pt idx="5">
                  <c:v>4247</c:v>
                </c:pt>
                <c:pt idx="6">
                  <c:v>4073</c:v>
                </c:pt>
                <c:pt idx="7">
                  <c:v>3363</c:v>
                </c:pt>
                <c:pt idx="8">
                  <c:v>2779</c:v>
                </c:pt>
                <c:pt idx="9">
                  <c:v>2359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7D-4DD9-A808-7BFF1CCB5D21}"/>
            </c:ext>
          </c:extLst>
        </c:ser>
        <c:ser>
          <c:idx val="4"/>
          <c:order val="4"/>
          <c:tx>
            <c:strRef>
              <c:f>Peas!$A$6:$E$6</c:f>
              <c:strCache>
                <c:ptCount val="5"/>
                <c:pt idx="0">
                  <c:v>CROWLEY</c:v>
                </c:pt>
                <c:pt idx="1">
                  <c:v>PEAS</c:v>
                </c:pt>
                <c:pt idx="2">
                  <c:v>SNA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Peas!$F$6:$O$6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4383</c:v>
                </c:pt>
                <c:pt idx="3">
                  <c:v>2583</c:v>
                </c:pt>
                <c:pt idx="4">
                  <c:v>4557</c:v>
                </c:pt>
                <c:pt idx="5">
                  <c:v>4247</c:v>
                </c:pt>
                <c:pt idx="6">
                  <c:v>4337</c:v>
                </c:pt>
                <c:pt idx="7">
                  <c:v>4055</c:v>
                </c:pt>
                <c:pt idx="8">
                  <c:v>3373</c:v>
                </c:pt>
                <c:pt idx="9">
                  <c:v>3060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7D-4DD9-A808-7BFF1CCB5D21}"/>
            </c:ext>
          </c:extLst>
        </c:ser>
        <c:ser>
          <c:idx val="5"/>
          <c:order val="5"/>
          <c:tx>
            <c:strRef>
              <c:f>Peas!$A$7:$E$7</c:f>
              <c:strCache>
                <c:ptCount val="5"/>
                <c:pt idx="0">
                  <c:v>CROWLEY</c:v>
                </c:pt>
                <c:pt idx="1">
                  <c:v>PEAS</c:v>
                </c:pt>
                <c:pt idx="2">
                  <c:v>SNO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Peas!$F$7:$O$7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4383</c:v>
                </c:pt>
                <c:pt idx="3">
                  <c:v>1889</c:v>
                </c:pt>
                <c:pt idx="4">
                  <c:v>4557</c:v>
                </c:pt>
                <c:pt idx="5">
                  <c:v>4247</c:v>
                </c:pt>
                <c:pt idx="6">
                  <c:v>3694</c:v>
                </c:pt>
                <c:pt idx="7">
                  <c:v>3156</c:v>
                </c:pt>
                <c:pt idx="8">
                  <c:v>2576</c:v>
                </c:pt>
                <c:pt idx="9">
                  <c:v>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7D-4DD9-A808-7BFF1CCB5D21}"/>
            </c:ext>
          </c:extLst>
        </c:ser>
        <c:ser>
          <c:idx val="6"/>
          <c:order val="6"/>
          <c:tx>
            <c:strRef>
              <c:f>Peas!$A$8:$E$8</c:f>
              <c:strCache>
                <c:ptCount val="5"/>
                <c:pt idx="0">
                  <c:v>FREEMONT</c:v>
                </c:pt>
                <c:pt idx="1">
                  <c:v>PEAS</c:v>
                </c:pt>
                <c:pt idx="2">
                  <c:v>SNO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Peas!$F$8:$O$8</c:f>
              <c:numCache>
                <c:formatCode>General</c:formatCode>
                <c:ptCount val="10"/>
                <c:pt idx="5">
                  <c:v>3694</c:v>
                </c:pt>
                <c:pt idx="6">
                  <c:v>3694</c:v>
                </c:pt>
                <c:pt idx="7">
                  <c:v>3156</c:v>
                </c:pt>
                <c:pt idx="8">
                  <c:v>2576</c:v>
                </c:pt>
                <c:pt idx="9">
                  <c:v>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7D-4DD9-A808-7BFF1CCB5D21}"/>
            </c:ext>
          </c:extLst>
        </c:ser>
        <c:ser>
          <c:idx val="7"/>
          <c:order val="7"/>
          <c:tx>
            <c:strRef>
              <c:f>Peas!$A$9:$E$9</c:f>
              <c:strCache>
                <c:ptCount val="5"/>
                <c:pt idx="0">
                  <c:v>LINCOLN </c:v>
                </c:pt>
                <c:pt idx="1">
                  <c:v>PEAS</c:v>
                </c:pt>
                <c:pt idx="2">
                  <c:v>YEL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Peas!$F$9:$O$9</c:f>
              <c:numCache>
                <c:formatCode>General</c:formatCode>
                <c:ptCount val="10"/>
                <c:pt idx="0">
                  <c:v>1100</c:v>
                </c:pt>
                <c:pt idx="1">
                  <c:v>1017</c:v>
                </c:pt>
                <c:pt idx="2">
                  <c:v>1017</c:v>
                </c:pt>
                <c:pt idx="3">
                  <c:v>1015</c:v>
                </c:pt>
                <c:pt idx="4">
                  <c:v>1013</c:v>
                </c:pt>
                <c:pt idx="6">
                  <c:v>995</c:v>
                </c:pt>
                <c:pt idx="7">
                  <c:v>1004</c:v>
                </c:pt>
                <c:pt idx="8">
                  <c:v>1103</c:v>
                </c:pt>
                <c:pt idx="9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7D-4DD9-A808-7BFF1CCB5D21}"/>
            </c:ext>
          </c:extLst>
        </c:ser>
        <c:ser>
          <c:idx val="8"/>
          <c:order val="8"/>
          <c:tx>
            <c:strRef>
              <c:f>Peas!$A$10:$E$10</c:f>
              <c:strCache>
                <c:ptCount val="5"/>
                <c:pt idx="0">
                  <c:v>LOGAN</c:v>
                </c:pt>
                <c:pt idx="1">
                  <c:v>PEAS</c:v>
                </c:pt>
                <c:pt idx="2">
                  <c:v>YEL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Peas!$F$10:$O$10</c:f>
              <c:numCache>
                <c:formatCode>General</c:formatCode>
                <c:ptCount val="10"/>
                <c:pt idx="0">
                  <c:v>1100</c:v>
                </c:pt>
                <c:pt idx="1">
                  <c:v>1017</c:v>
                </c:pt>
                <c:pt idx="2">
                  <c:v>1017</c:v>
                </c:pt>
                <c:pt idx="4">
                  <c:v>1013</c:v>
                </c:pt>
                <c:pt idx="6">
                  <c:v>995</c:v>
                </c:pt>
                <c:pt idx="7">
                  <c:v>1004</c:v>
                </c:pt>
                <c:pt idx="8">
                  <c:v>1103</c:v>
                </c:pt>
                <c:pt idx="9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7D-4DD9-A808-7BFF1CCB5D21}"/>
            </c:ext>
          </c:extLst>
        </c:ser>
        <c:ser>
          <c:idx val="9"/>
          <c:order val="9"/>
          <c:tx>
            <c:strRef>
              <c:f>Peas!$A$11:$E$11</c:f>
              <c:strCache>
                <c:ptCount val="5"/>
                <c:pt idx="0">
                  <c:v>OTERO</c:v>
                </c:pt>
                <c:pt idx="1">
                  <c:v>PEAS</c:v>
                </c:pt>
                <c:pt idx="2">
                  <c:v>BLE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Peas!$F$11:$O$11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1140</c:v>
                </c:pt>
                <c:pt idx="3">
                  <c:v>1140</c:v>
                </c:pt>
                <c:pt idx="4">
                  <c:v>1140</c:v>
                </c:pt>
                <c:pt idx="5">
                  <c:v>4247</c:v>
                </c:pt>
                <c:pt idx="6">
                  <c:v>4073</c:v>
                </c:pt>
                <c:pt idx="7">
                  <c:v>4073</c:v>
                </c:pt>
                <c:pt idx="8">
                  <c:v>4196</c:v>
                </c:pt>
                <c:pt idx="9">
                  <c:v>3948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7D-4DD9-A808-7BFF1CCB5D21}"/>
            </c:ext>
          </c:extLst>
        </c:ser>
        <c:ser>
          <c:idx val="10"/>
          <c:order val="10"/>
          <c:tx>
            <c:strRef>
              <c:f>Peas!$A$12:$E$12</c:f>
              <c:strCache>
                <c:ptCount val="5"/>
                <c:pt idx="0">
                  <c:v>PUEBLO</c:v>
                </c:pt>
                <c:pt idx="1">
                  <c:v>PEAS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Peas!$F$12:$O$12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4383</c:v>
                </c:pt>
                <c:pt idx="3">
                  <c:v>4383</c:v>
                </c:pt>
                <c:pt idx="4">
                  <c:v>4557</c:v>
                </c:pt>
                <c:pt idx="5">
                  <c:v>4352</c:v>
                </c:pt>
                <c:pt idx="6">
                  <c:v>4149</c:v>
                </c:pt>
                <c:pt idx="7">
                  <c:v>3645</c:v>
                </c:pt>
                <c:pt idx="8">
                  <c:v>3585</c:v>
                </c:pt>
                <c:pt idx="9">
                  <c:v>3115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7D-4DD9-A808-7BFF1CCB5D21}"/>
            </c:ext>
          </c:extLst>
        </c:ser>
        <c:ser>
          <c:idx val="11"/>
          <c:order val="11"/>
          <c:tx>
            <c:strRef>
              <c:f>Peas!$A$13:$E$13</c:f>
              <c:strCache>
                <c:ptCount val="5"/>
                <c:pt idx="0">
                  <c:v>PUEBLO</c:v>
                </c:pt>
                <c:pt idx="1">
                  <c:v>PEAS</c:v>
                </c:pt>
                <c:pt idx="2">
                  <c:v>SUG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Peas!$F$13:$O$13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1889</c:v>
                </c:pt>
                <c:pt idx="3">
                  <c:v>1889</c:v>
                </c:pt>
                <c:pt idx="4">
                  <c:v>4597</c:v>
                </c:pt>
                <c:pt idx="5">
                  <c:v>4491</c:v>
                </c:pt>
                <c:pt idx="6">
                  <c:v>3727</c:v>
                </c:pt>
                <c:pt idx="7">
                  <c:v>2312</c:v>
                </c:pt>
                <c:pt idx="8">
                  <c:v>897</c:v>
                </c:pt>
                <c:pt idx="9">
                  <c:v>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7D-4DD9-A808-7BFF1CCB5D21}"/>
            </c:ext>
          </c:extLst>
        </c:ser>
        <c:ser>
          <c:idx val="12"/>
          <c:order val="12"/>
          <c:tx>
            <c:strRef>
              <c:f>Peas!$A$14:$E$14</c:f>
              <c:strCache>
                <c:ptCount val="5"/>
                <c:pt idx="0">
                  <c:v>SEDGWICK</c:v>
                </c:pt>
                <c:pt idx="1">
                  <c:v>PEAS</c:v>
                </c:pt>
                <c:pt idx="2">
                  <c:v>BLE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Peas!$F$14:$O$14</c:f>
              <c:numCache>
                <c:formatCode>General</c:formatCode>
                <c:ptCount val="10"/>
                <c:pt idx="0">
                  <c:v>902</c:v>
                </c:pt>
                <c:pt idx="1">
                  <c:v>902</c:v>
                </c:pt>
                <c:pt idx="2">
                  <c:v>902</c:v>
                </c:pt>
                <c:pt idx="3">
                  <c:v>902</c:v>
                </c:pt>
                <c:pt idx="6">
                  <c:v>902</c:v>
                </c:pt>
                <c:pt idx="7">
                  <c:v>902</c:v>
                </c:pt>
                <c:pt idx="8">
                  <c:v>902</c:v>
                </c:pt>
                <c:pt idx="9">
                  <c:v>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7D-4DD9-A808-7BFF1CCB5D21}"/>
            </c:ext>
          </c:extLst>
        </c:ser>
        <c:ser>
          <c:idx val="13"/>
          <c:order val="13"/>
          <c:tx>
            <c:strRef>
              <c:f>Peas!$A$15:$E$15</c:f>
              <c:strCache>
                <c:ptCount val="5"/>
                <c:pt idx="0">
                  <c:v>SEDGWICK</c:v>
                </c:pt>
                <c:pt idx="1">
                  <c:v>PEAS</c:v>
                </c:pt>
                <c:pt idx="2">
                  <c:v>BLE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Peas!$F$15:$O$15</c:f>
              <c:numCache>
                <c:formatCode>General</c:formatCode>
                <c:ptCount val="10"/>
                <c:pt idx="0">
                  <c:v>556</c:v>
                </c:pt>
                <c:pt idx="1">
                  <c:v>556</c:v>
                </c:pt>
                <c:pt idx="2">
                  <c:v>556</c:v>
                </c:pt>
                <c:pt idx="3">
                  <c:v>556</c:v>
                </c:pt>
                <c:pt idx="6">
                  <c:v>556</c:v>
                </c:pt>
                <c:pt idx="7">
                  <c:v>556</c:v>
                </c:pt>
                <c:pt idx="8">
                  <c:v>556</c:v>
                </c:pt>
                <c:pt idx="9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7D-4DD9-A808-7BFF1CCB5D21}"/>
            </c:ext>
          </c:extLst>
        </c:ser>
        <c:ser>
          <c:idx val="14"/>
          <c:order val="14"/>
          <c:tx>
            <c:strRef>
              <c:f>Peas!$A$16:$E$16</c:f>
              <c:strCache>
                <c:ptCount val="5"/>
                <c:pt idx="0">
                  <c:v>SEDGWICK</c:v>
                </c:pt>
                <c:pt idx="1">
                  <c:v>PEAS</c:v>
                </c:pt>
                <c:pt idx="2">
                  <c:v>YEL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Peas!$F$16:$O$16</c:f>
              <c:numCache>
                <c:formatCode>General</c:formatCode>
                <c:ptCount val="10"/>
                <c:pt idx="0">
                  <c:v>1100</c:v>
                </c:pt>
                <c:pt idx="1">
                  <c:v>1017</c:v>
                </c:pt>
                <c:pt idx="2">
                  <c:v>1017</c:v>
                </c:pt>
                <c:pt idx="3">
                  <c:v>1015</c:v>
                </c:pt>
                <c:pt idx="4">
                  <c:v>1013</c:v>
                </c:pt>
                <c:pt idx="6">
                  <c:v>995</c:v>
                </c:pt>
                <c:pt idx="7">
                  <c:v>1004</c:v>
                </c:pt>
                <c:pt idx="8">
                  <c:v>1103</c:v>
                </c:pt>
                <c:pt idx="9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7D-4DD9-A808-7BFF1CCB5D21}"/>
            </c:ext>
          </c:extLst>
        </c:ser>
        <c:ser>
          <c:idx val="15"/>
          <c:order val="15"/>
          <c:tx>
            <c:strRef>
              <c:f>Peas!$A$17:$E$17</c:f>
              <c:strCache>
                <c:ptCount val="5"/>
                <c:pt idx="0">
                  <c:v>WELD</c:v>
                </c:pt>
                <c:pt idx="1">
                  <c:v>PEAS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Peas!$F$17:$O$17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4">
                  <c:v>4557</c:v>
                </c:pt>
                <c:pt idx="5">
                  <c:v>4352</c:v>
                </c:pt>
                <c:pt idx="6">
                  <c:v>4149</c:v>
                </c:pt>
                <c:pt idx="7">
                  <c:v>3865</c:v>
                </c:pt>
                <c:pt idx="8">
                  <c:v>3583</c:v>
                </c:pt>
                <c:pt idx="9">
                  <c:v>3068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57D-4DD9-A808-7BFF1CCB5D21}"/>
            </c:ext>
          </c:extLst>
        </c:ser>
        <c:ser>
          <c:idx val="16"/>
          <c:order val="16"/>
          <c:tx>
            <c:strRef>
              <c:f>Peas!$A$18:$E$18</c:f>
              <c:strCache>
                <c:ptCount val="5"/>
                <c:pt idx="0">
                  <c:v>WELD</c:v>
                </c:pt>
                <c:pt idx="1">
                  <c:v>PEAS</c:v>
                </c:pt>
                <c:pt idx="2">
                  <c:v>SNA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Peas!$F$18:$O$18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4383</c:v>
                </c:pt>
                <c:pt idx="3">
                  <c:v>2583</c:v>
                </c:pt>
                <c:pt idx="4">
                  <c:v>4557</c:v>
                </c:pt>
                <c:pt idx="5">
                  <c:v>4247</c:v>
                </c:pt>
                <c:pt idx="6">
                  <c:v>4123</c:v>
                </c:pt>
                <c:pt idx="7">
                  <c:v>3441</c:v>
                </c:pt>
                <c:pt idx="8">
                  <c:v>2908</c:v>
                </c:pt>
                <c:pt idx="9">
                  <c:v>2562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57D-4DD9-A808-7BFF1CCB5D21}"/>
            </c:ext>
          </c:extLst>
        </c:ser>
        <c:ser>
          <c:idx val="17"/>
          <c:order val="17"/>
          <c:tx>
            <c:strRef>
              <c:f>Peas!$A$19:$E$19</c:f>
              <c:strCache>
                <c:ptCount val="5"/>
                <c:pt idx="0">
                  <c:v>WELD</c:v>
                </c:pt>
                <c:pt idx="1">
                  <c:v>PEAS</c:v>
                </c:pt>
                <c:pt idx="2">
                  <c:v>SNO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Peas!$F$19:$O$19</c:f>
              <c:numCache>
                <c:formatCode>General</c:formatCode>
                <c:ptCount val="10"/>
                <c:pt idx="0">
                  <c:v>4313</c:v>
                </c:pt>
                <c:pt idx="1">
                  <c:v>4427</c:v>
                </c:pt>
                <c:pt idx="2">
                  <c:v>4383</c:v>
                </c:pt>
                <c:pt idx="3">
                  <c:v>1889</c:v>
                </c:pt>
                <c:pt idx="4">
                  <c:v>4557</c:v>
                </c:pt>
                <c:pt idx="5">
                  <c:v>4247</c:v>
                </c:pt>
                <c:pt idx="6">
                  <c:v>3694</c:v>
                </c:pt>
                <c:pt idx="7">
                  <c:v>3156</c:v>
                </c:pt>
                <c:pt idx="8">
                  <c:v>2576</c:v>
                </c:pt>
                <c:pt idx="9">
                  <c:v>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57D-4DD9-A808-7BFF1CCB5D21}"/>
            </c:ext>
          </c:extLst>
        </c:ser>
        <c:ser>
          <c:idx val="18"/>
          <c:order val="18"/>
          <c:tx>
            <c:strRef>
              <c:f>Peas!$A$20:$E$20</c:f>
              <c:strCache>
                <c:ptCount val="5"/>
                <c:pt idx="0">
                  <c:v>WELD</c:v>
                </c:pt>
                <c:pt idx="1">
                  <c:v>PEAS</c:v>
                </c:pt>
                <c:pt idx="2">
                  <c:v>YEL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Peas!$F$20:$O$20</c:f>
              <c:numCache>
                <c:formatCode>General</c:formatCode>
                <c:ptCount val="10"/>
                <c:pt idx="0">
                  <c:v>1100</c:v>
                </c:pt>
                <c:pt idx="1">
                  <c:v>1017</c:v>
                </c:pt>
                <c:pt idx="2">
                  <c:v>1017</c:v>
                </c:pt>
                <c:pt idx="4">
                  <c:v>1013</c:v>
                </c:pt>
                <c:pt idx="6">
                  <c:v>995</c:v>
                </c:pt>
                <c:pt idx="7">
                  <c:v>1004</c:v>
                </c:pt>
                <c:pt idx="8">
                  <c:v>1103</c:v>
                </c:pt>
                <c:pt idx="9">
                  <c:v>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57D-4DD9-A808-7BFF1CCB5D21}"/>
            </c:ext>
          </c:extLst>
        </c:ser>
        <c:ser>
          <c:idx val="19"/>
          <c:order val="19"/>
          <c:tx>
            <c:strRef>
              <c:f>Peas!$A$21:$E$21</c:f>
              <c:strCache>
                <c:ptCount val="5"/>
                <c:pt idx="0">
                  <c:v>YUMA</c:v>
                </c:pt>
                <c:pt idx="1">
                  <c:v>PEAS</c:v>
                </c:pt>
                <c:pt idx="2">
                  <c:v>BLE</c:v>
                </c:pt>
                <c:pt idx="3">
                  <c:v>DE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Peas!$F$21:$O$21</c:f>
              <c:numCache>
                <c:formatCode>General</c:formatCode>
                <c:ptCount val="10"/>
                <c:pt idx="5">
                  <c:v>902</c:v>
                </c:pt>
                <c:pt idx="6">
                  <c:v>902</c:v>
                </c:pt>
                <c:pt idx="7">
                  <c:v>902</c:v>
                </c:pt>
                <c:pt idx="8">
                  <c:v>902</c:v>
                </c:pt>
                <c:pt idx="9">
                  <c:v>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57D-4DD9-A808-7BFF1CCB5D21}"/>
            </c:ext>
          </c:extLst>
        </c:ser>
        <c:ser>
          <c:idx val="20"/>
          <c:order val="20"/>
          <c:tx>
            <c:strRef>
              <c:f>Peas!$A$22:$E$22</c:f>
              <c:strCache>
                <c:ptCount val="5"/>
                <c:pt idx="0">
                  <c:v>YUMA</c:v>
                </c:pt>
                <c:pt idx="1">
                  <c:v>PEAS</c:v>
                </c:pt>
                <c:pt idx="2">
                  <c:v>BLE</c:v>
                </c:pt>
                <c:pt idx="3">
                  <c:v>DE</c:v>
                </c:pt>
                <c:pt idx="4">
                  <c:v>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Peas!$F$1:$O$1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Peas!$F$22:$O$22</c:f>
              <c:numCache>
                <c:formatCode>General</c:formatCode>
                <c:ptCount val="10"/>
                <c:pt idx="5">
                  <c:v>556</c:v>
                </c:pt>
                <c:pt idx="6">
                  <c:v>556</c:v>
                </c:pt>
                <c:pt idx="7">
                  <c:v>556</c:v>
                </c:pt>
                <c:pt idx="8">
                  <c:v>556</c:v>
                </c:pt>
                <c:pt idx="9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7D-4DD9-A808-7BFF1CCB5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22399"/>
        <c:axId val="852837279"/>
      </c:lineChart>
      <c:catAx>
        <c:axId val="85282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37279"/>
        <c:crosses val="autoZero"/>
        <c:auto val="1"/>
        <c:lblAlgn val="ctr"/>
        <c:lblOffset val="100"/>
        <c:noMultiLvlLbl val="0"/>
      </c:catAx>
      <c:valAx>
        <c:axId val="8528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2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'Sweet Potato'!$A$2:$E$2</c:f>
              <c:strCache>
                <c:ptCount val="5"/>
                <c:pt idx="0">
                  <c:v>WELD</c:v>
                </c:pt>
                <c:pt idx="1">
                  <c:v>SWEET POTATO</c:v>
                </c:pt>
                <c:pt idx="2">
                  <c:v>BEA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'Sweet Potato'!$F$1:$O$1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'Sweet Potato'!$F$2:$O$2</c:f>
              <c:numCache>
                <c:formatCode>General</c:formatCode>
                <c:ptCount val="10"/>
                <c:pt idx="0">
                  <c:v>142.99</c:v>
                </c:pt>
                <c:pt idx="1">
                  <c:v>148.99</c:v>
                </c:pt>
                <c:pt idx="4">
                  <c:v>182.67</c:v>
                </c:pt>
                <c:pt idx="5">
                  <c:v>180.2</c:v>
                </c:pt>
                <c:pt idx="6">
                  <c:v>191.87</c:v>
                </c:pt>
                <c:pt idx="7">
                  <c:v>191.87</c:v>
                </c:pt>
                <c:pt idx="8">
                  <c:v>136.03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A-4A3A-A8B3-EB4F6BB3E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753759"/>
        <c:axId val="852750879"/>
      </c:lineChart>
      <c:catAx>
        <c:axId val="85275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50879"/>
        <c:crosses val="autoZero"/>
        <c:auto val="1"/>
        <c:lblAlgn val="ctr"/>
        <c:lblOffset val="100"/>
        <c:noMultiLvlLbl val="0"/>
      </c:catAx>
      <c:valAx>
        <c:axId val="8527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75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Radish!$A$2:$E$2</c:f>
              <c:strCache>
                <c:ptCount val="5"/>
                <c:pt idx="0">
                  <c:v>ADAMS</c:v>
                </c:pt>
                <c:pt idx="1">
                  <c:v>RADISH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Radish!$F$1:$O$1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Radish!$F$2:$O$2</c:f>
              <c:numCache>
                <c:formatCode>General</c:formatCode>
                <c:ptCount val="10"/>
                <c:pt idx="0">
                  <c:v>206</c:v>
                </c:pt>
                <c:pt idx="1">
                  <c:v>175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181</c:v>
                </c:pt>
                <c:pt idx="8">
                  <c:v>165</c:v>
                </c:pt>
                <c:pt idx="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1F-4CF6-BA7F-6B19FF852ABE}"/>
            </c:ext>
          </c:extLst>
        </c:ser>
        <c:ser>
          <c:idx val="1"/>
          <c:order val="1"/>
          <c:tx>
            <c:strRef>
              <c:f>Radish!$A$3:$E$3</c:f>
              <c:strCache>
                <c:ptCount val="5"/>
                <c:pt idx="0">
                  <c:v>CROWLEY</c:v>
                </c:pt>
                <c:pt idx="1">
                  <c:v>RADISH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Radish!$F$1:$O$1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Radish!$F$3:$O$3</c:f>
              <c:numCache>
                <c:formatCode>General</c:formatCode>
                <c:ptCount val="10"/>
                <c:pt idx="0">
                  <c:v>206</c:v>
                </c:pt>
                <c:pt idx="1">
                  <c:v>175</c:v>
                </c:pt>
                <c:pt idx="2">
                  <c:v>175</c:v>
                </c:pt>
                <c:pt idx="3">
                  <c:v>191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181</c:v>
                </c:pt>
                <c:pt idx="8">
                  <c:v>165</c:v>
                </c:pt>
                <c:pt idx="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1F-4CF6-BA7F-6B19FF852ABE}"/>
            </c:ext>
          </c:extLst>
        </c:ser>
        <c:ser>
          <c:idx val="2"/>
          <c:order val="2"/>
          <c:tx>
            <c:strRef>
              <c:f>Radish!$A$4:$E$4</c:f>
              <c:strCache>
                <c:ptCount val="5"/>
                <c:pt idx="0">
                  <c:v>FREMONT</c:v>
                </c:pt>
                <c:pt idx="1">
                  <c:v>RADISH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Radish!$F$1:$O$1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Radish!$F$4:$O$4</c:f>
              <c:numCache>
                <c:formatCode>General</c:formatCode>
                <c:ptCount val="10"/>
                <c:pt idx="0">
                  <c:v>206</c:v>
                </c:pt>
                <c:pt idx="1">
                  <c:v>175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181</c:v>
                </c:pt>
                <c:pt idx="8">
                  <c:v>165</c:v>
                </c:pt>
                <c:pt idx="9">
                  <c:v>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1F-4CF6-BA7F-6B19FF852ABE}"/>
            </c:ext>
          </c:extLst>
        </c:ser>
        <c:ser>
          <c:idx val="3"/>
          <c:order val="3"/>
          <c:tx>
            <c:strRef>
              <c:f>Radish!$A$5:$E$5</c:f>
              <c:strCache>
                <c:ptCount val="5"/>
                <c:pt idx="0">
                  <c:v>PUEBLO</c:v>
                </c:pt>
                <c:pt idx="1">
                  <c:v>RADISH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Radish!$F$1:$O$1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Radish!$F$5:$O$5</c:f>
              <c:numCache>
                <c:formatCode>General</c:formatCode>
                <c:ptCount val="10"/>
                <c:pt idx="0">
                  <c:v>206</c:v>
                </c:pt>
                <c:pt idx="1">
                  <c:v>175</c:v>
                </c:pt>
                <c:pt idx="2">
                  <c:v>175</c:v>
                </c:pt>
                <c:pt idx="3">
                  <c:v>191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246</c:v>
                </c:pt>
                <c:pt idx="8">
                  <c:v>317</c:v>
                </c:pt>
                <c:pt idx="9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1F-4CF6-BA7F-6B19FF852ABE}"/>
            </c:ext>
          </c:extLst>
        </c:ser>
        <c:ser>
          <c:idx val="4"/>
          <c:order val="4"/>
          <c:tx>
            <c:strRef>
              <c:f>Radish!$A$6:$E$6</c:f>
              <c:strCache>
                <c:ptCount val="5"/>
                <c:pt idx="0">
                  <c:v>PUEBLO</c:v>
                </c:pt>
                <c:pt idx="1">
                  <c:v>RADISH</c:v>
                </c:pt>
                <c:pt idx="2">
                  <c:v>KOR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Radish!$F$1:$O$1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Radish!$F$6:$O$6</c:f>
              <c:numCache>
                <c:formatCode>General</c:formatCode>
                <c:ptCount val="10"/>
                <c:pt idx="0">
                  <c:v>206</c:v>
                </c:pt>
                <c:pt idx="1">
                  <c:v>175</c:v>
                </c:pt>
                <c:pt idx="2">
                  <c:v>175</c:v>
                </c:pt>
                <c:pt idx="3">
                  <c:v>191</c:v>
                </c:pt>
                <c:pt idx="4">
                  <c:v>206</c:v>
                </c:pt>
                <c:pt idx="5">
                  <c:v>206</c:v>
                </c:pt>
                <c:pt idx="6">
                  <c:v>183</c:v>
                </c:pt>
                <c:pt idx="7">
                  <c:v>157</c:v>
                </c:pt>
                <c:pt idx="8">
                  <c:v>130</c:v>
                </c:pt>
                <c:pt idx="9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31F-4CF6-BA7F-6B19FF852ABE}"/>
            </c:ext>
          </c:extLst>
        </c:ser>
        <c:ser>
          <c:idx val="5"/>
          <c:order val="5"/>
          <c:tx>
            <c:strRef>
              <c:f>Radish!$A$7:$E$7</c:f>
              <c:strCache>
                <c:ptCount val="5"/>
                <c:pt idx="0">
                  <c:v>WELD</c:v>
                </c:pt>
                <c:pt idx="1">
                  <c:v>RADISH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Radish!$F$1:$O$1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Radish!$F$7:$O$7</c:f>
              <c:numCache>
                <c:formatCode>General</c:formatCode>
                <c:ptCount val="10"/>
                <c:pt idx="0">
                  <c:v>206</c:v>
                </c:pt>
                <c:pt idx="1">
                  <c:v>175</c:v>
                </c:pt>
                <c:pt idx="2">
                  <c:v>175</c:v>
                </c:pt>
                <c:pt idx="3">
                  <c:v>191</c:v>
                </c:pt>
                <c:pt idx="4">
                  <c:v>206</c:v>
                </c:pt>
                <c:pt idx="5">
                  <c:v>206</c:v>
                </c:pt>
                <c:pt idx="6">
                  <c:v>206</c:v>
                </c:pt>
                <c:pt idx="7">
                  <c:v>181</c:v>
                </c:pt>
                <c:pt idx="8">
                  <c:v>165</c:v>
                </c:pt>
                <c:pt idx="9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31F-4CF6-BA7F-6B19FF852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4359439"/>
        <c:axId val="664385839"/>
      </c:lineChart>
      <c:catAx>
        <c:axId val="664359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85839"/>
        <c:crosses val="autoZero"/>
        <c:auto val="1"/>
        <c:lblAlgn val="ctr"/>
        <c:lblOffset val="100"/>
        <c:noMultiLvlLbl val="0"/>
      </c:catAx>
      <c:valAx>
        <c:axId val="66438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35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'Sugar Beet'!$A$2:$E$2</c:f>
              <c:strCache>
                <c:ptCount val="5"/>
                <c:pt idx="0">
                  <c:v>YUMA</c:v>
                </c:pt>
                <c:pt idx="1">
                  <c:v>SUGAR BEET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'Sugar Beet'!$F$1:$O$1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'Sugar Beet'!$F$2:$O$2</c:f>
              <c:numCache>
                <c:formatCode>General</c:formatCode>
                <c:ptCount val="10"/>
                <c:pt idx="0">
                  <c:v>62460</c:v>
                </c:pt>
                <c:pt idx="1">
                  <c:v>63660</c:v>
                </c:pt>
                <c:pt idx="2">
                  <c:v>11480</c:v>
                </c:pt>
                <c:pt idx="3">
                  <c:v>11480</c:v>
                </c:pt>
                <c:pt idx="4">
                  <c:v>11856</c:v>
                </c:pt>
                <c:pt idx="5">
                  <c:v>11674</c:v>
                </c:pt>
                <c:pt idx="6">
                  <c:v>11674</c:v>
                </c:pt>
                <c:pt idx="7">
                  <c:v>11445</c:v>
                </c:pt>
                <c:pt idx="8">
                  <c:v>10868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B-4093-8F71-25F19A0EA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843519"/>
        <c:axId val="852849759"/>
      </c:lineChart>
      <c:catAx>
        <c:axId val="85284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49759"/>
        <c:crosses val="autoZero"/>
        <c:auto val="1"/>
        <c:lblAlgn val="ctr"/>
        <c:lblOffset val="100"/>
        <c:noMultiLvlLbl val="0"/>
      </c:catAx>
      <c:valAx>
        <c:axId val="85284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84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Tomatillos!$A$2:$E$2</c:f>
              <c:strCache>
                <c:ptCount val="5"/>
                <c:pt idx="0">
                  <c:v>FREEMONT</c:v>
                </c:pt>
                <c:pt idx="1">
                  <c:v>TOMATILLOS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Tomatillos!$F$1:$O$1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Tomatillos!$F$2:$O$2</c:f>
              <c:numCache>
                <c:formatCode>General</c:formatCode>
                <c:ptCount val="10"/>
                <c:pt idx="4">
                  <c:v>96.2</c:v>
                </c:pt>
                <c:pt idx="5">
                  <c:v>91.52</c:v>
                </c:pt>
                <c:pt idx="6">
                  <c:v>91.52</c:v>
                </c:pt>
                <c:pt idx="7">
                  <c:v>76.72</c:v>
                </c:pt>
                <c:pt idx="8">
                  <c:v>59.85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0-4099-9481-A2C4AAF18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6094959"/>
        <c:axId val="1216095439"/>
      </c:lineChart>
      <c:catAx>
        <c:axId val="121609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95439"/>
        <c:crosses val="autoZero"/>
        <c:auto val="1"/>
        <c:lblAlgn val="ctr"/>
        <c:lblOffset val="100"/>
        <c:noMultiLvlLbl val="0"/>
      </c:catAx>
      <c:valAx>
        <c:axId val="121609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09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Beets!$A$2:$E$2</c:f>
              <c:strCache>
                <c:ptCount val="5"/>
                <c:pt idx="0">
                  <c:v>CROWLEY</c:v>
                </c:pt>
                <c:pt idx="1">
                  <c:v>BEETS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Beets!$F$2:$O$2</c:f>
              <c:numCache>
                <c:formatCode>General</c:formatCode>
                <c:ptCount val="10"/>
                <c:pt idx="0">
                  <c:v>140</c:v>
                </c:pt>
                <c:pt idx="1">
                  <c:v>139.33000000000001</c:v>
                </c:pt>
                <c:pt idx="2">
                  <c:v>139.33000000000001</c:v>
                </c:pt>
                <c:pt idx="3">
                  <c:v>134.79</c:v>
                </c:pt>
                <c:pt idx="4">
                  <c:v>109.12</c:v>
                </c:pt>
                <c:pt idx="5">
                  <c:v>85.42</c:v>
                </c:pt>
                <c:pt idx="6">
                  <c:v>63.1</c:v>
                </c:pt>
                <c:pt idx="7">
                  <c:v>63.1</c:v>
                </c:pt>
                <c:pt idx="8">
                  <c:v>63.89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B-4F84-A107-3858630D07DC}"/>
            </c:ext>
          </c:extLst>
        </c:ser>
        <c:ser>
          <c:idx val="1"/>
          <c:order val="1"/>
          <c:tx>
            <c:strRef>
              <c:f>Beets!$A$3:$E$3</c:f>
              <c:strCache>
                <c:ptCount val="5"/>
                <c:pt idx="0">
                  <c:v>FREMONT</c:v>
                </c:pt>
                <c:pt idx="1">
                  <c:v>BEETS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Beets!$F$3:$O$3</c:f>
              <c:numCache>
                <c:formatCode>General</c:formatCode>
                <c:ptCount val="10"/>
                <c:pt idx="0">
                  <c:v>140</c:v>
                </c:pt>
                <c:pt idx="1">
                  <c:v>139.33000000000001</c:v>
                </c:pt>
                <c:pt idx="4">
                  <c:v>109.12</c:v>
                </c:pt>
                <c:pt idx="5">
                  <c:v>85.42</c:v>
                </c:pt>
                <c:pt idx="6">
                  <c:v>63.1</c:v>
                </c:pt>
                <c:pt idx="7">
                  <c:v>63.1</c:v>
                </c:pt>
                <c:pt idx="8">
                  <c:v>70.319999999999993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B-4F84-A107-3858630D07DC}"/>
            </c:ext>
          </c:extLst>
        </c:ser>
        <c:ser>
          <c:idx val="2"/>
          <c:order val="2"/>
          <c:tx>
            <c:strRef>
              <c:f>Beets!$A$4:$E$4</c:f>
              <c:strCache>
                <c:ptCount val="5"/>
                <c:pt idx="0">
                  <c:v>OTERO</c:v>
                </c:pt>
                <c:pt idx="1">
                  <c:v>BEETS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Beets!$F$4:$O$4</c:f>
              <c:numCache>
                <c:formatCode>General</c:formatCode>
                <c:ptCount val="10"/>
                <c:pt idx="0">
                  <c:v>140</c:v>
                </c:pt>
                <c:pt idx="1">
                  <c:v>139.33000000000001</c:v>
                </c:pt>
                <c:pt idx="2">
                  <c:v>139.33000000000001</c:v>
                </c:pt>
                <c:pt idx="3">
                  <c:v>134.79</c:v>
                </c:pt>
                <c:pt idx="4">
                  <c:v>124.4</c:v>
                </c:pt>
                <c:pt idx="5">
                  <c:v>100.7</c:v>
                </c:pt>
                <c:pt idx="6">
                  <c:v>63.1</c:v>
                </c:pt>
                <c:pt idx="7">
                  <c:v>63.1</c:v>
                </c:pt>
                <c:pt idx="8">
                  <c:v>66.48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7B-4F84-A107-3858630D07DC}"/>
            </c:ext>
          </c:extLst>
        </c:ser>
        <c:ser>
          <c:idx val="3"/>
          <c:order val="3"/>
          <c:tx>
            <c:strRef>
              <c:f>Beets!$A$5:$E$5</c:f>
              <c:strCache>
                <c:ptCount val="5"/>
                <c:pt idx="0">
                  <c:v>OTERO</c:v>
                </c:pt>
                <c:pt idx="1">
                  <c:v>BEETS</c:v>
                </c:pt>
                <c:pt idx="2">
                  <c:v>HYB</c:v>
                </c:pt>
                <c:pt idx="3">
                  <c:v>FH</c:v>
                </c:pt>
                <c:pt idx="4">
                  <c:v>NI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Beets!$F$5:$O$5</c:f>
              <c:numCache>
                <c:formatCode>General</c:formatCode>
                <c:ptCount val="10"/>
                <c:pt idx="6">
                  <c:v>63.15</c:v>
                </c:pt>
                <c:pt idx="7">
                  <c:v>55.54</c:v>
                </c:pt>
                <c:pt idx="8">
                  <c:v>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7B-4F84-A107-3858630D07DC}"/>
            </c:ext>
          </c:extLst>
        </c:ser>
        <c:ser>
          <c:idx val="4"/>
          <c:order val="4"/>
          <c:tx>
            <c:strRef>
              <c:f>Beets!$A$6:$E$6</c:f>
              <c:strCache>
                <c:ptCount val="5"/>
                <c:pt idx="0">
                  <c:v>PUEBLO</c:v>
                </c:pt>
                <c:pt idx="1">
                  <c:v>BEETS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Beets!$F$6:$O$6</c:f>
              <c:numCache>
                <c:formatCode>General</c:formatCode>
                <c:ptCount val="10"/>
                <c:pt idx="0">
                  <c:v>140</c:v>
                </c:pt>
                <c:pt idx="1">
                  <c:v>139.33000000000001</c:v>
                </c:pt>
                <c:pt idx="2">
                  <c:v>139.33000000000001</c:v>
                </c:pt>
                <c:pt idx="3">
                  <c:v>134.79</c:v>
                </c:pt>
                <c:pt idx="4">
                  <c:v>124.4</c:v>
                </c:pt>
                <c:pt idx="5">
                  <c:v>100.7</c:v>
                </c:pt>
                <c:pt idx="6">
                  <c:v>63.1</c:v>
                </c:pt>
                <c:pt idx="7">
                  <c:v>63.1</c:v>
                </c:pt>
                <c:pt idx="8">
                  <c:v>71.67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47B-4F84-A107-3858630D07DC}"/>
            </c:ext>
          </c:extLst>
        </c:ser>
        <c:ser>
          <c:idx val="5"/>
          <c:order val="5"/>
          <c:tx>
            <c:strRef>
              <c:f>Beets!$A$7:$E$7</c:f>
              <c:strCache>
                <c:ptCount val="5"/>
                <c:pt idx="0">
                  <c:v>WELD</c:v>
                </c:pt>
                <c:pt idx="1">
                  <c:v>BEETS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Beets!$F$7:$O$7</c:f>
              <c:numCache>
                <c:formatCode>General</c:formatCode>
                <c:ptCount val="10"/>
                <c:pt idx="0">
                  <c:v>140</c:v>
                </c:pt>
                <c:pt idx="1">
                  <c:v>139.33000000000001</c:v>
                </c:pt>
                <c:pt idx="2">
                  <c:v>139.33000000000001</c:v>
                </c:pt>
                <c:pt idx="3">
                  <c:v>134.79</c:v>
                </c:pt>
                <c:pt idx="4">
                  <c:v>99.23</c:v>
                </c:pt>
                <c:pt idx="5">
                  <c:v>75.53</c:v>
                </c:pt>
                <c:pt idx="6">
                  <c:v>63.1</c:v>
                </c:pt>
                <c:pt idx="7">
                  <c:v>56.88</c:v>
                </c:pt>
                <c:pt idx="8">
                  <c:v>51.81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47B-4F84-A107-3858630D07DC}"/>
            </c:ext>
          </c:extLst>
        </c:ser>
        <c:ser>
          <c:idx val="6"/>
          <c:order val="6"/>
          <c:tx>
            <c:strRef>
              <c:f>Beets!$A$8:$E$8</c:f>
              <c:strCache>
                <c:ptCount val="5"/>
                <c:pt idx="0">
                  <c:v>WELD</c:v>
                </c:pt>
                <c:pt idx="1">
                  <c:v>BEETS</c:v>
                </c:pt>
                <c:pt idx="2">
                  <c:v>OPN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Beets!$F$1:$O$1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Beets!$F$8:$O$8</c:f>
              <c:numCache>
                <c:formatCode>General</c:formatCode>
                <c:ptCount val="10"/>
                <c:pt idx="0">
                  <c:v>140</c:v>
                </c:pt>
                <c:pt idx="1">
                  <c:v>139.33000000000001</c:v>
                </c:pt>
                <c:pt idx="2">
                  <c:v>139.33000000000001</c:v>
                </c:pt>
                <c:pt idx="3">
                  <c:v>134.79</c:v>
                </c:pt>
                <c:pt idx="4">
                  <c:v>99.23</c:v>
                </c:pt>
                <c:pt idx="5">
                  <c:v>75.53</c:v>
                </c:pt>
                <c:pt idx="6">
                  <c:v>53.21</c:v>
                </c:pt>
                <c:pt idx="7">
                  <c:v>46.99</c:v>
                </c:pt>
                <c:pt idx="8">
                  <c:v>46.99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47B-4F84-A107-3858630D07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094623"/>
        <c:axId val="1620197263"/>
      </c:lineChart>
      <c:catAx>
        <c:axId val="168509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97263"/>
        <c:crosses val="autoZero"/>
        <c:auto val="1"/>
        <c:lblAlgn val="ctr"/>
        <c:lblOffset val="100"/>
        <c:noMultiLvlLbl val="0"/>
      </c:catAx>
      <c:valAx>
        <c:axId val="16201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9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Broccoli!$A$2:$E$2</c:f>
              <c:strCache>
                <c:ptCount val="5"/>
                <c:pt idx="0">
                  <c:v>PUEBLO</c:v>
                </c:pt>
                <c:pt idx="1">
                  <c:v>BROCCOLI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Broccoli!$F$1:$O$1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Broccoli!$F$2:$O$2</c:f>
              <c:numCache>
                <c:formatCode>General</c:formatCode>
                <c:ptCount val="10"/>
                <c:pt idx="0">
                  <c:v>162.33000000000001</c:v>
                </c:pt>
                <c:pt idx="1">
                  <c:v>160.87</c:v>
                </c:pt>
                <c:pt idx="2">
                  <c:v>164.2</c:v>
                </c:pt>
                <c:pt idx="3">
                  <c:v>164.2</c:v>
                </c:pt>
                <c:pt idx="4">
                  <c:v>156.97</c:v>
                </c:pt>
                <c:pt idx="5">
                  <c:v>155.19999999999999</c:v>
                </c:pt>
                <c:pt idx="6">
                  <c:v>145.31</c:v>
                </c:pt>
                <c:pt idx="7">
                  <c:v>121.47</c:v>
                </c:pt>
                <c:pt idx="8">
                  <c:v>86.33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D3-48F5-9555-66A2DECF1F08}"/>
            </c:ext>
          </c:extLst>
        </c:ser>
        <c:ser>
          <c:idx val="1"/>
          <c:order val="1"/>
          <c:tx>
            <c:strRef>
              <c:f>Broccoli!$A$3:$E$3</c:f>
              <c:strCache>
                <c:ptCount val="5"/>
                <c:pt idx="0">
                  <c:v>WELD</c:v>
                </c:pt>
                <c:pt idx="1">
                  <c:v>BROCCOLI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Broccoli!$F$1:$O$1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Broccoli!$F$3:$O$3</c:f>
              <c:numCache>
                <c:formatCode>General</c:formatCode>
                <c:ptCount val="10"/>
                <c:pt idx="0">
                  <c:v>162.33000000000001</c:v>
                </c:pt>
                <c:pt idx="1">
                  <c:v>160.87</c:v>
                </c:pt>
                <c:pt idx="2">
                  <c:v>160.87</c:v>
                </c:pt>
                <c:pt idx="3">
                  <c:v>159.19999999999999</c:v>
                </c:pt>
                <c:pt idx="4">
                  <c:v>156.97</c:v>
                </c:pt>
                <c:pt idx="5">
                  <c:v>155.19999999999999</c:v>
                </c:pt>
                <c:pt idx="6">
                  <c:v>145.31</c:v>
                </c:pt>
                <c:pt idx="7">
                  <c:v>121.47</c:v>
                </c:pt>
                <c:pt idx="8">
                  <c:v>83.18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D3-48F5-9555-66A2DECF1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023199"/>
        <c:axId val="1620217903"/>
      </c:lineChart>
      <c:catAx>
        <c:axId val="155702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17903"/>
        <c:crosses val="autoZero"/>
        <c:auto val="1"/>
        <c:lblAlgn val="ctr"/>
        <c:lblOffset val="100"/>
        <c:noMultiLvlLbl val="0"/>
      </c:catAx>
      <c:valAx>
        <c:axId val="16202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23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Cabbage!$A$2:$E$2</c:f>
              <c:strCache>
                <c:ptCount val="5"/>
                <c:pt idx="0">
                  <c:v>CROWLEY</c:v>
                </c:pt>
                <c:pt idx="1">
                  <c:v>CABBAGE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Cabbage!$F$2:$O$2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430.33</c:v>
                </c:pt>
                <c:pt idx="3">
                  <c:v>408.33</c:v>
                </c:pt>
                <c:pt idx="4">
                  <c:v>385.77</c:v>
                </c:pt>
                <c:pt idx="5">
                  <c:v>385.77</c:v>
                </c:pt>
                <c:pt idx="6">
                  <c:v>373.1</c:v>
                </c:pt>
                <c:pt idx="7">
                  <c:v>335.03</c:v>
                </c:pt>
                <c:pt idx="8">
                  <c:v>344.52</c:v>
                </c:pt>
                <c:pt idx="9">
                  <c:v>307.81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B-4BB2-91BA-BE52E16549B8}"/>
            </c:ext>
          </c:extLst>
        </c:ser>
        <c:ser>
          <c:idx val="1"/>
          <c:order val="1"/>
          <c:tx>
            <c:strRef>
              <c:f>Cabbage!$A$3:$E$3</c:f>
              <c:strCache>
                <c:ptCount val="5"/>
                <c:pt idx="0">
                  <c:v>OTERO</c:v>
                </c:pt>
                <c:pt idx="1">
                  <c:v>CABBAGE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Cabbage!$F$3:$O$3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430.33</c:v>
                </c:pt>
                <c:pt idx="3">
                  <c:v>408.33</c:v>
                </c:pt>
                <c:pt idx="4">
                  <c:v>394.67</c:v>
                </c:pt>
                <c:pt idx="5">
                  <c:v>394.67</c:v>
                </c:pt>
                <c:pt idx="6">
                  <c:v>373.1</c:v>
                </c:pt>
                <c:pt idx="7">
                  <c:v>335.03</c:v>
                </c:pt>
                <c:pt idx="8">
                  <c:v>344.52</c:v>
                </c:pt>
                <c:pt idx="9">
                  <c:v>307.81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1B-4BB2-91BA-BE52E16549B8}"/>
            </c:ext>
          </c:extLst>
        </c:ser>
        <c:ser>
          <c:idx val="2"/>
          <c:order val="2"/>
          <c:tx>
            <c:strRef>
              <c:f>Cabbage!$A$4:$E$4</c:f>
              <c:strCache>
                <c:ptCount val="5"/>
                <c:pt idx="0">
                  <c:v>OTERO</c:v>
                </c:pt>
                <c:pt idx="1">
                  <c:v>CABBAGE</c:v>
                </c:pt>
                <c:pt idx="2">
                  <c:v>NAP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Cabbage!$F$4:$O$4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430.33</c:v>
                </c:pt>
                <c:pt idx="3">
                  <c:v>408.33</c:v>
                </c:pt>
                <c:pt idx="4">
                  <c:v>385.77</c:v>
                </c:pt>
                <c:pt idx="5">
                  <c:v>373.1</c:v>
                </c:pt>
                <c:pt idx="6">
                  <c:v>339.07</c:v>
                </c:pt>
                <c:pt idx="7">
                  <c:v>309.89</c:v>
                </c:pt>
                <c:pt idx="8">
                  <c:v>216.92</c:v>
                </c:pt>
                <c:pt idx="9">
                  <c:v>171.81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B-4BB2-91BA-BE52E16549B8}"/>
            </c:ext>
          </c:extLst>
        </c:ser>
        <c:ser>
          <c:idx val="3"/>
          <c:order val="3"/>
          <c:tx>
            <c:strRef>
              <c:f>Cabbage!$A$5:$E$5</c:f>
              <c:strCache>
                <c:ptCount val="5"/>
                <c:pt idx="0">
                  <c:v>OTERO</c:v>
                </c:pt>
                <c:pt idx="1">
                  <c:v>CABBAGE</c:v>
                </c:pt>
                <c:pt idx="2">
                  <c:v>RED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Cabbage!$F$5:$O$5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430.33</c:v>
                </c:pt>
                <c:pt idx="3">
                  <c:v>408.33</c:v>
                </c:pt>
                <c:pt idx="4">
                  <c:v>385.77</c:v>
                </c:pt>
                <c:pt idx="5">
                  <c:v>373.1</c:v>
                </c:pt>
                <c:pt idx="6">
                  <c:v>318.13</c:v>
                </c:pt>
                <c:pt idx="7">
                  <c:v>224.03</c:v>
                </c:pt>
                <c:pt idx="8">
                  <c:v>138.4</c:v>
                </c:pt>
                <c:pt idx="9">
                  <c:v>124.04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1B-4BB2-91BA-BE52E16549B8}"/>
            </c:ext>
          </c:extLst>
        </c:ser>
        <c:ser>
          <c:idx val="4"/>
          <c:order val="4"/>
          <c:tx>
            <c:strRef>
              <c:f>Cabbage!$A$6:$E$6</c:f>
              <c:strCache>
                <c:ptCount val="5"/>
                <c:pt idx="0">
                  <c:v>PUEBLO</c:v>
                </c:pt>
                <c:pt idx="1">
                  <c:v>CABBAGE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Cabbage!$F$6:$O$6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408.33</c:v>
                </c:pt>
                <c:pt idx="4">
                  <c:v>385.77</c:v>
                </c:pt>
                <c:pt idx="5">
                  <c:v>385.77</c:v>
                </c:pt>
                <c:pt idx="6">
                  <c:v>415.1</c:v>
                </c:pt>
                <c:pt idx="7">
                  <c:v>424.03</c:v>
                </c:pt>
                <c:pt idx="8">
                  <c:v>499.34</c:v>
                </c:pt>
                <c:pt idx="9">
                  <c:v>558.62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1B-4BB2-91BA-BE52E16549B8}"/>
            </c:ext>
          </c:extLst>
        </c:ser>
        <c:ser>
          <c:idx val="5"/>
          <c:order val="5"/>
          <c:tx>
            <c:strRef>
              <c:f>Cabbage!$A$7:$E$7</c:f>
              <c:strCache>
                <c:ptCount val="5"/>
                <c:pt idx="0">
                  <c:v>PUEBLO</c:v>
                </c:pt>
                <c:pt idx="1">
                  <c:v>CABBAGE</c:v>
                </c:pt>
                <c:pt idx="2">
                  <c:v>NAP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Cabbage!$F$7:$O$7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372.67</c:v>
                </c:pt>
                <c:pt idx="6">
                  <c:v>339.07</c:v>
                </c:pt>
                <c:pt idx="7">
                  <c:v>309.89</c:v>
                </c:pt>
                <c:pt idx="8">
                  <c:v>216.92</c:v>
                </c:pt>
                <c:pt idx="9">
                  <c:v>171.81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D1B-4BB2-91BA-BE52E16549B8}"/>
            </c:ext>
          </c:extLst>
        </c:ser>
        <c:ser>
          <c:idx val="6"/>
          <c:order val="6"/>
          <c:tx>
            <c:strRef>
              <c:f>Cabbage!$A$8:$E$8</c:f>
              <c:strCache>
                <c:ptCount val="5"/>
                <c:pt idx="0">
                  <c:v>PUEBLO</c:v>
                </c:pt>
                <c:pt idx="1">
                  <c:v>CABBAGE</c:v>
                </c:pt>
                <c:pt idx="2">
                  <c:v>RED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Cabbage!$F$8:$O$8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372.67</c:v>
                </c:pt>
                <c:pt idx="6">
                  <c:v>345.73</c:v>
                </c:pt>
                <c:pt idx="7">
                  <c:v>297.63</c:v>
                </c:pt>
                <c:pt idx="8">
                  <c:v>212</c:v>
                </c:pt>
                <c:pt idx="9">
                  <c:v>180.25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D1B-4BB2-91BA-BE52E16549B8}"/>
            </c:ext>
          </c:extLst>
        </c:ser>
        <c:ser>
          <c:idx val="7"/>
          <c:order val="7"/>
          <c:tx>
            <c:strRef>
              <c:f>Cabbage!$A$9:$E$9</c:f>
              <c:strCache>
                <c:ptCount val="5"/>
                <c:pt idx="0">
                  <c:v>WELD</c:v>
                </c:pt>
                <c:pt idx="1">
                  <c:v>CABBAGE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Cabbage!$F$9:$O$9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383.77</c:v>
                </c:pt>
                <c:pt idx="6">
                  <c:v>373.1</c:v>
                </c:pt>
                <c:pt idx="7">
                  <c:v>355.03</c:v>
                </c:pt>
                <c:pt idx="8">
                  <c:v>265.69</c:v>
                </c:pt>
                <c:pt idx="9">
                  <c:v>248.69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D1B-4BB2-91BA-BE52E16549B8}"/>
            </c:ext>
          </c:extLst>
        </c:ser>
        <c:ser>
          <c:idx val="8"/>
          <c:order val="8"/>
          <c:tx>
            <c:strRef>
              <c:f>Cabbage!$A$10:$E$10</c:f>
              <c:strCache>
                <c:ptCount val="5"/>
                <c:pt idx="0">
                  <c:v>WELD</c:v>
                </c:pt>
                <c:pt idx="1">
                  <c:v>CABBAGE</c:v>
                </c:pt>
                <c:pt idx="2">
                  <c:v>NAP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Cabbage!$F$10:$O$10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372.67</c:v>
                </c:pt>
                <c:pt idx="6">
                  <c:v>339.07</c:v>
                </c:pt>
                <c:pt idx="7">
                  <c:v>291.97000000000003</c:v>
                </c:pt>
                <c:pt idx="8">
                  <c:v>187.81</c:v>
                </c:pt>
                <c:pt idx="9">
                  <c:v>149.97999999999999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D1B-4BB2-91BA-BE52E16549B8}"/>
            </c:ext>
          </c:extLst>
        </c:ser>
        <c:ser>
          <c:idx val="9"/>
          <c:order val="9"/>
          <c:tx>
            <c:strRef>
              <c:f>Cabbage!$A$11:$E$11</c:f>
              <c:strCache>
                <c:ptCount val="5"/>
                <c:pt idx="0">
                  <c:v>WELD</c:v>
                </c:pt>
                <c:pt idx="1">
                  <c:v>CABBAGE</c:v>
                </c:pt>
                <c:pt idx="2">
                  <c:v>OPN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Cabbage!$F$11:$O$11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372.67</c:v>
                </c:pt>
                <c:pt idx="6">
                  <c:v>335.66</c:v>
                </c:pt>
                <c:pt idx="7">
                  <c:v>241.56</c:v>
                </c:pt>
                <c:pt idx="8">
                  <c:v>158.15</c:v>
                </c:pt>
                <c:pt idx="9">
                  <c:v>138.86000000000001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1B-4BB2-91BA-BE52E16549B8}"/>
            </c:ext>
          </c:extLst>
        </c:ser>
        <c:ser>
          <c:idx val="10"/>
          <c:order val="10"/>
          <c:tx>
            <c:strRef>
              <c:f>Cabbage!$A$12:$E$12</c:f>
              <c:strCache>
                <c:ptCount val="5"/>
                <c:pt idx="0">
                  <c:v>WELD</c:v>
                </c:pt>
                <c:pt idx="1">
                  <c:v>CABBAGE</c:v>
                </c:pt>
                <c:pt idx="2">
                  <c:v>RED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Cabbage!$F$12:$O$12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372.67</c:v>
                </c:pt>
                <c:pt idx="6">
                  <c:v>318.13</c:v>
                </c:pt>
                <c:pt idx="7">
                  <c:v>224.03</c:v>
                </c:pt>
                <c:pt idx="8">
                  <c:v>138.4</c:v>
                </c:pt>
                <c:pt idx="9">
                  <c:v>116.69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1B-4BB2-91BA-BE52E16549B8}"/>
            </c:ext>
          </c:extLst>
        </c:ser>
        <c:ser>
          <c:idx val="11"/>
          <c:order val="11"/>
          <c:tx>
            <c:strRef>
              <c:f>Cabbage!$A$13:$E$13</c:f>
              <c:strCache>
                <c:ptCount val="5"/>
                <c:pt idx="0">
                  <c:v>WELD</c:v>
                </c:pt>
                <c:pt idx="1">
                  <c:v>CABBAGE</c:v>
                </c:pt>
                <c:pt idx="2">
                  <c:v>SAV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Cabbage!$F$1:$O$1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Cabbage!$F$13:$O$13</c:f>
              <c:numCache>
                <c:formatCode>General</c:formatCode>
                <c:ptCount val="10"/>
                <c:pt idx="0">
                  <c:v>448.33</c:v>
                </c:pt>
                <c:pt idx="1">
                  <c:v>430.33</c:v>
                </c:pt>
                <c:pt idx="2">
                  <c:v>381.3</c:v>
                </c:pt>
                <c:pt idx="3">
                  <c:v>381.3</c:v>
                </c:pt>
                <c:pt idx="4">
                  <c:v>377.8</c:v>
                </c:pt>
                <c:pt idx="5">
                  <c:v>372.67</c:v>
                </c:pt>
                <c:pt idx="6">
                  <c:v>339.07</c:v>
                </c:pt>
                <c:pt idx="7">
                  <c:v>309.89</c:v>
                </c:pt>
                <c:pt idx="8">
                  <c:v>216.92</c:v>
                </c:pt>
                <c:pt idx="9">
                  <c:v>181.69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1B-4BB2-91BA-BE52E1654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075135"/>
        <c:axId val="1620194383"/>
      </c:lineChart>
      <c:catAx>
        <c:axId val="168507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94383"/>
        <c:crosses val="autoZero"/>
        <c:auto val="1"/>
        <c:lblAlgn val="ctr"/>
        <c:lblOffset val="100"/>
        <c:noMultiLvlLbl val="0"/>
      </c:catAx>
      <c:valAx>
        <c:axId val="162019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075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Cantaloupes!$A$2:$E$2</c:f>
              <c:strCache>
                <c:ptCount val="5"/>
                <c:pt idx="0">
                  <c:v>CROWLEY</c:v>
                </c:pt>
                <c:pt idx="1">
                  <c:v>CANTELOUPE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Cantaloupes!$F$1:$O$1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Cantaloupes!$F$2:$O$2</c:f>
              <c:numCache>
                <c:formatCode>General</c:formatCode>
                <c:ptCount val="10"/>
                <c:pt idx="0">
                  <c:v>77</c:v>
                </c:pt>
                <c:pt idx="1">
                  <c:v>76</c:v>
                </c:pt>
                <c:pt idx="2">
                  <c:v>76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71</c:v>
                </c:pt>
                <c:pt idx="9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3-4D6A-830A-327A0248530D}"/>
            </c:ext>
          </c:extLst>
        </c:ser>
        <c:ser>
          <c:idx val="1"/>
          <c:order val="1"/>
          <c:tx>
            <c:strRef>
              <c:f>Cantaloupes!$A$3:$E$3</c:f>
              <c:strCache>
                <c:ptCount val="5"/>
                <c:pt idx="0">
                  <c:v>OTERO</c:v>
                </c:pt>
                <c:pt idx="1">
                  <c:v>CANTELOUPE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Cantaloupes!$F$1:$O$1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Cantaloupes!$F$3:$O$3</c:f>
              <c:numCache>
                <c:formatCode>General</c:formatCode>
                <c:ptCount val="10"/>
                <c:pt idx="0">
                  <c:v>77</c:v>
                </c:pt>
                <c:pt idx="1">
                  <c:v>76</c:v>
                </c:pt>
                <c:pt idx="2">
                  <c:v>76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71</c:v>
                </c:pt>
                <c:pt idx="9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63-4D6A-830A-327A0248530D}"/>
            </c:ext>
          </c:extLst>
        </c:ser>
        <c:ser>
          <c:idx val="2"/>
          <c:order val="2"/>
          <c:tx>
            <c:strRef>
              <c:f>Cantaloupes!$A$4:$E$4</c:f>
              <c:strCache>
                <c:ptCount val="5"/>
                <c:pt idx="0">
                  <c:v>PUEBLO</c:v>
                </c:pt>
                <c:pt idx="1">
                  <c:v>CANTELOUPE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Cantaloupes!$F$1:$O$1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Cantaloupes!$F$4:$O$4</c:f>
              <c:numCache>
                <c:formatCode>General</c:formatCode>
                <c:ptCount val="10"/>
                <c:pt idx="0">
                  <c:v>77</c:v>
                </c:pt>
                <c:pt idx="1">
                  <c:v>76</c:v>
                </c:pt>
                <c:pt idx="2">
                  <c:v>76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76</c:v>
                </c:pt>
                <c:pt idx="7">
                  <c:v>75</c:v>
                </c:pt>
                <c:pt idx="8">
                  <c:v>75</c:v>
                </c:pt>
                <c:pt idx="9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3-4D6A-830A-327A02485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147055"/>
        <c:axId val="1447302735"/>
      </c:lineChart>
      <c:catAx>
        <c:axId val="16851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302735"/>
        <c:crosses val="autoZero"/>
        <c:auto val="1"/>
        <c:lblAlgn val="ctr"/>
        <c:lblOffset val="100"/>
        <c:noMultiLvlLbl val="0"/>
      </c:catAx>
      <c:valAx>
        <c:axId val="144730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14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Carrots!$A$2:$E$2</c:f>
              <c:strCache>
                <c:ptCount val="5"/>
                <c:pt idx="0">
                  <c:v>FREEMONT</c:v>
                </c:pt>
                <c:pt idx="1">
                  <c:v>CARROTS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Carrots!$F$1:$O$1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Carrots!$F$2:$O$2</c:f>
              <c:numCache>
                <c:formatCode>General</c:formatCode>
                <c:ptCount val="10"/>
                <c:pt idx="0">
                  <c:v>337.67</c:v>
                </c:pt>
                <c:pt idx="1">
                  <c:v>337.67</c:v>
                </c:pt>
                <c:pt idx="2">
                  <c:v>337.67</c:v>
                </c:pt>
                <c:pt idx="3">
                  <c:v>332.33</c:v>
                </c:pt>
                <c:pt idx="4">
                  <c:v>329.43</c:v>
                </c:pt>
                <c:pt idx="5">
                  <c:v>326.10000000000002</c:v>
                </c:pt>
                <c:pt idx="6">
                  <c:v>308.69</c:v>
                </c:pt>
                <c:pt idx="7">
                  <c:v>251.85</c:v>
                </c:pt>
                <c:pt idx="8">
                  <c:v>191.63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23-460E-BACB-657C738018CD}"/>
            </c:ext>
          </c:extLst>
        </c:ser>
        <c:ser>
          <c:idx val="1"/>
          <c:order val="1"/>
          <c:tx>
            <c:strRef>
              <c:f>Carrots!$A$3:$E$3</c:f>
              <c:strCache>
                <c:ptCount val="5"/>
                <c:pt idx="0">
                  <c:v>PUEBLO</c:v>
                </c:pt>
                <c:pt idx="1">
                  <c:v>CARROTS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Carrots!$F$1:$O$1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Carrots!$F$3:$O$3</c:f>
              <c:numCache>
                <c:formatCode>General</c:formatCode>
                <c:ptCount val="10"/>
                <c:pt idx="0">
                  <c:v>337.67</c:v>
                </c:pt>
                <c:pt idx="1">
                  <c:v>337.67</c:v>
                </c:pt>
                <c:pt idx="2">
                  <c:v>337.67</c:v>
                </c:pt>
                <c:pt idx="3">
                  <c:v>332.33</c:v>
                </c:pt>
                <c:pt idx="4">
                  <c:v>329.43</c:v>
                </c:pt>
                <c:pt idx="5">
                  <c:v>326.10000000000002</c:v>
                </c:pt>
                <c:pt idx="6">
                  <c:v>308.69</c:v>
                </c:pt>
                <c:pt idx="7">
                  <c:v>251.85</c:v>
                </c:pt>
                <c:pt idx="8">
                  <c:v>210.29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23-460E-BACB-657C738018CD}"/>
            </c:ext>
          </c:extLst>
        </c:ser>
        <c:ser>
          <c:idx val="2"/>
          <c:order val="2"/>
          <c:tx>
            <c:strRef>
              <c:f>Carrots!$A$4:$E$4</c:f>
              <c:strCache>
                <c:ptCount val="5"/>
                <c:pt idx="0">
                  <c:v>WELD</c:v>
                </c:pt>
                <c:pt idx="1">
                  <c:v>CARROTS</c:v>
                </c:pt>
                <c:pt idx="2">
                  <c:v>HYB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Carrots!$F$1:$O$1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Carrots!$F$4:$O$4</c:f>
              <c:numCache>
                <c:formatCode>General</c:formatCode>
                <c:ptCount val="10"/>
                <c:pt idx="0">
                  <c:v>337.67</c:v>
                </c:pt>
                <c:pt idx="1">
                  <c:v>337.67</c:v>
                </c:pt>
                <c:pt idx="2">
                  <c:v>337.67</c:v>
                </c:pt>
                <c:pt idx="3">
                  <c:v>332.33</c:v>
                </c:pt>
                <c:pt idx="4">
                  <c:v>329.43</c:v>
                </c:pt>
                <c:pt idx="5">
                  <c:v>326.10000000000002</c:v>
                </c:pt>
                <c:pt idx="6">
                  <c:v>308.69</c:v>
                </c:pt>
                <c:pt idx="7">
                  <c:v>229.59</c:v>
                </c:pt>
                <c:pt idx="8">
                  <c:v>152.54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23-460E-BACB-657C738018CD}"/>
            </c:ext>
          </c:extLst>
        </c:ser>
        <c:ser>
          <c:idx val="3"/>
          <c:order val="3"/>
          <c:tx>
            <c:strRef>
              <c:f>Carrots!$A$5:$E$5</c:f>
              <c:strCache>
                <c:ptCount val="5"/>
                <c:pt idx="0">
                  <c:v>WELD</c:v>
                </c:pt>
                <c:pt idx="1">
                  <c:v>CARROTS</c:v>
                </c:pt>
                <c:pt idx="2">
                  <c:v>OPN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Carrots!$F$1:$O$1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Carrots!$F$5:$O$5</c:f>
              <c:numCache>
                <c:formatCode>General</c:formatCode>
                <c:ptCount val="10"/>
                <c:pt idx="0">
                  <c:v>337.67</c:v>
                </c:pt>
                <c:pt idx="1">
                  <c:v>337.67</c:v>
                </c:pt>
                <c:pt idx="2">
                  <c:v>337.67</c:v>
                </c:pt>
                <c:pt idx="3">
                  <c:v>332.33</c:v>
                </c:pt>
                <c:pt idx="4">
                  <c:v>329.43</c:v>
                </c:pt>
                <c:pt idx="5">
                  <c:v>326.10000000000002</c:v>
                </c:pt>
                <c:pt idx="6">
                  <c:v>308.69</c:v>
                </c:pt>
                <c:pt idx="7">
                  <c:v>229.59</c:v>
                </c:pt>
                <c:pt idx="8">
                  <c:v>140.59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23-460E-BACB-657C73801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937359"/>
        <c:axId val="1620193903"/>
      </c:lineChart>
      <c:catAx>
        <c:axId val="155693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193903"/>
        <c:crosses val="autoZero"/>
        <c:auto val="1"/>
        <c:lblAlgn val="ctr"/>
        <c:lblOffset val="100"/>
        <c:noMultiLvlLbl val="0"/>
      </c:catAx>
      <c:valAx>
        <c:axId val="162019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3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Cauliflower!$A$2:$E$2</c:f>
              <c:strCache>
                <c:ptCount val="5"/>
                <c:pt idx="0">
                  <c:v>PUEBLO</c:v>
                </c:pt>
                <c:pt idx="1">
                  <c:v>CAULIFLOWER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Cauliflower!$F$1:$O$1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Cauliflower!$F$2:$O$2</c:f>
              <c:numCache>
                <c:formatCode>General</c:formatCode>
                <c:ptCount val="10"/>
                <c:pt idx="0">
                  <c:v>182</c:v>
                </c:pt>
                <c:pt idx="1">
                  <c:v>182.33</c:v>
                </c:pt>
                <c:pt idx="2">
                  <c:v>182.33</c:v>
                </c:pt>
                <c:pt idx="3">
                  <c:v>188.33</c:v>
                </c:pt>
                <c:pt idx="4">
                  <c:v>196.72</c:v>
                </c:pt>
                <c:pt idx="5">
                  <c:v>196.72</c:v>
                </c:pt>
                <c:pt idx="6">
                  <c:v>194.09</c:v>
                </c:pt>
                <c:pt idx="7">
                  <c:v>150.75</c:v>
                </c:pt>
                <c:pt idx="8">
                  <c:v>95.03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39-4CF2-8FA7-B74D6A29BB0A}"/>
            </c:ext>
          </c:extLst>
        </c:ser>
        <c:ser>
          <c:idx val="1"/>
          <c:order val="1"/>
          <c:tx>
            <c:strRef>
              <c:f>Cauliflower!$A$3:$E$3</c:f>
              <c:strCache>
                <c:ptCount val="5"/>
                <c:pt idx="0">
                  <c:v>WELD</c:v>
                </c:pt>
                <c:pt idx="1">
                  <c:v>CAULIFLOWER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Cauliflower!$F$1:$O$1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Cauliflower!$F$3:$O$3</c:f>
              <c:numCache>
                <c:formatCode>General</c:formatCode>
                <c:ptCount val="10"/>
                <c:pt idx="0">
                  <c:v>182</c:v>
                </c:pt>
                <c:pt idx="1">
                  <c:v>182.33</c:v>
                </c:pt>
                <c:pt idx="2">
                  <c:v>182.33</c:v>
                </c:pt>
                <c:pt idx="3">
                  <c:v>188.33</c:v>
                </c:pt>
                <c:pt idx="4">
                  <c:v>196.72</c:v>
                </c:pt>
                <c:pt idx="5">
                  <c:v>196.72</c:v>
                </c:pt>
                <c:pt idx="6">
                  <c:v>194.09</c:v>
                </c:pt>
                <c:pt idx="7">
                  <c:v>175.7</c:v>
                </c:pt>
                <c:pt idx="8">
                  <c:v>131.07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39-4CF2-8FA7-B74D6A29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632383"/>
        <c:axId val="1620208303"/>
      </c:lineChart>
      <c:catAx>
        <c:axId val="170563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08303"/>
        <c:crosses val="autoZero"/>
        <c:auto val="1"/>
        <c:lblAlgn val="ctr"/>
        <c:lblOffset val="100"/>
        <c:noMultiLvlLbl val="0"/>
      </c:catAx>
      <c:valAx>
        <c:axId val="162020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32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Corn!$A$2:$E$2</c:f>
              <c:strCache>
                <c:ptCount val="5"/>
                <c:pt idx="0">
                  <c:v>BENT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Corn!$F$2:$O$2</c:f>
              <c:numCache>
                <c:formatCode>General</c:formatCode>
                <c:ptCount val="10"/>
                <c:pt idx="0">
                  <c:v>161</c:v>
                </c:pt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84.9</c:v>
                </c:pt>
                <c:pt idx="6">
                  <c:v>77.290000000000006</c:v>
                </c:pt>
                <c:pt idx="7">
                  <c:v>80.55</c:v>
                </c:pt>
                <c:pt idx="8">
                  <c:v>74.010000000000005</c:v>
                </c:pt>
                <c:pt idx="9">
                  <c:v>77.819999999999993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A3-4A34-9997-36DECCE9A47F}"/>
            </c:ext>
          </c:extLst>
        </c:ser>
        <c:ser>
          <c:idx val="1"/>
          <c:order val="1"/>
          <c:tx>
            <c:strRef>
              <c:f>Corn!$A$3:$E$3</c:f>
              <c:strCache>
                <c:ptCount val="5"/>
                <c:pt idx="0">
                  <c:v>BENT</c:v>
                </c:pt>
                <c:pt idx="1">
                  <c:v>CORN</c:v>
                </c:pt>
                <c:pt idx="2">
                  <c:v>SWH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Corn!$F$3:$O$3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84.9</c:v>
                </c:pt>
                <c:pt idx="6">
                  <c:v>77.290000000000006</c:v>
                </c:pt>
                <c:pt idx="7">
                  <c:v>80.55</c:v>
                </c:pt>
                <c:pt idx="8">
                  <c:v>74.010000000000005</c:v>
                </c:pt>
                <c:pt idx="9">
                  <c:v>77.819999999999993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A3-4A34-9997-36DECCE9A47F}"/>
            </c:ext>
          </c:extLst>
        </c:ser>
        <c:ser>
          <c:idx val="2"/>
          <c:order val="2"/>
          <c:tx>
            <c:strRef>
              <c:f>Corn!$A$4:$E$4</c:f>
              <c:strCache>
                <c:ptCount val="5"/>
                <c:pt idx="0">
                  <c:v>BENT</c:v>
                </c:pt>
                <c:pt idx="1">
                  <c:v>CORN</c:v>
                </c:pt>
                <c:pt idx="2">
                  <c:v>SYE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Corn!$F$4:$O$4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84.9</c:v>
                </c:pt>
                <c:pt idx="6">
                  <c:v>77.290000000000006</c:v>
                </c:pt>
                <c:pt idx="7">
                  <c:v>80.55</c:v>
                </c:pt>
                <c:pt idx="8">
                  <c:v>74.010000000000005</c:v>
                </c:pt>
                <c:pt idx="9">
                  <c:v>77.819999999999993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A3-4A34-9997-36DECCE9A47F}"/>
            </c:ext>
          </c:extLst>
        </c:ser>
        <c:ser>
          <c:idx val="3"/>
          <c:order val="3"/>
          <c:tx>
            <c:strRef>
              <c:f>Corn!$A$5:$E$5</c:f>
              <c:strCache>
                <c:ptCount val="5"/>
                <c:pt idx="0">
                  <c:v>BENT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Corn!$F$5:$O$5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84.9</c:v>
                </c:pt>
                <c:pt idx="6">
                  <c:v>77.290000000000006</c:v>
                </c:pt>
                <c:pt idx="7">
                  <c:v>80.55</c:v>
                </c:pt>
                <c:pt idx="8">
                  <c:v>74.010000000000005</c:v>
                </c:pt>
                <c:pt idx="9">
                  <c:v>77.819999999999993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A3-4A34-9997-36DECCE9A47F}"/>
            </c:ext>
          </c:extLst>
        </c:ser>
        <c:ser>
          <c:idx val="4"/>
          <c:order val="4"/>
          <c:tx>
            <c:strRef>
              <c:f>Corn!$A$6:$E$6</c:f>
              <c:strCache>
                <c:ptCount val="5"/>
                <c:pt idx="0">
                  <c:v>COSTILLA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Corn!$F$6:$O$6</c:f>
              <c:numCache>
                <c:formatCode>General</c:formatCode>
                <c:ptCount val="10"/>
                <c:pt idx="0">
                  <c:v>161</c:v>
                </c:pt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77.040000000000006</c:v>
                </c:pt>
                <c:pt idx="8">
                  <c:v>70.5</c:v>
                </c:pt>
                <c:pt idx="9">
                  <c:v>70.91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A3-4A34-9997-36DECCE9A47F}"/>
            </c:ext>
          </c:extLst>
        </c:ser>
        <c:ser>
          <c:idx val="5"/>
          <c:order val="5"/>
          <c:tx>
            <c:strRef>
              <c:f>Corn!$A$7:$E$7</c:f>
              <c:strCache>
                <c:ptCount val="5"/>
                <c:pt idx="0">
                  <c:v>COSTILLA</c:v>
                </c:pt>
                <c:pt idx="1">
                  <c:v>CORN</c:v>
                </c:pt>
                <c:pt idx="2">
                  <c:v>SWH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Corn!$F$7:$O$7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83.57</c:v>
                </c:pt>
                <c:pt idx="8">
                  <c:v>77.03</c:v>
                </c:pt>
                <c:pt idx="9">
                  <c:v>77.97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1A3-4A34-9997-36DECCE9A47F}"/>
            </c:ext>
          </c:extLst>
        </c:ser>
        <c:ser>
          <c:idx val="6"/>
          <c:order val="6"/>
          <c:tx>
            <c:strRef>
              <c:f>Corn!$A$8:$E$8</c:f>
              <c:strCache>
                <c:ptCount val="5"/>
                <c:pt idx="0">
                  <c:v>COSTILLA</c:v>
                </c:pt>
                <c:pt idx="1">
                  <c:v>CORN</c:v>
                </c:pt>
                <c:pt idx="2">
                  <c:v>SYE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Corn!$F$8:$O$8</c:f>
              <c:numCache>
                <c:formatCode>General</c:formatCode>
                <c:ptCount val="10"/>
                <c:pt idx="2">
                  <c:v>93</c:v>
                </c:pt>
                <c:pt idx="3">
                  <c:v>163.33000000000001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83.57</c:v>
                </c:pt>
                <c:pt idx="8">
                  <c:v>77.03</c:v>
                </c:pt>
                <c:pt idx="9">
                  <c:v>77.97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1A3-4A34-9997-36DECCE9A47F}"/>
            </c:ext>
          </c:extLst>
        </c:ser>
        <c:ser>
          <c:idx val="7"/>
          <c:order val="7"/>
          <c:tx>
            <c:strRef>
              <c:f>Corn!$A$9:$E$9</c:f>
              <c:strCache>
                <c:ptCount val="5"/>
                <c:pt idx="0">
                  <c:v>COSTILLA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Corn!$F$9:$O$9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86.03</c:v>
                </c:pt>
                <c:pt idx="6">
                  <c:v>75.62</c:v>
                </c:pt>
                <c:pt idx="7">
                  <c:v>86.45</c:v>
                </c:pt>
                <c:pt idx="8">
                  <c:v>79.92</c:v>
                </c:pt>
                <c:pt idx="9">
                  <c:v>92.25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1A3-4A34-9997-36DECCE9A47F}"/>
            </c:ext>
          </c:extLst>
        </c:ser>
        <c:ser>
          <c:idx val="8"/>
          <c:order val="8"/>
          <c:tx>
            <c:strRef>
              <c:f>Corn!$A$10:$E$10</c:f>
              <c:strCache>
                <c:ptCount val="5"/>
                <c:pt idx="0">
                  <c:v>CROWLEY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Corn!$F$10:$O$10</c:f>
              <c:numCache>
                <c:formatCode>General</c:formatCode>
                <c:ptCount val="10"/>
                <c:pt idx="0">
                  <c:v>161</c:v>
                </c:pt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53.22</c:v>
                </c:pt>
                <c:pt idx="6">
                  <c:v>51.28</c:v>
                </c:pt>
                <c:pt idx="7">
                  <c:v>54.29</c:v>
                </c:pt>
                <c:pt idx="8">
                  <c:v>51.61</c:v>
                </c:pt>
                <c:pt idx="9">
                  <c:v>53.58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1A3-4A34-9997-36DECCE9A47F}"/>
            </c:ext>
          </c:extLst>
        </c:ser>
        <c:ser>
          <c:idx val="9"/>
          <c:order val="9"/>
          <c:tx>
            <c:strRef>
              <c:f>Corn!$A$11:$E$11</c:f>
              <c:strCache>
                <c:ptCount val="5"/>
                <c:pt idx="0">
                  <c:v>LAS ANIMAS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Corn!$F$11:$O$11</c:f>
              <c:numCache>
                <c:formatCode>General</c:formatCode>
                <c:ptCount val="10"/>
                <c:pt idx="7">
                  <c:v>74.260000000000005</c:v>
                </c:pt>
                <c:pt idx="8">
                  <c:v>69.36</c:v>
                </c:pt>
                <c:pt idx="9">
                  <c:v>83.09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1A3-4A34-9997-36DECCE9A47F}"/>
            </c:ext>
          </c:extLst>
        </c:ser>
        <c:ser>
          <c:idx val="10"/>
          <c:order val="10"/>
          <c:tx>
            <c:strRef>
              <c:f>Corn!$A$12:$E$12</c:f>
              <c:strCache>
                <c:ptCount val="5"/>
                <c:pt idx="0">
                  <c:v>MONTEZUMA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Corn!$F$12:$O$12</c:f>
              <c:numCache>
                <c:formatCode>General</c:formatCode>
                <c:ptCount val="10"/>
                <c:pt idx="0">
                  <c:v>161</c:v>
                </c:pt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77.040000000000006</c:v>
                </c:pt>
                <c:pt idx="8">
                  <c:v>70.5</c:v>
                </c:pt>
                <c:pt idx="9">
                  <c:v>70.91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1A3-4A34-9997-36DECCE9A47F}"/>
            </c:ext>
          </c:extLst>
        </c:ser>
        <c:ser>
          <c:idx val="11"/>
          <c:order val="11"/>
          <c:tx>
            <c:strRef>
              <c:f>Corn!$A$13:$E$13</c:f>
              <c:strCache>
                <c:ptCount val="5"/>
                <c:pt idx="0">
                  <c:v>MONTEZUMA</c:v>
                </c:pt>
                <c:pt idx="1">
                  <c:v>CORN</c:v>
                </c:pt>
                <c:pt idx="2">
                  <c:v>SWH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Corn!$F$13:$O$13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83.57</c:v>
                </c:pt>
                <c:pt idx="8">
                  <c:v>77.03</c:v>
                </c:pt>
                <c:pt idx="9">
                  <c:v>77.97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1A3-4A34-9997-36DECCE9A47F}"/>
            </c:ext>
          </c:extLst>
        </c:ser>
        <c:ser>
          <c:idx val="12"/>
          <c:order val="12"/>
          <c:tx>
            <c:strRef>
              <c:f>Corn!$A$14:$E$14</c:f>
              <c:strCache>
                <c:ptCount val="5"/>
                <c:pt idx="0">
                  <c:v>MONTEZUMA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Corn!$F$14:$O$14</c:f>
              <c:numCache>
                <c:formatCode>General</c:formatCode>
                <c:ptCount val="10"/>
                <c:pt idx="2">
                  <c:v>93</c:v>
                </c:pt>
                <c:pt idx="3">
                  <c:v>165</c:v>
                </c:pt>
                <c:pt idx="4">
                  <c:v>91.85</c:v>
                </c:pt>
                <c:pt idx="5">
                  <c:v>86.03</c:v>
                </c:pt>
                <c:pt idx="6">
                  <c:v>75.62</c:v>
                </c:pt>
                <c:pt idx="7">
                  <c:v>86.45</c:v>
                </c:pt>
                <c:pt idx="8">
                  <c:v>79.92</c:v>
                </c:pt>
                <c:pt idx="9">
                  <c:v>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1A3-4A34-9997-36DECCE9A47F}"/>
            </c:ext>
          </c:extLst>
        </c:ser>
        <c:ser>
          <c:idx val="13"/>
          <c:order val="13"/>
          <c:tx>
            <c:strRef>
              <c:f>Corn!$A$15:$E$15</c:f>
              <c:strCache>
                <c:ptCount val="5"/>
                <c:pt idx="0">
                  <c:v>MORGAN</c:v>
                </c:pt>
                <c:pt idx="1">
                  <c:v>CORN</c:v>
                </c:pt>
                <c:pt idx="2">
                  <c:v>SWH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Corn!$F$15:$O$15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83.57</c:v>
                </c:pt>
                <c:pt idx="8">
                  <c:v>87.87</c:v>
                </c:pt>
                <c:pt idx="9">
                  <c:v>90.95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1A3-4A34-9997-36DECCE9A47F}"/>
            </c:ext>
          </c:extLst>
        </c:ser>
        <c:ser>
          <c:idx val="14"/>
          <c:order val="14"/>
          <c:tx>
            <c:strRef>
              <c:f>Corn!$A$16:$E$16</c:f>
              <c:strCache>
                <c:ptCount val="5"/>
                <c:pt idx="0">
                  <c:v>OTERO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Corn!$F$16:$O$16</c:f>
              <c:numCache>
                <c:formatCode>General</c:formatCode>
                <c:ptCount val="10"/>
                <c:pt idx="0">
                  <c:v>161</c:v>
                </c:pt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74.2</c:v>
                </c:pt>
                <c:pt idx="6">
                  <c:v>72.459999999999994</c:v>
                </c:pt>
                <c:pt idx="7">
                  <c:v>73.010000000000005</c:v>
                </c:pt>
                <c:pt idx="8">
                  <c:v>63.13</c:v>
                </c:pt>
                <c:pt idx="9">
                  <c:v>66.59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1A3-4A34-9997-36DECCE9A47F}"/>
            </c:ext>
          </c:extLst>
        </c:ser>
        <c:ser>
          <c:idx val="15"/>
          <c:order val="15"/>
          <c:tx>
            <c:strRef>
              <c:f>Corn!$A$17:$E$17</c:f>
              <c:strCache>
                <c:ptCount val="5"/>
                <c:pt idx="0">
                  <c:v>OTERO</c:v>
                </c:pt>
                <c:pt idx="1">
                  <c:v>CORN</c:v>
                </c:pt>
                <c:pt idx="2">
                  <c:v>SWH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Corn!$F$17:$O$17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74.2</c:v>
                </c:pt>
                <c:pt idx="6">
                  <c:v>72.459999999999994</c:v>
                </c:pt>
                <c:pt idx="7">
                  <c:v>73.010000000000005</c:v>
                </c:pt>
                <c:pt idx="8">
                  <c:v>63.13</c:v>
                </c:pt>
                <c:pt idx="9">
                  <c:v>66.59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1A3-4A34-9997-36DECCE9A47F}"/>
            </c:ext>
          </c:extLst>
        </c:ser>
        <c:ser>
          <c:idx val="16"/>
          <c:order val="16"/>
          <c:tx>
            <c:strRef>
              <c:f>Corn!$A$18:$E$18</c:f>
              <c:strCache>
                <c:ptCount val="5"/>
                <c:pt idx="0">
                  <c:v>OTERO</c:v>
                </c:pt>
                <c:pt idx="1">
                  <c:v>CORN</c:v>
                </c:pt>
                <c:pt idx="2">
                  <c:v>SYE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Corn!$F$18:$O$18</c:f>
              <c:numCache>
                <c:formatCode>General</c:formatCode>
                <c:ptCount val="10"/>
                <c:pt idx="2">
                  <c:v>93</c:v>
                </c:pt>
                <c:pt idx="3">
                  <c:v>163.33000000000001</c:v>
                </c:pt>
                <c:pt idx="4">
                  <c:v>91.85</c:v>
                </c:pt>
                <c:pt idx="5">
                  <c:v>74.2</c:v>
                </c:pt>
                <c:pt idx="6">
                  <c:v>72.459999999999994</c:v>
                </c:pt>
                <c:pt idx="7">
                  <c:v>73.010000000000005</c:v>
                </c:pt>
                <c:pt idx="8">
                  <c:v>63.13</c:v>
                </c:pt>
                <c:pt idx="9">
                  <c:v>66.59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1A3-4A34-9997-36DECCE9A47F}"/>
            </c:ext>
          </c:extLst>
        </c:ser>
        <c:ser>
          <c:idx val="17"/>
          <c:order val="17"/>
          <c:tx>
            <c:strRef>
              <c:f>Corn!$A$19:$E$19</c:f>
              <c:strCache>
                <c:ptCount val="5"/>
                <c:pt idx="0">
                  <c:v>OTERO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Corn!$F$19:$O$19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79.459999999999994</c:v>
                </c:pt>
                <c:pt idx="6">
                  <c:v>72.459999999999994</c:v>
                </c:pt>
                <c:pt idx="7">
                  <c:v>75.62</c:v>
                </c:pt>
                <c:pt idx="8">
                  <c:v>67.36</c:v>
                </c:pt>
                <c:pt idx="9">
                  <c:v>87.83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1A3-4A34-9997-36DECCE9A47F}"/>
            </c:ext>
          </c:extLst>
        </c:ser>
        <c:ser>
          <c:idx val="18"/>
          <c:order val="18"/>
          <c:tx>
            <c:strRef>
              <c:f>Corn!$A$20:$E$20</c:f>
              <c:strCache>
                <c:ptCount val="5"/>
                <c:pt idx="0">
                  <c:v>PUEBLO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Corn!$F$20:$O$20</c:f>
              <c:numCache>
                <c:formatCode>General</c:formatCode>
                <c:ptCount val="10"/>
                <c:pt idx="0">
                  <c:v>161</c:v>
                </c:pt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103.71</c:v>
                </c:pt>
                <c:pt idx="6">
                  <c:v>101.92</c:v>
                </c:pt>
                <c:pt idx="7">
                  <c:v>107.13</c:v>
                </c:pt>
                <c:pt idx="8">
                  <c:v>115.6</c:v>
                </c:pt>
                <c:pt idx="9">
                  <c:v>120.87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1A3-4A34-9997-36DECCE9A47F}"/>
            </c:ext>
          </c:extLst>
        </c:ser>
        <c:ser>
          <c:idx val="19"/>
          <c:order val="19"/>
          <c:tx>
            <c:strRef>
              <c:f>Corn!$A$21:$E$21</c:f>
              <c:strCache>
                <c:ptCount val="5"/>
                <c:pt idx="0">
                  <c:v>PUEBLO</c:v>
                </c:pt>
                <c:pt idx="1">
                  <c:v>CORN</c:v>
                </c:pt>
                <c:pt idx="2">
                  <c:v>SWH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Corn!$F$21:$O$21</c:f>
              <c:numCache>
                <c:formatCode>General</c:formatCode>
                <c:ptCount val="10"/>
                <c:pt idx="4">
                  <c:v>91.85</c:v>
                </c:pt>
                <c:pt idx="5">
                  <c:v>103.71</c:v>
                </c:pt>
                <c:pt idx="6">
                  <c:v>103.71</c:v>
                </c:pt>
                <c:pt idx="7">
                  <c:v>117.39</c:v>
                </c:pt>
                <c:pt idx="8">
                  <c:v>127.16</c:v>
                </c:pt>
                <c:pt idx="9">
                  <c:v>130.72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1A3-4A34-9997-36DECCE9A47F}"/>
            </c:ext>
          </c:extLst>
        </c:ser>
        <c:ser>
          <c:idx val="20"/>
          <c:order val="20"/>
          <c:tx>
            <c:strRef>
              <c:f>Corn!$A$22:$E$22</c:f>
              <c:strCache>
                <c:ptCount val="5"/>
                <c:pt idx="0">
                  <c:v>PUEBLO</c:v>
                </c:pt>
                <c:pt idx="1">
                  <c:v>CORN</c:v>
                </c:pt>
                <c:pt idx="2">
                  <c:v>SYE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Corn!$F$22:$O$22</c:f>
              <c:numCache>
                <c:formatCode>General</c:formatCode>
                <c:ptCount val="10"/>
                <c:pt idx="2">
                  <c:v>93</c:v>
                </c:pt>
                <c:pt idx="3">
                  <c:v>163.33000000000001</c:v>
                </c:pt>
                <c:pt idx="4">
                  <c:v>91.85</c:v>
                </c:pt>
                <c:pt idx="5">
                  <c:v>103.71</c:v>
                </c:pt>
                <c:pt idx="6">
                  <c:v>101.92</c:v>
                </c:pt>
                <c:pt idx="7">
                  <c:v>107.13</c:v>
                </c:pt>
                <c:pt idx="8">
                  <c:v>115.6</c:v>
                </c:pt>
                <c:pt idx="9">
                  <c:v>120.87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1A3-4A34-9997-36DECCE9A47F}"/>
            </c:ext>
          </c:extLst>
        </c:ser>
        <c:ser>
          <c:idx val="21"/>
          <c:order val="21"/>
          <c:tx>
            <c:strRef>
              <c:f>Corn!$A$23:$E$23</c:f>
              <c:strCache>
                <c:ptCount val="5"/>
                <c:pt idx="0">
                  <c:v>PUEBLO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Corn!$F$23:$O$23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113.44</c:v>
                </c:pt>
                <c:pt idx="6">
                  <c:v>75.62</c:v>
                </c:pt>
                <c:pt idx="7">
                  <c:v>99.01</c:v>
                </c:pt>
                <c:pt idx="8">
                  <c:v>117.17</c:v>
                </c:pt>
                <c:pt idx="9">
                  <c:v>130.05000000000001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1A3-4A34-9997-36DECCE9A47F}"/>
            </c:ext>
          </c:extLst>
        </c:ser>
        <c:ser>
          <c:idx val="22"/>
          <c:order val="22"/>
          <c:tx>
            <c:strRef>
              <c:f>Corn!$A$24:$E$24</c:f>
              <c:strCache>
                <c:ptCount val="5"/>
                <c:pt idx="0">
                  <c:v>WELD</c:v>
                </c:pt>
                <c:pt idx="1">
                  <c:v>CORN</c:v>
                </c:pt>
                <c:pt idx="2">
                  <c:v>SBI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Corn!$F$24:$O$24</c:f>
              <c:numCache>
                <c:formatCode>General</c:formatCode>
                <c:ptCount val="10"/>
                <c:pt idx="1">
                  <c:v>164.67</c:v>
                </c:pt>
                <c:pt idx="2">
                  <c:v>93</c:v>
                </c:pt>
                <c:pt idx="3">
                  <c:v>166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77.040000000000006</c:v>
                </c:pt>
                <c:pt idx="8">
                  <c:v>78.45</c:v>
                </c:pt>
                <c:pt idx="9">
                  <c:v>105.33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1A3-4A34-9997-36DECCE9A47F}"/>
            </c:ext>
          </c:extLst>
        </c:ser>
        <c:ser>
          <c:idx val="23"/>
          <c:order val="23"/>
          <c:tx>
            <c:strRef>
              <c:f>Corn!$A$25:$E$25</c:f>
              <c:strCache>
                <c:ptCount val="5"/>
                <c:pt idx="0">
                  <c:v>WELD</c:v>
                </c:pt>
                <c:pt idx="1">
                  <c:v>CORN</c:v>
                </c:pt>
                <c:pt idx="2">
                  <c:v>SYE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Corn!$F$25:$O$25</c:f>
              <c:numCache>
                <c:formatCode>General</c:formatCode>
                <c:ptCount val="10"/>
                <c:pt idx="2">
                  <c:v>93</c:v>
                </c:pt>
                <c:pt idx="3">
                  <c:v>163.33000000000001</c:v>
                </c:pt>
                <c:pt idx="4">
                  <c:v>91.85</c:v>
                </c:pt>
                <c:pt idx="5">
                  <c:v>83.57</c:v>
                </c:pt>
                <c:pt idx="6">
                  <c:v>75.62</c:v>
                </c:pt>
                <c:pt idx="7">
                  <c:v>83.57</c:v>
                </c:pt>
                <c:pt idx="8">
                  <c:v>87.87</c:v>
                </c:pt>
                <c:pt idx="9">
                  <c:v>112.39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1A3-4A34-9997-36DECCE9A47F}"/>
            </c:ext>
          </c:extLst>
        </c:ser>
        <c:ser>
          <c:idx val="24"/>
          <c:order val="24"/>
          <c:tx>
            <c:strRef>
              <c:f>Corn!$A$26:$E$26</c:f>
              <c:strCache>
                <c:ptCount val="5"/>
                <c:pt idx="0">
                  <c:v>WELD</c:v>
                </c:pt>
                <c:pt idx="1">
                  <c:v>CORN</c:v>
                </c:pt>
                <c:pt idx="2">
                  <c:v>SYL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Corn!$F$26:$O$26</c:f>
              <c:numCache>
                <c:formatCode>General</c:formatCode>
                <c:ptCount val="10"/>
                <c:pt idx="2">
                  <c:v>93</c:v>
                </c:pt>
                <c:pt idx="3">
                  <c:v>166.67</c:v>
                </c:pt>
                <c:pt idx="4">
                  <c:v>91.85</c:v>
                </c:pt>
                <c:pt idx="5">
                  <c:v>86.03</c:v>
                </c:pt>
                <c:pt idx="6">
                  <c:v>75.62</c:v>
                </c:pt>
                <c:pt idx="7">
                  <c:v>86.45</c:v>
                </c:pt>
                <c:pt idx="8">
                  <c:v>113.58</c:v>
                </c:pt>
                <c:pt idx="9">
                  <c:v>131.68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1A3-4A34-9997-36DECCE9A47F}"/>
            </c:ext>
          </c:extLst>
        </c:ser>
        <c:ser>
          <c:idx val="25"/>
          <c:order val="25"/>
          <c:tx>
            <c:strRef>
              <c:f>Corn!$A$27:$E$27</c:f>
              <c:strCache>
                <c:ptCount val="5"/>
                <c:pt idx="0">
                  <c:v>ALAMOSA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Corn!$F$27:$O$27</c:f>
              <c:numCache>
                <c:formatCode>General</c:formatCode>
                <c:ptCount val="10"/>
                <c:pt idx="0">
                  <c:v>137</c:v>
                </c:pt>
                <c:pt idx="1">
                  <c:v>141</c:v>
                </c:pt>
                <c:pt idx="2">
                  <c:v>144</c:v>
                </c:pt>
                <c:pt idx="3">
                  <c:v>144</c:v>
                </c:pt>
                <c:pt idx="4">
                  <c:v>145</c:v>
                </c:pt>
                <c:pt idx="5">
                  <c:v>143</c:v>
                </c:pt>
                <c:pt idx="6">
                  <c:v>144</c:v>
                </c:pt>
                <c:pt idx="7">
                  <c:v>140</c:v>
                </c:pt>
                <c:pt idx="8">
                  <c:v>134</c:v>
                </c:pt>
                <c:pt idx="9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1A3-4A34-9997-36DECCE9A47F}"/>
            </c:ext>
          </c:extLst>
        </c:ser>
        <c:ser>
          <c:idx val="26"/>
          <c:order val="26"/>
          <c:tx>
            <c:strRef>
              <c:f>Corn!$A$28:$E$28</c:f>
              <c:strCache>
                <c:ptCount val="5"/>
                <c:pt idx="0">
                  <c:v>DOLORES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Corn!$F$28:$O$28</c:f>
              <c:numCache>
                <c:formatCode>General</c:formatCode>
                <c:ptCount val="10"/>
                <c:pt idx="0">
                  <c:v>137</c:v>
                </c:pt>
                <c:pt idx="1">
                  <c:v>141</c:v>
                </c:pt>
                <c:pt idx="2">
                  <c:v>154</c:v>
                </c:pt>
                <c:pt idx="3">
                  <c:v>142</c:v>
                </c:pt>
                <c:pt idx="4">
                  <c:v>140</c:v>
                </c:pt>
                <c:pt idx="5">
                  <c:v>131</c:v>
                </c:pt>
                <c:pt idx="6">
                  <c:v>128</c:v>
                </c:pt>
                <c:pt idx="7">
                  <c:v>121</c:v>
                </c:pt>
                <c:pt idx="8">
                  <c:v>118</c:v>
                </c:pt>
                <c:pt idx="9">
                  <c:v>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1A3-4A34-9997-36DECCE9A47F}"/>
            </c:ext>
          </c:extLst>
        </c:ser>
        <c:ser>
          <c:idx val="27"/>
          <c:order val="27"/>
          <c:tx>
            <c:strRef>
              <c:f>Corn!$A$29:$E$29</c:f>
              <c:strCache>
                <c:ptCount val="5"/>
                <c:pt idx="0">
                  <c:v>DOLORES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Corn!$F$29:$O$29</c:f>
              <c:numCache>
                <c:formatCode>General</c:formatCode>
                <c:ptCount val="10"/>
                <c:pt idx="0">
                  <c:v>28</c:v>
                </c:pt>
                <c:pt idx="1">
                  <c:v>28</c:v>
                </c:pt>
                <c:pt idx="2">
                  <c:v>60</c:v>
                </c:pt>
                <c:pt idx="3">
                  <c:v>43</c:v>
                </c:pt>
                <c:pt idx="4">
                  <c:v>39</c:v>
                </c:pt>
                <c:pt idx="5">
                  <c:v>38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1A3-4A34-9997-36DECCE9A47F}"/>
            </c:ext>
          </c:extLst>
        </c:ser>
        <c:ser>
          <c:idx val="28"/>
          <c:order val="28"/>
          <c:tx>
            <c:strRef>
              <c:f>Corn!$A$30:$E$30</c:f>
              <c:strCache>
                <c:ptCount val="5"/>
                <c:pt idx="0">
                  <c:v>FREMONT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Corn!$F$30:$O$30</c:f>
              <c:numCache>
                <c:formatCode>General</c:formatCode>
                <c:ptCount val="10"/>
                <c:pt idx="0">
                  <c:v>150</c:v>
                </c:pt>
                <c:pt idx="1">
                  <c:v>156</c:v>
                </c:pt>
                <c:pt idx="2">
                  <c:v>156</c:v>
                </c:pt>
                <c:pt idx="4">
                  <c:v>161</c:v>
                </c:pt>
                <c:pt idx="5">
                  <c:v>161</c:v>
                </c:pt>
                <c:pt idx="6">
                  <c:v>161</c:v>
                </c:pt>
                <c:pt idx="7">
                  <c:v>155</c:v>
                </c:pt>
                <c:pt idx="8">
                  <c:v>148</c:v>
                </c:pt>
                <c:pt idx="9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1A3-4A34-9997-36DECCE9A47F}"/>
            </c:ext>
          </c:extLst>
        </c:ser>
        <c:ser>
          <c:idx val="29"/>
          <c:order val="29"/>
          <c:tx>
            <c:strRef>
              <c:f>Corn!$A$31:$E$31</c:f>
              <c:strCache>
                <c:ptCount val="5"/>
                <c:pt idx="0">
                  <c:v>LAS ANIMAS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Corn!$F$31:$O$31</c:f>
              <c:numCache>
                <c:formatCode>General</c:formatCode>
                <c:ptCount val="10"/>
                <c:pt idx="0">
                  <c:v>150</c:v>
                </c:pt>
                <c:pt idx="1">
                  <c:v>156</c:v>
                </c:pt>
                <c:pt idx="2">
                  <c:v>154</c:v>
                </c:pt>
                <c:pt idx="3">
                  <c:v>154</c:v>
                </c:pt>
                <c:pt idx="4">
                  <c:v>161</c:v>
                </c:pt>
                <c:pt idx="5">
                  <c:v>151</c:v>
                </c:pt>
                <c:pt idx="6">
                  <c:v>146</c:v>
                </c:pt>
                <c:pt idx="7">
                  <c:v>152</c:v>
                </c:pt>
                <c:pt idx="8">
                  <c:v>151</c:v>
                </c:pt>
                <c:pt idx="9">
                  <c:v>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1A3-4A34-9997-36DECCE9A47F}"/>
            </c:ext>
          </c:extLst>
        </c:ser>
        <c:ser>
          <c:idx val="30"/>
          <c:order val="30"/>
          <c:tx>
            <c:strRef>
              <c:f>Corn!$A$32:$E$32</c:f>
              <c:strCache>
                <c:ptCount val="5"/>
                <c:pt idx="0">
                  <c:v>MONTEZUMA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Corn!$F$32:$O$32</c:f>
              <c:numCache>
                <c:formatCode>General</c:formatCode>
                <c:ptCount val="10"/>
                <c:pt idx="0">
                  <c:v>137</c:v>
                </c:pt>
                <c:pt idx="1">
                  <c:v>141</c:v>
                </c:pt>
                <c:pt idx="2">
                  <c:v>154</c:v>
                </c:pt>
                <c:pt idx="3">
                  <c:v>142</c:v>
                </c:pt>
                <c:pt idx="4">
                  <c:v>140</c:v>
                </c:pt>
                <c:pt idx="5">
                  <c:v>141</c:v>
                </c:pt>
                <c:pt idx="6">
                  <c:v>138</c:v>
                </c:pt>
                <c:pt idx="7">
                  <c:v>138</c:v>
                </c:pt>
                <c:pt idx="8">
                  <c:v>142</c:v>
                </c:pt>
                <c:pt idx="9">
                  <c:v>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1A3-4A34-9997-36DECCE9A47F}"/>
            </c:ext>
          </c:extLst>
        </c:ser>
        <c:ser>
          <c:idx val="31"/>
          <c:order val="31"/>
          <c:tx>
            <c:strRef>
              <c:f>Corn!$A$33:$E$33</c:f>
              <c:strCache>
                <c:ptCount val="5"/>
                <c:pt idx="0">
                  <c:v>MONTEZUMA</c:v>
                </c:pt>
                <c:pt idx="1">
                  <c:v>CORN</c:v>
                </c:pt>
                <c:pt idx="2">
                  <c:v>YEL</c:v>
                </c:pt>
                <c:pt idx="3">
                  <c:v>GR</c:v>
                </c:pt>
                <c:pt idx="4">
                  <c:v>NI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Corn!$F$1:$O$1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Corn!$F$33:$O$33</c:f>
              <c:numCache>
                <c:formatCode>General</c:formatCode>
                <c:ptCount val="10"/>
                <c:pt idx="0">
                  <c:v>28</c:v>
                </c:pt>
                <c:pt idx="1">
                  <c:v>28</c:v>
                </c:pt>
                <c:pt idx="2">
                  <c:v>60</c:v>
                </c:pt>
                <c:pt idx="3">
                  <c:v>43</c:v>
                </c:pt>
                <c:pt idx="4">
                  <c:v>39</c:v>
                </c:pt>
                <c:pt idx="5">
                  <c:v>42</c:v>
                </c:pt>
                <c:pt idx="6">
                  <c:v>47</c:v>
                </c:pt>
                <c:pt idx="7">
                  <c:v>39</c:v>
                </c:pt>
                <c:pt idx="8">
                  <c:v>30</c:v>
                </c:pt>
                <c:pt idx="9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1A3-4A34-9997-36DECCE9A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582271"/>
        <c:axId val="1707897967"/>
      </c:lineChart>
      <c:catAx>
        <c:axId val="170558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897967"/>
        <c:crosses val="autoZero"/>
        <c:auto val="1"/>
        <c:lblAlgn val="ctr"/>
        <c:lblOffset val="100"/>
        <c:noMultiLvlLbl val="0"/>
      </c:catAx>
      <c:valAx>
        <c:axId val="17078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58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Corn!$A$35:$E$35</c:f>
              <c:strCache>
                <c:ptCount val="5"/>
                <c:pt idx="0">
                  <c:v>BENT</c:v>
                </c:pt>
                <c:pt idx="1">
                  <c:v>CORN</c:v>
                </c:pt>
                <c:pt idx="2">
                  <c:v>POP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Corn!$F$34:$O$34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Corn!$F$35:$O$35</c:f>
              <c:numCache>
                <c:formatCode>General</c:formatCode>
                <c:ptCount val="10"/>
                <c:pt idx="0">
                  <c:v>2947</c:v>
                </c:pt>
                <c:pt idx="1">
                  <c:v>2771</c:v>
                </c:pt>
                <c:pt idx="2">
                  <c:v>2771</c:v>
                </c:pt>
                <c:pt idx="3">
                  <c:v>2596</c:v>
                </c:pt>
                <c:pt idx="4">
                  <c:v>2447</c:v>
                </c:pt>
                <c:pt idx="5">
                  <c:v>2649</c:v>
                </c:pt>
                <c:pt idx="6">
                  <c:v>2731</c:v>
                </c:pt>
                <c:pt idx="7">
                  <c:v>2614</c:v>
                </c:pt>
                <c:pt idx="8">
                  <c:v>2596</c:v>
                </c:pt>
                <c:pt idx="9">
                  <c:v>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7-4FCC-B9E9-35B6830A9BBC}"/>
            </c:ext>
          </c:extLst>
        </c:ser>
        <c:ser>
          <c:idx val="1"/>
          <c:order val="1"/>
          <c:tx>
            <c:strRef>
              <c:f>Corn!$A$36:$E$36</c:f>
              <c:strCache>
                <c:ptCount val="5"/>
                <c:pt idx="0">
                  <c:v>OTERO</c:v>
                </c:pt>
                <c:pt idx="1">
                  <c:v>CORN</c:v>
                </c:pt>
                <c:pt idx="2">
                  <c:v>POP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Corn!$F$34:$O$34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Corn!$F$36:$O$36</c:f>
              <c:numCache>
                <c:formatCode>General</c:formatCode>
                <c:ptCount val="10"/>
                <c:pt idx="0">
                  <c:v>2947</c:v>
                </c:pt>
                <c:pt idx="1">
                  <c:v>2771</c:v>
                </c:pt>
                <c:pt idx="2">
                  <c:v>2771</c:v>
                </c:pt>
                <c:pt idx="3">
                  <c:v>2596</c:v>
                </c:pt>
                <c:pt idx="4">
                  <c:v>2447</c:v>
                </c:pt>
                <c:pt idx="5">
                  <c:v>2649</c:v>
                </c:pt>
                <c:pt idx="6">
                  <c:v>2731</c:v>
                </c:pt>
                <c:pt idx="7">
                  <c:v>2614</c:v>
                </c:pt>
                <c:pt idx="8">
                  <c:v>2596</c:v>
                </c:pt>
                <c:pt idx="9">
                  <c:v>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57-4FCC-B9E9-35B6830A9BBC}"/>
            </c:ext>
          </c:extLst>
        </c:ser>
        <c:ser>
          <c:idx val="2"/>
          <c:order val="2"/>
          <c:tx>
            <c:strRef>
              <c:f>Corn!$A$37:$E$37</c:f>
              <c:strCache>
                <c:ptCount val="5"/>
                <c:pt idx="0">
                  <c:v>PUEBLO</c:v>
                </c:pt>
                <c:pt idx="1">
                  <c:v>CORN</c:v>
                </c:pt>
                <c:pt idx="2">
                  <c:v>POP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Corn!$F$34:$O$34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Corn!$F$37:$O$37</c:f>
              <c:numCache>
                <c:formatCode>General</c:formatCode>
                <c:ptCount val="10"/>
                <c:pt idx="0">
                  <c:v>2947</c:v>
                </c:pt>
                <c:pt idx="1">
                  <c:v>2771</c:v>
                </c:pt>
                <c:pt idx="2">
                  <c:v>2771</c:v>
                </c:pt>
                <c:pt idx="3">
                  <c:v>2596</c:v>
                </c:pt>
                <c:pt idx="4">
                  <c:v>2447</c:v>
                </c:pt>
                <c:pt idx="5">
                  <c:v>2649</c:v>
                </c:pt>
                <c:pt idx="6">
                  <c:v>2880</c:v>
                </c:pt>
                <c:pt idx="7">
                  <c:v>2763</c:v>
                </c:pt>
                <c:pt idx="8">
                  <c:v>2678</c:v>
                </c:pt>
                <c:pt idx="9">
                  <c:v>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7-4FCC-B9E9-35B6830A9BBC}"/>
            </c:ext>
          </c:extLst>
        </c:ser>
        <c:ser>
          <c:idx val="3"/>
          <c:order val="3"/>
          <c:tx>
            <c:strRef>
              <c:f>Corn!$A$38:$E$38</c:f>
              <c:strCache>
                <c:ptCount val="5"/>
                <c:pt idx="0">
                  <c:v>WELD</c:v>
                </c:pt>
                <c:pt idx="1">
                  <c:v>CORN</c:v>
                </c:pt>
                <c:pt idx="2">
                  <c:v>POP</c:v>
                </c:pt>
                <c:pt idx="3">
                  <c:v>PR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Corn!$F$34:$O$34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Corn!$F$38:$O$38</c:f>
              <c:numCache>
                <c:formatCode>General</c:formatCode>
                <c:ptCount val="10"/>
                <c:pt idx="1">
                  <c:v>2771</c:v>
                </c:pt>
                <c:pt idx="2">
                  <c:v>2771</c:v>
                </c:pt>
                <c:pt idx="3">
                  <c:v>2596</c:v>
                </c:pt>
                <c:pt idx="4">
                  <c:v>2447</c:v>
                </c:pt>
                <c:pt idx="5">
                  <c:v>2649</c:v>
                </c:pt>
                <c:pt idx="6">
                  <c:v>2731</c:v>
                </c:pt>
                <c:pt idx="7">
                  <c:v>2614</c:v>
                </c:pt>
                <c:pt idx="8">
                  <c:v>2596</c:v>
                </c:pt>
                <c:pt idx="9">
                  <c:v>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57-4FCC-B9E9-35B6830A9BBC}"/>
            </c:ext>
          </c:extLst>
        </c:ser>
        <c:ser>
          <c:idx val="4"/>
          <c:order val="4"/>
          <c:tx>
            <c:strRef>
              <c:f>Corn!$A$39:$E$39</c:f>
              <c:strCache>
                <c:ptCount val="5"/>
                <c:pt idx="0">
                  <c:v>PUEBLO</c:v>
                </c:pt>
                <c:pt idx="1">
                  <c:v>CORN</c:v>
                </c:pt>
                <c:pt idx="2">
                  <c:v>POP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Corn!$F$34:$O$34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Corn!$F$39:$O$39</c:f>
              <c:numCache>
                <c:formatCode>General</c:formatCode>
                <c:ptCount val="10"/>
                <c:pt idx="0">
                  <c:v>3205</c:v>
                </c:pt>
                <c:pt idx="1">
                  <c:v>3205</c:v>
                </c:pt>
                <c:pt idx="2">
                  <c:v>3205</c:v>
                </c:pt>
                <c:pt idx="3">
                  <c:v>3205</c:v>
                </c:pt>
                <c:pt idx="6">
                  <c:v>2850</c:v>
                </c:pt>
                <c:pt idx="7">
                  <c:v>2739</c:v>
                </c:pt>
                <c:pt idx="8">
                  <c:v>2689</c:v>
                </c:pt>
                <c:pt idx="9">
                  <c:v>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57-4FCC-B9E9-35B6830A9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5992847"/>
        <c:axId val="1707903727"/>
      </c:lineChart>
      <c:catAx>
        <c:axId val="1735992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03727"/>
        <c:crosses val="autoZero"/>
        <c:auto val="1"/>
        <c:lblAlgn val="ctr"/>
        <c:lblOffset val="100"/>
        <c:noMultiLvlLbl val="0"/>
      </c:catAx>
      <c:valAx>
        <c:axId val="170790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9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Corn!$A$41:$E$41</c:f>
              <c:strCache>
                <c:ptCount val="5"/>
                <c:pt idx="0">
                  <c:v>ALAMOSA</c:v>
                </c:pt>
                <c:pt idx="1">
                  <c:v>CORN</c:v>
                </c:pt>
                <c:pt idx="2">
                  <c:v>YEL</c:v>
                </c:pt>
                <c:pt idx="3">
                  <c:v>SG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Corn!$F$40:$O$40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Corn!$F$41:$O$41</c:f>
              <c:numCache>
                <c:formatCode>General</c:formatCode>
                <c:ptCount val="10"/>
                <c:pt idx="1">
                  <c:v>23.2</c:v>
                </c:pt>
                <c:pt idx="2">
                  <c:v>24.83</c:v>
                </c:pt>
                <c:pt idx="3">
                  <c:v>23</c:v>
                </c:pt>
                <c:pt idx="4">
                  <c:v>23.83</c:v>
                </c:pt>
                <c:pt idx="5">
                  <c:v>22.6</c:v>
                </c:pt>
                <c:pt idx="6">
                  <c:v>22.26</c:v>
                </c:pt>
                <c:pt idx="7">
                  <c:v>20.6</c:v>
                </c:pt>
                <c:pt idx="8">
                  <c:v>20.82</c:v>
                </c:pt>
                <c:pt idx="9">
                  <c:v>21.37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1-49A7-B1AF-A4E1749E7474}"/>
            </c:ext>
          </c:extLst>
        </c:ser>
        <c:ser>
          <c:idx val="1"/>
          <c:order val="1"/>
          <c:tx>
            <c:strRef>
              <c:f>Corn!$A$42:$E$42</c:f>
              <c:strCache>
                <c:ptCount val="5"/>
                <c:pt idx="0">
                  <c:v>CROWLEY</c:v>
                </c:pt>
                <c:pt idx="1">
                  <c:v>CORN</c:v>
                </c:pt>
                <c:pt idx="2">
                  <c:v>YEL</c:v>
                </c:pt>
                <c:pt idx="3">
                  <c:v>SG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Corn!$F$40:$O$40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Corn!$F$42:$O$42</c:f>
              <c:numCache>
                <c:formatCode>General</c:formatCode>
                <c:ptCount val="10"/>
                <c:pt idx="2">
                  <c:v>24.83</c:v>
                </c:pt>
                <c:pt idx="3">
                  <c:v>23</c:v>
                </c:pt>
                <c:pt idx="4">
                  <c:v>23.83</c:v>
                </c:pt>
                <c:pt idx="5">
                  <c:v>22.64</c:v>
                </c:pt>
                <c:pt idx="6">
                  <c:v>22.3</c:v>
                </c:pt>
                <c:pt idx="7">
                  <c:v>20.97</c:v>
                </c:pt>
                <c:pt idx="8">
                  <c:v>21.3</c:v>
                </c:pt>
                <c:pt idx="9">
                  <c:v>21.96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B1-49A7-B1AF-A4E1749E7474}"/>
            </c:ext>
          </c:extLst>
        </c:ser>
        <c:ser>
          <c:idx val="2"/>
          <c:order val="2"/>
          <c:tx>
            <c:strRef>
              <c:f>Corn!$A$43:$E$43</c:f>
              <c:strCache>
                <c:ptCount val="5"/>
                <c:pt idx="0">
                  <c:v>OTERO</c:v>
                </c:pt>
                <c:pt idx="1">
                  <c:v>CORN</c:v>
                </c:pt>
                <c:pt idx="2">
                  <c:v>YEL</c:v>
                </c:pt>
                <c:pt idx="3">
                  <c:v>SG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Corn!$F$40:$O$40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Corn!$F$43:$O$43</c:f>
              <c:numCache>
                <c:formatCode>General</c:formatCode>
                <c:ptCount val="10"/>
                <c:pt idx="2">
                  <c:v>24.83</c:v>
                </c:pt>
                <c:pt idx="3">
                  <c:v>23</c:v>
                </c:pt>
                <c:pt idx="4">
                  <c:v>23.83</c:v>
                </c:pt>
                <c:pt idx="5">
                  <c:v>22.67</c:v>
                </c:pt>
                <c:pt idx="6">
                  <c:v>22.34</c:v>
                </c:pt>
                <c:pt idx="7">
                  <c:v>21.01</c:v>
                </c:pt>
                <c:pt idx="8">
                  <c:v>21.34</c:v>
                </c:pt>
                <c:pt idx="9">
                  <c:v>21.99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1-49A7-B1AF-A4E1749E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108383"/>
        <c:axId val="1707910447"/>
      </c:lineChart>
      <c:catAx>
        <c:axId val="173610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10447"/>
        <c:crosses val="autoZero"/>
        <c:auto val="1"/>
        <c:lblAlgn val="ctr"/>
        <c:lblOffset val="100"/>
        <c:noMultiLvlLbl val="0"/>
      </c:catAx>
      <c:valAx>
        <c:axId val="170791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0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'Crenshaw Melon'!$A$2:$E$2</c:f>
              <c:strCache>
                <c:ptCount val="5"/>
                <c:pt idx="0">
                  <c:v>CROWLEY</c:v>
                </c:pt>
                <c:pt idx="1">
                  <c:v>CRENSHAW MELON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'Crenshaw Melon'!$F$1:$O$1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'Crenshaw Melon'!$F$2:$O$2</c:f>
              <c:numCache>
                <c:formatCode>General</c:formatCode>
                <c:ptCount val="10"/>
                <c:pt idx="0">
                  <c:v>215.67</c:v>
                </c:pt>
                <c:pt idx="1">
                  <c:v>215.67</c:v>
                </c:pt>
                <c:pt idx="2">
                  <c:v>215.67</c:v>
                </c:pt>
                <c:pt idx="3">
                  <c:v>229.67</c:v>
                </c:pt>
                <c:pt idx="4">
                  <c:v>223.37</c:v>
                </c:pt>
                <c:pt idx="5">
                  <c:v>202.7</c:v>
                </c:pt>
                <c:pt idx="6">
                  <c:v>191.97</c:v>
                </c:pt>
                <c:pt idx="7">
                  <c:v>160.58000000000001</c:v>
                </c:pt>
                <c:pt idx="8">
                  <c:v>120.91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2D-4462-8EF6-DB832331E529}"/>
            </c:ext>
          </c:extLst>
        </c:ser>
        <c:ser>
          <c:idx val="1"/>
          <c:order val="1"/>
          <c:tx>
            <c:strRef>
              <c:f>'Crenshaw Melon'!$A$3:$E$3</c:f>
              <c:strCache>
                <c:ptCount val="5"/>
                <c:pt idx="0">
                  <c:v>OTERO</c:v>
                </c:pt>
                <c:pt idx="1">
                  <c:v>CRENSHAW MELON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'Crenshaw Melon'!$F$1:$O$1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'Crenshaw Melon'!$F$3:$O$3</c:f>
              <c:numCache>
                <c:formatCode>General</c:formatCode>
                <c:ptCount val="10"/>
                <c:pt idx="0">
                  <c:v>215.67</c:v>
                </c:pt>
                <c:pt idx="1">
                  <c:v>215.67</c:v>
                </c:pt>
                <c:pt idx="2">
                  <c:v>215.67</c:v>
                </c:pt>
                <c:pt idx="3">
                  <c:v>229.67</c:v>
                </c:pt>
                <c:pt idx="4">
                  <c:v>223.37</c:v>
                </c:pt>
                <c:pt idx="5">
                  <c:v>202.7</c:v>
                </c:pt>
                <c:pt idx="6">
                  <c:v>203.04</c:v>
                </c:pt>
                <c:pt idx="7">
                  <c:v>183.1</c:v>
                </c:pt>
                <c:pt idx="8">
                  <c:v>183.1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D-4462-8EF6-DB832331E529}"/>
            </c:ext>
          </c:extLst>
        </c:ser>
        <c:ser>
          <c:idx val="2"/>
          <c:order val="2"/>
          <c:tx>
            <c:strRef>
              <c:f>'Crenshaw Melon'!$A$4:$E$4</c:f>
              <c:strCache>
                <c:ptCount val="5"/>
                <c:pt idx="0">
                  <c:v>WELD</c:v>
                </c:pt>
                <c:pt idx="1">
                  <c:v>CRENSHAW MELON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'Crenshaw Melon'!$F$1:$O$1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'Crenshaw Melon'!$F$4:$O$4</c:f>
              <c:numCache>
                <c:formatCode>General</c:formatCode>
                <c:ptCount val="10"/>
                <c:pt idx="0">
                  <c:v>215.67</c:v>
                </c:pt>
                <c:pt idx="1">
                  <c:v>215.67</c:v>
                </c:pt>
                <c:pt idx="2">
                  <c:v>215.67</c:v>
                </c:pt>
                <c:pt idx="3">
                  <c:v>229.67</c:v>
                </c:pt>
                <c:pt idx="4">
                  <c:v>223.37</c:v>
                </c:pt>
                <c:pt idx="5">
                  <c:v>202.7</c:v>
                </c:pt>
                <c:pt idx="6">
                  <c:v>186.44</c:v>
                </c:pt>
                <c:pt idx="7">
                  <c:v>149.51</c:v>
                </c:pt>
                <c:pt idx="8">
                  <c:v>110.5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D-4462-8EF6-DB832331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132047"/>
        <c:axId val="1707912847"/>
      </c:lineChart>
      <c:catAx>
        <c:axId val="173613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12847"/>
        <c:crosses val="autoZero"/>
        <c:auto val="1"/>
        <c:lblAlgn val="ctr"/>
        <c:lblOffset val="100"/>
        <c:noMultiLvlLbl val="0"/>
      </c:catAx>
      <c:valAx>
        <c:axId val="170791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13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Cucumber!$A$2:$E$2</c:f>
              <c:strCache>
                <c:ptCount val="5"/>
                <c:pt idx="0">
                  <c:v>CROWLEY</c:v>
                </c:pt>
                <c:pt idx="1">
                  <c:v>CUCUMBER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Cucumber!$F$2:$O$2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7.77</c:v>
                </c:pt>
                <c:pt idx="6">
                  <c:v>7.28</c:v>
                </c:pt>
                <c:pt idx="7">
                  <c:v>7.36</c:v>
                </c:pt>
                <c:pt idx="8">
                  <c:v>8.6300000000000008</c:v>
                </c:pt>
                <c:pt idx="9">
                  <c:v>11.73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A-4898-BDFD-0F39E85831D1}"/>
            </c:ext>
          </c:extLst>
        </c:ser>
        <c:ser>
          <c:idx val="1"/>
          <c:order val="1"/>
          <c:tx>
            <c:strRef>
              <c:f>Cucumber!$A$3:$E$3</c:f>
              <c:strCache>
                <c:ptCount val="5"/>
                <c:pt idx="0">
                  <c:v>FREMONT</c:v>
                </c:pt>
                <c:pt idx="1">
                  <c:v>CUCUMBER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Cucumber!$F$3:$O$3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5.9</c:v>
                </c:pt>
                <c:pt idx="6">
                  <c:v>6.54</c:v>
                </c:pt>
                <c:pt idx="7">
                  <c:v>5.16</c:v>
                </c:pt>
                <c:pt idx="8">
                  <c:v>5.26</c:v>
                </c:pt>
                <c:pt idx="9">
                  <c:v>4.72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6A-4898-BDFD-0F39E85831D1}"/>
            </c:ext>
          </c:extLst>
        </c:ser>
        <c:ser>
          <c:idx val="2"/>
          <c:order val="2"/>
          <c:tx>
            <c:strRef>
              <c:f>Cucumber!$A$4:$E$4</c:f>
              <c:strCache>
                <c:ptCount val="5"/>
                <c:pt idx="0">
                  <c:v>OTERO</c:v>
                </c:pt>
                <c:pt idx="1">
                  <c:v>CUCUMBER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Cucumber!$F$4:$O$4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7.11</c:v>
                </c:pt>
                <c:pt idx="4">
                  <c:v>6.91</c:v>
                </c:pt>
                <c:pt idx="5">
                  <c:v>6.09</c:v>
                </c:pt>
                <c:pt idx="6">
                  <c:v>7.28</c:v>
                </c:pt>
                <c:pt idx="7">
                  <c:v>7.36</c:v>
                </c:pt>
                <c:pt idx="8">
                  <c:v>6.8</c:v>
                </c:pt>
                <c:pt idx="9">
                  <c:v>6.66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6A-4898-BDFD-0F39E85831D1}"/>
            </c:ext>
          </c:extLst>
        </c:ser>
        <c:ser>
          <c:idx val="3"/>
          <c:order val="3"/>
          <c:tx>
            <c:strRef>
              <c:f>Cucumber!$A$5:$E$5</c:f>
              <c:strCache>
                <c:ptCount val="5"/>
                <c:pt idx="0">
                  <c:v>OTERO</c:v>
                </c:pt>
                <c:pt idx="1">
                  <c:v>CUCUMBER</c:v>
                </c:pt>
                <c:pt idx="2">
                  <c:v>PKL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Cucumber!$F$5:$O$5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7.11</c:v>
                </c:pt>
                <c:pt idx="4">
                  <c:v>6.91</c:v>
                </c:pt>
                <c:pt idx="5">
                  <c:v>5.74</c:v>
                </c:pt>
                <c:pt idx="6">
                  <c:v>7.53</c:v>
                </c:pt>
                <c:pt idx="7">
                  <c:v>6.76</c:v>
                </c:pt>
                <c:pt idx="8">
                  <c:v>6.36</c:v>
                </c:pt>
                <c:pt idx="9">
                  <c:v>5.97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6A-4898-BDFD-0F39E85831D1}"/>
            </c:ext>
          </c:extLst>
        </c:ser>
        <c:ser>
          <c:idx val="4"/>
          <c:order val="4"/>
          <c:tx>
            <c:strRef>
              <c:f>Cucumber!$A$6:$E$6</c:f>
              <c:strCache>
                <c:ptCount val="5"/>
                <c:pt idx="0">
                  <c:v>PUEBLO</c:v>
                </c:pt>
                <c:pt idx="1">
                  <c:v>CUCUMBER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Cucumber!$F$6:$O$6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8.14</c:v>
                </c:pt>
                <c:pt idx="4">
                  <c:v>7.94</c:v>
                </c:pt>
                <c:pt idx="5">
                  <c:v>7.3</c:v>
                </c:pt>
                <c:pt idx="6">
                  <c:v>6.54</c:v>
                </c:pt>
                <c:pt idx="7">
                  <c:v>5.8</c:v>
                </c:pt>
                <c:pt idx="8">
                  <c:v>5.8</c:v>
                </c:pt>
                <c:pt idx="9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36A-4898-BDFD-0F39E85831D1}"/>
            </c:ext>
          </c:extLst>
        </c:ser>
        <c:ser>
          <c:idx val="5"/>
          <c:order val="5"/>
          <c:tx>
            <c:strRef>
              <c:f>Cucumber!$A$7:$E$7</c:f>
              <c:strCache>
                <c:ptCount val="5"/>
                <c:pt idx="0">
                  <c:v>PUEBLO</c:v>
                </c:pt>
                <c:pt idx="1">
                  <c:v>CUCUMBER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Cucumber!$F$7:$O$7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5.76</c:v>
                </c:pt>
                <c:pt idx="6">
                  <c:v>7.28</c:v>
                </c:pt>
                <c:pt idx="7">
                  <c:v>6.54</c:v>
                </c:pt>
                <c:pt idx="8">
                  <c:v>6.71</c:v>
                </c:pt>
                <c:pt idx="9">
                  <c:v>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6A-4898-BDFD-0F39E85831D1}"/>
            </c:ext>
          </c:extLst>
        </c:ser>
        <c:ser>
          <c:idx val="6"/>
          <c:order val="6"/>
          <c:tx>
            <c:strRef>
              <c:f>Cucumber!$A$8:$E$8</c:f>
              <c:strCache>
                <c:ptCount val="5"/>
                <c:pt idx="0">
                  <c:v>PUEBLO</c:v>
                </c:pt>
                <c:pt idx="1">
                  <c:v>CUCUMBER</c:v>
                </c:pt>
                <c:pt idx="2">
                  <c:v>PKL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Cucumber!$F$8:$O$8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8.14</c:v>
                </c:pt>
                <c:pt idx="4">
                  <c:v>7.94</c:v>
                </c:pt>
                <c:pt idx="5">
                  <c:v>6.76</c:v>
                </c:pt>
                <c:pt idx="6">
                  <c:v>7.53</c:v>
                </c:pt>
                <c:pt idx="7">
                  <c:v>6.61</c:v>
                </c:pt>
                <c:pt idx="8">
                  <c:v>5.74</c:v>
                </c:pt>
                <c:pt idx="9">
                  <c:v>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36A-4898-BDFD-0F39E85831D1}"/>
            </c:ext>
          </c:extLst>
        </c:ser>
        <c:ser>
          <c:idx val="7"/>
          <c:order val="7"/>
          <c:tx>
            <c:strRef>
              <c:f>Cucumber!$A$9:$E$9</c:f>
              <c:strCache>
                <c:ptCount val="5"/>
                <c:pt idx="0">
                  <c:v>WELD</c:v>
                </c:pt>
                <c:pt idx="1">
                  <c:v>CUCUMBER</c:v>
                </c:pt>
                <c:pt idx="2">
                  <c:v>COM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Cucumber!$F$9:$O$9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5.9</c:v>
                </c:pt>
                <c:pt idx="6">
                  <c:v>5.52</c:v>
                </c:pt>
                <c:pt idx="7">
                  <c:v>5.16</c:v>
                </c:pt>
                <c:pt idx="8">
                  <c:v>6.62</c:v>
                </c:pt>
                <c:pt idx="9">
                  <c:v>6.11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36A-4898-BDFD-0F39E85831D1}"/>
            </c:ext>
          </c:extLst>
        </c:ser>
        <c:ser>
          <c:idx val="8"/>
          <c:order val="8"/>
          <c:tx>
            <c:strRef>
              <c:f>Cucumber!$A$10:$E$10</c:f>
              <c:strCache>
                <c:ptCount val="5"/>
                <c:pt idx="0">
                  <c:v>WELD</c:v>
                </c:pt>
                <c:pt idx="1">
                  <c:v>CUCUMBER</c:v>
                </c:pt>
                <c:pt idx="2">
                  <c:v>ENG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Cucumber!$F$10:$O$10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5.76</c:v>
                </c:pt>
                <c:pt idx="6">
                  <c:v>7.28</c:v>
                </c:pt>
                <c:pt idx="7">
                  <c:v>6.54</c:v>
                </c:pt>
                <c:pt idx="8">
                  <c:v>4.97</c:v>
                </c:pt>
                <c:pt idx="9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36A-4898-BDFD-0F39E85831D1}"/>
            </c:ext>
          </c:extLst>
        </c:ser>
        <c:ser>
          <c:idx val="9"/>
          <c:order val="9"/>
          <c:tx>
            <c:strRef>
              <c:f>Cucumber!$A$11:$E$11</c:f>
              <c:strCache>
                <c:ptCount val="5"/>
                <c:pt idx="0">
                  <c:v>WELD</c:v>
                </c:pt>
                <c:pt idx="1">
                  <c:v>CUCUMBER</c:v>
                </c:pt>
                <c:pt idx="2">
                  <c:v>PKL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Cucumber!$F$1:$O$1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Cucumber!$F$11:$O$11</c:f>
              <c:numCache>
                <c:formatCode>General</c:formatCode>
                <c:ptCount val="10"/>
                <c:pt idx="0">
                  <c:v>9.33</c:v>
                </c:pt>
                <c:pt idx="1">
                  <c:v>8.7200000000000006</c:v>
                </c:pt>
                <c:pt idx="2">
                  <c:v>4.45</c:v>
                </c:pt>
                <c:pt idx="3">
                  <c:v>4.45</c:v>
                </c:pt>
                <c:pt idx="4">
                  <c:v>5.73</c:v>
                </c:pt>
                <c:pt idx="5">
                  <c:v>5.5</c:v>
                </c:pt>
                <c:pt idx="6">
                  <c:v>7.53</c:v>
                </c:pt>
                <c:pt idx="7">
                  <c:v>6.43</c:v>
                </c:pt>
                <c:pt idx="8">
                  <c:v>5.18</c:v>
                </c:pt>
                <c:pt idx="9">
                  <c:v>4.8899999999999997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6A-4898-BDFD-0F39E858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6071727"/>
        <c:axId val="1707929647"/>
      </c:lineChart>
      <c:catAx>
        <c:axId val="173607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29647"/>
        <c:crosses val="autoZero"/>
        <c:auto val="1"/>
        <c:lblAlgn val="ctr"/>
        <c:lblOffset val="100"/>
        <c:noMultiLvlLbl val="0"/>
      </c:catAx>
      <c:valAx>
        <c:axId val="17079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07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Eggplant!$A$2:$E$2</c:f>
              <c:strCache>
                <c:ptCount val="5"/>
                <c:pt idx="0">
                  <c:v>CROWLEY</c:v>
                </c:pt>
                <c:pt idx="1">
                  <c:v>EGGPLANT</c:v>
                </c:pt>
                <c:pt idx="2">
                  <c:v>EUR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Eggplant!$F$1:$O$1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Eggplant!$F$2:$O$2</c:f>
              <c:numCache>
                <c:formatCode>General</c:formatCode>
                <c:ptCount val="10"/>
                <c:pt idx="0">
                  <c:v>100.38</c:v>
                </c:pt>
                <c:pt idx="1">
                  <c:v>92.67</c:v>
                </c:pt>
                <c:pt idx="2">
                  <c:v>92.67</c:v>
                </c:pt>
                <c:pt idx="3">
                  <c:v>106.67</c:v>
                </c:pt>
                <c:pt idx="4">
                  <c:v>100.97</c:v>
                </c:pt>
                <c:pt idx="5">
                  <c:v>98.3</c:v>
                </c:pt>
                <c:pt idx="6">
                  <c:v>112.3</c:v>
                </c:pt>
                <c:pt idx="7">
                  <c:v>101.21</c:v>
                </c:pt>
                <c:pt idx="8">
                  <c:v>88.6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1-4A0B-8CB8-B6CC12F65692}"/>
            </c:ext>
          </c:extLst>
        </c:ser>
        <c:ser>
          <c:idx val="1"/>
          <c:order val="1"/>
          <c:tx>
            <c:strRef>
              <c:f>Eggplant!$A$3:$E$3</c:f>
              <c:strCache>
                <c:ptCount val="5"/>
                <c:pt idx="0">
                  <c:v>FREEMONT</c:v>
                </c:pt>
                <c:pt idx="1">
                  <c:v>EGGPLANT</c:v>
                </c:pt>
                <c:pt idx="2">
                  <c:v>EUR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Eggplant!$F$1:$O$1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Eggplant!$F$3:$O$3</c:f>
              <c:numCache>
                <c:formatCode>General</c:formatCode>
                <c:ptCount val="10"/>
                <c:pt idx="0">
                  <c:v>100.38</c:v>
                </c:pt>
                <c:pt idx="1">
                  <c:v>92.67</c:v>
                </c:pt>
                <c:pt idx="2">
                  <c:v>92.67</c:v>
                </c:pt>
                <c:pt idx="3">
                  <c:v>106.67</c:v>
                </c:pt>
                <c:pt idx="4">
                  <c:v>100.97</c:v>
                </c:pt>
                <c:pt idx="5">
                  <c:v>98.3</c:v>
                </c:pt>
                <c:pt idx="6">
                  <c:v>112.3</c:v>
                </c:pt>
                <c:pt idx="7">
                  <c:v>91.68</c:v>
                </c:pt>
                <c:pt idx="8">
                  <c:v>76.349999999999994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1-4A0B-8CB8-B6CC12F65692}"/>
            </c:ext>
          </c:extLst>
        </c:ser>
        <c:ser>
          <c:idx val="2"/>
          <c:order val="2"/>
          <c:tx>
            <c:strRef>
              <c:f>Eggplant!$A$4:$E$4</c:f>
              <c:strCache>
                <c:ptCount val="5"/>
                <c:pt idx="0">
                  <c:v>OTERO</c:v>
                </c:pt>
                <c:pt idx="1">
                  <c:v>EGGPLANT</c:v>
                </c:pt>
                <c:pt idx="2">
                  <c:v>EUR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Eggplant!$F$1:$O$1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Eggplant!$F$4:$O$4</c:f>
              <c:numCache>
                <c:formatCode>General</c:formatCode>
                <c:ptCount val="10"/>
                <c:pt idx="0">
                  <c:v>100.38</c:v>
                </c:pt>
                <c:pt idx="1">
                  <c:v>92.67</c:v>
                </c:pt>
                <c:pt idx="2">
                  <c:v>92.67</c:v>
                </c:pt>
                <c:pt idx="3">
                  <c:v>106.67</c:v>
                </c:pt>
                <c:pt idx="4">
                  <c:v>100.97</c:v>
                </c:pt>
                <c:pt idx="5">
                  <c:v>98.3</c:v>
                </c:pt>
                <c:pt idx="6">
                  <c:v>112.3</c:v>
                </c:pt>
                <c:pt idx="7">
                  <c:v>116.07</c:v>
                </c:pt>
                <c:pt idx="8">
                  <c:v>98.02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31-4A0B-8CB8-B6CC12F65692}"/>
            </c:ext>
          </c:extLst>
        </c:ser>
        <c:ser>
          <c:idx val="3"/>
          <c:order val="3"/>
          <c:tx>
            <c:strRef>
              <c:f>Eggplant!$A$5:$E$5</c:f>
              <c:strCache>
                <c:ptCount val="5"/>
                <c:pt idx="0">
                  <c:v>PUEBLO</c:v>
                </c:pt>
                <c:pt idx="1">
                  <c:v>EGGPLANT</c:v>
                </c:pt>
                <c:pt idx="2">
                  <c:v>EUR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Eggplant!$F$1:$O$1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Eggplant!$F$5:$O$5</c:f>
              <c:numCache>
                <c:formatCode>General</c:formatCode>
                <c:ptCount val="10"/>
                <c:pt idx="0">
                  <c:v>100.38</c:v>
                </c:pt>
                <c:pt idx="1">
                  <c:v>92.67</c:v>
                </c:pt>
                <c:pt idx="2">
                  <c:v>92.67</c:v>
                </c:pt>
                <c:pt idx="3">
                  <c:v>106.67</c:v>
                </c:pt>
                <c:pt idx="4">
                  <c:v>100.97</c:v>
                </c:pt>
                <c:pt idx="5">
                  <c:v>98.3</c:v>
                </c:pt>
                <c:pt idx="6">
                  <c:v>112.3</c:v>
                </c:pt>
                <c:pt idx="7">
                  <c:v>91.68</c:v>
                </c:pt>
                <c:pt idx="8">
                  <c:v>79.069999999999993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31-4A0B-8CB8-B6CC12F65692}"/>
            </c:ext>
          </c:extLst>
        </c:ser>
        <c:ser>
          <c:idx val="4"/>
          <c:order val="4"/>
          <c:tx>
            <c:strRef>
              <c:f>Eggplant!$A$6:$E$6</c:f>
              <c:strCache>
                <c:ptCount val="5"/>
                <c:pt idx="0">
                  <c:v>WELD</c:v>
                </c:pt>
                <c:pt idx="1">
                  <c:v>EGGPLANT</c:v>
                </c:pt>
                <c:pt idx="2">
                  <c:v>EUR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Eggplant!$F$1:$O$1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Eggplant!$F$6:$O$6</c:f>
              <c:numCache>
                <c:formatCode>General</c:formatCode>
                <c:ptCount val="10"/>
                <c:pt idx="0">
                  <c:v>100.38</c:v>
                </c:pt>
                <c:pt idx="1">
                  <c:v>92.67</c:v>
                </c:pt>
                <c:pt idx="2">
                  <c:v>92.67</c:v>
                </c:pt>
                <c:pt idx="3">
                  <c:v>106.67</c:v>
                </c:pt>
                <c:pt idx="4">
                  <c:v>100.97</c:v>
                </c:pt>
                <c:pt idx="5">
                  <c:v>98.3</c:v>
                </c:pt>
                <c:pt idx="6">
                  <c:v>112.3</c:v>
                </c:pt>
                <c:pt idx="7">
                  <c:v>116.07</c:v>
                </c:pt>
                <c:pt idx="8">
                  <c:v>114.04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31-4A0B-8CB8-B6CC12F6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473695"/>
        <c:axId val="1707946447"/>
      </c:lineChart>
      <c:catAx>
        <c:axId val="130847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946447"/>
        <c:crosses val="autoZero"/>
        <c:auto val="1"/>
        <c:lblAlgn val="ctr"/>
        <c:lblOffset val="100"/>
        <c:noMultiLvlLbl val="0"/>
      </c:catAx>
      <c:valAx>
        <c:axId val="170794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47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Flowers!$A$2:$E$2</c:f>
              <c:strCache>
                <c:ptCount val="5"/>
                <c:pt idx="0">
                  <c:v>CROWLEY</c:v>
                </c:pt>
                <c:pt idx="1">
                  <c:v>FLOWERS</c:v>
                </c:pt>
                <c:pt idx="2">
                  <c:v>ZIN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Flowers!$F$1:$O$1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Flowers!$F$2:$O$2</c:f>
              <c:numCache>
                <c:formatCode>General</c:formatCode>
                <c:ptCount val="10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226</c:v>
                </c:pt>
                <c:pt idx="7">
                  <c:v>151</c:v>
                </c:pt>
                <c:pt idx="8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DB-4B54-B2B2-551909A31F88}"/>
            </c:ext>
          </c:extLst>
        </c:ser>
        <c:ser>
          <c:idx val="1"/>
          <c:order val="1"/>
          <c:tx>
            <c:strRef>
              <c:f>Flowers!$A$3:$E$3</c:f>
              <c:strCache>
                <c:ptCount val="5"/>
                <c:pt idx="0">
                  <c:v>MONTEZUMA</c:v>
                </c:pt>
                <c:pt idx="1">
                  <c:v>FLOWERS</c:v>
                </c:pt>
                <c:pt idx="2">
                  <c:v>PEN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Flowers!$F$1:$O$1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Flowers!$F$3:$O$3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DB-4B54-B2B2-551909A31F88}"/>
            </c:ext>
          </c:extLst>
        </c:ser>
        <c:ser>
          <c:idx val="2"/>
          <c:order val="2"/>
          <c:tx>
            <c:strRef>
              <c:f>Flowers!$A$4:$E$4</c:f>
              <c:strCache>
                <c:ptCount val="5"/>
                <c:pt idx="0">
                  <c:v>MONTEZUMA</c:v>
                </c:pt>
                <c:pt idx="1">
                  <c:v>FLOWERS</c:v>
                </c:pt>
                <c:pt idx="2">
                  <c:v>PEN</c:v>
                </c:pt>
                <c:pt idx="3">
                  <c:v>SD</c:v>
                </c:pt>
                <c:pt idx="4">
                  <c:v>NI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Flowers!$F$1:$O$1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Flowers!$F$4:$O$4</c:f>
              <c:numCache>
                <c:formatCode>General</c:formatCode>
                <c:ptCount val="1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DB-4B54-B2B2-551909A31F88}"/>
            </c:ext>
          </c:extLst>
        </c:ser>
        <c:ser>
          <c:idx val="3"/>
          <c:order val="3"/>
          <c:tx>
            <c:strRef>
              <c:f>Flowers!$A$5:$E$5</c:f>
              <c:strCache>
                <c:ptCount val="5"/>
                <c:pt idx="0">
                  <c:v>OTERO</c:v>
                </c:pt>
                <c:pt idx="1">
                  <c:v>FLOWERS</c:v>
                </c:pt>
                <c:pt idx="2">
                  <c:v>ZIN</c:v>
                </c:pt>
                <c:pt idx="3">
                  <c:v>SD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Flowers!$F$1:$O$1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Flowers!$F$5:$O$5</c:f>
              <c:numCache>
                <c:formatCode>General</c:formatCode>
                <c:ptCount val="10"/>
                <c:pt idx="0">
                  <c:v>240</c:v>
                </c:pt>
                <c:pt idx="1">
                  <c:v>240</c:v>
                </c:pt>
                <c:pt idx="2">
                  <c:v>240</c:v>
                </c:pt>
                <c:pt idx="3">
                  <c:v>240</c:v>
                </c:pt>
                <c:pt idx="4">
                  <c:v>240</c:v>
                </c:pt>
                <c:pt idx="5">
                  <c:v>240</c:v>
                </c:pt>
                <c:pt idx="6">
                  <c:v>226</c:v>
                </c:pt>
                <c:pt idx="7">
                  <c:v>151</c:v>
                </c:pt>
                <c:pt idx="8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DB-4B54-B2B2-551909A31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950351"/>
        <c:axId val="1298432847"/>
      </c:lineChart>
      <c:catAx>
        <c:axId val="1556950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432847"/>
        <c:crosses val="autoZero"/>
        <c:auto val="1"/>
        <c:lblAlgn val="ctr"/>
        <c:lblOffset val="100"/>
        <c:noMultiLvlLbl val="0"/>
      </c:catAx>
      <c:valAx>
        <c:axId val="129843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50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Gourds!$A$2:$E$2</c:f>
              <c:strCache>
                <c:ptCount val="5"/>
                <c:pt idx="0">
                  <c:v>OTERO</c:v>
                </c:pt>
                <c:pt idx="1">
                  <c:v>GOURDS</c:v>
                </c:pt>
                <c:pt idx="2">
                  <c:v>OKR</c:v>
                </c:pt>
                <c:pt idx="3">
                  <c:v>FH</c:v>
                </c:pt>
                <c:pt idx="4">
                  <c:v>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Gourds!$F$1:$O$1</c:f>
              <c:numCache>
                <c:formatCode>General</c:formatCode>
                <c:ptCount val="10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</c:numCache>
            </c:numRef>
          </c:cat>
          <c:val>
            <c:numRef>
              <c:f>Gourds!$F$2:$O$2</c:f>
              <c:numCache>
                <c:formatCode>General</c:formatCode>
                <c:ptCount val="10"/>
                <c:pt idx="0">
                  <c:v>5752</c:v>
                </c:pt>
                <c:pt idx="1">
                  <c:v>5748</c:v>
                </c:pt>
                <c:pt idx="2">
                  <c:v>5784</c:v>
                </c:pt>
                <c:pt idx="3">
                  <c:v>5752</c:v>
                </c:pt>
                <c:pt idx="4">
                  <c:v>5756</c:v>
                </c:pt>
                <c:pt idx="5">
                  <c:v>5839</c:v>
                </c:pt>
                <c:pt idx="6">
                  <c:v>5876</c:v>
                </c:pt>
                <c:pt idx="7">
                  <c:v>5928</c:v>
                </c:pt>
                <c:pt idx="8">
                  <c:v>5951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46-41DC-B285-FC28DE263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7032015"/>
        <c:axId val="1620219823"/>
      </c:lineChart>
      <c:catAx>
        <c:axId val="1557032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0219823"/>
        <c:crosses val="autoZero"/>
        <c:auto val="1"/>
        <c:lblAlgn val="ctr"/>
        <c:lblOffset val="100"/>
        <c:noMultiLvlLbl val="0"/>
      </c:catAx>
      <c:valAx>
        <c:axId val="162021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32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112712</xdr:rowOff>
    </xdr:from>
    <xdr:to>
      <xdr:col>14</xdr:col>
      <xdr:colOff>584199</xdr:colOff>
      <xdr:row>45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C72C3-53A4-DA7F-44EB-D8BF9A744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87311</xdr:rowOff>
    </xdr:from>
    <xdr:to>
      <xdr:col>14</xdr:col>
      <xdr:colOff>619124</xdr:colOff>
      <xdr:row>29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70CC11-31F9-4608-8255-427DAE560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160337</xdr:rowOff>
    </xdr:from>
    <xdr:to>
      <xdr:col>14</xdr:col>
      <xdr:colOff>590550</xdr:colOff>
      <xdr:row>30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3C60D3-9BEB-7469-F1E0-F7C815C0F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11112</xdr:rowOff>
    </xdr:from>
    <xdr:to>
      <xdr:col>14</xdr:col>
      <xdr:colOff>590550</xdr:colOff>
      <xdr:row>37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2C011-A84F-D0F9-7E26-CC7F0E662C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66675</xdr:colOff>
      <xdr:row>0</xdr:row>
      <xdr:rowOff>47624</xdr:rowOff>
    </xdr:from>
    <xdr:to>
      <xdr:col>30</xdr:col>
      <xdr:colOff>333375</xdr:colOff>
      <xdr:row>38</xdr:row>
      <xdr:rowOff>3174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D58991-3259-68A1-DED1-AB61034AC7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85724</xdr:colOff>
      <xdr:row>38</xdr:row>
      <xdr:rowOff>74611</xdr:rowOff>
    </xdr:from>
    <xdr:to>
      <xdr:col>29</xdr:col>
      <xdr:colOff>527049</xdr:colOff>
      <xdr:row>63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B4D53D-BA6A-2989-A12A-6669B021F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95250</xdr:colOff>
      <xdr:row>63</xdr:row>
      <xdr:rowOff>163512</xdr:rowOff>
    </xdr:from>
    <xdr:to>
      <xdr:col>29</xdr:col>
      <xdr:colOff>485775</xdr:colOff>
      <xdr:row>88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5E6DA2-F5AB-A9A4-5828-E8B7FF8A4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86</xdr:row>
      <xdr:rowOff>173037</xdr:rowOff>
    </xdr:from>
    <xdr:to>
      <xdr:col>14</xdr:col>
      <xdr:colOff>619125</xdr:colOff>
      <xdr:row>124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3CB716-0D5C-F094-95DB-47E778926A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106362</xdr:rowOff>
    </xdr:from>
    <xdr:to>
      <xdr:col>14</xdr:col>
      <xdr:colOff>619124</xdr:colOff>
      <xdr:row>45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B84774-02B6-D253-3CEE-00DD68CF1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17462</xdr:rowOff>
    </xdr:from>
    <xdr:to>
      <xdr:col>15</xdr:col>
      <xdr:colOff>0</xdr:colOff>
      <xdr:row>38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AAA175-ED42-7A57-C528-D18B7CCEAA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74612</xdr:rowOff>
    </xdr:from>
    <xdr:to>
      <xdr:col>15</xdr:col>
      <xdr:colOff>19050</xdr:colOff>
      <xdr:row>40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59BDC-16FC-76DF-A1A6-BA89BBD0CC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112711</xdr:rowOff>
    </xdr:from>
    <xdr:to>
      <xdr:col>14</xdr:col>
      <xdr:colOff>590550</xdr:colOff>
      <xdr:row>43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494A21-B595-E785-E9D8-15D0B7BB7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139700</xdr:colOff>
      <xdr:row>0</xdr:row>
      <xdr:rowOff>0</xdr:rowOff>
    </xdr:from>
    <xdr:to>
      <xdr:col>29</xdr:col>
      <xdr:colOff>476250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024470-75F3-0D96-058B-45E3E620BC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177800</xdr:colOff>
      <xdr:row>32</xdr:row>
      <xdr:rowOff>131761</xdr:rowOff>
    </xdr:from>
    <xdr:to>
      <xdr:col>29</xdr:col>
      <xdr:colOff>514350</xdr:colOff>
      <xdr:row>60</xdr:row>
      <xdr:rowOff>142874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3531D3-A201-6C97-2993-A806851E2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158750</xdr:colOff>
      <xdr:row>61</xdr:row>
      <xdr:rowOff>30162</xdr:rowOff>
    </xdr:from>
    <xdr:to>
      <xdr:col>29</xdr:col>
      <xdr:colOff>571500</xdr:colOff>
      <xdr:row>89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585809-632D-400F-161E-299F63750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180974</xdr:colOff>
      <xdr:row>89</xdr:row>
      <xdr:rowOff>131762</xdr:rowOff>
    </xdr:from>
    <xdr:to>
      <xdr:col>29</xdr:col>
      <xdr:colOff>527049</xdr:colOff>
      <xdr:row>118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6BF7164-A149-3B00-1645-8AD9A7402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97</xdr:row>
      <xdr:rowOff>84137</xdr:rowOff>
    </xdr:from>
    <xdr:to>
      <xdr:col>14</xdr:col>
      <xdr:colOff>600074</xdr:colOff>
      <xdr:row>127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C64496-DBAE-BC71-B067-296BBA6BFB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112712</xdr:rowOff>
    </xdr:from>
    <xdr:to>
      <xdr:col>14</xdr:col>
      <xdr:colOff>609600</xdr:colOff>
      <xdr:row>31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4E8D9-931F-B9DD-046A-4086A94B81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131762</xdr:rowOff>
    </xdr:from>
    <xdr:to>
      <xdr:col>15</xdr:col>
      <xdr:colOff>28574</xdr:colOff>
      <xdr:row>43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2EFFF-A039-259A-34A6-D39D09636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1587</xdr:rowOff>
    </xdr:from>
    <xdr:to>
      <xdr:col>14</xdr:col>
      <xdr:colOff>600074</xdr:colOff>
      <xdr:row>44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FF7878-E80B-45CE-A4B7-D716840C0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152399</xdr:colOff>
      <xdr:row>0</xdr:row>
      <xdr:rowOff>0</xdr:rowOff>
    </xdr:from>
    <xdr:to>
      <xdr:col>30</xdr:col>
      <xdr:colOff>314324</xdr:colOff>
      <xdr:row>32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84D94C-D838-3378-A8C7-5BAB17CE3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120649</xdr:colOff>
      <xdr:row>32</xdr:row>
      <xdr:rowOff>144462</xdr:rowOff>
    </xdr:from>
    <xdr:to>
      <xdr:col>30</xdr:col>
      <xdr:colOff>333374</xdr:colOff>
      <xdr:row>62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FEA29-E545-FD48-B642-90A5DE68F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33</xdr:row>
      <xdr:rowOff>144461</xdr:rowOff>
    </xdr:from>
    <xdr:to>
      <xdr:col>14</xdr:col>
      <xdr:colOff>619124</xdr:colOff>
      <xdr:row>62</xdr:row>
      <xdr:rowOff>95249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029F22-83DB-CAC5-0186-81ADE4E21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36512</xdr:rowOff>
    </xdr:from>
    <xdr:to>
      <xdr:col>15</xdr:col>
      <xdr:colOff>38100</xdr:colOff>
      <xdr:row>34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510BE2-8DAD-BDB5-5E32-30ED7CD05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30162</xdr:rowOff>
    </xdr:from>
    <xdr:to>
      <xdr:col>14</xdr:col>
      <xdr:colOff>609600</xdr:colOff>
      <xdr:row>33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23596-0097-C445-5ED1-C390660A8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144462</xdr:rowOff>
    </xdr:from>
    <xdr:to>
      <xdr:col>14</xdr:col>
      <xdr:colOff>609600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4ED578-05BF-6CDF-B6D0-8CC217107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304800</xdr:colOff>
      <xdr:row>0</xdr:row>
      <xdr:rowOff>0</xdr:rowOff>
    </xdr:from>
    <xdr:to>
      <xdr:col>30</xdr:col>
      <xdr:colOff>323850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9FEEC7-F29C-D2AD-5EEC-E60C478BA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330200</xdr:colOff>
      <xdr:row>33</xdr:row>
      <xdr:rowOff>17461</xdr:rowOff>
    </xdr:from>
    <xdr:to>
      <xdr:col>30</xdr:col>
      <xdr:colOff>323850</xdr:colOff>
      <xdr:row>65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6AA5DF-F63F-4A59-9177-0B0D2B6DA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323849</xdr:colOff>
      <xdr:row>66</xdr:row>
      <xdr:rowOff>7936</xdr:rowOff>
    </xdr:from>
    <xdr:to>
      <xdr:col>30</xdr:col>
      <xdr:colOff>333374</xdr:colOff>
      <xdr:row>98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E86C5C-9649-718B-48C4-A8FCFF282E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80</xdr:row>
      <xdr:rowOff>17461</xdr:rowOff>
    </xdr:from>
    <xdr:to>
      <xdr:col>14</xdr:col>
      <xdr:colOff>600074</xdr:colOff>
      <xdr:row>110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2645DF-A2C1-8B68-D52C-9754A4137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144462</xdr:rowOff>
    </xdr:from>
    <xdr:to>
      <xdr:col>14</xdr:col>
      <xdr:colOff>619125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D1269D-4753-45A8-072A-C9B408539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169861</xdr:rowOff>
    </xdr:from>
    <xdr:to>
      <xdr:col>15</xdr:col>
      <xdr:colOff>9524</xdr:colOff>
      <xdr:row>33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097AB-4996-915A-4033-2E65CB463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169862</xdr:rowOff>
    </xdr:from>
    <xdr:to>
      <xdr:col>15</xdr:col>
      <xdr:colOff>9524</xdr:colOff>
      <xdr:row>55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5A429B-5B2F-11A6-DF6D-CB6A628F0A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163512</xdr:rowOff>
    </xdr:from>
    <xdr:to>
      <xdr:col>15</xdr:col>
      <xdr:colOff>9524</xdr:colOff>
      <xdr:row>32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CD5978-385C-D1B4-0D95-4FEC1EB54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163512</xdr:rowOff>
    </xdr:from>
    <xdr:to>
      <xdr:col>14</xdr:col>
      <xdr:colOff>600074</xdr:colOff>
      <xdr:row>40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FF5FEC-39FE-F191-731D-F2511C8E9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144462</xdr:rowOff>
    </xdr:from>
    <xdr:to>
      <xdr:col>15</xdr:col>
      <xdr:colOff>9524</xdr:colOff>
      <xdr:row>34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8F3BD-26B2-53DC-67B8-D4F74665B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150812</xdr:rowOff>
    </xdr:from>
    <xdr:to>
      <xdr:col>15</xdr:col>
      <xdr:colOff>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25A39-C8FE-C6D0-0F78-99BA7AC2D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125412</xdr:rowOff>
    </xdr:from>
    <xdr:to>
      <xdr:col>14</xdr:col>
      <xdr:colOff>609600</xdr:colOff>
      <xdr:row>40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789E69-7310-636C-BF2B-A4717167F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1586</xdr:rowOff>
    </xdr:from>
    <xdr:to>
      <xdr:col>15</xdr:col>
      <xdr:colOff>19050</xdr:colOff>
      <xdr:row>34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1DCE5-15BE-BE46-0B12-60EAB97BC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11111</xdr:rowOff>
    </xdr:from>
    <xdr:to>
      <xdr:col>14</xdr:col>
      <xdr:colOff>619124</xdr:colOff>
      <xdr:row>45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D6981-674E-FE8B-2709-06353B8FB6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11112</xdr:rowOff>
    </xdr:from>
    <xdr:to>
      <xdr:col>14</xdr:col>
      <xdr:colOff>619124</xdr:colOff>
      <xdr:row>35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F3595-F932-AFEA-CD12-D512A5066A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17461</xdr:rowOff>
    </xdr:from>
    <xdr:to>
      <xdr:col>14</xdr:col>
      <xdr:colOff>590550</xdr:colOff>
      <xdr:row>37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A6F3F9-FE0A-91B7-872D-946DDA970B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1587</xdr:rowOff>
    </xdr:from>
    <xdr:to>
      <xdr:col>15</xdr:col>
      <xdr:colOff>28574</xdr:colOff>
      <xdr:row>38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B6E9D-7C4C-F71D-D270-9AF906A5B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234949</xdr:colOff>
      <xdr:row>0</xdr:row>
      <xdr:rowOff>0</xdr:rowOff>
    </xdr:from>
    <xdr:to>
      <xdr:col>30</xdr:col>
      <xdr:colOff>600074</xdr:colOff>
      <xdr:row>33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5089AA-C9CA-BA09-AA0F-69723E76B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177799</xdr:colOff>
      <xdr:row>33</xdr:row>
      <xdr:rowOff>150812</xdr:rowOff>
    </xdr:from>
    <xdr:to>
      <xdr:col>30</xdr:col>
      <xdr:colOff>581024</xdr:colOff>
      <xdr:row>66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75C923-D21C-B242-71D3-AE48A0DB5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43</xdr:row>
      <xdr:rowOff>144461</xdr:rowOff>
    </xdr:from>
    <xdr:to>
      <xdr:col>14</xdr:col>
      <xdr:colOff>619124</xdr:colOff>
      <xdr:row>74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2098A4-9721-51F8-11A2-3AC069631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1586</xdr:rowOff>
    </xdr:from>
    <xdr:to>
      <xdr:col>14</xdr:col>
      <xdr:colOff>609600</xdr:colOff>
      <xdr:row>38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9C229-3A44-3B1B-DE14-7E7E2FD42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17462</xdr:rowOff>
    </xdr:from>
    <xdr:to>
      <xdr:col>14</xdr:col>
      <xdr:colOff>619124</xdr:colOff>
      <xdr:row>43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21E1B5-F813-77EF-5A4B-38755A1C5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1587</xdr:rowOff>
    </xdr:from>
    <xdr:to>
      <xdr:col>14</xdr:col>
      <xdr:colOff>533400</xdr:colOff>
      <xdr:row>40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DDB730-F5EF-ED9B-9552-3280A761B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17462</xdr:rowOff>
    </xdr:from>
    <xdr:to>
      <xdr:col>14</xdr:col>
      <xdr:colOff>619124</xdr:colOff>
      <xdr:row>42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51815F-4B67-8025-1FB8-B99F05B20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150812</xdr:rowOff>
    </xdr:from>
    <xdr:to>
      <xdr:col>14</xdr:col>
      <xdr:colOff>561974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0AC63F-F6F8-FE2F-B6EC-3A2304D63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6D18F-87F7-4425-BA6F-59596CEAEAE4}">
  <dimension ref="A1:R477"/>
  <sheetViews>
    <sheetView topLeftCell="A443" workbookViewId="0">
      <selection activeCell="A486" sqref="A486"/>
    </sheetView>
  </sheetViews>
  <sheetFormatPr defaultRowHeight="15" x14ac:dyDescent="0.25"/>
  <cols>
    <col min="1" max="1" width="13.5703125" style="1" customWidth="1"/>
    <col min="2" max="2" width="22.42578125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2</v>
      </c>
      <c r="F2" s="1">
        <v>194</v>
      </c>
      <c r="G2" s="1">
        <v>194</v>
      </c>
      <c r="H2" s="1">
        <v>194</v>
      </c>
      <c r="I2" s="1">
        <v>217</v>
      </c>
      <c r="J2" s="1">
        <v>235</v>
      </c>
      <c r="K2" s="1">
        <v>228</v>
      </c>
      <c r="L2" s="1">
        <v>248</v>
      </c>
      <c r="M2" s="1">
        <v>229</v>
      </c>
      <c r="N2" s="1">
        <v>172</v>
      </c>
      <c r="O2" s="1">
        <v>113</v>
      </c>
      <c r="R2" t="s">
        <v>17</v>
      </c>
    </row>
    <row r="3" spans="1:18" x14ac:dyDescent="0.25">
      <c r="A3" s="1" t="s">
        <v>20</v>
      </c>
      <c r="B3" s="1" t="s">
        <v>14</v>
      </c>
      <c r="C3" s="1" t="s">
        <v>15</v>
      </c>
      <c r="D3" s="1" t="s">
        <v>16</v>
      </c>
      <c r="E3" s="1" t="s">
        <v>2</v>
      </c>
      <c r="F3" s="1">
        <v>194</v>
      </c>
      <c r="G3" s="1">
        <v>194</v>
      </c>
      <c r="H3" s="1">
        <v>194</v>
      </c>
      <c r="I3" s="1">
        <v>217</v>
      </c>
      <c r="J3" s="1">
        <v>235</v>
      </c>
      <c r="K3" s="1">
        <v>228</v>
      </c>
      <c r="L3" s="1">
        <v>396</v>
      </c>
      <c r="M3" s="1">
        <v>229</v>
      </c>
      <c r="N3" s="1">
        <v>172</v>
      </c>
      <c r="O3" s="1">
        <v>128</v>
      </c>
      <c r="R3" t="s">
        <v>18</v>
      </c>
    </row>
    <row r="4" spans="1:18" x14ac:dyDescent="0.25">
      <c r="A4" s="1" t="s">
        <v>20</v>
      </c>
      <c r="B4" s="1" t="s">
        <v>14</v>
      </c>
      <c r="C4" s="1" t="s">
        <v>15</v>
      </c>
      <c r="D4" s="1" t="s">
        <v>21</v>
      </c>
      <c r="E4" s="1" t="s">
        <v>2</v>
      </c>
      <c r="F4" s="1">
        <v>194</v>
      </c>
      <c r="G4" s="1">
        <v>194</v>
      </c>
      <c r="H4" s="1">
        <v>194</v>
      </c>
      <c r="I4" s="1">
        <v>217</v>
      </c>
      <c r="J4" s="1">
        <v>235</v>
      </c>
      <c r="K4" s="1">
        <v>228</v>
      </c>
      <c r="L4" s="1">
        <v>396</v>
      </c>
      <c r="M4" s="1">
        <v>229</v>
      </c>
      <c r="N4" s="1">
        <v>172</v>
      </c>
      <c r="O4" s="1">
        <v>128</v>
      </c>
      <c r="R4" t="s">
        <v>19</v>
      </c>
    </row>
    <row r="5" spans="1:18" x14ac:dyDescent="0.25">
      <c r="A5" s="1" t="s">
        <v>20</v>
      </c>
      <c r="B5" s="1" t="s">
        <v>14</v>
      </c>
      <c r="C5" s="1" t="s">
        <v>22</v>
      </c>
      <c r="D5" s="1" t="s">
        <v>16</v>
      </c>
      <c r="E5" s="1" t="s">
        <v>2</v>
      </c>
      <c r="F5" s="1">
        <v>194</v>
      </c>
      <c r="G5" s="1">
        <v>194</v>
      </c>
      <c r="H5" s="1">
        <v>194</v>
      </c>
      <c r="I5" s="1">
        <v>217</v>
      </c>
      <c r="J5" s="1">
        <v>235</v>
      </c>
      <c r="K5" s="1">
        <v>228</v>
      </c>
      <c r="L5" s="1">
        <v>248</v>
      </c>
      <c r="M5" s="1">
        <v>223</v>
      </c>
      <c r="N5" s="1">
        <v>160</v>
      </c>
      <c r="O5" s="1">
        <v>81</v>
      </c>
    </row>
    <row r="6" spans="1:18" x14ac:dyDescent="0.25">
      <c r="A6" s="1" t="s">
        <v>20</v>
      </c>
      <c r="B6" s="1" t="s">
        <v>14</v>
      </c>
      <c r="C6" s="1" t="s">
        <v>22</v>
      </c>
      <c r="D6" s="1" t="s">
        <v>21</v>
      </c>
      <c r="E6" s="1" t="s">
        <v>2</v>
      </c>
      <c r="F6" s="1">
        <v>194</v>
      </c>
      <c r="G6" s="1">
        <v>194</v>
      </c>
      <c r="H6" s="1">
        <v>194</v>
      </c>
      <c r="I6" s="1">
        <v>217</v>
      </c>
      <c r="J6" s="1">
        <v>235</v>
      </c>
      <c r="K6" s="1">
        <v>228</v>
      </c>
      <c r="L6" s="1">
        <v>248</v>
      </c>
      <c r="M6" s="1">
        <v>223</v>
      </c>
      <c r="N6" s="1">
        <v>160</v>
      </c>
      <c r="O6" s="1">
        <v>81</v>
      </c>
    </row>
    <row r="7" spans="1:18" x14ac:dyDescent="0.25">
      <c r="A7" s="1" t="s">
        <v>10</v>
      </c>
      <c r="B7" s="1" t="s">
        <v>14</v>
      </c>
      <c r="C7" s="1" t="s">
        <v>15</v>
      </c>
      <c r="D7" s="1" t="s">
        <v>21</v>
      </c>
      <c r="E7" s="1" t="s">
        <v>2</v>
      </c>
      <c r="F7" s="1">
        <v>194</v>
      </c>
      <c r="G7" s="1">
        <v>194</v>
      </c>
      <c r="H7" s="1">
        <v>194</v>
      </c>
      <c r="J7" s="1">
        <v>235</v>
      </c>
      <c r="K7" s="1">
        <v>228</v>
      </c>
      <c r="L7" s="1">
        <v>247</v>
      </c>
      <c r="M7" s="1">
        <v>48</v>
      </c>
      <c r="N7" s="1">
        <v>48</v>
      </c>
      <c r="O7" s="1">
        <v>48</v>
      </c>
    </row>
    <row r="8" spans="1:18" x14ac:dyDescent="0.25">
      <c r="A8" s="1" t="s">
        <v>10</v>
      </c>
      <c r="B8" s="1" t="s">
        <v>14</v>
      </c>
      <c r="C8" s="1" t="s">
        <v>22</v>
      </c>
      <c r="D8" s="1" t="s">
        <v>21</v>
      </c>
      <c r="E8" s="1" t="s">
        <v>2</v>
      </c>
      <c r="F8" s="1">
        <v>194</v>
      </c>
      <c r="G8" s="1">
        <v>194</v>
      </c>
      <c r="H8" s="1">
        <v>194</v>
      </c>
      <c r="J8" s="1">
        <v>235</v>
      </c>
      <c r="K8" s="1">
        <v>228</v>
      </c>
      <c r="L8" s="1">
        <v>247</v>
      </c>
      <c r="M8" s="1">
        <v>11</v>
      </c>
      <c r="N8" s="1">
        <v>11</v>
      </c>
      <c r="O8" s="1">
        <v>11</v>
      </c>
    </row>
    <row r="9" spans="1:18" x14ac:dyDescent="0.25">
      <c r="A9" s="1" t="s">
        <v>23</v>
      </c>
      <c r="B9" s="1" t="s">
        <v>14</v>
      </c>
      <c r="C9" s="1" t="s">
        <v>15</v>
      </c>
      <c r="D9" s="1" t="s">
        <v>16</v>
      </c>
      <c r="E9" s="1" t="s">
        <v>2</v>
      </c>
      <c r="F9" s="1">
        <v>194</v>
      </c>
      <c r="G9" s="1">
        <v>194</v>
      </c>
      <c r="H9" s="1">
        <v>194</v>
      </c>
      <c r="J9" s="1">
        <v>235</v>
      </c>
      <c r="K9" s="1">
        <v>228</v>
      </c>
      <c r="L9" s="1">
        <v>248</v>
      </c>
      <c r="M9" s="1">
        <v>229</v>
      </c>
      <c r="N9" s="1">
        <v>158</v>
      </c>
      <c r="O9" s="1">
        <v>88</v>
      </c>
    </row>
    <row r="10" spans="1:18" x14ac:dyDescent="0.25">
      <c r="A10" s="1" t="s">
        <v>24</v>
      </c>
      <c r="B10" s="1" t="s">
        <v>14</v>
      </c>
      <c r="C10" s="1" t="s">
        <v>15</v>
      </c>
      <c r="D10" s="1" t="s">
        <v>16</v>
      </c>
      <c r="E10" s="1" t="s">
        <v>2</v>
      </c>
      <c r="F10" s="1">
        <v>194</v>
      </c>
      <c r="G10" s="1">
        <v>194</v>
      </c>
      <c r="H10" s="1">
        <v>194</v>
      </c>
      <c r="I10" s="1">
        <v>217</v>
      </c>
      <c r="J10" s="1">
        <v>235</v>
      </c>
      <c r="K10" s="1">
        <v>228</v>
      </c>
      <c r="L10" s="1">
        <v>248</v>
      </c>
      <c r="M10" s="1">
        <v>229</v>
      </c>
      <c r="N10" s="1">
        <v>158</v>
      </c>
      <c r="O10" s="1">
        <v>88</v>
      </c>
    </row>
    <row r="11" spans="1:18" x14ac:dyDescent="0.25">
      <c r="A11" s="1" t="s">
        <v>24</v>
      </c>
      <c r="B11" s="1" t="s">
        <v>14</v>
      </c>
      <c r="C11" s="1" t="s">
        <v>22</v>
      </c>
      <c r="D11" s="1" t="s">
        <v>16</v>
      </c>
      <c r="E11" s="1" t="s">
        <v>2</v>
      </c>
      <c r="F11" s="1">
        <v>194</v>
      </c>
      <c r="G11" s="1">
        <v>194</v>
      </c>
      <c r="H11" s="1">
        <v>194</v>
      </c>
      <c r="I11" s="1">
        <v>217</v>
      </c>
      <c r="J11" s="1">
        <v>235</v>
      </c>
      <c r="K11" s="1">
        <v>228</v>
      </c>
      <c r="L11" s="1">
        <v>247</v>
      </c>
      <c r="M11" s="1">
        <v>223</v>
      </c>
      <c r="N11" s="1">
        <v>145</v>
      </c>
      <c r="O11" s="1">
        <v>66</v>
      </c>
    </row>
    <row r="12" spans="1:18" x14ac:dyDescent="0.25">
      <c r="A12" s="1" t="s">
        <v>25</v>
      </c>
      <c r="B12" s="1" t="s">
        <v>14</v>
      </c>
      <c r="C12" s="1" t="s">
        <v>22</v>
      </c>
      <c r="D12" s="1" t="s">
        <v>16</v>
      </c>
      <c r="E12" s="1" t="s">
        <v>2</v>
      </c>
      <c r="F12" s="1">
        <v>194</v>
      </c>
      <c r="G12" s="1">
        <v>194</v>
      </c>
      <c r="H12" s="1">
        <v>194</v>
      </c>
      <c r="J12" s="1">
        <v>235</v>
      </c>
      <c r="K12" s="1">
        <v>228</v>
      </c>
      <c r="L12" s="1">
        <v>247</v>
      </c>
      <c r="M12" s="1">
        <v>190</v>
      </c>
      <c r="N12" s="1">
        <v>112</v>
      </c>
      <c r="O12" s="1">
        <v>58</v>
      </c>
    </row>
    <row r="13" spans="1:18" x14ac:dyDescent="0.25">
      <c r="A13" s="1" t="s">
        <v>26</v>
      </c>
      <c r="B13" s="1" t="s">
        <v>28</v>
      </c>
      <c r="D13" s="1" t="s">
        <v>16</v>
      </c>
      <c r="E13" s="1" t="s">
        <v>2</v>
      </c>
      <c r="F13" s="1">
        <v>110.87</v>
      </c>
      <c r="G13" s="1">
        <v>108.2</v>
      </c>
      <c r="H13" s="1">
        <v>108.2</v>
      </c>
      <c r="I13" s="1">
        <v>91.2</v>
      </c>
      <c r="J13" s="1">
        <v>86.33</v>
      </c>
      <c r="K13" s="1">
        <v>86.33</v>
      </c>
      <c r="L13" s="1">
        <v>81.45</v>
      </c>
      <c r="M13" s="1">
        <v>66.08</v>
      </c>
      <c r="N13" s="3">
        <v>67.680000000000007</v>
      </c>
      <c r="O13" s="1">
        <v>60.16</v>
      </c>
    </row>
    <row r="14" spans="1:18" x14ac:dyDescent="0.25">
      <c r="A14" s="1" t="s">
        <v>27</v>
      </c>
      <c r="B14" s="1" t="s">
        <v>28</v>
      </c>
      <c r="D14" s="1" t="s">
        <v>16</v>
      </c>
      <c r="E14" s="1" t="s">
        <v>2</v>
      </c>
      <c r="F14" s="1">
        <v>110.87</v>
      </c>
      <c r="G14" s="1">
        <v>108.2</v>
      </c>
      <c r="H14" s="1">
        <v>108.2</v>
      </c>
      <c r="I14" s="1">
        <v>91.2</v>
      </c>
      <c r="J14" s="1">
        <v>86.33</v>
      </c>
      <c r="K14" s="1">
        <v>86.33</v>
      </c>
      <c r="L14" s="1">
        <v>81.45</v>
      </c>
      <c r="M14" s="1">
        <v>81.05</v>
      </c>
      <c r="N14" s="3">
        <v>86.42</v>
      </c>
      <c r="O14" s="1">
        <v>81.05</v>
      </c>
    </row>
    <row r="15" spans="1:18" x14ac:dyDescent="0.25">
      <c r="A15" s="1" t="s">
        <v>26</v>
      </c>
      <c r="B15" s="1" t="s">
        <v>29</v>
      </c>
      <c r="C15" s="1" t="s">
        <v>31</v>
      </c>
      <c r="D15" s="1" t="s">
        <v>16</v>
      </c>
      <c r="E15" s="1" t="s">
        <v>2</v>
      </c>
      <c r="F15" s="1">
        <v>77.53</v>
      </c>
      <c r="G15" s="1">
        <v>77.53</v>
      </c>
      <c r="H15" s="1">
        <v>77.53</v>
      </c>
      <c r="I15" s="1">
        <v>74.930000000000007</v>
      </c>
      <c r="J15" s="1">
        <v>73.8</v>
      </c>
      <c r="K15" s="1">
        <v>73.8</v>
      </c>
      <c r="L15" s="1">
        <v>71</v>
      </c>
      <c r="M15" s="1">
        <v>62.84</v>
      </c>
      <c r="N15" s="1">
        <v>55.02</v>
      </c>
      <c r="O15" s="1">
        <v>48.53</v>
      </c>
    </row>
    <row r="16" spans="1:18" x14ac:dyDescent="0.25">
      <c r="A16" s="1" t="s">
        <v>26</v>
      </c>
      <c r="B16" s="1" t="s">
        <v>29</v>
      </c>
      <c r="C16" s="1" t="s">
        <v>32</v>
      </c>
      <c r="D16" s="1" t="s">
        <v>16</v>
      </c>
      <c r="E16" s="1" t="s">
        <v>2</v>
      </c>
      <c r="F16" s="1">
        <v>74.67</v>
      </c>
      <c r="G16" s="1">
        <v>76.599999999999994</v>
      </c>
      <c r="H16" s="1">
        <v>76.599999999999994</v>
      </c>
      <c r="I16" s="1">
        <v>72.400000000000006</v>
      </c>
      <c r="J16" s="1">
        <v>72.400000000000006</v>
      </c>
      <c r="K16" s="1">
        <v>72.400000000000006</v>
      </c>
      <c r="L16" s="1">
        <v>68.069999999999993</v>
      </c>
      <c r="M16" s="1">
        <v>47.83</v>
      </c>
      <c r="N16" s="1">
        <v>34.93</v>
      </c>
      <c r="O16" s="1">
        <v>24.03</v>
      </c>
    </row>
    <row r="17" spans="1:15" x14ac:dyDescent="0.25">
      <c r="A17" s="1" t="s">
        <v>26</v>
      </c>
      <c r="B17" s="1" t="s">
        <v>29</v>
      </c>
      <c r="C17" s="1" t="s">
        <v>32</v>
      </c>
      <c r="D17" s="1" t="s">
        <v>21</v>
      </c>
      <c r="E17" s="1" t="s">
        <v>2</v>
      </c>
      <c r="F17" s="1">
        <v>74.67</v>
      </c>
      <c r="G17" s="1">
        <v>76.569999999999993</v>
      </c>
      <c r="H17" s="1">
        <v>76.569999999999993</v>
      </c>
      <c r="I17" s="1">
        <v>72.37</v>
      </c>
      <c r="J17" s="1">
        <v>72.37</v>
      </c>
      <c r="K17" s="1">
        <v>72.37</v>
      </c>
      <c r="L17" s="1">
        <v>68.069999999999993</v>
      </c>
      <c r="M17" s="1">
        <v>47.83</v>
      </c>
      <c r="N17" s="1">
        <v>34.93</v>
      </c>
      <c r="O17" s="1">
        <v>24.03</v>
      </c>
    </row>
    <row r="18" spans="1:15" x14ac:dyDescent="0.25">
      <c r="A18" s="1" t="s">
        <v>20</v>
      </c>
      <c r="B18" s="1" t="s">
        <v>29</v>
      </c>
      <c r="C18" s="1" t="s">
        <v>32</v>
      </c>
      <c r="D18" s="1" t="s">
        <v>16</v>
      </c>
      <c r="E18" s="1" t="s">
        <v>2</v>
      </c>
      <c r="F18" s="1">
        <v>74.67</v>
      </c>
      <c r="G18" s="1">
        <v>76.599999999999994</v>
      </c>
      <c r="H18" s="1">
        <v>76.599999999999994</v>
      </c>
      <c r="I18" s="1">
        <v>72.400000000000006</v>
      </c>
      <c r="J18" s="1">
        <v>72.400000000000006</v>
      </c>
      <c r="K18" s="1">
        <v>72.400000000000006</v>
      </c>
      <c r="L18" s="1">
        <v>68.069999999999993</v>
      </c>
      <c r="M18" s="1">
        <v>47.83</v>
      </c>
      <c r="N18" s="1">
        <v>34.93</v>
      </c>
      <c r="O18" s="1">
        <v>17.760000000000002</v>
      </c>
    </row>
    <row r="19" spans="1:15" x14ac:dyDescent="0.25">
      <c r="A19" s="1" t="s">
        <v>20</v>
      </c>
      <c r="B19" s="1" t="s">
        <v>29</v>
      </c>
      <c r="C19" s="1" t="s">
        <v>32</v>
      </c>
      <c r="D19" s="1" t="s">
        <v>21</v>
      </c>
      <c r="E19" s="1" t="s">
        <v>2</v>
      </c>
      <c r="F19" s="1">
        <v>74.67</v>
      </c>
      <c r="G19" s="1">
        <v>76.569999999999993</v>
      </c>
      <c r="J19" s="1">
        <v>72.37</v>
      </c>
      <c r="K19" s="1">
        <v>72.37</v>
      </c>
      <c r="L19" s="1">
        <v>68.069999999999993</v>
      </c>
      <c r="M19" s="1">
        <v>47.83</v>
      </c>
      <c r="N19" s="1">
        <v>34.93</v>
      </c>
      <c r="O19" s="1">
        <v>17.760000000000002</v>
      </c>
    </row>
    <row r="20" spans="1:15" x14ac:dyDescent="0.25">
      <c r="A20" s="1" t="s">
        <v>27</v>
      </c>
      <c r="B20" s="1" t="s">
        <v>29</v>
      </c>
      <c r="C20" s="1" t="s">
        <v>31</v>
      </c>
      <c r="D20" s="1" t="s">
        <v>16</v>
      </c>
      <c r="E20" s="1" t="s">
        <v>2</v>
      </c>
      <c r="F20" s="1">
        <v>77.53</v>
      </c>
      <c r="G20" s="1">
        <v>77.53</v>
      </c>
      <c r="H20" s="1">
        <v>77.53</v>
      </c>
      <c r="I20" s="1">
        <v>74.930000000000007</v>
      </c>
      <c r="J20" s="1">
        <v>73.8</v>
      </c>
      <c r="K20" s="1">
        <v>73.8</v>
      </c>
      <c r="L20" s="1">
        <v>71</v>
      </c>
      <c r="M20" s="1">
        <v>66.92</v>
      </c>
      <c r="N20" s="1">
        <v>63.17</v>
      </c>
      <c r="O20" s="1">
        <v>63.17</v>
      </c>
    </row>
    <row r="21" spans="1:15" x14ac:dyDescent="0.25">
      <c r="A21" s="1" t="s">
        <v>30</v>
      </c>
      <c r="B21" s="1" t="s">
        <v>29</v>
      </c>
      <c r="C21" s="1" t="s">
        <v>31</v>
      </c>
      <c r="D21" s="1" t="s">
        <v>16</v>
      </c>
      <c r="E21" s="1" t="s">
        <v>2</v>
      </c>
      <c r="F21" s="1">
        <v>77.53</v>
      </c>
      <c r="G21" s="1">
        <v>77.53</v>
      </c>
      <c r="H21" s="1">
        <v>77.53</v>
      </c>
      <c r="I21" s="1">
        <v>74.930000000000007</v>
      </c>
      <c r="J21" s="1">
        <v>73.8</v>
      </c>
      <c r="K21" s="1">
        <v>73.8</v>
      </c>
      <c r="L21" s="1">
        <v>71</v>
      </c>
      <c r="M21" s="1">
        <v>52.68</v>
      </c>
      <c r="N21" s="1">
        <v>34.700000000000003</v>
      </c>
      <c r="O21" s="1">
        <v>26.13</v>
      </c>
    </row>
    <row r="22" spans="1:15" x14ac:dyDescent="0.25">
      <c r="A22" s="1" t="s">
        <v>20</v>
      </c>
      <c r="B22" s="1" t="s">
        <v>34</v>
      </c>
      <c r="C22" s="1" t="s">
        <v>15</v>
      </c>
      <c r="D22" s="1" t="s">
        <v>16</v>
      </c>
      <c r="E22" s="1" t="s">
        <v>2</v>
      </c>
      <c r="F22" s="1">
        <v>4667</v>
      </c>
      <c r="G22" s="1">
        <v>4800</v>
      </c>
      <c r="K22" s="1">
        <v>4291</v>
      </c>
      <c r="L22" s="1">
        <v>4041</v>
      </c>
      <c r="M22" s="1">
        <v>3897</v>
      </c>
      <c r="N22" s="1">
        <v>3656</v>
      </c>
      <c r="O22" s="1">
        <v>2691</v>
      </c>
    </row>
    <row r="23" spans="1:15" x14ac:dyDescent="0.25">
      <c r="A23" s="1" t="s">
        <v>33</v>
      </c>
      <c r="B23" s="1" t="s">
        <v>34</v>
      </c>
      <c r="C23" s="1" t="s">
        <v>15</v>
      </c>
      <c r="D23" s="1" t="s">
        <v>16</v>
      </c>
      <c r="E23" s="1" t="s">
        <v>2</v>
      </c>
      <c r="F23" s="1">
        <v>4667</v>
      </c>
      <c r="G23" s="1">
        <v>4800</v>
      </c>
      <c r="K23" s="1">
        <v>4291</v>
      </c>
      <c r="L23" s="1">
        <v>4041</v>
      </c>
      <c r="M23" s="1">
        <v>3897</v>
      </c>
      <c r="N23" s="1">
        <v>3656</v>
      </c>
      <c r="O23" s="1">
        <v>2691</v>
      </c>
    </row>
    <row r="24" spans="1:15" x14ac:dyDescent="0.25">
      <c r="A24" s="1" t="s">
        <v>25</v>
      </c>
      <c r="B24" s="1" t="s">
        <v>34</v>
      </c>
      <c r="C24" s="1" t="s">
        <v>15</v>
      </c>
      <c r="D24" s="1" t="s">
        <v>16</v>
      </c>
      <c r="E24" s="1" t="s">
        <v>2</v>
      </c>
      <c r="M24" s="1">
        <v>884</v>
      </c>
      <c r="N24" s="1">
        <v>884</v>
      </c>
      <c r="O24" s="1">
        <v>884</v>
      </c>
    </row>
    <row r="25" spans="1:15" x14ac:dyDescent="0.25">
      <c r="A25" s="1" t="s">
        <v>26</v>
      </c>
      <c r="B25" s="1" t="s">
        <v>66</v>
      </c>
      <c r="C25" s="1" t="s">
        <v>35</v>
      </c>
      <c r="D25" s="1" t="s">
        <v>16</v>
      </c>
      <c r="E25" s="1" t="s">
        <v>2</v>
      </c>
      <c r="F25" s="1">
        <v>2.72</v>
      </c>
      <c r="G25" s="1">
        <v>2.65</v>
      </c>
      <c r="H25" s="1">
        <v>2.8</v>
      </c>
      <c r="I25" s="1">
        <v>2.8</v>
      </c>
      <c r="J25" s="1">
        <v>2.8</v>
      </c>
      <c r="K25" s="1">
        <v>2.8</v>
      </c>
      <c r="L25" s="1">
        <v>2.65</v>
      </c>
      <c r="M25" s="1">
        <v>2.4500000000000002</v>
      </c>
      <c r="N25" s="1">
        <v>2.4700000000000002</v>
      </c>
      <c r="O25" s="1">
        <v>2.06</v>
      </c>
    </row>
    <row r="26" spans="1:15" x14ac:dyDescent="0.25">
      <c r="A26" s="1" t="s">
        <v>26</v>
      </c>
      <c r="B26" s="1" t="s">
        <v>66</v>
      </c>
      <c r="C26" s="1" t="s">
        <v>35</v>
      </c>
      <c r="D26" s="1" t="s">
        <v>21</v>
      </c>
      <c r="E26" s="1" t="s">
        <v>2</v>
      </c>
      <c r="F26" s="1">
        <v>2.72</v>
      </c>
      <c r="G26" s="1">
        <v>2.65</v>
      </c>
      <c r="H26" s="1">
        <v>2.8</v>
      </c>
      <c r="I26" s="1">
        <v>2.8</v>
      </c>
      <c r="J26" s="1">
        <v>2.8</v>
      </c>
      <c r="K26" s="1">
        <v>2.8</v>
      </c>
      <c r="L26" s="1">
        <v>2.8</v>
      </c>
      <c r="M26" s="1">
        <v>2.65</v>
      </c>
      <c r="N26" s="1">
        <v>2.4700000000000002</v>
      </c>
      <c r="O26" s="1">
        <v>2.06</v>
      </c>
    </row>
    <row r="27" spans="1:15" x14ac:dyDescent="0.25">
      <c r="A27" s="1" t="s">
        <v>26</v>
      </c>
      <c r="B27" s="1" t="s">
        <v>66</v>
      </c>
      <c r="C27" s="1" t="s">
        <v>36</v>
      </c>
      <c r="D27" s="1" t="s">
        <v>16</v>
      </c>
      <c r="E27" s="1" t="s">
        <v>2</v>
      </c>
      <c r="F27" s="1">
        <v>2.72</v>
      </c>
      <c r="G27" s="1">
        <v>2.65</v>
      </c>
      <c r="H27" s="1">
        <v>2.8</v>
      </c>
      <c r="I27" s="1">
        <v>2.8</v>
      </c>
      <c r="J27" s="1">
        <v>2.8</v>
      </c>
      <c r="K27" s="1">
        <v>2.8</v>
      </c>
      <c r="L27" s="1">
        <v>2.65</v>
      </c>
      <c r="M27" s="1">
        <v>2.4500000000000002</v>
      </c>
      <c r="N27" s="1">
        <v>2.4700000000000002</v>
      </c>
      <c r="O27" s="1">
        <v>2.06</v>
      </c>
    </row>
    <row r="28" spans="1:15" x14ac:dyDescent="0.25">
      <c r="A28" s="1" t="s">
        <v>26</v>
      </c>
      <c r="B28" s="1" t="s">
        <v>66</v>
      </c>
      <c r="C28" s="1" t="s">
        <v>36</v>
      </c>
      <c r="D28" s="1" t="s">
        <v>21</v>
      </c>
      <c r="E28" s="1" t="s">
        <v>2</v>
      </c>
      <c r="F28" s="1">
        <v>2.72</v>
      </c>
      <c r="G28" s="1">
        <v>2.65</v>
      </c>
      <c r="H28" s="1">
        <v>2.8</v>
      </c>
      <c r="I28" s="1">
        <v>2.8</v>
      </c>
      <c r="J28" s="1">
        <v>2.8</v>
      </c>
      <c r="K28" s="1">
        <v>2.8</v>
      </c>
      <c r="L28" s="1">
        <v>2.65</v>
      </c>
      <c r="M28" s="1">
        <v>2.4500000000000002</v>
      </c>
      <c r="N28" s="1">
        <v>2.4700000000000002</v>
      </c>
      <c r="O28" s="1">
        <v>2.06</v>
      </c>
    </row>
    <row r="29" spans="1:15" x14ac:dyDescent="0.25">
      <c r="A29" s="1" t="s">
        <v>26</v>
      </c>
      <c r="B29" s="1" t="s">
        <v>66</v>
      </c>
      <c r="C29" s="1" t="s">
        <v>37</v>
      </c>
      <c r="D29" s="1" t="s">
        <v>21</v>
      </c>
      <c r="E29" s="1" t="s">
        <v>2</v>
      </c>
      <c r="F29" s="1">
        <v>2.72</v>
      </c>
      <c r="G29" s="1">
        <v>2.65</v>
      </c>
      <c r="H29" s="1">
        <v>2.8</v>
      </c>
      <c r="I29" s="1">
        <v>2.8</v>
      </c>
      <c r="J29" s="1">
        <v>2.8</v>
      </c>
      <c r="K29" s="1">
        <v>2.8</v>
      </c>
      <c r="L29" s="1">
        <v>2.6</v>
      </c>
      <c r="M29" s="1">
        <v>2.2000000000000002</v>
      </c>
      <c r="N29" s="1">
        <v>2.19</v>
      </c>
      <c r="O29" s="1">
        <v>2.0499999999999998</v>
      </c>
    </row>
    <row r="30" spans="1:15" x14ac:dyDescent="0.25">
      <c r="A30" s="1" t="s">
        <v>26</v>
      </c>
      <c r="B30" s="1" t="s">
        <v>66</v>
      </c>
      <c r="C30" s="1" t="s">
        <v>38</v>
      </c>
      <c r="D30" s="1" t="s">
        <v>21</v>
      </c>
      <c r="E30" s="1" t="s">
        <v>2</v>
      </c>
      <c r="F30" s="1">
        <v>2.72</v>
      </c>
      <c r="G30" s="1">
        <v>2.65</v>
      </c>
      <c r="H30" s="1">
        <v>2.65</v>
      </c>
      <c r="J30" s="1">
        <v>2.8</v>
      </c>
      <c r="K30" s="1">
        <v>2.8</v>
      </c>
      <c r="L30" s="1">
        <v>2.6</v>
      </c>
      <c r="M30" s="1">
        <v>2.2000000000000002</v>
      </c>
      <c r="N30" s="1">
        <v>2.19</v>
      </c>
      <c r="O30" s="1">
        <v>2.0499999999999998</v>
      </c>
    </row>
    <row r="31" spans="1:15" x14ac:dyDescent="0.25">
      <c r="A31" s="1" t="s">
        <v>26</v>
      </c>
      <c r="B31" s="1" t="s">
        <v>66</v>
      </c>
      <c r="C31" s="1" t="s">
        <v>39</v>
      </c>
      <c r="D31" s="1" t="s">
        <v>21</v>
      </c>
      <c r="E31" s="1" t="s">
        <v>2</v>
      </c>
      <c r="F31" s="1">
        <v>2.72</v>
      </c>
      <c r="G31" s="1">
        <v>2.65</v>
      </c>
      <c r="H31" s="1">
        <v>2.8</v>
      </c>
      <c r="I31" s="1">
        <v>2.8</v>
      </c>
      <c r="J31" s="1">
        <v>2.8</v>
      </c>
      <c r="K31" s="1">
        <v>2.8</v>
      </c>
      <c r="L31" s="1">
        <v>2.6</v>
      </c>
      <c r="M31" s="1">
        <v>2.2000000000000002</v>
      </c>
      <c r="N31" s="1">
        <v>2.19</v>
      </c>
      <c r="O31" s="1">
        <v>2.19</v>
      </c>
    </row>
    <row r="32" spans="1:15" x14ac:dyDescent="0.25">
      <c r="A32" s="1" t="s">
        <v>26</v>
      </c>
      <c r="B32" s="1" t="s">
        <v>66</v>
      </c>
      <c r="C32" s="1" t="s">
        <v>40</v>
      </c>
      <c r="D32" s="1" t="s">
        <v>21</v>
      </c>
      <c r="E32" s="1" t="s">
        <v>2</v>
      </c>
      <c r="F32" s="1">
        <v>2.72</v>
      </c>
      <c r="G32" s="1">
        <v>2.65</v>
      </c>
      <c r="H32" s="1">
        <v>2.65</v>
      </c>
      <c r="J32" s="1">
        <v>2.8</v>
      </c>
      <c r="K32" s="1">
        <v>2.8</v>
      </c>
      <c r="L32" s="1">
        <v>2.65</v>
      </c>
      <c r="M32" s="1">
        <v>2.4500000000000002</v>
      </c>
      <c r="N32" s="1">
        <v>2.4700000000000002</v>
      </c>
      <c r="O32" s="1">
        <v>2.06</v>
      </c>
    </row>
    <row r="33" spans="1:15" x14ac:dyDescent="0.25">
      <c r="A33" s="1" t="s">
        <v>26</v>
      </c>
      <c r="B33" s="1" t="s">
        <v>66</v>
      </c>
      <c r="C33" s="1" t="s">
        <v>41</v>
      </c>
      <c r="D33" s="1" t="s">
        <v>21</v>
      </c>
      <c r="E33" s="1" t="s">
        <v>2</v>
      </c>
      <c r="F33" s="1">
        <v>2.72</v>
      </c>
      <c r="G33" s="1">
        <v>2.65</v>
      </c>
      <c r="H33" s="1">
        <v>2.65</v>
      </c>
      <c r="J33" s="1">
        <v>2.8</v>
      </c>
      <c r="K33" s="1">
        <v>2.8</v>
      </c>
      <c r="L33" s="1">
        <v>2.65</v>
      </c>
      <c r="M33" s="1">
        <v>2.4500000000000002</v>
      </c>
      <c r="N33" s="1">
        <v>2.4700000000000002</v>
      </c>
      <c r="O33" s="1">
        <v>2.06</v>
      </c>
    </row>
    <row r="34" spans="1:15" x14ac:dyDescent="0.25">
      <c r="A34" s="1" t="s">
        <v>26</v>
      </c>
      <c r="B34" s="1" t="s">
        <v>66</v>
      </c>
      <c r="C34" s="1" t="s">
        <v>42</v>
      </c>
      <c r="D34" s="1" t="s">
        <v>16</v>
      </c>
      <c r="E34" s="1" t="s">
        <v>2</v>
      </c>
      <c r="F34" s="1">
        <v>2.72</v>
      </c>
      <c r="G34" s="1">
        <v>2.65</v>
      </c>
      <c r="H34" s="1">
        <v>2.8</v>
      </c>
      <c r="I34" s="1">
        <v>2.8</v>
      </c>
      <c r="J34" s="1">
        <v>2.8</v>
      </c>
      <c r="K34" s="1">
        <v>2.8</v>
      </c>
      <c r="L34" s="1">
        <v>2.65</v>
      </c>
      <c r="M34" s="1">
        <v>2.4500000000000002</v>
      </c>
      <c r="N34" s="1">
        <v>2.4700000000000002</v>
      </c>
      <c r="O34" s="1">
        <v>2.06</v>
      </c>
    </row>
    <row r="35" spans="1:15" x14ac:dyDescent="0.25">
      <c r="A35" s="1" t="s">
        <v>26</v>
      </c>
      <c r="B35" s="1" t="s">
        <v>66</v>
      </c>
      <c r="C35" s="1" t="s">
        <v>42</v>
      </c>
      <c r="D35" s="1" t="s">
        <v>21</v>
      </c>
      <c r="E35" s="1" t="s">
        <v>2</v>
      </c>
      <c r="F35" s="1">
        <v>2.72</v>
      </c>
      <c r="G35" s="1">
        <v>2.65</v>
      </c>
      <c r="H35" s="1">
        <v>2.65</v>
      </c>
      <c r="J35" s="1">
        <v>2.8</v>
      </c>
      <c r="K35" s="1">
        <v>2.8</v>
      </c>
      <c r="L35" s="1">
        <v>2.65</v>
      </c>
      <c r="M35" s="1">
        <v>2.4500000000000002</v>
      </c>
      <c r="N35" s="1">
        <v>2.4700000000000002</v>
      </c>
      <c r="O35" s="1">
        <v>2.06</v>
      </c>
    </row>
    <row r="36" spans="1:15" x14ac:dyDescent="0.25">
      <c r="A36" s="1" t="s">
        <v>26</v>
      </c>
      <c r="B36" s="1" t="s">
        <v>66</v>
      </c>
      <c r="C36" s="1" t="s">
        <v>43</v>
      </c>
      <c r="D36" s="1" t="s">
        <v>21</v>
      </c>
      <c r="E36" s="1" t="s">
        <v>2</v>
      </c>
      <c r="F36" s="1">
        <v>2.72</v>
      </c>
      <c r="G36" s="1">
        <v>2.65</v>
      </c>
      <c r="H36" s="1">
        <v>2.65</v>
      </c>
      <c r="J36" s="1">
        <v>2.8</v>
      </c>
      <c r="K36" s="1">
        <v>2.8</v>
      </c>
      <c r="L36" s="1">
        <v>2.65</v>
      </c>
      <c r="M36" s="1">
        <v>2.4500000000000002</v>
      </c>
      <c r="N36" s="1">
        <v>2.4700000000000002</v>
      </c>
      <c r="O36" s="1">
        <v>2.06</v>
      </c>
    </row>
    <row r="37" spans="1:15" x14ac:dyDescent="0.25">
      <c r="A37" s="1" t="s">
        <v>26</v>
      </c>
      <c r="B37" s="1" t="s">
        <v>66</v>
      </c>
      <c r="C37" s="1" t="s">
        <v>44</v>
      </c>
      <c r="D37" s="1" t="s">
        <v>21</v>
      </c>
      <c r="E37" s="1" t="s">
        <v>2</v>
      </c>
      <c r="F37" s="1">
        <v>2.72</v>
      </c>
      <c r="G37" s="1">
        <v>2.65</v>
      </c>
      <c r="H37" s="1">
        <v>2.8</v>
      </c>
      <c r="I37" s="1">
        <v>2.8</v>
      </c>
      <c r="J37" s="1">
        <v>2.8</v>
      </c>
      <c r="K37" s="1">
        <v>2.8</v>
      </c>
      <c r="L37" s="1">
        <v>2.65</v>
      </c>
      <c r="M37" s="1">
        <v>2.4500000000000002</v>
      </c>
      <c r="N37" s="1">
        <v>2.4700000000000002</v>
      </c>
      <c r="O37" s="1">
        <v>2.06</v>
      </c>
    </row>
    <row r="38" spans="1:15" x14ac:dyDescent="0.25">
      <c r="A38" s="1" t="s">
        <v>26</v>
      </c>
      <c r="B38" s="1" t="s">
        <v>66</v>
      </c>
      <c r="C38" s="1" t="s">
        <v>45</v>
      </c>
      <c r="D38" s="1" t="s">
        <v>21</v>
      </c>
      <c r="E38" s="1" t="s">
        <v>2</v>
      </c>
      <c r="F38" s="1">
        <v>2.72</v>
      </c>
      <c r="G38" s="1">
        <v>2.65</v>
      </c>
      <c r="H38" s="1">
        <v>2.65</v>
      </c>
      <c r="J38" s="1">
        <v>2.8</v>
      </c>
      <c r="K38" s="1">
        <v>2.8</v>
      </c>
      <c r="L38" s="1">
        <v>2.65</v>
      </c>
      <c r="M38" s="1">
        <v>2.4500000000000002</v>
      </c>
      <c r="N38" s="1">
        <v>2.4700000000000002</v>
      </c>
      <c r="O38" s="1">
        <v>2.06</v>
      </c>
    </row>
    <row r="39" spans="1:15" x14ac:dyDescent="0.25">
      <c r="A39" s="1" t="s">
        <v>26</v>
      </c>
      <c r="B39" s="1" t="s">
        <v>66</v>
      </c>
      <c r="C39" s="1" t="s">
        <v>46</v>
      </c>
      <c r="D39" s="1" t="s">
        <v>21</v>
      </c>
      <c r="E39" s="1" t="s">
        <v>2</v>
      </c>
      <c r="F39" s="1">
        <v>2.72</v>
      </c>
      <c r="G39" s="1">
        <v>2.65</v>
      </c>
      <c r="H39" s="1">
        <v>2.65</v>
      </c>
      <c r="J39" s="1">
        <v>2.8</v>
      </c>
      <c r="K39" s="1">
        <v>2.8</v>
      </c>
      <c r="L39" s="1">
        <v>2.65</v>
      </c>
      <c r="M39" s="1">
        <v>2.4500000000000002</v>
      </c>
      <c r="N39" s="1">
        <v>2.4700000000000002</v>
      </c>
      <c r="O39" s="1">
        <v>2.06</v>
      </c>
    </row>
    <row r="40" spans="1:15" x14ac:dyDescent="0.25">
      <c r="A40" s="1" t="s">
        <v>26</v>
      </c>
      <c r="B40" s="1" t="s">
        <v>66</v>
      </c>
      <c r="C40" s="1" t="s">
        <v>47</v>
      </c>
      <c r="D40" s="1" t="s">
        <v>21</v>
      </c>
      <c r="E40" s="1" t="s">
        <v>2</v>
      </c>
      <c r="F40" s="1">
        <v>2.72</v>
      </c>
      <c r="G40" s="1">
        <v>2.65</v>
      </c>
      <c r="H40" s="1">
        <v>2.65</v>
      </c>
      <c r="J40" s="1">
        <v>2.8</v>
      </c>
      <c r="K40" s="1">
        <v>2.8</v>
      </c>
      <c r="L40" s="1">
        <v>2.65</v>
      </c>
      <c r="M40" s="1">
        <v>2.4500000000000002</v>
      </c>
      <c r="N40" s="1">
        <v>2.4700000000000002</v>
      </c>
      <c r="O40" s="1">
        <v>2.06</v>
      </c>
    </row>
    <row r="41" spans="1:15" x14ac:dyDescent="0.25">
      <c r="A41" s="1" t="s">
        <v>26</v>
      </c>
      <c r="B41" s="1" t="s">
        <v>66</v>
      </c>
      <c r="C41" s="1" t="s">
        <v>48</v>
      </c>
      <c r="D41" s="1" t="s">
        <v>16</v>
      </c>
      <c r="E41" s="1" t="s">
        <v>2</v>
      </c>
      <c r="F41" s="1">
        <v>2.72</v>
      </c>
      <c r="G41" s="1">
        <v>2.65</v>
      </c>
      <c r="H41" s="1">
        <v>2.8</v>
      </c>
      <c r="I41" s="1">
        <v>2.8</v>
      </c>
      <c r="J41" s="1">
        <v>2.8</v>
      </c>
      <c r="K41" s="1">
        <v>2.8</v>
      </c>
      <c r="L41" s="1">
        <v>2.65</v>
      </c>
      <c r="M41" s="1">
        <v>2.4500000000000002</v>
      </c>
      <c r="N41" s="1">
        <v>2.4700000000000002</v>
      </c>
      <c r="O41" s="1">
        <v>2.06</v>
      </c>
    </row>
    <row r="42" spans="1:15" x14ac:dyDescent="0.25">
      <c r="A42" s="1" t="s">
        <v>26</v>
      </c>
      <c r="B42" s="1" t="s">
        <v>66</v>
      </c>
      <c r="C42" s="1" t="s">
        <v>48</v>
      </c>
      <c r="D42" s="1" t="s">
        <v>21</v>
      </c>
      <c r="E42" s="1" t="s">
        <v>2</v>
      </c>
      <c r="F42" s="1">
        <v>2.72</v>
      </c>
      <c r="G42" s="1">
        <v>2.65</v>
      </c>
      <c r="H42" s="1">
        <v>2.8</v>
      </c>
      <c r="I42" s="1">
        <v>2.8</v>
      </c>
      <c r="J42" s="1">
        <v>2.8</v>
      </c>
      <c r="K42" s="1">
        <v>2.8</v>
      </c>
      <c r="L42" s="1">
        <v>2.65</v>
      </c>
      <c r="M42" s="1">
        <v>2.4500000000000002</v>
      </c>
      <c r="N42" s="1">
        <v>2.4700000000000002</v>
      </c>
      <c r="O42" s="1">
        <v>2.06</v>
      </c>
    </row>
    <row r="43" spans="1:15" x14ac:dyDescent="0.25">
      <c r="A43" s="1" t="s">
        <v>26</v>
      </c>
      <c r="B43" s="1" t="s">
        <v>66</v>
      </c>
      <c r="C43" s="1" t="s">
        <v>49</v>
      </c>
      <c r="D43" s="1" t="s">
        <v>21</v>
      </c>
      <c r="E43" s="1" t="s">
        <v>2</v>
      </c>
      <c r="F43" s="1">
        <v>2.72</v>
      </c>
      <c r="G43" s="1">
        <v>2.65</v>
      </c>
      <c r="H43" s="1">
        <v>2.65</v>
      </c>
      <c r="J43" s="1">
        <v>2.8</v>
      </c>
      <c r="K43" s="1">
        <v>2.8</v>
      </c>
      <c r="L43" s="1">
        <v>2.65</v>
      </c>
      <c r="M43" s="1">
        <v>2.4500000000000002</v>
      </c>
      <c r="N43" s="1">
        <v>2.4700000000000002</v>
      </c>
      <c r="O43" s="1">
        <v>2.06</v>
      </c>
    </row>
    <row r="44" spans="1:15" x14ac:dyDescent="0.25">
      <c r="A44" s="1" t="s">
        <v>26</v>
      </c>
      <c r="B44" s="1" t="s">
        <v>66</v>
      </c>
      <c r="C44" s="1" t="s">
        <v>50</v>
      </c>
      <c r="D44" s="1" t="s">
        <v>21</v>
      </c>
      <c r="E44" s="1" t="s">
        <v>2</v>
      </c>
      <c r="F44" s="1">
        <v>2.72</v>
      </c>
      <c r="G44" s="1">
        <v>2.65</v>
      </c>
      <c r="H44" s="1">
        <v>2.65</v>
      </c>
      <c r="J44" s="1">
        <v>2.8</v>
      </c>
      <c r="K44" s="1">
        <v>2.8</v>
      </c>
      <c r="L44" s="1">
        <v>2.65</v>
      </c>
      <c r="M44" s="1">
        <v>2.4500000000000002</v>
      </c>
      <c r="N44" s="1">
        <v>2.4700000000000002</v>
      </c>
      <c r="O44" s="1">
        <v>2.06</v>
      </c>
    </row>
    <row r="45" spans="1:15" x14ac:dyDescent="0.25">
      <c r="A45" s="1" t="s">
        <v>26</v>
      </c>
      <c r="B45" s="1" t="s">
        <v>66</v>
      </c>
      <c r="C45" s="1" t="s">
        <v>51</v>
      </c>
      <c r="D45" s="1" t="s">
        <v>21</v>
      </c>
      <c r="E45" s="1" t="s">
        <v>2</v>
      </c>
      <c r="F45" s="1">
        <v>2.72</v>
      </c>
      <c r="G45" s="1">
        <v>2.65</v>
      </c>
      <c r="H45" s="1">
        <v>2.65</v>
      </c>
      <c r="I45" s="1">
        <v>2.8</v>
      </c>
      <c r="J45" s="1">
        <v>2.8</v>
      </c>
      <c r="K45" s="1">
        <v>2.8</v>
      </c>
      <c r="L45" s="1">
        <v>2.6</v>
      </c>
      <c r="M45" s="1">
        <v>2.2000000000000002</v>
      </c>
      <c r="N45" s="1">
        <v>2.19</v>
      </c>
      <c r="O45" s="1">
        <v>2.06</v>
      </c>
    </row>
    <row r="46" spans="1:15" x14ac:dyDescent="0.25">
      <c r="A46" s="1" t="s">
        <v>26</v>
      </c>
      <c r="B46" s="1" t="s">
        <v>66</v>
      </c>
      <c r="C46" s="1" t="s">
        <v>52</v>
      </c>
      <c r="D46" s="1" t="s">
        <v>21</v>
      </c>
      <c r="E46" s="1" t="s">
        <v>2</v>
      </c>
      <c r="F46" s="1">
        <v>2.72</v>
      </c>
      <c r="G46" s="1">
        <v>2.65</v>
      </c>
      <c r="H46" s="1">
        <v>2.65</v>
      </c>
      <c r="J46" s="1">
        <v>2.8</v>
      </c>
      <c r="K46" s="1">
        <v>2.8</v>
      </c>
      <c r="L46" s="1">
        <v>2.65</v>
      </c>
      <c r="M46" s="1">
        <v>2.65</v>
      </c>
      <c r="N46" s="1">
        <v>2.4700000000000002</v>
      </c>
      <c r="O46" s="1">
        <v>2.06</v>
      </c>
    </row>
    <row r="47" spans="1:15" x14ac:dyDescent="0.25">
      <c r="A47" s="1" t="s">
        <v>26</v>
      </c>
      <c r="B47" s="1" t="s">
        <v>66</v>
      </c>
      <c r="C47" s="1" t="s">
        <v>53</v>
      </c>
      <c r="D47" s="1" t="s">
        <v>21</v>
      </c>
      <c r="E47" s="1" t="s">
        <v>2</v>
      </c>
      <c r="F47" s="1">
        <v>2.72</v>
      </c>
      <c r="G47" s="1">
        <v>2.65</v>
      </c>
      <c r="H47" s="1">
        <v>2.65</v>
      </c>
      <c r="J47" s="1">
        <v>2.8</v>
      </c>
      <c r="K47" s="1">
        <v>2.8</v>
      </c>
      <c r="L47" s="1">
        <v>2.65</v>
      </c>
      <c r="M47" s="1">
        <v>2.4500000000000002</v>
      </c>
      <c r="N47" s="1">
        <v>2.4700000000000002</v>
      </c>
      <c r="O47" s="1">
        <v>2.06</v>
      </c>
    </row>
    <row r="48" spans="1:15" x14ac:dyDescent="0.25">
      <c r="A48" s="1" t="s">
        <v>26</v>
      </c>
      <c r="B48" s="1" t="s">
        <v>66</v>
      </c>
      <c r="C48" s="1" t="s">
        <v>54</v>
      </c>
      <c r="D48" s="1" t="s">
        <v>21</v>
      </c>
      <c r="E48" s="1" t="s">
        <v>2</v>
      </c>
      <c r="F48" s="1">
        <v>2.72</v>
      </c>
      <c r="G48" s="1">
        <v>2.65</v>
      </c>
      <c r="H48" s="1">
        <v>2.8</v>
      </c>
      <c r="I48" s="1">
        <v>2.8</v>
      </c>
      <c r="J48" s="1">
        <v>2.8</v>
      </c>
      <c r="K48" s="1">
        <v>2.8</v>
      </c>
      <c r="L48" s="1">
        <v>2.65</v>
      </c>
      <c r="M48" s="1">
        <v>2.4500000000000002</v>
      </c>
      <c r="N48" s="1">
        <v>2.4700000000000002</v>
      </c>
      <c r="O48" s="1">
        <v>2.06</v>
      </c>
    </row>
    <row r="49" spans="1:15" x14ac:dyDescent="0.25">
      <c r="A49" s="1" t="s">
        <v>26</v>
      </c>
      <c r="B49" s="1" t="s">
        <v>66</v>
      </c>
      <c r="C49" s="1" t="s">
        <v>55</v>
      </c>
      <c r="D49" s="1" t="s">
        <v>21</v>
      </c>
      <c r="E49" s="1" t="s">
        <v>2</v>
      </c>
      <c r="F49" s="1">
        <v>2.72</v>
      </c>
      <c r="G49" s="1">
        <v>2.65</v>
      </c>
      <c r="H49" s="1">
        <v>2.65</v>
      </c>
      <c r="J49" s="1">
        <v>2.8</v>
      </c>
      <c r="K49" s="1">
        <v>2.8</v>
      </c>
      <c r="L49" s="1">
        <v>2.65</v>
      </c>
      <c r="M49" s="1">
        <v>2.4500000000000002</v>
      </c>
      <c r="N49" s="1">
        <v>2.4700000000000002</v>
      </c>
      <c r="O49" s="1">
        <v>2.06</v>
      </c>
    </row>
    <row r="50" spans="1:15" x14ac:dyDescent="0.25">
      <c r="A50" s="1" t="s">
        <v>26</v>
      </c>
      <c r="B50" s="1" t="s">
        <v>66</v>
      </c>
      <c r="C50" s="1" t="s">
        <v>56</v>
      </c>
      <c r="D50" s="1" t="s">
        <v>21</v>
      </c>
      <c r="E50" s="1" t="s">
        <v>2</v>
      </c>
      <c r="F50" s="1">
        <v>2.72</v>
      </c>
      <c r="G50" s="1">
        <v>2.65</v>
      </c>
      <c r="H50" s="1">
        <v>2.65</v>
      </c>
      <c r="J50" s="1">
        <v>2.8</v>
      </c>
      <c r="K50" s="1">
        <v>2.8</v>
      </c>
      <c r="L50" s="1">
        <v>2.6</v>
      </c>
      <c r="M50" s="1">
        <v>2.2000000000000002</v>
      </c>
      <c r="N50" s="1">
        <v>2.19</v>
      </c>
      <c r="O50" s="1">
        <v>2.0499999999999998</v>
      </c>
    </row>
    <row r="51" spans="1:15" x14ac:dyDescent="0.25">
      <c r="A51" s="1" t="s">
        <v>26</v>
      </c>
      <c r="B51" s="1" t="s">
        <v>66</v>
      </c>
      <c r="C51" s="1" t="s">
        <v>57</v>
      </c>
      <c r="D51" s="1" t="s">
        <v>21</v>
      </c>
      <c r="E51" s="1" t="s">
        <v>2</v>
      </c>
      <c r="F51" s="1">
        <v>2.72</v>
      </c>
      <c r="G51" s="1">
        <v>2.65</v>
      </c>
      <c r="H51" s="1">
        <v>2.65</v>
      </c>
      <c r="I51" s="1">
        <v>2.8</v>
      </c>
      <c r="J51" s="1">
        <v>2.8</v>
      </c>
      <c r="K51" s="1">
        <v>2.8</v>
      </c>
      <c r="L51" s="1">
        <v>2.2000000000000002</v>
      </c>
      <c r="M51" s="1">
        <v>2.2000000000000002</v>
      </c>
      <c r="N51" s="1">
        <v>2.19</v>
      </c>
      <c r="O51" s="1">
        <v>2.0499999999999998</v>
      </c>
    </row>
    <row r="52" spans="1:15" x14ac:dyDescent="0.25">
      <c r="A52" s="1" t="s">
        <v>26</v>
      </c>
      <c r="B52" s="1" t="s">
        <v>66</v>
      </c>
      <c r="C52" s="1" t="s">
        <v>58</v>
      </c>
      <c r="D52" s="1" t="s">
        <v>21</v>
      </c>
      <c r="E52" s="1" t="s">
        <v>2</v>
      </c>
      <c r="F52" s="1">
        <v>2.72</v>
      </c>
      <c r="G52" s="1">
        <v>2.65</v>
      </c>
      <c r="H52" s="1">
        <v>2.65</v>
      </c>
      <c r="J52" s="1">
        <v>2.8</v>
      </c>
      <c r="K52" s="1">
        <v>2.8</v>
      </c>
      <c r="L52" s="1">
        <v>2.6</v>
      </c>
      <c r="M52" s="1">
        <v>2.2000000000000002</v>
      </c>
      <c r="N52" s="1">
        <v>2.19</v>
      </c>
      <c r="O52" s="1">
        <v>2.0499999999999998</v>
      </c>
    </row>
    <row r="53" spans="1:15" x14ac:dyDescent="0.25">
      <c r="A53" s="1" t="s">
        <v>26</v>
      </c>
      <c r="B53" s="1" t="s">
        <v>66</v>
      </c>
      <c r="C53" s="1" t="s">
        <v>59</v>
      </c>
      <c r="D53" s="1" t="s">
        <v>21</v>
      </c>
      <c r="E53" s="1" t="s">
        <v>2</v>
      </c>
      <c r="F53" s="1">
        <v>2.72</v>
      </c>
      <c r="G53" s="1">
        <v>2.65</v>
      </c>
      <c r="H53" s="1">
        <v>2.8</v>
      </c>
      <c r="I53" s="1">
        <v>2.8</v>
      </c>
      <c r="J53" s="1">
        <v>2.8</v>
      </c>
      <c r="K53" s="1">
        <v>2.8</v>
      </c>
      <c r="L53" s="1">
        <v>2.65</v>
      </c>
      <c r="M53" s="1">
        <v>2.4500000000000002</v>
      </c>
      <c r="N53" s="1">
        <v>2.4700000000000002</v>
      </c>
      <c r="O53" s="1">
        <v>2.4700000000000002</v>
      </c>
    </row>
    <row r="54" spans="1:15" x14ac:dyDescent="0.25">
      <c r="A54" s="1" t="s">
        <v>26</v>
      </c>
      <c r="B54" s="1" t="s">
        <v>66</v>
      </c>
      <c r="C54" s="1" t="s">
        <v>62</v>
      </c>
      <c r="D54" s="1" t="s">
        <v>21</v>
      </c>
      <c r="E54" s="1" t="s">
        <v>2</v>
      </c>
      <c r="F54" s="1">
        <v>2.72</v>
      </c>
      <c r="G54" s="1">
        <v>2.65</v>
      </c>
      <c r="H54" s="1">
        <v>2.8</v>
      </c>
      <c r="I54" s="1">
        <v>2.8</v>
      </c>
      <c r="J54" s="1">
        <v>2.8</v>
      </c>
      <c r="K54" s="1">
        <v>2.8</v>
      </c>
      <c r="L54" s="1">
        <v>2.65</v>
      </c>
      <c r="M54" s="1">
        <v>2.4500000000000002</v>
      </c>
      <c r="N54" s="1">
        <v>2.4700000000000002</v>
      </c>
      <c r="O54" s="1">
        <v>2.06</v>
      </c>
    </row>
    <row r="55" spans="1:15" x14ac:dyDescent="0.25">
      <c r="A55" s="1" t="s">
        <v>26</v>
      </c>
      <c r="B55" s="1" t="s">
        <v>66</v>
      </c>
      <c r="C55" s="1" t="s">
        <v>60</v>
      </c>
      <c r="D55" s="1" t="s">
        <v>21</v>
      </c>
      <c r="E55" s="1" t="s">
        <v>2</v>
      </c>
      <c r="F55" s="1">
        <v>2.72</v>
      </c>
      <c r="G55" s="1">
        <v>2.65</v>
      </c>
      <c r="H55" s="1">
        <v>2.65</v>
      </c>
      <c r="J55" s="1">
        <v>2.8</v>
      </c>
      <c r="K55" s="1">
        <v>2.8</v>
      </c>
      <c r="L55" s="1">
        <v>2.65</v>
      </c>
      <c r="M55" s="1">
        <v>2.4500000000000002</v>
      </c>
      <c r="N55" s="1">
        <v>2.4700000000000002</v>
      </c>
      <c r="O55" s="1">
        <v>2.06</v>
      </c>
    </row>
    <row r="56" spans="1:15" x14ac:dyDescent="0.25">
      <c r="A56" s="1" t="s">
        <v>26</v>
      </c>
      <c r="B56" s="1" t="s">
        <v>66</v>
      </c>
      <c r="C56" s="1" t="s">
        <v>61</v>
      </c>
      <c r="D56" s="1" t="s">
        <v>16</v>
      </c>
      <c r="E56" s="1" t="s">
        <v>2</v>
      </c>
      <c r="F56" s="1">
        <v>2.72</v>
      </c>
      <c r="G56" s="1">
        <v>2.65</v>
      </c>
      <c r="H56" s="1">
        <v>2.65</v>
      </c>
      <c r="J56" s="1">
        <v>2.8</v>
      </c>
      <c r="K56" s="1">
        <v>2.8</v>
      </c>
      <c r="L56" s="1">
        <v>2.65</v>
      </c>
      <c r="M56" s="1">
        <v>2.4500000000000002</v>
      </c>
      <c r="N56" s="1">
        <v>2.4700000000000002</v>
      </c>
      <c r="O56" s="1">
        <v>2.06</v>
      </c>
    </row>
    <row r="57" spans="1:15" x14ac:dyDescent="0.25">
      <c r="A57" s="1" t="s">
        <v>26</v>
      </c>
      <c r="B57" s="1" t="s">
        <v>66</v>
      </c>
      <c r="C57" s="1" t="s">
        <v>61</v>
      </c>
      <c r="D57" s="1" t="s">
        <v>21</v>
      </c>
      <c r="E57" s="1" t="s">
        <v>2</v>
      </c>
      <c r="F57" s="1">
        <v>2.72</v>
      </c>
      <c r="G57" s="1">
        <v>2.65</v>
      </c>
      <c r="H57" s="1">
        <v>2.65</v>
      </c>
      <c r="J57" s="1">
        <v>2.8</v>
      </c>
      <c r="K57" s="1">
        <v>2.8</v>
      </c>
      <c r="L57" s="1">
        <v>2.65</v>
      </c>
      <c r="M57" s="1">
        <v>2.4500000000000002</v>
      </c>
      <c r="N57" s="1">
        <v>2.4700000000000002</v>
      </c>
      <c r="O57" s="1">
        <v>2.06</v>
      </c>
    </row>
    <row r="58" spans="1:15" x14ac:dyDescent="0.25">
      <c r="A58" s="1" t="s">
        <v>26</v>
      </c>
      <c r="B58" s="1" t="s">
        <v>66</v>
      </c>
      <c r="C58" s="1" t="s">
        <v>63</v>
      </c>
      <c r="D58" s="1" t="s">
        <v>21</v>
      </c>
      <c r="E58" s="1" t="s">
        <v>2</v>
      </c>
      <c r="F58" s="1">
        <v>2.72</v>
      </c>
      <c r="G58" s="1">
        <v>2.65</v>
      </c>
      <c r="H58" s="1">
        <v>2.65</v>
      </c>
      <c r="J58" s="1">
        <v>2.8</v>
      </c>
      <c r="K58" s="1">
        <v>2.8</v>
      </c>
      <c r="L58" s="1">
        <v>2.65</v>
      </c>
      <c r="M58" s="1">
        <v>2.4500000000000002</v>
      </c>
      <c r="N58" s="1">
        <v>2.4700000000000002</v>
      </c>
      <c r="O58" s="1">
        <v>2.06</v>
      </c>
    </row>
    <row r="59" spans="1:15" x14ac:dyDescent="0.25">
      <c r="A59" s="1" t="s">
        <v>26</v>
      </c>
      <c r="B59" s="1" t="s">
        <v>66</v>
      </c>
      <c r="C59" s="1" t="s">
        <v>64</v>
      </c>
      <c r="D59" s="1" t="s">
        <v>21</v>
      </c>
      <c r="E59" s="1" t="s">
        <v>2</v>
      </c>
      <c r="F59" s="1">
        <v>2.72</v>
      </c>
      <c r="G59" s="1">
        <v>2.65</v>
      </c>
      <c r="H59" s="1">
        <v>2.65</v>
      </c>
      <c r="J59" s="1">
        <v>2.8</v>
      </c>
      <c r="K59" s="1">
        <v>2.8</v>
      </c>
      <c r="L59" s="1">
        <v>2.65</v>
      </c>
      <c r="M59" s="1">
        <v>2.4500000000000002</v>
      </c>
      <c r="N59" s="1">
        <v>2.4700000000000002</v>
      </c>
      <c r="O59" s="1">
        <v>2.06</v>
      </c>
    </row>
    <row r="60" spans="1:15" x14ac:dyDescent="0.25">
      <c r="A60" s="1" t="s">
        <v>26</v>
      </c>
      <c r="B60" s="1" t="s">
        <v>66</v>
      </c>
      <c r="C60" s="1" t="s">
        <v>65</v>
      </c>
      <c r="D60" s="1" t="s">
        <v>21</v>
      </c>
      <c r="E60" s="1" t="s">
        <v>2</v>
      </c>
      <c r="F60" s="1">
        <v>2.72</v>
      </c>
      <c r="G60" s="1">
        <v>2.65</v>
      </c>
      <c r="H60" s="1">
        <v>2.65</v>
      </c>
      <c r="J60" s="1">
        <v>2.8</v>
      </c>
      <c r="K60" s="1">
        <v>2.8</v>
      </c>
      <c r="L60" s="1">
        <v>2.65</v>
      </c>
      <c r="M60" s="1">
        <v>2.4500000000000002</v>
      </c>
      <c r="N60" s="1">
        <v>2.4700000000000002</v>
      </c>
      <c r="O60" s="1">
        <v>2.06</v>
      </c>
    </row>
    <row r="61" spans="1:15" x14ac:dyDescent="0.25">
      <c r="A61" s="1" t="s">
        <v>67</v>
      </c>
      <c r="B61" s="1" t="s">
        <v>66</v>
      </c>
      <c r="C61" s="1" t="s">
        <v>68</v>
      </c>
      <c r="D61" s="1" t="s">
        <v>21</v>
      </c>
      <c r="E61" s="1" t="s">
        <v>2</v>
      </c>
      <c r="F61" s="1">
        <v>2.72</v>
      </c>
      <c r="G61" s="1">
        <v>2.65</v>
      </c>
      <c r="H61" s="1">
        <v>2.8</v>
      </c>
      <c r="I61" s="1">
        <v>2.8</v>
      </c>
      <c r="J61" s="1">
        <v>2.8</v>
      </c>
      <c r="K61" s="1">
        <v>2.8</v>
      </c>
      <c r="L61" s="1">
        <v>2.65</v>
      </c>
      <c r="M61" s="1">
        <v>2.4500000000000002</v>
      </c>
      <c r="N61" s="1">
        <v>2.4700000000000002</v>
      </c>
      <c r="O61" s="1">
        <v>2.06</v>
      </c>
    </row>
    <row r="62" spans="1:15" x14ac:dyDescent="0.25">
      <c r="A62" s="1" t="s">
        <v>67</v>
      </c>
      <c r="B62" s="1" t="s">
        <v>66</v>
      </c>
      <c r="C62" s="1" t="s">
        <v>69</v>
      </c>
      <c r="D62" s="1" t="s">
        <v>21</v>
      </c>
      <c r="E62" s="1" t="s">
        <v>2</v>
      </c>
      <c r="F62" s="1">
        <v>2.5</v>
      </c>
      <c r="G62" s="1">
        <v>2.65</v>
      </c>
      <c r="H62" s="1">
        <v>2.65</v>
      </c>
      <c r="I62" s="1">
        <v>2.65</v>
      </c>
      <c r="J62" s="1">
        <v>2.8</v>
      </c>
      <c r="K62" s="1">
        <v>2.8</v>
      </c>
      <c r="L62" s="1">
        <v>2.65</v>
      </c>
      <c r="M62" s="1">
        <v>2.4500000000000002</v>
      </c>
      <c r="N62" s="1">
        <v>2.4700000000000002</v>
      </c>
      <c r="O62" s="1">
        <v>2.06</v>
      </c>
    </row>
    <row r="63" spans="1:15" x14ac:dyDescent="0.25">
      <c r="A63" s="1" t="s">
        <v>67</v>
      </c>
      <c r="B63" s="1" t="s">
        <v>66</v>
      </c>
      <c r="C63" s="1" t="s">
        <v>70</v>
      </c>
      <c r="D63" s="1" t="s">
        <v>21</v>
      </c>
      <c r="E63" s="1" t="s">
        <v>2</v>
      </c>
      <c r="F63" s="1">
        <v>2.5</v>
      </c>
      <c r="G63" s="1">
        <v>2.6</v>
      </c>
      <c r="H63" s="1">
        <v>2.6</v>
      </c>
      <c r="I63" s="1">
        <v>2.6</v>
      </c>
      <c r="J63" s="1">
        <v>2.8</v>
      </c>
      <c r="K63" s="1">
        <v>2.8</v>
      </c>
      <c r="L63" s="1">
        <v>2.65</v>
      </c>
      <c r="M63" s="1">
        <v>2.4500000000000002</v>
      </c>
      <c r="N63" s="1">
        <v>2.4700000000000002</v>
      </c>
      <c r="O63" s="1">
        <v>2.06</v>
      </c>
    </row>
    <row r="64" spans="1:15" x14ac:dyDescent="0.25">
      <c r="A64" s="1" t="s">
        <v>67</v>
      </c>
      <c r="B64" s="1" t="s">
        <v>66</v>
      </c>
      <c r="C64" s="1" t="s">
        <v>71</v>
      </c>
      <c r="D64" s="1" t="s">
        <v>21</v>
      </c>
      <c r="E64" s="1" t="s">
        <v>2</v>
      </c>
      <c r="F64" s="1">
        <v>2.5</v>
      </c>
      <c r="G64" s="1">
        <v>2.65</v>
      </c>
      <c r="H64" s="1">
        <v>2.65</v>
      </c>
      <c r="I64" s="1">
        <v>2.65</v>
      </c>
      <c r="J64" s="1">
        <v>2.8</v>
      </c>
      <c r="K64" s="1">
        <v>2.8</v>
      </c>
      <c r="L64" s="1">
        <v>2.65</v>
      </c>
      <c r="M64" s="1">
        <v>2.4500000000000002</v>
      </c>
      <c r="N64" s="1">
        <v>2.4700000000000002</v>
      </c>
      <c r="O64" s="1">
        <v>2.06</v>
      </c>
    </row>
    <row r="65" spans="1:15" x14ac:dyDescent="0.25">
      <c r="A65" s="1" t="s">
        <v>10</v>
      </c>
      <c r="B65" s="1" t="s">
        <v>66</v>
      </c>
      <c r="C65" s="1" t="s">
        <v>68</v>
      </c>
      <c r="D65" s="1" t="s">
        <v>21</v>
      </c>
      <c r="E65" s="1" t="s">
        <v>2</v>
      </c>
      <c r="J65" s="1">
        <v>2.8</v>
      </c>
      <c r="K65" s="1">
        <v>2.8</v>
      </c>
      <c r="L65" s="1">
        <v>2.4500000000000002</v>
      </c>
      <c r="M65" s="1">
        <v>2.4500000000000002</v>
      </c>
      <c r="N65" s="1">
        <v>2.4700000000000002</v>
      </c>
      <c r="O65" s="1">
        <v>2.06</v>
      </c>
    </row>
    <row r="66" spans="1:15" x14ac:dyDescent="0.25">
      <c r="A66" s="1" t="s">
        <v>10</v>
      </c>
      <c r="B66" s="1" t="s">
        <v>66</v>
      </c>
      <c r="C66" s="1" t="s">
        <v>43</v>
      </c>
      <c r="D66" s="1" t="s">
        <v>21</v>
      </c>
      <c r="E66" s="1" t="s">
        <v>2</v>
      </c>
      <c r="H66" s="1">
        <v>2.8</v>
      </c>
      <c r="I66" s="1">
        <v>2.8</v>
      </c>
      <c r="J66" s="1">
        <v>2.8</v>
      </c>
      <c r="K66" s="1">
        <v>2.8</v>
      </c>
      <c r="L66" s="1">
        <v>2.65</v>
      </c>
      <c r="M66" s="1">
        <v>2.4500000000000002</v>
      </c>
      <c r="N66" s="1">
        <v>2.4700000000000002</v>
      </c>
      <c r="O66" s="1">
        <v>2.06</v>
      </c>
    </row>
    <row r="67" spans="1:15" x14ac:dyDescent="0.25">
      <c r="A67" s="1" t="s">
        <v>10</v>
      </c>
      <c r="B67" s="1" t="s">
        <v>66</v>
      </c>
      <c r="C67" s="1" t="s">
        <v>72</v>
      </c>
      <c r="D67" s="1" t="s">
        <v>21</v>
      </c>
      <c r="E67" s="1" t="s">
        <v>2</v>
      </c>
      <c r="H67" s="1">
        <v>2.58</v>
      </c>
      <c r="I67" s="1">
        <v>2.58</v>
      </c>
      <c r="J67" s="1">
        <v>2.69</v>
      </c>
      <c r="K67" s="1">
        <v>2.69</v>
      </c>
      <c r="L67" s="1">
        <v>2.65</v>
      </c>
      <c r="M67" s="1">
        <v>2.5499999999999998</v>
      </c>
      <c r="N67" s="1">
        <v>2.4700000000000002</v>
      </c>
      <c r="O67" s="1">
        <v>2.06</v>
      </c>
    </row>
    <row r="68" spans="1:15" x14ac:dyDescent="0.25">
      <c r="A68" s="1" t="s">
        <v>10</v>
      </c>
      <c r="B68" s="1" t="s">
        <v>66</v>
      </c>
      <c r="C68" s="1" t="s">
        <v>73</v>
      </c>
      <c r="D68" s="1" t="s">
        <v>21</v>
      </c>
      <c r="E68" s="1" t="s">
        <v>2</v>
      </c>
      <c r="H68" s="1">
        <v>2.58</v>
      </c>
      <c r="I68" s="1">
        <v>2.58</v>
      </c>
      <c r="J68" s="1">
        <v>2.69</v>
      </c>
      <c r="K68" s="1">
        <v>2.69</v>
      </c>
      <c r="L68" s="1">
        <v>2.65</v>
      </c>
      <c r="M68" s="1">
        <v>2.5499999999999998</v>
      </c>
      <c r="N68" s="1">
        <v>2.4700000000000002</v>
      </c>
      <c r="O68" s="1">
        <v>2.06</v>
      </c>
    </row>
    <row r="69" spans="1:15" x14ac:dyDescent="0.25">
      <c r="A69" s="1" t="s">
        <v>10</v>
      </c>
      <c r="B69" s="1" t="s">
        <v>66</v>
      </c>
      <c r="C69" s="1" t="s">
        <v>59</v>
      </c>
      <c r="D69" s="1" t="s">
        <v>21</v>
      </c>
      <c r="E69" s="1" t="s">
        <v>2</v>
      </c>
      <c r="H69" s="1">
        <v>2.8</v>
      </c>
      <c r="I69" s="1">
        <v>2.8</v>
      </c>
      <c r="J69" s="1">
        <v>2.8</v>
      </c>
      <c r="K69" s="1">
        <v>2.8</v>
      </c>
      <c r="L69" s="1">
        <v>2.8</v>
      </c>
      <c r="M69" s="1">
        <v>1.3</v>
      </c>
      <c r="N69" s="1">
        <v>1.31</v>
      </c>
      <c r="O69" s="1">
        <v>1.31</v>
      </c>
    </row>
    <row r="70" spans="1:15" x14ac:dyDescent="0.25">
      <c r="A70" s="1" t="s">
        <v>10</v>
      </c>
      <c r="B70" s="1" t="s">
        <v>66</v>
      </c>
      <c r="C70" s="1" t="s">
        <v>74</v>
      </c>
      <c r="D70" s="1" t="s">
        <v>21</v>
      </c>
      <c r="E70" s="1" t="s">
        <v>2</v>
      </c>
      <c r="H70" s="1">
        <v>2.58</v>
      </c>
      <c r="I70" s="1">
        <v>2.58</v>
      </c>
      <c r="J70" s="1">
        <v>2.69</v>
      </c>
      <c r="K70" s="1">
        <v>2.69</v>
      </c>
      <c r="L70" s="1">
        <v>2.65</v>
      </c>
      <c r="M70" s="1">
        <v>2.5499999999999998</v>
      </c>
      <c r="N70" s="1">
        <v>2.5099999999999998</v>
      </c>
      <c r="O70" s="1">
        <v>2.09</v>
      </c>
    </row>
    <row r="71" spans="1:15" x14ac:dyDescent="0.25">
      <c r="A71" s="1" t="s">
        <v>10</v>
      </c>
      <c r="B71" s="1" t="s">
        <v>66</v>
      </c>
      <c r="C71" s="1" t="s">
        <v>64</v>
      </c>
      <c r="D71" s="1" t="s">
        <v>21</v>
      </c>
      <c r="E71" s="1" t="s">
        <v>2</v>
      </c>
      <c r="H71" s="1">
        <v>2.8</v>
      </c>
      <c r="I71" s="1">
        <v>2.8</v>
      </c>
      <c r="J71" s="1">
        <v>2.8</v>
      </c>
      <c r="K71" s="1">
        <v>2.8</v>
      </c>
      <c r="L71" s="1">
        <v>2.65</v>
      </c>
      <c r="M71" s="1">
        <v>2.4500000000000002</v>
      </c>
      <c r="N71" s="1">
        <v>2.4700000000000002</v>
      </c>
      <c r="O71" s="1">
        <v>2.06</v>
      </c>
    </row>
    <row r="72" spans="1:15" x14ac:dyDescent="0.25">
      <c r="A72" s="1" t="s">
        <v>30</v>
      </c>
      <c r="B72" s="1" t="s">
        <v>66</v>
      </c>
      <c r="C72" s="1" t="s">
        <v>75</v>
      </c>
      <c r="D72" s="1" t="s">
        <v>21</v>
      </c>
      <c r="E72" s="1" t="s">
        <v>2</v>
      </c>
      <c r="F72" s="1">
        <v>2.72</v>
      </c>
      <c r="G72" s="1">
        <v>2.65</v>
      </c>
      <c r="H72" s="1">
        <v>2.8</v>
      </c>
      <c r="I72" s="1">
        <v>2.8</v>
      </c>
      <c r="J72" s="1">
        <v>2.8</v>
      </c>
      <c r="K72" s="1">
        <v>2.8</v>
      </c>
      <c r="L72" s="1">
        <v>2.65</v>
      </c>
      <c r="M72" s="1">
        <v>2.4500000000000002</v>
      </c>
      <c r="N72" s="1">
        <v>2.4700000000000002</v>
      </c>
      <c r="O72" s="1">
        <v>2.06</v>
      </c>
    </row>
    <row r="73" spans="1:15" x14ac:dyDescent="0.25">
      <c r="A73" s="1" t="s">
        <v>30</v>
      </c>
      <c r="B73" s="1" t="s">
        <v>66</v>
      </c>
      <c r="C73" s="1" t="s">
        <v>68</v>
      </c>
      <c r="D73" s="1" t="s">
        <v>21</v>
      </c>
      <c r="E73" s="1" t="s">
        <v>2</v>
      </c>
      <c r="F73" s="1">
        <v>2.72</v>
      </c>
      <c r="G73" s="1">
        <v>2.65</v>
      </c>
      <c r="H73" s="1">
        <v>2.65</v>
      </c>
      <c r="J73" s="1">
        <v>2.8</v>
      </c>
      <c r="K73" s="1">
        <v>2.8</v>
      </c>
      <c r="L73" s="1">
        <v>2.65</v>
      </c>
      <c r="M73" s="1">
        <v>2.4500000000000002</v>
      </c>
      <c r="N73" s="1">
        <v>2.4700000000000002</v>
      </c>
      <c r="O73" s="1">
        <v>2.06</v>
      </c>
    </row>
    <row r="74" spans="1:15" x14ac:dyDescent="0.25">
      <c r="A74" s="1" t="s">
        <v>30</v>
      </c>
      <c r="B74" s="1" t="s">
        <v>66</v>
      </c>
      <c r="C74" s="1" t="s">
        <v>37</v>
      </c>
      <c r="D74" s="1" t="s">
        <v>21</v>
      </c>
      <c r="E74" s="1" t="s">
        <v>2</v>
      </c>
      <c r="F74" s="1">
        <v>2.72</v>
      </c>
      <c r="G74" s="1">
        <v>2.65</v>
      </c>
      <c r="H74" s="1">
        <v>2.8</v>
      </c>
      <c r="I74" s="1">
        <v>2.8</v>
      </c>
      <c r="J74" s="1">
        <v>2.8</v>
      </c>
      <c r="K74" s="1">
        <v>2.8</v>
      </c>
      <c r="L74" s="1">
        <v>2.6</v>
      </c>
      <c r="M74" s="1">
        <v>2.2000000000000002</v>
      </c>
      <c r="N74" s="1">
        <v>2.19</v>
      </c>
      <c r="O74" s="1">
        <v>2.0499999999999998</v>
      </c>
    </row>
    <row r="75" spans="1:15" x14ac:dyDescent="0.25">
      <c r="A75" s="1" t="s">
        <v>30</v>
      </c>
      <c r="B75" s="1" t="s">
        <v>66</v>
      </c>
      <c r="C75" s="1" t="s">
        <v>38</v>
      </c>
      <c r="D75" s="1" t="s">
        <v>21</v>
      </c>
      <c r="E75" s="1" t="s">
        <v>2</v>
      </c>
      <c r="F75" s="1">
        <v>2.72</v>
      </c>
      <c r="G75" s="1">
        <v>2.65</v>
      </c>
      <c r="H75" s="1">
        <v>2.8</v>
      </c>
      <c r="I75" s="1">
        <v>2.8</v>
      </c>
      <c r="J75" s="1">
        <v>2.8</v>
      </c>
      <c r="K75" s="1">
        <v>2.8</v>
      </c>
      <c r="L75" s="1">
        <v>2.6</v>
      </c>
      <c r="M75" s="1">
        <v>2.2000000000000002</v>
      </c>
      <c r="N75" s="1">
        <v>2.19</v>
      </c>
      <c r="O75" s="1">
        <v>2.0499999999999998</v>
      </c>
    </row>
    <row r="76" spans="1:15" x14ac:dyDescent="0.25">
      <c r="A76" s="1" t="s">
        <v>30</v>
      </c>
      <c r="B76" s="1" t="s">
        <v>66</v>
      </c>
      <c r="C76" s="1" t="s">
        <v>39</v>
      </c>
      <c r="D76" s="1" t="s">
        <v>21</v>
      </c>
      <c r="E76" s="1" t="s">
        <v>2</v>
      </c>
      <c r="F76" s="1">
        <v>2.72</v>
      </c>
      <c r="G76" s="1">
        <v>2.65</v>
      </c>
      <c r="H76" s="1">
        <v>2.8</v>
      </c>
      <c r="I76" s="1">
        <v>2.8</v>
      </c>
      <c r="J76" s="1">
        <v>2.8</v>
      </c>
      <c r="K76" s="1">
        <v>2.8</v>
      </c>
      <c r="L76" s="1">
        <v>2.6</v>
      </c>
      <c r="M76" s="1">
        <v>2.2000000000000002</v>
      </c>
      <c r="N76" s="1">
        <v>2.19</v>
      </c>
      <c r="O76" s="1">
        <v>2.0499999999999998</v>
      </c>
    </row>
    <row r="77" spans="1:15" x14ac:dyDescent="0.25">
      <c r="A77" s="1" t="s">
        <v>30</v>
      </c>
      <c r="B77" s="1" t="s">
        <v>66</v>
      </c>
      <c r="C77" s="1" t="s">
        <v>40</v>
      </c>
      <c r="D77" s="1" t="s">
        <v>21</v>
      </c>
      <c r="E77" s="1" t="s">
        <v>2</v>
      </c>
      <c r="F77" s="1">
        <v>2.72</v>
      </c>
      <c r="G77" s="1">
        <v>2.65</v>
      </c>
      <c r="H77" s="1">
        <v>2.65</v>
      </c>
      <c r="J77" s="1">
        <v>2.8</v>
      </c>
      <c r="K77" s="1">
        <v>2.8</v>
      </c>
      <c r="L77" s="1">
        <v>2.65</v>
      </c>
      <c r="M77" s="1">
        <v>2.4500000000000002</v>
      </c>
      <c r="N77" s="1">
        <v>2.4700000000000002</v>
      </c>
      <c r="O77" s="1">
        <v>2.06</v>
      </c>
    </row>
    <row r="78" spans="1:15" x14ac:dyDescent="0.25">
      <c r="A78" s="1" t="s">
        <v>30</v>
      </c>
      <c r="B78" s="1" t="s">
        <v>66</v>
      </c>
      <c r="C78" s="1" t="s">
        <v>41</v>
      </c>
      <c r="D78" s="1" t="s">
        <v>21</v>
      </c>
      <c r="E78" s="1" t="s">
        <v>2</v>
      </c>
      <c r="F78" s="1">
        <v>2.72</v>
      </c>
      <c r="G78" s="1">
        <v>2.65</v>
      </c>
      <c r="H78" s="1">
        <v>2.65</v>
      </c>
      <c r="J78" s="1">
        <v>2.8</v>
      </c>
      <c r="K78" s="1">
        <v>2.8</v>
      </c>
      <c r="L78" s="1">
        <v>2.65</v>
      </c>
      <c r="M78" s="1">
        <v>2.4500000000000002</v>
      </c>
      <c r="N78" s="1">
        <v>2.4700000000000002</v>
      </c>
      <c r="O78" s="1">
        <v>2.06</v>
      </c>
    </row>
    <row r="79" spans="1:15" x14ac:dyDescent="0.25">
      <c r="A79" s="1" t="s">
        <v>30</v>
      </c>
      <c r="B79" s="1" t="s">
        <v>66</v>
      </c>
      <c r="C79" s="1" t="s">
        <v>45</v>
      </c>
      <c r="D79" s="1" t="s">
        <v>16</v>
      </c>
      <c r="E79" s="1" t="s">
        <v>2</v>
      </c>
      <c r="J79" s="1">
        <v>2.8</v>
      </c>
      <c r="K79" s="1">
        <v>2.8</v>
      </c>
      <c r="L79" s="1">
        <v>2.65</v>
      </c>
      <c r="M79" s="1">
        <v>2.4500000000000002</v>
      </c>
      <c r="N79" s="1">
        <v>2.4700000000000002</v>
      </c>
      <c r="O79" s="1">
        <v>2.06</v>
      </c>
    </row>
    <row r="80" spans="1:15" x14ac:dyDescent="0.25">
      <c r="A80" s="1" t="s">
        <v>30</v>
      </c>
      <c r="B80" s="1" t="s">
        <v>66</v>
      </c>
      <c r="C80" s="1" t="s">
        <v>45</v>
      </c>
      <c r="D80" s="1" t="s">
        <v>21</v>
      </c>
      <c r="E80" s="1" t="s">
        <v>2</v>
      </c>
      <c r="J80" s="1">
        <v>2.8</v>
      </c>
      <c r="K80" s="1">
        <v>2.8</v>
      </c>
      <c r="L80" s="1">
        <v>2.65</v>
      </c>
      <c r="M80" s="1">
        <v>2.4500000000000002</v>
      </c>
      <c r="N80" s="1">
        <v>2.4700000000000002</v>
      </c>
      <c r="O80" s="1">
        <v>2.06</v>
      </c>
    </row>
    <row r="81" spans="1:15" x14ac:dyDescent="0.25">
      <c r="A81" s="1" t="s">
        <v>30</v>
      </c>
      <c r="B81" s="1" t="s">
        <v>66</v>
      </c>
      <c r="C81" s="1" t="s">
        <v>80</v>
      </c>
      <c r="D81" s="1" t="s">
        <v>16</v>
      </c>
      <c r="E81" s="1" t="s">
        <v>2</v>
      </c>
      <c r="J81" s="1">
        <v>2.8</v>
      </c>
      <c r="K81" s="1">
        <v>2.8</v>
      </c>
      <c r="L81" s="1">
        <v>2.65</v>
      </c>
      <c r="M81" s="1">
        <v>2.4500000000000002</v>
      </c>
      <c r="N81" s="1">
        <v>2.4700000000000002</v>
      </c>
      <c r="O81" s="1">
        <v>2.13</v>
      </c>
    </row>
    <row r="82" spans="1:15" x14ac:dyDescent="0.25">
      <c r="A82" s="1" t="s">
        <v>30</v>
      </c>
      <c r="B82" s="1" t="s">
        <v>66</v>
      </c>
      <c r="C82" s="1" t="s">
        <v>76</v>
      </c>
      <c r="D82" s="1" t="s">
        <v>16</v>
      </c>
      <c r="E82" s="1" t="s">
        <v>2</v>
      </c>
      <c r="J82" s="1">
        <v>2.8</v>
      </c>
      <c r="K82" s="1">
        <v>2.8</v>
      </c>
      <c r="L82" s="1">
        <v>2.65</v>
      </c>
      <c r="M82" s="1">
        <v>2.4500000000000002</v>
      </c>
      <c r="N82" s="1">
        <v>2.4700000000000002</v>
      </c>
      <c r="O82" s="1">
        <v>2.06</v>
      </c>
    </row>
    <row r="83" spans="1:15" x14ac:dyDescent="0.25">
      <c r="A83" s="1" t="s">
        <v>30</v>
      </c>
      <c r="B83" s="1" t="s">
        <v>66</v>
      </c>
      <c r="C83" s="1" t="s">
        <v>76</v>
      </c>
      <c r="D83" s="1" t="s">
        <v>21</v>
      </c>
      <c r="E83" s="1" t="s">
        <v>2</v>
      </c>
      <c r="J83" s="1">
        <v>2.8</v>
      </c>
      <c r="K83" s="1">
        <v>2.8</v>
      </c>
      <c r="L83" s="1">
        <v>2.65</v>
      </c>
      <c r="M83" s="1">
        <v>2.4500000000000002</v>
      </c>
      <c r="N83" s="1">
        <v>2.4700000000000002</v>
      </c>
      <c r="O83" s="1">
        <v>2.06</v>
      </c>
    </row>
    <row r="84" spans="1:15" x14ac:dyDescent="0.25">
      <c r="A84" s="1" t="s">
        <v>30</v>
      </c>
      <c r="B84" s="1" t="s">
        <v>66</v>
      </c>
      <c r="C84" s="1" t="s">
        <v>46</v>
      </c>
      <c r="D84" s="1" t="s">
        <v>21</v>
      </c>
      <c r="E84" s="1" t="s">
        <v>2</v>
      </c>
      <c r="F84" s="1">
        <v>2.72</v>
      </c>
      <c r="G84" s="1">
        <v>2.65</v>
      </c>
      <c r="H84" s="1">
        <v>2.65</v>
      </c>
      <c r="J84" s="1">
        <v>2.8</v>
      </c>
      <c r="K84" s="1">
        <v>2.8</v>
      </c>
      <c r="L84" s="1">
        <v>2.65</v>
      </c>
      <c r="M84" s="1">
        <v>2.4500000000000002</v>
      </c>
      <c r="N84" s="1">
        <v>2.4700000000000002</v>
      </c>
      <c r="O84" s="1">
        <v>2.06</v>
      </c>
    </row>
    <row r="85" spans="1:15" x14ac:dyDescent="0.25">
      <c r="A85" s="1" t="s">
        <v>30</v>
      </c>
      <c r="B85" s="1" t="s">
        <v>66</v>
      </c>
      <c r="C85" s="1" t="s">
        <v>47</v>
      </c>
      <c r="D85" s="1" t="s">
        <v>21</v>
      </c>
      <c r="E85" s="1" t="s">
        <v>2</v>
      </c>
      <c r="F85" s="1">
        <v>2.72</v>
      </c>
      <c r="G85" s="1">
        <v>2.65</v>
      </c>
      <c r="H85" s="1">
        <v>2.65</v>
      </c>
      <c r="I85" s="1">
        <v>2.8</v>
      </c>
      <c r="J85" s="1">
        <v>2.8</v>
      </c>
      <c r="K85" s="1">
        <v>2.8</v>
      </c>
      <c r="L85" s="1">
        <v>2.65</v>
      </c>
      <c r="M85" s="1">
        <v>2.4500000000000002</v>
      </c>
      <c r="N85" s="1">
        <v>2.4700000000000002</v>
      </c>
      <c r="O85" s="1">
        <v>2.06</v>
      </c>
    </row>
    <row r="86" spans="1:15" x14ac:dyDescent="0.25">
      <c r="A86" s="1" t="s">
        <v>30</v>
      </c>
      <c r="B86" s="1" t="s">
        <v>66</v>
      </c>
      <c r="C86" s="1" t="s">
        <v>77</v>
      </c>
      <c r="D86" s="1" t="s">
        <v>21</v>
      </c>
      <c r="E86" s="1" t="s">
        <v>2</v>
      </c>
      <c r="F86" s="1">
        <v>2.72</v>
      </c>
      <c r="G86" s="1">
        <v>2.65</v>
      </c>
      <c r="H86" s="1">
        <v>2.8</v>
      </c>
      <c r="I86" s="1">
        <v>2.8</v>
      </c>
      <c r="J86" s="1">
        <v>2.8</v>
      </c>
      <c r="K86" s="1">
        <v>2.8</v>
      </c>
      <c r="L86" s="1">
        <v>2.65</v>
      </c>
      <c r="M86" s="1">
        <v>2.4500000000000002</v>
      </c>
      <c r="N86" s="1">
        <v>2.4700000000000002</v>
      </c>
      <c r="O86" s="1">
        <v>2.06</v>
      </c>
    </row>
    <row r="87" spans="1:15" x14ac:dyDescent="0.25">
      <c r="A87" s="1" t="s">
        <v>30</v>
      </c>
      <c r="B87" s="1" t="s">
        <v>66</v>
      </c>
      <c r="C87" s="1" t="s">
        <v>78</v>
      </c>
      <c r="D87" s="1" t="s">
        <v>16</v>
      </c>
      <c r="E87" s="1" t="s">
        <v>2</v>
      </c>
      <c r="J87" s="1">
        <v>2.8</v>
      </c>
      <c r="K87" s="1">
        <v>2.8</v>
      </c>
      <c r="L87" s="1">
        <v>2.65</v>
      </c>
      <c r="M87" s="1">
        <v>2.4500000000000002</v>
      </c>
      <c r="N87" s="1">
        <v>2.4700000000000002</v>
      </c>
      <c r="O87" s="1">
        <v>2.06</v>
      </c>
    </row>
    <row r="88" spans="1:15" x14ac:dyDescent="0.25">
      <c r="A88" s="1" t="s">
        <v>30</v>
      </c>
      <c r="B88" s="1" t="s">
        <v>66</v>
      </c>
      <c r="C88" s="1" t="s">
        <v>78</v>
      </c>
      <c r="D88" s="1" t="s">
        <v>21</v>
      </c>
      <c r="E88" s="1" t="s">
        <v>2</v>
      </c>
      <c r="J88" s="1">
        <v>2.8</v>
      </c>
      <c r="K88" s="1">
        <v>2.8</v>
      </c>
      <c r="L88" s="1">
        <v>2.65</v>
      </c>
      <c r="M88" s="1">
        <v>2.4500000000000002</v>
      </c>
      <c r="N88" s="1">
        <v>2.4700000000000002</v>
      </c>
      <c r="O88" s="1">
        <v>2.06</v>
      </c>
    </row>
    <row r="89" spans="1:15" x14ac:dyDescent="0.25">
      <c r="A89" s="1" t="s">
        <v>30</v>
      </c>
      <c r="B89" s="1" t="s">
        <v>66</v>
      </c>
      <c r="C89" s="1" t="s">
        <v>79</v>
      </c>
      <c r="D89" s="1" t="s">
        <v>16</v>
      </c>
      <c r="E89" s="1" t="s">
        <v>2</v>
      </c>
      <c r="J89" s="1">
        <v>2.8</v>
      </c>
      <c r="K89" s="1">
        <v>2.8</v>
      </c>
      <c r="L89" s="1">
        <v>2.65</v>
      </c>
      <c r="M89" s="1">
        <v>2.4500000000000002</v>
      </c>
      <c r="N89" s="1">
        <v>2.4700000000000002</v>
      </c>
      <c r="O89" s="1">
        <v>2.12</v>
      </c>
    </row>
    <row r="90" spans="1:15" x14ac:dyDescent="0.25">
      <c r="A90" s="1" t="s">
        <v>30</v>
      </c>
      <c r="B90" s="1" t="s">
        <v>66</v>
      </c>
      <c r="C90" s="1" t="s">
        <v>79</v>
      </c>
      <c r="D90" s="1" t="s">
        <v>21</v>
      </c>
      <c r="E90" s="1" t="s">
        <v>2</v>
      </c>
      <c r="J90" s="1">
        <v>2.8</v>
      </c>
      <c r="K90" s="1">
        <v>2.8</v>
      </c>
      <c r="L90" s="1">
        <v>2.65</v>
      </c>
      <c r="M90" s="1">
        <v>2.4500000000000002</v>
      </c>
      <c r="N90" s="1">
        <v>2.4700000000000002</v>
      </c>
      <c r="O90" s="1">
        <v>2.12</v>
      </c>
    </row>
    <row r="91" spans="1:15" x14ac:dyDescent="0.25">
      <c r="A91" s="1" t="s">
        <v>30</v>
      </c>
      <c r="B91" s="1" t="s">
        <v>66</v>
      </c>
      <c r="C91" s="1" t="s">
        <v>51</v>
      </c>
      <c r="D91" s="1" t="s">
        <v>21</v>
      </c>
      <c r="E91" s="1" t="s">
        <v>2</v>
      </c>
      <c r="F91" s="1">
        <v>2.72</v>
      </c>
      <c r="G91" s="1">
        <v>2.65</v>
      </c>
      <c r="H91" s="1">
        <v>2.8</v>
      </c>
      <c r="I91" s="1">
        <v>2.8</v>
      </c>
      <c r="J91" s="1">
        <v>2.8</v>
      </c>
      <c r="K91" s="1">
        <v>2.8</v>
      </c>
      <c r="L91" s="1">
        <v>2.6</v>
      </c>
      <c r="M91" s="1">
        <v>2.2000000000000002</v>
      </c>
      <c r="N91" s="1">
        <v>2.19</v>
      </c>
      <c r="O91" s="1">
        <v>2.0499999999999998</v>
      </c>
    </row>
    <row r="92" spans="1:15" x14ac:dyDescent="0.25">
      <c r="A92" s="1" t="s">
        <v>30</v>
      </c>
      <c r="B92" s="1" t="s">
        <v>66</v>
      </c>
      <c r="C92" s="1" t="s">
        <v>53</v>
      </c>
      <c r="D92" s="1" t="s">
        <v>21</v>
      </c>
      <c r="E92" s="1" t="s">
        <v>2</v>
      </c>
      <c r="F92" s="1">
        <v>2.72</v>
      </c>
      <c r="G92" s="1">
        <v>2.65</v>
      </c>
      <c r="H92" s="1">
        <v>2.65</v>
      </c>
      <c r="I92" s="1">
        <v>2.8</v>
      </c>
      <c r="J92" s="1">
        <v>2.8</v>
      </c>
      <c r="K92" s="1">
        <v>2.8</v>
      </c>
      <c r="L92" s="1">
        <v>2.8</v>
      </c>
      <c r="M92" s="1">
        <v>2.65</v>
      </c>
      <c r="N92" s="1">
        <v>2.4700000000000002</v>
      </c>
      <c r="O92" s="1">
        <v>2.06</v>
      </c>
    </row>
    <row r="93" spans="1:15" x14ac:dyDescent="0.25">
      <c r="A93" s="1" t="s">
        <v>30</v>
      </c>
      <c r="B93" s="1" t="s">
        <v>66</v>
      </c>
      <c r="C93" s="1" t="s">
        <v>54</v>
      </c>
      <c r="D93" s="1" t="s">
        <v>16</v>
      </c>
      <c r="E93" s="1" t="s">
        <v>2</v>
      </c>
      <c r="J93" s="1">
        <v>2.8</v>
      </c>
      <c r="K93" s="1">
        <v>2.8</v>
      </c>
      <c r="L93" s="1">
        <v>2.65</v>
      </c>
      <c r="M93" s="1">
        <v>2.4500000000000002</v>
      </c>
      <c r="N93" s="1">
        <v>2.4700000000000002</v>
      </c>
      <c r="O93" s="1">
        <v>2.06</v>
      </c>
    </row>
    <row r="94" spans="1:15" x14ac:dyDescent="0.25">
      <c r="A94" s="1" t="s">
        <v>30</v>
      </c>
      <c r="B94" s="1" t="s">
        <v>66</v>
      </c>
      <c r="C94" s="1" t="s">
        <v>54</v>
      </c>
      <c r="D94" s="1" t="s">
        <v>21</v>
      </c>
      <c r="E94" s="1" t="s">
        <v>2</v>
      </c>
      <c r="F94" s="1">
        <v>2.72</v>
      </c>
      <c r="G94" s="1">
        <v>2.65</v>
      </c>
      <c r="H94" s="1">
        <v>2.65</v>
      </c>
      <c r="J94" s="1">
        <v>2.8</v>
      </c>
      <c r="K94" s="1">
        <v>2.8</v>
      </c>
      <c r="L94" s="1">
        <v>2.65</v>
      </c>
      <c r="M94" s="1">
        <v>2.4500000000000002</v>
      </c>
      <c r="N94" s="1">
        <v>2.4700000000000002</v>
      </c>
      <c r="O94" s="1">
        <v>2.06</v>
      </c>
    </row>
    <row r="95" spans="1:15" x14ac:dyDescent="0.25">
      <c r="A95" s="1" t="s">
        <v>30</v>
      </c>
      <c r="B95" s="1" t="s">
        <v>66</v>
      </c>
      <c r="C95" s="1" t="s">
        <v>56</v>
      </c>
      <c r="D95" s="1" t="s">
        <v>21</v>
      </c>
      <c r="E95" s="1" t="s">
        <v>2</v>
      </c>
      <c r="F95" s="1">
        <v>2.72</v>
      </c>
      <c r="G95" s="1">
        <v>2.65</v>
      </c>
      <c r="H95" s="1">
        <v>2.8</v>
      </c>
      <c r="I95" s="1">
        <v>2.8</v>
      </c>
      <c r="J95" s="1">
        <v>2.8</v>
      </c>
      <c r="K95" s="1">
        <v>2.8</v>
      </c>
      <c r="L95" s="1">
        <v>2.6</v>
      </c>
      <c r="M95" s="1">
        <v>2.2000000000000002</v>
      </c>
      <c r="N95" s="1">
        <v>2.19</v>
      </c>
      <c r="O95" s="1">
        <v>2.0499999999999998</v>
      </c>
    </row>
    <row r="96" spans="1:15" x14ac:dyDescent="0.25">
      <c r="A96" s="1" t="s">
        <v>30</v>
      </c>
      <c r="B96" s="1" t="s">
        <v>66</v>
      </c>
      <c r="C96" s="1" t="s">
        <v>57</v>
      </c>
      <c r="D96" s="1" t="s">
        <v>21</v>
      </c>
      <c r="E96" s="1" t="s">
        <v>2</v>
      </c>
      <c r="F96" s="1">
        <v>2.72</v>
      </c>
      <c r="G96" s="1">
        <v>2.65</v>
      </c>
      <c r="H96" s="1">
        <v>2.8</v>
      </c>
      <c r="I96" s="1">
        <v>2.8</v>
      </c>
      <c r="J96" s="1">
        <v>2.8</v>
      </c>
      <c r="K96" s="1">
        <v>2.8</v>
      </c>
      <c r="L96" s="1">
        <v>2.6</v>
      </c>
      <c r="M96" s="1">
        <v>2.2000000000000002</v>
      </c>
      <c r="N96" s="1">
        <v>2.19</v>
      </c>
      <c r="O96" s="1">
        <v>2.0499999999999998</v>
      </c>
    </row>
    <row r="97" spans="1:15" x14ac:dyDescent="0.25">
      <c r="A97" s="1" t="s">
        <v>30</v>
      </c>
      <c r="B97" s="1" t="s">
        <v>66</v>
      </c>
      <c r="C97" s="1" t="s">
        <v>58</v>
      </c>
      <c r="D97" s="1" t="s">
        <v>21</v>
      </c>
      <c r="E97" s="1" t="s">
        <v>2</v>
      </c>
      <c r="F97" s="1">
        <v>2.72</v>
      </c>
      <c r="G97" s="1">
        <v>2.65</v>
      </c>
      <c r="H97" s="1">
        <v>2.65</v>
      </c>
      <c r="J97" s="1">
        <v>2.8</v>
      </c>
      <c r="K97" s="1">
        <v>2.8</v>
      </c>
      <c r="L97" s="1">
        <v>2.6</v>
      </c>
      <c r="M97" s="1">
        <v>2.2000000000000002</v>
      </c>
      <c r="N97" s="1">
        <v>2.19</v>
      </c>
      <c r="O97" s="1">
        <v>2.0499999999999998</v>
      </c>
    </row>
    <row r="98" spans="1:15" x14ac:dyDescent="0.25">
      <c r="A98" s="1" t="s">
        <v>30</v>
      </c>
      <c r="B98" s="1" t="s">
        <v>66</v>
      </c>
      <c r="C98" s="1" t="s">
        <v>59</v>
      </c>
      <c r="D98" s="1" t="s">
        <v>21</v>
      </c>
      <c r="E98" s="1" t="s">
        <v>2</v>
      </c>
      <c r="F98" s="1">
        <v>2.72</v>
      </c>
      <c r="G98" s="1">
        <v>2.65</v>
      </c>
      <c r="H98" s="1">
        <v>2.8</v>
      </c>
      <c r="I98" s="1">
        <v>2.8</v>
      </c>
      <c r="J98" s="1">
        <v>2.8</v>
      </c>
      <c r="K98" s="1">
        <v>2.8</v>
      </c>
      <c r="L98" s="1">
        <v>2.65</v>
      </c>
      <c r="M98" s="1">
        <v>2.4500000000000002</v>
      </c>
      <c r="N98" s="1">
        <v>2.4700000000000002</v>
      </c>
      <c r="O98" s="1">
        <v>2.06</v>
      </c>
    </row>
    <row r="99" spans="1:15" x14ac:dyDescent="0.25">
      <c r="A99" s="1" t="s">
        <v>30</v>
      </c>
      <c r="B99" s="1" t="s">
        <v>66</v>
      </c>
      <c r="C99" s="1" t="s">
        <v>62</v>
      </c>
      <c r="D99" s="1" t="s">
        <v>21</v>
      </c>
      <c r="E99" s="1" t="s">
        <v>2</v>
      </c>
      <c r="F99" s="1">
        <v>2.72</v>
      </c>
      <c r="G99" s="1">
        <v>2.65</v>
      </c>
      <c r="H99" s="1">
        <v>2.65</v>
      </c>
      <c r="J99" s="1">
        <v>2.8</v>
      </c>
      <c r="K99" s="1">
        <v>2.8</v>
      </c>
      <c r="L99" s="1">
        <v>2.65</v>
      </c>
      <c r="M99" s="1">
        <v>2.4500000000000002</v>
      </c>
      <c r="N99" s="1">
        <v>2.4700000000000002</v>
      </c>
      <c r="O99" s="1">
        <v>2.06</v>
      </c>
    </row>
    <row r="100" spans="1:15" x14ac:dyDescent="0.25">
      <c r="A100" s="1" t="s">
        <v>30</v>
      </c>
      <c r="B100" s="1" t="s">
        <v>66</v>
      </c>
      <c r="C100" s="1" t="s">
        <v>60</v>
      </c>
      <c r="D100" s="1" t="s">
        <v>21</v>
      </c>
      <c r="E100" s="1" t="s">
        <v>2</v>
      </c>
      <c r="F100" s="1">
        <v>2.72</v>
      </c>
      <c r="G100" s="1">
        <v>2.65</v>
      </c>
      <c r="H100" s="1">
        <v>2.65</v>
      </c>
      <c r="J100" s="1">
        <v>2.8</v>
      </c>
      <c r="K100" s="1">
        <v>2.8</v>
      </c>
      <c r="L100" s="1">
        <v>2.65</v>
      </c>
      <c r="M100" s="1">
        <v>2.4500000000000002</v>
      </c>
      <c r="N100" s="1">
        <v>2.4700000000000002</v>
      </c>
      <c r="O100" s="1">
        <v>2.06</v>
      </c>
    </row>
    <row r="101" spans="1:15" x14ac:dyDescent="0.25">
      <c r="A101" s="1" t="s">
        <v>30</v>
      </c>
      <c r="B101" s="1" t="s">
        <v>66</v>
      </c>
      <c r="C101" s="1" t="s">
        <v>61</v>
      </c>
      <c r="D101" s="1" t="s">
        <v>21</v>
      </c>
      <c r="E101" s="1" t="s">
        <v>2</v>
      </c>
      <c r="F101" s="1">
        <v>2.72</v>
      </c>
      <c r="G101" s="1">
        <v>2.65</v>
      </c>
      <c r="H101" s="1">
        <v>2.65</v>
      </c>
      <c r="I101" s="1">
        <v>2.65</v>
      </c>
      <c r="J101" s="1">
        <v>2.8</v>
      </c>
      <c r="K101" s="1">
        <v>2.8</v>
      </c>
      <c r="L101" s="1">
        <v>2.65</v>
      </c>
      <c r="M101" s="1">
        <v>2.4500000000000002</v>
      </c>
      <c r="N101" s="1">
        <v>2.4700000000000002</v>
      </c>
      <c r="O101" s="1">
        <v>2.06</v>
      </c>
    </row>
    <row r="102" spans="1:15" x14ac:dyDescent="0.25">
      <c r="A102" s="1" t="s">
        <v>30</v>
      </c>
      <c r="B102" s="1" t="s">
        <v>66</v>
      </c>
      <c r="C102" s="1" t="s">
        <v>63</v>
      </c>
      <c r="D102" s="1" t="s">
        <v>21</v>
      </c>
      <c r="E102" s="1" t="s">
        <v>2</v>
      </c>
      <c r="F102" s="1">
        <v>2.72</v>
      </c>
      <c r="G102" s="1">
        <v>2.65</v>
      </c>
      <c r="H102" s="1">
        <v>2.65</v>
      </c>
      <c r="J102" s="1">
        <v>2.8</v>
      </c>
      <c r="K102" s="1">
        <v>2.8</v>
      </c>
      <c r="L102" s="1">
        <v>2.65</v>
      </c>
      <c r="M102" s="1">
        <v>2.4500000000000002</v>
      </c>
      <c r="N102" s="1">
        <v>2.4700000000000002</v>
      </c>
      <c r="O102" s="1">
        <v>2.06</v>
      </c>
    </row>
    <row r="103" spans="1:15" x14ac:dyDescent="0.25">
      <c r="A103" s="1" t="s">
        <v>30</v>
      </c>
      <c r="B103" s="1" t="s">
        <v>66</v>
      </c>
      <c r="C103" s="1" t="s">
        <v>64</v>
      </c>
      <c r="D103" s="1" t="s">
        <v>21</v>
      </c>
      <c r="E103" s="1" t="s">
        <v>2</v>
      </c>
      <c r="F103" s="1">
        <v>2.72</v>
      </c>
      <c r="G103" s="1">
        <v>2.65</v>
      </c>
      <c r="H103" s="1">
        <v>2.65</v>
      </c>
      <c r="J103" s="1">
        <v>2.8</v>
      </c>
      <c r="K103" s="1">
        <v>2.8</v>
      </c>
      <c r="L103" s="1">
        <v>2.65</v>
      </c>
      <c r="M103" s="1">
        <v>2.4500000000000002</v>
      </c>
      <c r="N103" s="1">
        <v>2.4700000000000002</v>
      </c>
      <c r="O103" s="1">
        <v>2.06</v>
      </c>
    </row>
    <row r="104" spans="1:15" x14ac:dyDescent="0.25">
      <c r="A104" s="1" t="s">
        <v>30</v>
      </c>
      <c r="B104" s="1" t="s">
        <v>66</v>
      </c>
      <c r="C104" s="1" t="s">
        <v>65</v>
      </c>
      <c r="D104" s="1" t="s">
        <v>21</v>
      </c>
      <c r="E104" s="1" t="s">
        <v>2</v>
      </c>
      <c r="F104" s="1">
        <v>2.72</v>
      </c>
      <c r="G104" s="1">
        <v>2.65</v>
      </c>
      <c r="H104" s="1">
        <v>2.65</v>
      </c>
      <c r="J104" s="1">
        <v>2.8</v>
      </c>
      <c r="K104" s="1">
        <v>2.8</v>
      </c>
      <c r="L104" s="1">
        <v>2.65</v>
      </c>
      <c r="M104" s="1">
        <v>2.4500000000000002</v>
      </c>
      <c r="N104" s="1">
        <v>2.4700000000000002</v>
      </c>
      <c r="O104" s="1">
        <v>2.06</v>
      </c>
    </row>
    <row r="105" spans="1:15" x14ac:dyDescent="0.25">
      <c r="A105" s="1" t="s">
        <v>24</v>
      </c>
      <c r="B105" s="1" t="s">
        <v>66</v>
      </c>
      <c r="C105" s="1" t="s">
        <v>68</v>
      </c>
      <c r="D105" s="1" t="s">
        <v>21</v>
      </c>
      <c r="E105" s="1" t="s">
        <v>2</v>
      </c>
      <c r="F105" s="1">
        <v>2.72</v>
      </c>
      <c r="G105" s="1">
        <v>2.65</v>
      </c>
      <c r="H105" s="1">
        <v>2.8</v>
      </c>
      <c r="I105" s="1">
        <v>2.8</v>
      </c>
      <c r="J105" s="1">
        <v>2.8</v>
      </c>
      <c r="K105" s="1">
        <v>2.8</v>
      </c>
      <c r="L105" s="1">
        <v>2.65</v>
      </c>
      <c r="M105" s="1">
        <v>2.4500000000000002</v>
      </c>
      <c r="N105" s="1">
        <v>2.4700000000000002</v>
      </c>
      <c r="O105" s="1">
        <v>2.06</v>
      </c>
    </row>
    <row r="106" spans="1:15" x14ac:dyDescent="0.25">
      <c r="A106" s="1" t="s">
        <v>81</v>
      </c>
      <c r="B106" s="1" t="s">
        <v>85</v>
      </c>
      <c r="D106" s="1" t="s">
        <v>86</v>
      </c>
      <c r="F106" s="1">
        <v>44</v>
      </c>
      <c r="G106" s="1">
        <v>42</v>
      </c>
      <c r="H106" s="1">
        <v>44</v>
      </c>
      <c r="I106" s="1">
        <v>44</v>
      </c>
      <c r="J106" s="1">
        <v>46</v>
      </c>
      <c r="K106" s="1">
        <v>43</v>
      </c>
      <c r="L106" s="1">
        <v>39</v>
      </c>
      <c r="M106" s="1">
        <v>34</v>
      </c>
      <c r="N106" s="1">
        <v>24</v>
      </c>
      <c r="O106" s="1">
        <v>19</v>
      </c>
    </row>
    <row r="107" spans="1:15" x14ac:dyDescent="0.25">
      <c r="A107" s="1" t="s">
        <v>26</v>
      </c>
      <c r="B107" s="1" t="s">
        <v>85</v>
      </c>
      <c r="D107" s="1" t="s">
        <v>86</v>
      </c>
      <c r="F107" s="1">
        <v>44</v>
      </c>
      <c r="G107" s="1">
        <v>42</v>
      </c>
      <c r="H107" s="1">
        <v>44</v>
      </c>
      <c r="I107" s="1">
        <v>44</v>
      </c>
      <c r="J107" s="1">
        <v>46</v>
      </c>
      <c r="K107" s="1">
        <v>43</v>
      </c>
      <c r="L107" s="1">
        <v>39</v>
      </c>
      <c r="M107" s="1">
        <v>34</v>
      </c>
      <c r="N107" s="1">
        <v>24</v>
      </c>
      <c r="O107" s="1">
        <v>24</v>
      </c>
    </row>
    <row r="108" spans="1:15" x14ac:dyDescent="0.25">
      <c r="A108" s="1" t="s">
        <v>9</v>
      </c>
      <c r="B108" s="1" t="s">
        <v>85</v>
      </c>
      <c r="D108" s="1" t="s">
        <v>86</v>
      </c>
      <c r="F108" s="1">
        <v>44</v>
      </c>
      <c r="G108" s="1">
        <v>42</v>
      </c>
      <c r="H108" s="1">
        <v>42</v>
      </c>
      <c r="J108" s="1">
        <v>46</v>
      </c>
      <c r="K108" s="1">
        <v>43</v>
      </c>
      <c r="M108" s="1">
        <v>34</v>
      </c>
      <c r="N108" s="1">
        <v>31</v>
      </c>
      <c r="O108" s="1">
        <v>23</v>
      </c>
    </row>
    <row r="109" spans="1:15" x14ac:dyDescent="0.25">
      <c r="A109" s="1" t="s">
        <v>33</v>
      </c>
      <c r="B109" s="1" t="s">
        <v>85</v>
      </c>
      <c r="D109" s="1" t="s">
        <v>86</v>
      </c>
      <c r="F109" s="1">
        <v>44</v>
      </c>
      <c r="G109" s="1">
        <v>42</v>
      </c>
      <c r="H109" s="1">
        <v>42</v>
      </c>
      <c r="J109" s="1">
        <v>46</v>
      </c>
      <c r="K109" s="1">
        <v>43</v>
      </c>
      <c r="M109" s="1">
        <v>34</v>
      </c>
      <c r="N109" s="1">
        <v>24</v>
      </c>
      <c r="O109" s="1">
        <v>24</v>
      </c>
    </row>
    <row r="110" spans="1:15" x14ac:dyDescent="0.25">
      <c r="A110" s="1" t="s">
        <v>82</v>
      </c>
      <c r="B110" s="1" t="s">
        <v>85</v>
      </c>
      <c r="D110" s="1" t="s">
        <v>86</v>
      </c>
      <c r="F110" s="1">
        <v>44</v>
      </c>
      <c r="G110" s="1">
        <v>42</v>
      </c>
      <c r="H110" s="1">
        <v>44</v>
      </c>
      <c r="I110" s="1">
        <v>44</v>
      </c>
      <c r="J110" s="1">
        <v>46</v>
      </c>
      <c r="K110" s="1">
        <v>43</v>
      </c>
      <c r="L110" s="1">
        <v>39</v>
      </c>
      <c r="M110" s="1">
        <v>34</v>
      </c>
      <c r="N110" s="1">
        <v>24</v>
      </c>
      <c r="O110" s="1">
        <v>19</v>
      </c>
    </row>
    <row r="111" spans="1:15" x14ac:dyDescent="0.25">
      <c r="A111" s="1" t="s">
        <v>27</v>
      </c>
      <c r="B111" s="1" t="s">
        <v>85</v>
      </c>
      <c r="D111" s="1" t="s">
        <v>86</v>
      </c>
      <c r="F111" s="1">
        <v>44</v>
      </c>
      <c r="G111" s="1">
        <v>42</v>
      </c>
      <c r="H111" s="1">
        <v>42</v>
      </c>
      <c r="J111" s="1">
        <v>46</v>
      </c>
      <c r="K111" s="1">
        <v>43</v>
      </c>
      <c r="L111" s="1">
        <v>39</v>
      </c>
      <c r="M111" s="1">
        <v>34</v>
      </c>
      <c r="N111" s="1">
        <v>24</v>
      </c>
      <c r="O111" s="1">
        <v>19</v>
      </c>
    </row>
    <row r="112" spans="1:15" x14ac:dyDescent="0.25">
      <c r="A112" s="1" t="s">
        <v>24</v>
      </c>
      <c r="B112" s="1" t="s">
        <v>85</v>
      </c>
      <c r="D112" s="1" t="s">
        <v>86</v>
      </c>
      <c r="F112" s="1">
        <v>44</v>
      </c>
      <c r="G112" s="1">
        <v>42</v>
      </c>
      <c r="H112" s="1">
        <v>42</v>
      </c>
      <c r="I112" s="1">
        <v>44</v>
      </c>
      <c r="J112" s="1">
        <v>46</v>
      </c>
      <c r="K112" s="1">
        <v>43</v>
      </c>
      <c r="L112" s="1">
        <v>39</v>
      </c>
      <c r="M112" s="1">
        <v>34</v>
      </c>
      <c r="N112" s="1">
        <v>24</v>
      </c>
      <c r="O112" s="1">
        <v>23</v>
      </c>
    </row>
    <row r="113" spans="1:15" x14ac:dyDescent="0.25">
      <c r="A113" s="1" t="s">
        <v>83</v>
      </c>
      <c r="B113" s="1" t="s">
        <v>85</v>
      </c>
      <c r="D113" s="1" t="s">
        <v>86</v>
      </c>
      <c r="F113" s="1">
        <v>44</v>
      </c>
      <c r="G113" s="1">
        <v>42</v>
      </c>
      <c r="H113" s="1">
        <v>44</v>
      </c>
      <c r="I113" s="1">
        <v>44</v>
      </c>
      <c r="J113" s="1">
        <v>46</v>
      </c>
      <c r="K113" s="1">
        <v>43</v>
      </c>
      <c r="L113" s="1">
        <v>39</v>
      </c>
      <c r="M113" s="1">
        <v>34</v>
      </c>
      <c r="N113" s="1">
        <v>25</v>
      </c>
      <c r="O113" s="1">
        <v>19</v>
      </c>
    </row>
    <row r="114" spans="1:15" x14ac:dyDescent="0.25">
      <c r="A114" s="1" t="s">
        <v>25</v>
      </c>
      <c r="B114" s="1" t="s">
        <v>85</v>
      </c>
      <c r="D114" s="1" t="s">
        <v>86</v>
      </c>
      <c r="F114" s="1">
        <v>44</v>
      </c>
      <c r="G114" s="1">
        <v>42</v>
      </c>
      <c r="H114" s="1">
        <v>42</v>
      </c>
      <c r="I114" s="1">
        <v>44</v>
      </c>
      <c r="J114" s="1">
        <v>46</v>
      </c>
      <c r="K114" s="1">
        <v>43</v>
      </c>
      <c r="L114" s="1">
        <v>39</v>
      </c>
      <c r="M114" s="1">
        <v>34</v>
      </c>
      <c r="N114" s="1">
        <v>24</v>
      </c>
      <c r="O114" s="1">
        <v>19</v>
      </c>
    </row>
    <row r="115" spans="1:15" x14ac:dyDescent="0.25">
      <c r="A115" s="1" t="s">
        <v>12</v>
      </c>
      <c r="B115" s="1" t="s">
        <v>85</v>
      </c>
      <c r="D115" s="1" t="s">
        <v>86</v>
      </c>
      <c r="F115" s="1">
        <v>44</v>
      </c>
      <c r="G115" s="1">
        <v>42</v>
      </c>
      <c r="H115" s="1">
        <v>42</v>
      </c>
      <c r="I115" s="1">
        <v>44</v>
      </c>
      <c r="J115" s="1">
        <v>46</v>
      </c>
      <c r="K115" s="1">
        <v>43</v>
      </c>
      <c r="L115" s="1">
        <v>39</v>
      </c>
      <c r="M115" s="1">
        <v>34</v>
      </c>
      <c r="N115" s="1">
        <v>25</v>
      </c>
      <c r="O115" s="1">
        <v>21</v>
      </c>
    </row>
    <row r="116" spans="1:15" x14ac:dyDescent="0.25">
      <c r="A116" s="1" t="s">
        <v>84</v>
      </c>
      <c r="B116" s="1" t="s">
        <v>85</v>
      </c>
      <c r="D116" s="1" t="s">
        <v>86</v>
      </c>
      <c r="F116" s="1">
        <v>44</v>
      </c>
      <c r="G116" s="1">
        <v>42</v>
      </c>
      <c r="H116" s="1">
        <v>44</v>
      </c>
      <c r="I116" s="1">
        <v>44</v>
      </c>
      <c r="J116" s="1">
        <v>46</v>
      </c>
      <c r="K116" s="1">
        <v>43</v>
      </c>
      <c r="L116" s="1">
        <v>39</v>
      </c>
      <c r="M116" s="1">
        <v>34</v>
      </c>
      <c r="N116" s="1">
        <v>24</v>
      </c>
      <c r="O116" s="1">
        <v>24</v>
      </c>
    </row>
    <row r="117" spans="1:15" x14ac:dyDescent="0.25">
      <c r="A117" s="1" t="s">
        <v>186</v>
      </c>
      <c r="B117" s="1" t="s">
        <v>187</v>
      </c>
      <c r="D117" s="1" t="s">
        <v>16</v>
      </c>
      <c r="E117" s="1" t="s">
        <v>2</v>
      </c>
      <c r="F117" s="1">
        <v>1864</v>
      </c>
      <c r="G117" s="1">
        <v>1878</v>
      </c>
      <c r="H117" s="1">
        <v>1878</v>
      </c>
      <c r="I117" s="1">
        <v>1878</v>
      </c>
      <c r="J117" s="1">
        <v>1886</v>
      </c>
      <c r="K117" s="1">
        <v>1886</v>
      </c>
      <c r="L117" s="1">
        <v>1961</v>
      </c>
      <c r="M117" s="1">
        <v>1893</v>
      </c>
      <c r="N117" s="1">
        <v>1810</v>
      </c>
      <c r="O117" s="1">
        <v>1481</v>
      </c>
    </row>
    <row r="118" spans="1:15" x14ac:dyDescent="0.25">
      <c r="A118" s="1" t="s">
        <v>30</v>
      </c>
      <c r="B118" s="1" t="s">
        <v>187</v>
      </c>
      <c r="D118" s="1" t="s">
        <v>16</v>
      </c>
      <c r="E118" s="1" t="s">
        <v>2</v>
      </c>
      <c r="F118" s="1">
        <v>1864</v>
      </c>
      <c r="G118" s="1">
        <v>1878</v>
      </c>
      <c r="H118" s="1">
        <v>1878</v>
      </c>
      <c r="I118" s="1">
        <v>1878</v>
      </c>
      <c r="J118" s="1">
        <v>1886</v>
      </c>
      <c r="K118" s="1">
        <v>1886</v>
      </c>
      <c r="L118" s="1">
        <v>1961</v>
      </c>
      <c r="M118" s="1">
        <v>1893</v>
      </c>
      <c r="N118" s="1">
        <v>2482</v>
      </c>
      <c r="O118" s="1">
        <v>3662</v>
      </c>
    </row>
    <row r="119" spans="1:15" x14ac:dyDescent="0.25">
      <c r="A119" s="1" t="s">
        <v>84</v>
      </c>
      <c r="B119" s="1" t="s">
        <v>187</v>
      </c>
      <c r="D119" s="1" t="s">
        <v>16</v>
      </c>
      <c r="E119" s="1" t="s">
        <v>2</v>
      </c>
      <c r="F119" s="1">
        <v>1864</v>
      </c>
      <c r="G119" s="1">
        <v>1878</v>
      </c>
      <c r="H119" s="1">
        <v>1878</v>
      </c>
      <c r="I119" s="1">
        <v>1878</v>
      </c>
      <c r="J119" s="1">
        <v>1886</v>
      </c>
      <c r="K119" s="1">
        <v>1886</v>
      </c>
      <c r="L119" s="1">
        <v>1961</v>
      </c>
      <c r="M119" s="1">
        <v>1893</v>
      </c>
      <c r="N119" s="1">
        <v>1810</v>
      </c>
      <c r="O119" s="1">
        <v>1481</v>
      </c>
    </row>
    <row r="120" spans="1:15" x14ac:dyDescent="0.25">
      <c r="A120" s="1" t="s">
        <v>20</v>
      </c>
      <c r="B120" s="1" t="s">
        <v>87</v>
      </c>
      <c r="C120" s="1" t="s">
        <v>88</v>
      </c>
      <c r="D120" s="1" t="s">
        <v>16</v>
      </c>
      <c r="E120" s="1" t="s">
        <v>2</v>
      </c>
      <c r="F120" s="1">
        <v>204</v>
      </c>
      <c r="G120" s="1">
        <v>188</v>
      </c>
      <c r="H120" s="1">
        <v>188</v>
      </c>
      <c r="I120" s="1">
        <v>213</v>
      </c>
      <c r="J120" s="1">
        <v>213</v>
      </c>
      <c r="K120" s="1">
        <v>227</v>
      </c>
      <c r="L120" s="1">
        <v>229</v>
      </c>
      <c r="M120" s="1">
        <v>229</v>
      </c>
      <c r="N120" s="1">
        <v>188</v>
      </c>
      <c r="O120" s="1">
        <v>146</v>
      </c>
    </row>
    <row r="121" spans="1:15" x14ac:dyDescent="0.25">
      <c r="A121" s="1" t="s">
        <v>20</v>
      </c>
      <c r="B121" s="1" t="s">
        <v>87</v>
      </c>
      <c r="C121" s="1" t="s">
        <v>89</v>
      </c>
      <c r="D121" s="1" t="s">
        <v>16</v>
      </c>
      <c r="E121" s="1" t="s">
        <v>2</v>
      </c>
      <c r="K121" s="1">
        <v>229</v>
      </c>
      <c r="L121" s="1">
        <v>229</v>
      </c>
      <c r="M121" s="1">
        <v>229</v>
      </c>
      <c r="N121" s="1">
        <v>188</v>
      </c>
      <c r="O121" s="1">
        <v>146</v>
      </c>
    </row>
    <row r="122" spans="1:15" x14ac:dyDescent="0.25">
      <c r="A122" s="1" t="s">
        <v>25</v>
      </c>
      <c r="B122" s="1" t="s">
        <v>87</v>
      </c>
      <c r="C122" s="1" t="s">
        <v>89</v>
      </c>
      <c r="D122" s="1" t="s">
        <v>16</v>
      </c>
      <c r="E122" s="1" t="s">
        <v>2</v>
      </c>
      <c r="F122" s="1">
        <v>204</v>
      </c>
      <c r="G122" s="1">
        <v>188</v>
      </c>
      <c r="H122" s="1">
        <v>188</v>
      </c>
      <c r="J122" s="1">
        <v>213</v>
      </c>
      <c r="K122" s="1">
        <v>227</v>
      </c>
      <c r="L122" s="1">
        <v>229</v>
      </c>
      <c r="M122" s="1">
        <v>229</v>
      </c>
      <c r="N122" s="1">
        <v>188</v>
      </c>
      <c r="O122" s="1">
        <v>146</v>
      </c>
    </row>
    <row r="123" spans="1:15" x14ac:dyDescent="0.25">
      <c r="A123" s="1" t="s">
        <v>26</v>
      </c>
      <c r="B123" s="1" t="s">
        <v>90</v>
      </c>
      <c r="C123" s="1" t="s">
        <v>91</v>
      </c>
      <c r="D123" s="1" t="s">
        <v>16</v>
      </c>
      <c r="E123" s="1" t="s">
        <v>2</v>
      </c>
      <c r="F123" s="1">
        <v>16.57</v>
      </c>
      <c r="G123" s="1">
        <v>16.57</v>
      </c>
      <c r="H123" s="1">
        <v>16.57</v>
      </c>
      <c r="I123" s="1">
        <v>16.3</v>
      </c>
      <c r="J123" s="1">
        <v>16</v>
      </c>
      <c r="K123" s="1">
        <v>16</v>
      </c>
      <c r="L123" s="1">
        <v>15.8</v>
      </c>
      <c r="M123" s="1">
        <v>12.37</v>
      </c>
      <c r="N123" s="1">
        <v>10.52</v>
      </c>
      <c r="O123" s="1">
        <v>9.8800000000000008</v>
      </c>
    </row>
    <row r="124" spans="1:15" x14ac:dyDescent="0.25">
      <c r="A124" s="1" t="s">
        <v>26</v>
      </c>
      <c r="B124" s="1" t="s">
        <v>90</v>
      </c>
      <c r="C124" s="1" t="s">
        <v>92</v>
      </c>
      <c r="D124" s="1" t="s">
        <v>16</v>
      </c>
      <c r="E124" s="1" t="s">
        <v>2</v>
      </c>
      <c r="F124" s="1">
        <v>16.57</v>
      </c>
      <c r="G124" s="1">
        <v>16.57</v>
      </c>
      <c r="H124" s="1">
        <v>16.57</v>
      </c>
      <c r="I124" s="1">
        <v>16.3</v>
      </c>
      <c r="J124" s="1">
        <v>16</v>
      </c>
      <c r="K124" s="1">
        <v>16</v>
      </c>
      <c r="L124" s="1">
        <v>15.8</v>
      </c>
      <c r="M124" s="1">
        <v>12.37</v>
      </c>
      <c r="N124" s="1">
        <v>12.02</v>
      </c>
      <c r="O124" s="1">
        <v>9.32</v>
      </c>
    </row>
    <row r="125" spans="1:15" x14ac:dyDescent="0.25">
      <c r="A125" s="1" t="s">
        <v>26</v>
      </c>
      <c r="B125" s="1" t="s">
        <v>90</v>
      </c>
      <c r="C125" s="1" t="s">
        <v>93</v>
      </c>
      <c r="D125" s="1" t="s">
        <v>16</v>
      </c>
      <c r="E125" s="1" t="s">
        <v>2</v>
      </c>
      <c r="F125" s="1">
        <v>16.57</v>
      </c>
      <c r="G125" s="1">
        <v>16.57</v>
      </c>
      <c r="H125" s="1">
        <v>16.57</v>
      </c>
      <c r="I125" s="1">
        <v>16.3</v>
      </c>
      <c r="J125" s="1">
        <v>16</v>
      </c>
      <c r="K125" s="1">
        <v>16</v>
      </c>
      <c r="L125" s="1">
        <v>15.8</v>
      </c>
      <c r="M125" s="1">
        <v>12.37</v>
      </c>
      <c r="N125" s="1">
        <v>9.09</v>
      </c>
      <c r="O125" s="1">
        <v>5.83</v>
      </c>
    </row>
    <row r="126" spans="1:15" x14ac:dyDescent="0.25">
      <c r="A126" s="1" t="s">
        <v>26</v>
      </c>
      <c r="B126" s="1" t="s">
        <v>90</v>
      </c>
      <c r="C126" s="1" t="s">
        <v>22</v>
      </c>
      <c r="D126" s="1" t="s">
        <v>16</v>
      </c>
      <c r="E126" s="1" t="s">
        <v>2</v>
      </c>
      <c r="F126" s="1">
        <v>16.57</v>
      </c>
      <c r="G126" s="1">
        <v>16.57</v>
      </c>
      <c r="H126" s="1">
        <v>16.57</v>
      </c>
      <c r="I126" s="1">
        <v>16.23</v>
      </c>
      <c r="J126" s="1">
        <v>15.93</v>
      </c>
      <c r="K126" s="1">
        <v>15.93</v>
      </c>
      <c r="L126" s="1">
        <v>15.83</v>
      </c>
      <c r="M126" s="1">
        <v>15.57</v>
      </c>
      <c r="N126" s="1">
        <v>13.8</v>
      </c>
      <c r="O126" s="1">
        <v>11.42</v>
      </c>
    </row>
    <row r="127" spans="1:15" x14ac:dyDescent="0.25">
      <c r="A127" s="1" t="s">
        <v>20</v>
      </c>
      <c r="B127" s="1" t="s">
        <v>90</v>
      </c>
      <c r="C127" s="1" t="s">
        <v>93</v>
      </c>
      <c r="D127" s="1" t="s">
        <v>16</v>
      </c>
      <c r="E127" s="1" t="s">
        <v>2</v>
      </c>
      <c r="F127" s="1">
        <v>16.57</v>
      </c>
      <c r="G127" s="1">
        <v>16.57</v>
      </c>
      <c r="H127" s="1">
        <v>16.57</v>
      </c>
      <c r="I127" s="1">
        <v>16.3</v>
      </c>
      <c r="J127" s="1">
        <v>16</v>
      </c>
      <c r="K127" s="1">
        <v>16</v>
      </c>
      <c r="L127" s="1">
        <v>15.8</v>
      </c>
      <c r="M127" s="1">
        <v>11.86</v>
      </c>
      <c r="N127" s="1">
        <v>7.08</v>
      </c>
      <c r="O127" s="1">
        <v>2.2799999999999998</v>
      </c>
    </row>
    <row r="128" spans="1:15" x14ac:dyDescent="0.25">
      <c r="A128" s="1" t="s">
        <v>20</v>
      </c>
      <c r="B128" s="1" t="s">
        <v>90</v>
      </c>
      <c r="C128" s="1" t="s">
        <v>15</v>
      </c>
      <c r="D128" s="1" t="s">
        <v>16</v>
      </c>
      <c r="E128" s="1" t="s">
        <v>2</v>
      </c>
      <c r="F128" s="1">
        <v>16.57</v>
      </c>
      <c r="G128" s="1">
        <v>16.57</v>
      </c>
      <c r="H128" s="1">
        <v>16.57</v>
      </c>
      <c r="I128" s="1">
        <v>16.3</v>
      </c>
      <c r="J128" s="1">
        <v>16</v>
      </c>
      <c r="K128" s="1">
        <v>16</v>
      </c>
      <c r="L128" s="1">
        <v>16.07</v>
      </c>
      <c r="M128" s="1">
        <v>11.86</v>
      </c>
      <c r="N128" s="1">
        <v>7.08</v>
      </c>
      <c r="O128" s="1">
        <v>2.2799999999999998</v>
      </c>
    </row>
    <row r="129" spans="1:15" x14ac:dyDescent="0.25">
      <c r="A129" s="1" t="s">
        <v>27</v>
      </c>
      <c r="B129" s="1" t="s">
        <v>90</v>
      </c>
      <c r="C129" s="1" t="s">
        <v>93</v>
      </c>
      <c r="D129" s="1" t="s">
        <v>16</v>
      </c>
      <c r="E129" s="1" t="s">
        <v>2</v>
      </c>
      <c r="F129" s="1">
        <v>16.57</v>
      </c>
      <c r="G129" s="1">
        <v>16.57</v>
      </c>
      <c r="H129" s="1">
        <v>16.57</v>
      </c>
      <c r="I129" s="1">
        <v>16.3</v>
      </c>
      <c r="J129" s="1">
        <v>16</v>
      </c>
      <c r="K129" s="1">
        <v>16</v>
      </c>
      <c r="L129" s="1">
        <v>15.8</v>
      </c>
      <c r="M129" s="1">
        <v>13.64</v>
      </c>
      <c r="N129" s="1">
        <v>11.41</v>
      </c>
      <c r="O129" s="1">
        <v>9.42</v>
      </c>
    </row>
    <row r="130" spans="1:15" x14ac:dyDescent="0.25">
      <c r="A130" s="1" t="s">
        <v>30</v>
      </c>
      <c r="B130" s="1" t="s">
        <v>90</v>
      </c>
      <c r="C130" s="1" t="s">
        <v>93</v>
      </c>
      <c r="D130" s="1" t="s">
        <v>16</v>
      </c>
      <c r="E130" s="1" t="s">
        <v>2</v>
      </c>
      <c r="F130" s="1">
        <v>16.57</v>
      </c>
      <c r="G130" s="1">
        <v>16.57</v>
      </c>
      <c r="H130" s="1">
        <v>16.57</v>
      </c>
      <c r="I130" s="1">
        <v>16.3</v>
      </c>
      <c r="J130" s="1">
        <v>16</v>
      </c>
      <c r="K130" s="1">
        <v>16</v>
      </c>
      <c r="L130" s="1">
        <v>15.8</v>
      </c>
      <c r="M130" s="1">
        <v>12.37</v>
      </c>
      <c r="N130" s="1">
        <v>9.09</v>
      </c>
      <c r="O130" s="1">
        <v>5.83</v>
      </c>
    </row>
    <row r="131" spans="1:15" x14ac:dyDescent="0.25">
      <c r="A131" s="1" t="s">
        <v>0</v>
      </c>
      <c r="B131" s="1" t="s">
        <v>94</v>
      </c>
      <c r="D131" s="1" t="s">
        <v>118</v>
      </c>
      <c r="E131" s="1" t="s">
        <v>120</v>
      </c>
      <c r="F131" s="1">
        <v>0.87</v>
      </c>
      <c r="G131" s="1">
        <v>0.98</v>
      </c>
      <c r="H131" s="1">
        <v>0.95</v>
      </c>
      <c r="I131" s="1">
        <v>0.95</v>
      </c>
      <c r="J131" s="1">
        <v>0.95</v>
      </c>
      <c r="K131" s="1">
        <v>0.98</v>
      </c>
      <c r="L131" s="1">
        <v>0.98</v>
      </c>
      <c r="M131" s="1">
        <v>0.86</v>
      </c>
      <c r="N131" s="1">
        <v>0.64</v>
      </c>
      <c r="O131" s="1">
        <v>0.49</v>
      </c>
    </row>
    <row r="132" spans="1:15" x14ac:dyDescent="0.25">
      <c r="A132" s="1" t="s">
        <v>95</v>
      </c>
      <c r="B132" s="1" t="s">
        <v>94</v>
      </c>
      <c r="D132" s="1" t="s">
        <v>118</v>
      </c>
      <c r="E132" s="1" t="s">
        <v>2</v>
      </c>
      <c r="F132" s="1">
        <v>1.77</v>
      </c>
      <c r="G132" s="1">
        <v>2.08</v>
      </c>
      <c r="H132" s="1">
        <v>2.4</v>
      </c>
      <c r="I132" s="1">
        <v>2.4</v>
      </c>
      <c r="J132" s="1">
        <v>2.2200000000000002</v>
      </c>
      <c r="K132" s="1">
        <v>2.2200000000000002</v>
      </c>
      <c r="L132" s="1">
        <v>1.87</v>
      </c>
      <c r="M132" s="1">
        <v>1.51</v>
      </c>
      <c r="N132" s="1">
        <v>1.3</v>
      </c>
      <c r="O132" s="1">
        <v>1.3</v>
      </c>
    </row>
    <row r="133" spans="1:15" x14ac:dyDescent="0.25">
      <c r="A133" s="1" t="s">
        <v>96</v>
      </c>
      <c r="B133" s="1" t="s">
        <v>94</v>
      </c>
      <c r="D133" s="1" t="s">
        <v>118</v>
      </c>
      <c r="E133" s="1" t="s">
        <v>120</v>
      </c>
      <c r="F133" s="1">
        <v>0.56000000000000005</v>
      </c>
      <c r="G133" s="1">
        <v>0.67</v>
      </c>
      <c r="H133" s="1">
        <v>0.93</v>
      </c>
      <c r="I133" s="1">
        <v>0.93</v>
      </c>
      <c r="J133" s="1">
        <v>0.93</v>
      </c>
      <c r="K133" s="1">
        <v>0.97</v>
      </c>
      <c r="L133" s="1">
        <v>0.97</v>
      </c>
      <c r="M133" s="1">
        <v>0.86</v>
      </c>
      <c r="N133" s="1">
        <v>0.64</v>
      </c>
      <c r="O133" s="1">
        <v>0.49</v>
      </c>
    </row>
    <row r="134" spans="1:15" x14ac:dyDescent="0.25">
      <c r="A134" s="1" t="s">
        <v>96</v>
      </c>
      <c r="B134" s="1" t="s">
        <v>94</v>
      </c>
      <c r="D134" s="1" t="s">
        <v>1</v>
      </c>
      <c r="E134" s="1" t="s">
        <v>2</v>
      </c>
      <c r="F134" s="1">
        <v>41</v>
      </c>
      <c r="G134" s="1">
        <v>44</v>
      </c>
      <c r="H134" s="1">
        <v>48</v>
      </c>
      <c r="I134" s="1">
        <v>48</v>
      </c>
      <c r="J134" s="1">
        <v>46</v>
      </c>
      <c r="K134" s="1">
        <v>46</v>
      </c>
      <c r="L134" s="1">
        <v>46</v>
      </c>
      <c r="M134" s="1">
        <v>36</v>
      </c>
      <c r="N134" s="1">
        <v>36</v>
      </c>
      <c r="O134" s="1">
        <v>37</v>
      </c>
    </row>
    <row r="135" spans="1:15" x14ac:dyDescent="0.25">
      <c r="A135" s="1" t="s">
        <v>96</v>
      </c>
      <c r="B135" s="1" t="s">
        <v>94</v>
      </c>
      <c r="D135" s="1" t="s">
        <v>1</v>
      </c>
      <c r="E135" s="1" t="s">
        <v>120</v>
      </c>
      <c r="F135" s="1">
        <v>24</v>
      </c>
      <c r="G135" s="1">
        <v>24</v>
      </c>
      <c r="H135" s="1">
        <v>31</v>
      </c>
      <c r="I135" s="1">
        <v>31</v>
      </c>
      <c r="J135" s="1">
        <v>30</v>
      </c>
      <c r="K135" s="1">
        <v>30</v>
      </c>
      <c r="L135" s="1">
        <v>30</v>
      </c>
      <c r="M135" s="1">
        <v>29</v>
      </c>
      <c r="N135" s="1">
        <v>27</v>
      </c>
      <c r="O135" s="1">
        <v>26</v>
      </c>
    </row>
    <row r="136" spans="1:15" x14ac:dyDescent="0.25">
      <c r="A136" s="1" t="s">
        <v>96</v>
      </c>
      <c r="B136" s="1" t="s">
        <v>94</v>
      </c>
      <c r="D136" s="1" t="s">
        <v>119</v>
      </c>
      <c r="E136" s="1" t="s">
        <v>120</v>
      </c>
      <c r="F136" s="1">
        <v>39</v>
      </c>
      <c r="G136" s="1">
        <v>40</v>
      </c>
      <c r="J136" s="1">
        <v>34</v>
      </c>
      <c r="L136" s="1">
        <v>24</v>
      </c>
      <c r="M136" s="1">
        <v>24</v>
      </c>
      <c r="N136" s="1">
        <v>24</v>
      </c>
      <c r="O136" s="1">
        <v>22</v>
      </c>
    </row>
    <row r="137" spans="1:15" x14ac:dyDescent="0.25">
      <c r="A137" s="1" t="s">
        <v>97</v>
      </c>
      <c r="B137" s="1" t="s">
        <v>94</v>
      </c>
      <c r="D137" s="1" t="s">
        <v>118</v>
      </c>
      <c r="E137" s="1" t="s">
        <v>2</v>
      </c>
      <c r="F137" s="1">
        <v>2.0099999999999998</v>
      </c>
      <c r="G137" s="1">
        <v>2.06</v>
      </c>
      <c r="H137" s="1">
        <v>1.19</v>
      </c>
      <c r="I137" s="1">
        <v>1.19</v>
      </c>
      <c r="J137" s="1">
        <v>1.27</v>
      </c>
      <c r="K137" s="1">
        <v>1.27</v>
      </c>
      <c r="L137" s="1">
        <v>1.23</v>
      </c>
      <c r="M137" s="1">
        <v>1.27</v>
      </c>
      <c r="N137" s="1">
        <v>1.51</v>
      </c>
      <c r="O137" s="1">
        <v>1.63</v>
      </c>
    </row>
    <row r="138" spans="1:15" x14ac:dyDescent="0.25">
      <c r="A138" s="1" t="s">
        <v>97</v>
      </c>
      <c r="B138" s="1" t="s">
        <v>94</v>
      </c>
      <c r="D138" s="1" t="s">
        <v>118</v>
      </c>
      <c r="E138" s="1" t="s">
        <v>120</v>
      </c>
      <c r="F138" s="1">
        <v>1.0900000000000001</v>
      </c>
      <c r="G138" s="1">
        <v>1.1299999999999999</v>
      </c>
      <c r="H138" s="1">
        <v>0.56000000000000005</v>
      </c>
      <c r="I138" s="1">
        <v>0.56000000000000005</v>
      </c>
      <c r="J138" s="1">
        <v>0.56999999999999995</v>
      </c>
      <c r="K138" s="1">
        <v>0.72</v>
      </c>
      <c r="L138" s="1">
        <v>0.71</v>
      </c>
      <c r="M138" s="1">
        <v>0.65</v>
      </c>
      <c r="N138" s="1">
        <v>0.57999999999999996</v>
      </c>
      <c r="O138" s="1">
        <v>0.31</v>
      </c>
    </row>
    <row r="139" spans="1:15" x14ac:dyDescent="0.25">
      <c r="A139" s="1" t="s">
        <v>97</v>
      </c>
      <c r="B139" s="1" t="s">
        <v>94</v>
      </c>
      <c r="D139" s="1" t="s">
        <v>1</v>
      </c>
      <c r="E139" s="1" t="s">
        <v>2</v>
      </c>
      <c r="F139" s="1">
        <v>30</v>
      </c>
      <c r="G139" s="1">
        <v>32</v>
      </c>
      <c r="H139" s="1">
        <v>40</v>
      </c>
      <c r="I139" s="1">
        <v>40</v>
      </c>
      <c r="J139" s="1">
        <v>41</v>
      </c>
      <c r="K139" s="1">
        <v>42</v>
      </c>
      <c r="L139" s="1">
        <v>41</v>
      </c>
      <c r="M139" s="1">
        <v>35</v>
      </c>
      <c r="N139" s="1">
        <v>29</v>
      </c>
      <c r="O139" s="1">
        <v>21</v>
      </c>
    </row>
    <row r="140" spans="1:15" x14ac:dyDescent="0.25">
      <c r="A140" s="1" t="s">
        <v>97</v>
      </c>
      <c r="B140" s="1" t="s">
        <v>94</v>
      </c>
      <c r="D140" s="1" t="s">
        <v>1</v>
      </c>
      <c r="E140" s="1" t="s">
        <v>120</v>
      </c>
      <c r="F140" s="1">
        <v>20</v>
      </c>
      <c r="G140" s="1">
        <v>20</v>
      </c>
      <c r="H140" s="1">
        <v>19</v>
      </c>
      <c r="I140" s="1">
        <v>31</v>
      </c>
      <c r="J140" s="1">
        <v>19</v>
      </c>
      <c r="K140" s="1">
        <v>22</v>
      </c>
      <c r="L140" s="1">
        <v>26</v>
      </c>
      <c r="M140" s="1">
        <v>29</v>
      </c>
      <c r="N140" s="1">
        <v>24</v>
      </c>
      <c r="O140" s="1">
        <v>19</v>
      </c>
    </row>
    <row r="141" spans="1:15" x14ac:dyDescent="0.25">
      <c r="A141" s="1" t="s">
        <v>81</v>
      </c>
      <c r="B141" s="1" t="s">
        <v>94</v>
      </c>
      <c r="D141" s="1" t="s">
        <v>118</v>
      </c>
      <c r="E141" s="1" t="s">
        <v>2</v>
      </c>
      <c r="F141" s="1">
        <v>2.2000000000000002</v>
      </c>
      <c r="G141" s="1">
        <v>2.2200000000000002</v>
      </c>
      <c r="H141" s="1">
        <v>1.33</v>
      </c>
      <c r="I141" s="1">
        <v>1.6</v>
      </c>
      <c r="J141" s="1">
        <v>1.53</v>
      </c>
      <c r="K141" s="1">
        <v>1.53</v>
      </c>
      <c r="L141" s="1">
        <v>1.32</v>
      </c>
      <c r="M141" s="1">
        <v>1.31</v>
      </c>
      <c r="N141" s="1">
        <v>1.3</v>
      </c>
      <c r="O141" s="1">
        <v>1.3</v>
      </c>
    </row>
    <row r="142" spans="1:15" x14ac:dyDescent="0.25">
      <c r="A142" s="1" t="s">
        <v>81</v>
      </c>
      <c r="B142" s="1" t="s">
        <v>94</v>
      </c>
      <c r="D142" s="1" t="s">
        <v>118</v>
      </c>
      <c r="E142" s="1" t="s">
        <v>120</v>
      </c>
      <c r="F142" s="1">
        <v>1.18</v>
      </c>
      <c r="G142" s="1">
        <v>1.2</v>
      </c>
      <c r="H142" s="1">
        <v>0.45</v>
      </c>
      <c r="I142" s="1">
        <v>0.68</v>
      </c>
      <c r="J142" s="1">
        <v>0.96</v>
      </c>
      <c r="K142" s="1">
        <v>0.92</v>
      </c>
      <c r="L142" s="1">
        <v>0.64</v>
      </c>
      <c r="M142" s="1">
        <v>0.68</v>
      </c>
      <c r="N142" s="1">
        <v>0.64</v>
      </c>
      <c r="O142" s="1">
        <v>0.49</v>
      </c>
    </row>
    <row r="143" spans="1:15" x14ac:dyDescent="0.25">
      <c r="A143" s="1" t="s">
        <v>81</v>
      </c>
      <c r="B143" s="1" t="s">
        <v>94</v>
      </c>
      <c r="D143" s="1" t="s">
        <v>1</v>
      </c>
      <c r="E143" s="1" t="s">
        <v>2</v>
      </c>
      <c r="F143" s="1">
        <v>43</v>
      </c>
      <c r="G143" s="1">
        <v>46</v>
      </c>
      <c r="H143" s="1">
        <v>44</v>
      </c>
      <c r="I143" s="1">
        <v>44</v>
      </c>
      <c r="J143" s="1">
        <v>46</v>
      </c>
      <c r="K143" s="1">
        <v>46</v>
      </c>
      <c r="L143" s="1">
        <v>46</v>
      </c>
      <c r="M143" s="1">
        <v>44</v>
      </c>
      <c r="N143" s="1">
        <v>37</v>
      </c>
      <c r="O143" s="1">
        <v>28</v>
      </c>
    </row>
    <row r="144" spans="1:15" x14ac:dyDescent="0.25">
      <c r="A144" s="1" t="s">
        <v>81</v>
      </c>
      <c r="B144" s="1" t="s">
        <v>94</v>
      </c>
      <c r="D144" s="1" t="s">
        <v>1</v>
      </c>
      <c r="E144" s="1" t="s">
        <v>120</v>
      </c>
      <c r="F144" s="1">
        <v>22</v>
      </c>
      <c r="G144" s="1">
        <v>21</v>
      </c>
      <c r="H144" s="1">
        <v>15</v>
      </c>
      <c r="I144" s="1">
        <v>15</v>
      </c>
      <c r="J144" s="1">
        <v>15</v>
      </c>
      <c r="K144" s="1">
        <v>19</v>
      </c>
      <c r="L144" s="1">
        <v>24</v>
      </c>
      <c r="M144" s="1">
        <v>29</v>
      </c>
      <c r="N144" s="1">
        <v>24</v>
      </c>
      <c r="O144" s="1">
        <v>18</v>
      </c>
    </row>
    <row r="145" spans="1:15" x14ac:dyDescent="0.25">
      <c r="A145" s="1" t="s">
        <v>98</v>
      </c>
      <c r="B145" s="1" t="s">
        <v>94</v>
      </c>
      <c r="D145" s="1" t="s">
        <v>118</v>
      </c>
      <c r="E145" s="1" t="s">
        <v>2</v>
      </c>
      <c r="F145" s="1">
        <v>1.77</v>
      </c>
      <c r="G145" s="1">
        <v>1.44</v>
      </c>
      <c r="I145" s="1">
        <v>1.33</v>
      </c>
      <c r="J145" s="1">
        <v>1.3</v>
      </c>
      <c r="K145" s="1">
        <v>1.3</v>
      </c>
      <c r="L145" s="1">
        <v>1.3</v>
      </c>
      <c r="M145" s="1">
        <v>1.32</v>
      </c>
      <c r="N145" s="1">
        <v>1.3</v>
      </c>
      <c r="O145" s="1">
        <v>1.3</v>
      </c>
    </row>
    <row r="146" spans="1:15" x14ac:dyDescent="0.25">
      <c r="A146" s="1" t="s">
        <v>99</v>
      </c>
      <c r="B146" s="1" t="s">
        <v>94</v>
      </c>
      <c r="D146" s="1" t="s">
        <v>118</v>
      </c>
      <c r="E146" s="1" t="s">
        <v>2</v>
      </c>
      <c r="H146" s="1">
        <v>1.33</v>
      </c>
      <c r="I146" s="1">
        <v>1.33</v>
      </c>
      <c r="J146" s="1">
        <v>1.35</v>
      </c>
      <c r="K146" s="1">
        <v>1.35</v>
      </c>
      <c r="L146" s="1">
        <v>1.35</v>
      </c>
      <c r="M146" s="1">
        <v>1.37</v>
      </c>
      <c r="N146" s="1">
        <v>1.3</v>
      </c>
      <c r="O146" s="1">
        <v>1.3</v>
      </c>
    </row>
    <row r="147" spans="1:15" x14ac:dyDescent="0.25">
      <c r="A147" s="1" t="s">
        <v>99</v>
      </c>
      <c r="B147" s="1" t="s">
        <v>94</v>
      </c>
      <c r="D147" s="1" t="s">
        <v>118</v>
      </c>
      <c r="E147" s="1" t="s">
        <v>120</v>
      </c>
      <c r="H147" s="1">
        <v>0.71</v>
      </c>
      <c r="I147" s="1">
        <v>0.71</v>
      </c>
      <c r="J147" s="1">
        <v>0.71</v>
      </c>
      <c r="K147" s="1">
        <v>0.82</v>
      </c>
      <c r="L147" s="1">
        <v>0.82</v>
      </c>
      <c r="M147" s="1">
        <v>0.78</v>
      </c>
      <c r="N147" s="1">
        <v>0.64</v>
      </c>
      <c r="O147" s="1">
        <v>0.49</v>
      </c>
    </row>
    <row r="148" spans="1:15" x14ac:dyDescent="0.25">
      <c r="A148" s="1" t="s">
        <v>99</v>
      </c>
      <c r="B148" s="1" t="s">
        <v>94</v>
      </c>
      <c r="D148" s="1" t="s">
        <v>1</v>
      </c>
      <c r="E148" s="1" t="s">
        <v>120</v>
      </c>
      <c r="H148" s="1">
        <v>24</v>
      </c>
      <c r="J148" s="1">
        <v>24</v>
      </c>
      <c r="K148" s="1">
        <v>25</v>
      </c>
      <c r="L148" s="1">
        <v>28</v>
      </c>
      <c r="M148" s="1">
        <v>29</v>
      </c>
      <c r="N148" s="1">
        <v>24</v>
      </c>
      <c r="O148" s="1">
        <v>20</v>
      </c>
    </row>
    <row r="149" spans="1:15" x14ac:dyDescent="0.25">
      <c r="A149" s="1" t="s">
        <v>100</v>
      </c>
      <c r="B149" s="1" t="s">
        <v>94</v>
      </c>
      <c r="D149" s="1" t="s">
        <v>118</v>
      </c>
      <c r="E149" s="1" t="s">
        <v>2</v>
      </c>
      <c r="F149" s="1">
        <v>1.74</v>
      </c>
      <c r="G149" s="1">
        <v>1.76</v>
      </c>
      <c r="H149" s="1">
        <v>2.58</v>
      </c>
      <c r="I149" s="1">
        <v>2.58</v>
      </c>
      <c r="J149" s="1">
        <v>2.31</v>
      </c>
      <c r="K149" s="1">
        <v>2.31</v>
      </c>
      <c r="L149" s="1">
        <v>1.91</v>
      </c>
      <c r="M149" s="1">
        <v>1.56</v>
      </c>
      <c r="N149" s="1">
        <v>1.39</v>
      </c>
      <c r="O149" s="1">
        <v>1.39</v>
      </c>
    </row>
    <row r="150" spans="1:15" x14ac:dyDescent="0.25">
      <c r="A150" s="1" t="s">
        <v>101</v>
      </c>
      <c r="B150" s="1" t="s">
        <v>94</v>
      </c>
      <c r="D150" s="1" t="s">
        <v>118</v>
      </c>
      <c r="E150" s="1" t="s">
        <v>2</v>
      </c>
      <c r="F150" s="1">
        <v>2.11</v>
      </c>
      <c r="G150" s="1">
        <v>2.34</v>
      </c>
      <c r="H150" s="1">
        <v>2.4700000000000002</v>
      </c>
      <c r="I150" s="1">
        <v>2.4700000000000002</v>
      </c>
      <c r="J150" s="1">
        <v>2.2400000000000002</v>
      </c>
      <c r="K150" s="1">
        <v>2.2400000000000002</v>
      </c>
      <c r="L150" s="1">
        <v>1.84</v>
      </c>
      <c r="M150" s="1">
        <v>1.51</v>
      </c>
      <c r="N150" s="1">
        <v>1.3</v>
      </c>
      <c r="O150" s="1">
        <v>1.3</v>
      </c>
    </row>
    <row r="151" spans="1:15" x14ac:dyDescent="0.25">
      <c r="A151" s="1" t="s">
        <v>102</v>
      </c>
      <c r="B151" s="1" t="s">
        <v>94</v>
      </c>
      <c r="D151" s="1" t="s">
        <v>118</v>
      </c>
      <c r="E151" s="1" t="s">
        <v>2</v>
      </c>
      <c r="F151" s="1">
        <v>2.12</v>
      </c>
      <c r="G151" s="1">
        <v>1.98</v>
      </c>
      <c r="H151" s="1">
        <v>1.17</v>
      </c>
      <c r="I151" s="1">
        <v>1.66</v>
      </c>
      <c r="J151" s="1">
        <v>1.62</v>
      </c>
      <c r="K151" s="1">
        <v>1.62</v>
      </c>
      <c r="L151" s="1">
        <v>1.58</v>
      </c>
      <c r="M151" s="1">
        <v>1.41</v>
      </c>
      <c r="N151" s="1">
        <v>1.41</v>
      </c>
      <c r="O151" s="1">
        <v>1.41</v>
      </c>
    </row>
    <row r="152" spans="1:15" x14ac:dyDescent="0.25">
      <c r="A152" s="1" t="s">
        <v>102</v>
      </c>
      <c r="B152" s="1" t="s">
        <v>94</v>
      </c>
      <c r="D152" s="1" t="s">
        <v>118</v>
      </c>
      <c r="E152" s="1" t="s">
        <v>120</v>
      </c>
      <c r="K152" s="1">
        <v>0.64</v>
      </c>
      <c r="L152" s="1">
        <v>0.63</v>
      </c>
      <c r="M152" s="1">
        <v>0.63</v>
      </c>
      <c r="N152" s="1">
        <v>0.59</v>
      </c>
      <c r="O152" s="1">
        <v>0.63</v>
      </c>
    </row>
    <row r="153" spans="1:15" x14ac:dyDescent="0.25">
      <c r="A153" s="1" t="s">
        <v>8</v>
      </c>
      <c r="B153" s="1" t="s">
        <v>94</v>
      </c>
      <c r="D153" s="1" t="s">
        <v>118</v>
      </c>
      <c r="E153" s="1" t="s">
        <v>2</v>
      </c>
      <c r="F153" s="1">
        <v>2.0299999999999998</v>
      </c>
      <c r="G153" s="1">
        <v>2.17</v>
      </c>
      <c r="H153" s="1">
        <v>1.51</v>
      </c>
      <c r="I153" s="1">
        <v>1.67</v>
      </c>
      <c r="J153" s="1">
        <v>1.61</v>
      </c>
      <c r="K153" s="1">
        <v>1.61</v>
      </c>
      <c r="L153" s="1">
        <v>1.44</v>
      </c>
      <c r="M153" s="1">
        <v>1.37</v>
      </c>
      <c r="N153" s="1">
        <v>1.37</v>
      </c>
      <c r="O153" s="1">
        <v>1.37</v>
      </c>
    </row>
    <row r="154" spans="1:15" x14ac:dyDescent="0.25">
      <c r="A154" s="1" t="s">
        <v>8</v>
      </c>
      <c r="B154" s="1" t="s">
        <v>94</v>
      </c>
      <c r="D154" s="1" t="s">
        <v>118</v>
      </c>
      <c r="E154" s="1" t="s">
        <v>120</v>
      </c>
      <c r="L154" s="1">
        <v>0.61</v>
      </c>
      <c r="M154" s="1">
        <v>0.66</v>
      </c>
      <c r="N154" s="1">
        <v>0.64</v>
      </c>
      <c r="O154" s="1">
        <v>0.41</v>
      </c>
    </row>
    <row r="155" spans="1:15" x14ac:dyDescent="0.25">
      <c r="A155" s="1" t="s">
        <v>8</v>
      </c>
      <c r="B155" s="1" t="s">
        <v>94</v>
      </c>
      <c r="D155" s="1" t="s">
        <v>1</v>
      </c>
      <c r="E155" s="1" t="s">
        <v>2</v>
      </c>
      <c r="F155" s="1">
        <v>33</v>
      </c>
      <c r="G155" s="1">
        <v>37</v>
      </c>
      <c r="H155" s="1">
        <v>49</v>
      </c>
      <c r="I155" s="1">
        <v>45</v>
      </c>
      <c r="J155" s="1">
        <v>45</v>
      </c>
      <c r="K155" s="1">
        <v>46</v>
      </c>
      <c r="L155" s="1">
        <v>47</v>
      </c>
      <c r="M155" s="1">
        <v>46</v>
      </c>
      <c r="N155" s="1">
        <v>38</v>
      </c>
      <c r="O155" s="1">
        <v>30</v>
      </c>
    </row>
    <row r="156" spans="1:15" x14ac:dyDescent="0.25">
      <c r="A156" s="1" t="s">
        <v>8</v>
      </c>
      <c r="B156" s="1" t="s">
        <v>94</v>
      </c>
      <c r="D156" s="1" t="s">
        <v>1</v>
      </c>
      <c r="E156" s="1" t="s">
        <v>120</v>
      </c>
      <c r="F156" s="1">
        <v>19</v>
      </c>
      <c r="G156" s="1">
        <v>16</v>
      </c>
      <c r="H156" s="1">
        <v>14</v>
      </c>
      <c r="I156" s="1">
        <v>15</v>
      </c>
      <c r="J156" s="1">
        <v>18</v>
      </c>
      <c r="K156" s="1">
        <v>19</v>
      </c>
      <c r="L156" s="1">
        <v>24</v>
      </c>
      <c r="M156" s="1">
        <v>29</v>
      </c>
      <c r="N156" s="1">
        <v>24</v>
      </c>
      <c r="O156" s="1">
        <v>18</v>
      </c>
    </row>
    <row r="157" spans="1:15" x14ac:dyDescent="0.25">
      <c r="A157" s="1" t="s">
        <v>103</v>
      </c>
      <c r="B157" s="1" t="s">
        <v>94</v>
      </c>
      <c r="D157" s="1" t="s">
        <v>118</v>
      </c>
      <c r="E157" s="1" t="s">
        <v>2</v>
      </c>
      <c r="F157" s="1">
        <v>1.28</v>
      </c>
      <c r="G157" s="1">
        <v>1.3</v>
      </c>
      <c r="H157" s="1">
        <v>1.35</v>
      </c>
      <c r="I157" s="1">
        <v>1.35</v>
      </c>
      <c r="J157" s="1">
        <v>1.37</v>
      </c>
      <c r="K157" s="1">
        <v>1.37</v>
      </c>
      <c r="L157" s="1">
        <v>1.37</v>
      </c>
      <c r="M157" s="1">
        <v>1.39</v>
      </c>
      <c r="N157" s="1">
        <v>1.3</v>
      </c>
      <c r="O157" s="1">
        <v>1.3</v>
      </c>
    </row>
    <row r="158" spans="1:15" x14ac:dyDescent="0.25">
      <c r="A158" s="1" t="s">
        <v>103</v>
      </c>
      <c r="B158" s="1" t="s">
        <v>94</v>
      </c>
      <c r="D158" s="1" t="s">
        <v>118</v>
      </c>
      <c r="E158" s="1" t="s">
        <v>120</v>
      </c>
      <c r="F158" s="1">
        <v>0.66</v>
      </c>
      <c r="G158" s="1">
        <v>0.68</v>
      </c>
      <c r="H158" s="1">
        <v>0.7</v>
      </c>
      <c r="I158" s="1">
        <v>0.7</v>
      </c>
      <c r="J158" s="1">
        <v>0.7</v>
      </c>
      <c r="K158" s="1">
        <v>0.81</v>
      </c>
      <c r="L158" s="1">
        <v>0.81</v>
      </c>
      <c r="M158" s="1">
        <v>0.77</v>
      </c>
      <c r="N158" s="1">
        <v>0.64</v>
      </c>
      <c r="O158" s="1">
        <v>0.64</v>
      </c>
    </row>
    <row r="159" spans="1:15" x14ac:dyDescent="0.25">
      <c r="A159" s="1" t="s">
        <v>103</v>
      </c>
      <c r="B159" s="1" t="s">
        <v>94</v>
      </c>
      <c r="D159" s="1" t="s">
        <v>119</v>
      </c>
      <c r="E159" s="1" t="s">
        <v>120</v>
      </c>
      <c r="F159" s="1">
        <v>39</v>
      </c>
      <c r="G159" s="1">
        <v>40</v>
      </c>
      <c r="J159" s="1">
        <v>34</v>
      </c>
      <c r="L159" s="1">
        <v>24</v>
      </c>
      <c r="M159" s="1">
        <v>24</v>
      </c>
      <c r="N159" s="1">
        <v>24</v>
      </c>
      <c r="O159" s="1">
        <v>22</v>
      </c>
    </row>
    <row r="160" spans="1:15" x14ac:dyDescent="0.25">
      <c r="A160" s="1" t="s">
        <v>104</v>
      </c>
      <c r="B160" s="1" t="s">
        <v>94</v>
      </c>
      <c r="D160" s="1" t="s">
        <v>118</v>
      </c>
      <c r="E160" s="1" t="s">
        <v>2</v>
      </c>
      <c r="F160" s="1">
        <v>1.27</v>
      </c>
      <c r="G160" s="1">
        <v>1.37</v>
      </c>
      <c r="H160" s="1">
        <v>1.39</v>
      </c>
      <c r="I160" s="1">
        <v>1.39</v>
      </c>
      <c r="J160" s="1">
        <v>1.41</v>
      </c>
      <c r="K160" s="1">
        <v>1.41</v>
      </c>
      <c r="L160" s="1">
        <v>1.36</v>
      </c>
      <c r="M160" s="1">
        <v>1.33</v>
      </c>
      <c r="N160" s="1">
        <v>1.3</v>
      </c>
      <c r="O160" s="1">
        <v>1.3</v>
      </c>
    </row>
    <row r="161" spans="1:15" x14ac:dyDescent="0.25">
      <c r="A161" s="1" t="s">
        <v>104</v>
      </c>
      <c r="B161" s="1" t="s">
        <v>94</v>
      </c>
      <c r="D161" s="1" t="s">
        <v>118</v>
      </c>
      <c r="E161" s="1" t="s">
        <v>120</v>
      </c>
      <c r="F161" s="1">
        <v>0.69</v>
      </c>
      <c r="G161" s="1">
        <v>0.79</v>
      </c>
      <c r="H161" s="1">
        <v>0.47</v>
      </c>
      <c r="I161" s="1">
        <v>0.47</v>
      </c>
      <c r="J161" s="1">
        <v>0.47</v>
      </c>
      <c r="K161" s="1">
        <v>0.66</v>
      </c>
      <c r="L161" s="1">
        <v>0.66</v>
      </c>
      <c r="M161" s="1">
        <v>0.7</v>
      </c>
      <c r="N161" s="1">
        <v>0.64</v>
      </c>
      <c r="O161" s="1">
        <v>0.49</v>
      </c>
    </row>
    <row r="162" spans="1:15" x14ac:dyDescent="0.25">
      <c r="A162" s="1" t="s">
        <v>33</v>
      </c>
      <c r="B162" s="1" t="s">
        <v>94</v>
      </c>
      <c r="D162" s="1" t="s">
        <v>118</v>
      </c>
      <c r="E162" s="1" t="s">
        <v>2</v>
      </c>
      <c r="M162" s="1">
        <v>1.49</v>
      </c>
      <c r="N162" s="1">
        <v>1.3</v>
      </c>
      <c r="O162" s="1">
        <v>1.3</v>
      </c>
    </row>
    <row r="163" spans="1:15" x14ac:dyDescent="0.25">
      <c r="A163" s="1" t="s">
        <v>105</v>
      </c>
      <c r="B163" s="1" t="s">
        <v>94</v>
      </c>
      <c r="D163" s="1" t="s">
        <v>118</v>
      </c>
      <c r="E163" s="1" t="s">
        <v>2</v>
      </c>
      <c r="F163" s="1">
        <v>1.71</v>
      </c>
      <c r="G163" s="1">
        <v>1.83</v>
      </c>
      <c r="H163" s="1">
        <v>0.72</v>
      </c>
      <c r="I163" s="1">
        <v>0.72</v>
      </c>
      <c r="J163" s="1">
        <v>0.94</v>
      </c>
      <c r="K163" s="1">
        <v>0.94</v>
      </c>
      <c r="L163" s="1">
        <v>1.05</v>
      </c>
      <c r="M163" s="1">
        <v>1.24</v>
      </c>
      <c r="N163" s="1">
        <v>1.3</v>
      </c>
      <c r="O163" s="1">
        <v>1.3</v>
      </c>
    </row>
    <row r="164" spans="1:15" x14ac:dyDescent="0.25">
      <c r="A164" s="1" t="s">
        <v>105</v>
      </c>
      <c r="B164" s="1" t="s">
        <v>94</v>
      </c>
      <c r="D164" s="1" t="s">
        <v>118</v>
      </c>
      <c r="E164" s="1" t="s">
        <v>120</v>
      </c>
      <c r="F164" s="1">
        <v>0.82</v>
      </c>
      <c r="G164" s="1">
        <v>0.88</v>
      </c>
      <c r="H164" s="1">
        <v>0.62</v>
      </c>
      <c r="I164" s="1">
        <v>0.62</v>
      </c>
      <c r="J164" s="1">
        <v>0.63</v>
      </c>
      <c r="K164" s="1">
        <v>0.76</v>
      </c>
      <c r="L164" s="1">
        <v>0.75</v>
      </c>
      <c r="M164" s="1">
        <v>0.73</v>
      </c>
      <c r="N164" s="1">
        <v>0.64</v>
      </c>
      <c r="O164" s="1">
        <v>0.37</v>
      </c>
    </row>
    <row r="165" spans="1:15" x14ac:dyDescent="0.25">
      <c r="A165" s="1" t="s">
        <v>10</v>
      </c>
      <c r="B165" s="1" t="s">
        <v>94</v>
      </c>
      <c r="D165" s="1" t="s">
        <v>118</v>
      </c>
      <c r="E165" s="1" t="s">
        <v>2</v>
      </c>
      <c r="F165" s="1">
        <v>2.19</v>
      </c>
      <c r="G165" s="1">
        <v>2.33</v>
      </c>
      <c r="H165" s="1">
        <v>1.51</v>
      </c>
      <c r="I165" s="1">
        <v>1.51</v>
      </c>
      <c r="J165" s="1">
        <v>1.51</v>
      </c>
      <c r="K165" s="1">
        <v>1.51</v>
      </c>
      <c r="L165" s="1">
        <v>1.44</v>
      </c>
      <c r="M165" s="1">
        <v>1.37</v>
      </c>
      <c r="N165" s="1">
        <v>1.3</v>
      </c>
      <c r="O165" s="1">
        <v>1.2</v>
      </c>
    </row>
    <row r="166" spans="1:15" x14ac:dyDescent="0.25">
      <c r="A166" s="1" t="s">
        <v>10</v>
      </c>
      <c r="B166" s="1" t="s">
        <v>94</v>
      </c>
      <c r="D166" s="1" t="s">
        <v>118</v>
      </c>
      <c r="E166" s="1" t="s">
        <v>120</v>
      </c>
      <c r="F166" s="1">
        <v>1.1599999999999999</v>
      </c>
      <c r="G166" s="1">
        <v>1.23</v>
      </c>
      <c r="H166" s="1">
        <v>0.4</v>
      </c>
      <c r="I166" s="1">
        <v>0.4</v>
      </c>
      <c r="J166" s="1">
        <v>0.41</v>
      </c>
      <c r="K166" s="1">
        <v>0.61</v>
      </c>
      <c r="L166" s="1">
        <v>0.61</v>
      </c>
      <c r="M166" s="1">
        <v>0.57999999999999996</v>
      </c>
      <c r="N166" s="1">
        <v>0.48</v>
      </c>
      <c r="O166" s="1">
        <v>0.25</v>
      </c>
    </row>
    <row r="167" spans="1:15" x14ac:dyDescent="0.25">
      <c r="A167" s="1" t="s">
        <v>106</v>
      </c>
      <c r="B167" s="1" t="s">
        <v>94</v>
      </c>
      <c r="D167" s="1" t="s">
        <v>118</v>
      </c>
      <c r="E167" s="1" t="s">
        <v>120</v>
      </c>
      <c r="H167" s="1">
        <v>0.74</v>
      </c>
      <c r="I167" s="1">
        <v>0.74</v>
      </c>
      <c r="J167" s="1">
        <v>0.74</v>
      </c>
      <c r="K167" s="1">
        <v>0.84</v>
      </c>
      <c r="L167" s="1">
        <v>0.84</v>
      </c>
      <c r="M167" s="1">
        <v>0.79</v>
      </c>
      <c r="N167" s="1">
        <v>0.64</v>
      </c>
      <c r="O167" s="1">
        <v>0.49</v>
      </c>
    </row>
    <row r="168" spans="1:15" x14ac:dyDescent="0.25">
      <c r="A168" s="1" t="s">
        <v>107</v>
      </c>
      <c r="B168" s="1" t="s">
        <v>94</v>
      </c>
      <c r="D168" s="1" t="s">
        <v>118</v>
      </c>
      <c r="E168" s="1" t="s">
        <v>2</v>
      </c>
      <c r="F168" s="1">
        <v>1.9</v>
      </c>
      <c r="G168" s="1">
        <v>1.55</v>
      </c>
      <c r="H168" s="1">
        <v>1.19</v>
      </c>
      <c r="I168" s="1">
        <v>1.19</v>
      </c>
      <c r="J168" s="1">
        <v>1.27</v>
      </c>
      <c r="K168" s="1">
        <v>1.27</v>
      </c>
      <c r="L168" s="1">
        <v>1.23</v>
      </c>
      <c r="M168" s="1">
        <v>1.27</v>
      </c>
      <c r="N168" s="1">
        <v>1.3</v>
      </c>
      <c r="O168" s="1">
        <v>1.3</v>
      </c>
    </row>
    <row r="169" spans="1:15" x14ac:dyDescent="0.25">
      <c r="A169" s="1" t="s">
        <v>107</v>
      </c>
      <c r="B169" s="1" t="s">
        <v>94</v>
      </c>
      <c r="D169" s="1" t="s">
        <v>118</v>
      </c>
      <c r="E169" s="1" t="s">
        <v>120</v>
      </c>
      <c r="F169" s="1">
        <v>1.07</v>
      </c>
      <c r="G169" s="1">
        <v>0.9</v>
      </c>
      <c r="H169" s="1">
        <v>0.9</v>
      </c>
      <c r="I169" s="1">
        <v>0.9</v>
      </c>
      <c r="J169" s="1">
        <v>0.94</v>
      </c>
      <c r="K169" s="1">
        <v>0.92</v>
      </c>
      <c r="L169" s="1">
        <v>0.92</v>
      </c>
      <c r="M169" s="1">
        <v>0.71</v>
      </c>
      <c r="N169" s="1">
        <v>0.64</v>
      </c>
      <c r="O169" s="1">
        <v>0.51</v>
      </c>
    </row>
    <row r="170" spans="1:15" x14ac:dyDescent="0.25">
      <c r="A170" s="1" t="s">
        <v>107</v>
      </c>
      <c r="B170" s="1" t="s">
        <v>94</v>
      </c>
      <c r="D170" s="1" t="s">
        <v>1</v>
      </c>
      <c r="E170" s="1" t="s">
        <v>2</v>
      </c>
      <c r="F170" s="1">
        <v>34</v>
      </c>
      <c r="G170" s="1">
        <v>36</v>
      </c>
      <c r="H170" s="1">
        <v>40</v>
      </c>
      <c r="I170" s="1">
        <v>40</v>
      </c>
      <c r="J170" s="1">
        <v>41</v>
      </c>
      <c r="K170" s="1">
        <v>42</v>
      </c>
      <c r="L170" s="1">
        <v>44</v>
      </c>
      <c r="M170" s="1">
        <v>43</v>
      </c>
      <c r="N170" s="1">
        <v>37</v>
      </c>
      <c r="O170" s="1">
        <v>28</v>
      </c>
    </row>
    <row r="171" spans="1:15" x14ac:dyDescent="0.25">
      <c r="A171" s="1" t="s">
        <v>107</v>
      </c>
      <c r="B171" s="1" t="s">
        <v>94</v>
      </c>
      <c r="D171" s="1" t="s">
        <v>1</v>
      </c>
      <c r="E171" s="1" t="s">
        <v>120</v>
      </c>
      <c r="F171" s="1">
        <v>17</v>
      </c>
      <c r="G171" s="1">
        <v>16</v>
      </c>
      <c r="H171" s="1">
        <v>16</v>
      </c>
      <c r="I171" s="1">
        <v>16</v>
      </c>
      <c r="J171" s="1">
        <v>16</v>
      </c>
      <c r="K171" s="1">
        <v>20</v>
      </c>
      <c r="L171" s="1">
        <v>25</v>
      </c>
      <c r="M171" s="1">
        <v>29</v>
      </c>
      <c r="N171" s="1">
        <v>24</v>
      </c>
      <c r="O171" s="1">
        <v>18</v>
      </c>
    </row>
    <row r="172" spans="1:15" x14ac:dyDescent="0.25">
      <c r="A172" s="1" t="s">
        <v>108</v>
      </c>
      <c r="B172" s="1" t="s">
        <v>94</v>
      </c>
      <c r="D172" s="1" t="s">
        <v>118</v>
      </c>
      <c r="E172" s="1" t="s">
        <v>120</v>
      </c>
      <c r="F172" s="1">
        <v>0.86</v>
      </c>
      <c r="G172" s="1">
        <v>0.86</v>
      </c>
      <c r="H172" s="1">
        <v>0.79</v>
      </c>
      <c r="I172" s="1">
        <v>0.79</v>
      </c>
      <c r="J172" s="1">
        <v>0.79</v>
      </c>
      <c r="K172" s="1">
        <v>0.87</v>
      </c>
      <c r="L172" s="1">
        <v>0.87</v>
      </c>
      <c r="M172" s="1">
        <v>0.8</v>
      </c>
      <c r="N172" s="1">
        <v>0.64</v>
      </c>
      <c r="O172" s="1">
        <v>0.49</v>
      </c>
    </row>
    <row r="173" spans="1:15" x14ac:dyDescent="0.25">
      <c r="A173" s="1" t="s">
        <v>108</v>
      </c>
      <c r="B173" s="1" t="s">
        <v>94</v>
      </c>
      <c r="D173" s="1" t="s">
        <v>1</v>
      </c>
      <c r="E173" s="1" t="s">
        <v>2</v>
      </c>
      <c r="F173" s="1">
        <v>37</v>
      </c>
      <c r="G173" s="1">
        <v>37</v>
      </c>
      <c r="H173" s="1">
        <v>41</v>
      </c>
      <c r="I173" s="1">
        <v>41</v>
      </c>
      <c r="J173" s="1">
        <v>41</v>
      </c>
      <c r="K173" s="1">
        <v>43</v>
      </c>
      <c r="L173" s="1">
        <v>45</v>
      </c>
      <c r="M173" s="1">
        <v>45</v>
      </c>
      <c r="N173" s="1">
        <v>44</v>
      </c>
      <c r="O173" s="1">
        <v>43</v>
      </c>
    </row>
    <row r="174" spans="1:15" x14ac:dyDescent="0.25">
      <c r="A174" s="1" t="s">
        <v>108</v>
      </c>
      <c r="B174" s="1" t="s">
        <v>94</v>
      </c>
      <c r="D174" s="1" t="s">
        <v>1</v>
      </c>
      <c r="E174" s="1" t="s">
        <v>120</v>
      </c>
      <c r="F174" s="1">
        <v>23</v>
      </c>
      <c r="G174" s="1">
        <v>23</v>
      </c>
      <c r="H174" s="1">
        <v>26</v>
      </c>
      <c r="I174" s="1">
        <v>26</v>
      </c>
      <c r="J174" s="1">
        <v>26</v>
      </c>
      <c r="K174" s="1">
        <v>27</v>
      </c>
      <c r="L174" s="1">
        <v>28</v>
      </c>
      <c r="M174" s="1">
        <v>29</v>
      </c>
      <c r="N174" s="1">
        <v>26</v>
      </c>
      <c r="O174" s="1">
        <v>22</v>
      </c>
    </row>
    <row r="175" spans="1:15" x14ac:dyDescent="0.25">
      <c r="A175" s="1" t="s">
        <v>108</v>
      </c>
      <c r="B175" s="1" t="s">
        <v>94</v>
      </c>
      <c r="D175" s="1" t="s">
        <v>119</v>
      </c>
      <c r="E175" s="1" t="s">
        <v>120</v>
      </c>
      <c r="F175" s="1">
        <v>39</v>
      </c>
      <c r="G175" s="1">
        <v>40</v>
      </c>
      <c r="H175" s="1">
        <v>24</v>
      </c>
      <c r="I175" s="1">
        <v>24</v>
      </c>
      <c r="J175" s="1">
        <v>24</v>
      </c>
      <c r="K175" s="1">
        <v>50</v>
      </c>
      <c r="L175" s="1">
        <v>50</v>
      </c>
      <c r="M175" s="1">
        <v>50</v>
      </c>
      <c r="N175" s="1">
        <v>50</v>
      </c>
      <c r="O175" s="1">
        <v>40</v>
      </c>
    </row>
    <row r="176" spans="1:15" x14ac:dyDescent="0.25">
      <c r="A176" s="1" t="s">
        <v>82</v>
      </c>
      <c r="B176" s="1" t="s">
        <v>94</v>
      </c>
      <c r="D176" s="1" t="s">
        <v>118</v>
      </c>
      <c r="E176" s="1" t="s">
        <v>2</v>
      </c>
      <c r="F176" s="1">
        <v>1.91</v>
      </c>
      <c r="G176" s="1">
        <v>1.97</v>
      </c>
      <c r="H176" s="1">
        <v>1.61</v>
      </c>
      <c r="I176" s="1">
        <v>1.61</v>
      </c>
      <c r="J176" s="1">
        <v>1.61</v>
      </c>
      <c r="K176" s="1">
        <v>1.61</v>
      </c>
      <c r="L176" s="1">
        <v>1.54</v>
      </c>
      <c r="M176" s="1">
        <v>1.47</v>
      </c>
      <c r="N176" s="1">
        <v>1.31</v>
      </c>
      <c r="O176" s="1">
        <v>1.31</v>
      </c>
    </row>
    <row r="177" spans="1:15" x14ac:dyDescent="0.25">
      <c r="A177" s="1" t="s">
        <v>82</v>
      </c>
      <c r="B177" s="1" t="s">
        <v>94</v>
      </c>
      <c r="D177" s="1" t="s">
        <v>118</v>
      </c>
      <c r="E177" s="1" t="s">
        <v>120</v>
      </c>
      <c r="F177" s="1">
        <v>0.98</v>
      </c>
      <c r="G177" s="1">
        <v>1.05</v>
      </c>
      <c r="H177" s="1">
        <v>0.9</v>
      </c>
      <c r="I177" s="1">
        <v>0.9</v>
      </c>
      <c r="J177" s="1">
        <v>0.9</v>
      </c>
      <c r="K177" s="1">
        <v>0.95</v>
      </c>
      <c r="L177" s="1">
        <v>0.95</v>
      </c>
      <c r="M177" s="1">
        <v>0.85</v>
      </c>
      <c r="N177" s="1">
        <v>0.64</v>
      </c>
      <c r="O177" s="1">
        <v>1.49</v>
      </c>
    </row>
    <row r="178" spans="1:15" x14ac:dyDescent="0.25">
      <c r="A178" s="1" t="s">
        <v>27</v>
      </c>
      <c r="B178" s="1" t="s">
        <v>94</v>
      </c>
      <c r="D178" s="1" t="s">
        <v>118</v>
      </c>
      <c r="E178" s="1" t="s">
        <v>2</v>
      </c>
      <c r="F178" s="1">
        <v>2.38</v>
      </c>
      <c r="G178" s="1">
        <v>2.4500000000000002</v>
      </c>
      <c r="H178" s="1">
        <v>2.48</v>
      </c>
      <c r="I178" s="1">
        <v>2.48</v>
      </c>
      <c r="J178" s="1">
        <v>2.2200000000000002</v>
      </c>
      <c r="K178" s="1">
        <v>2.2200000000000002</v>
      </c>
      <c r="L178" s="1">
        <v>1.87</v>
      </c>
      <c r="M178" s="1">
        <v>1.51</v>
      </c>
      <c r="N178" s="1">
        <v>1.3</v>
      </c>
      <c r="O178" s="1">
        <v>1.3</v>
      </c>
    </row>
    <row r="179" spans="1:15" x14ac:dyDescent="0.25">
      <c r="A179" s="1" t="s">
        <v>109</v>
      </c>
      <c r="B179" s="1" t="s">
        <v>94</v>
      </c>
      <c r="D179" s="1" t="s">
        <v>118</v>
      </c>
      <c r="E179" s="1" t="s">
        <v>2</v>
      </c>
      <c r="G179" s="1">
        <v>2.27</v>
      </c>
      <c r="H179" s="1">
        <v>0.74</v>
      </c>
      <c r="I179" s="1">
        <v>0.74</v>
      </c>
      <c r="J179" s="1">
        <v>0.95</v>
      </c>
      <c r="K179" s="1">
        <v>0.95</v>
      </c>
      <c r="L179" s="1">
        <v>1.05</v>
      </c>
      <c r="M179" s="1">
        <v>1.24</v>
      </c>
      <c r="N179" s="1">
        <v>1.3</v>
      </c>
      <c r="O179" s="1">
        <v>1.3</v>
      </c>
    </row>
    <row r="180" spans="1:15" x14ac:dyDescent="0.25">
      <c r="A180" s="1" t="s">
        <v>109</v>
      </c>
      <c r="B180" s="1" t="s">
        <v>94</v>
      </c>
      <c r="D180" s="1" t="s">
        <v>118</v>
      </c>
      <c r="E180" s="1" t="s">
        <v>120</v>
      </c>
      <c r="G180" s="1">
        <v>1.04</v>
      </c>
      <c r="H180" s="1">
        <v>0.74</v>
      </c>
      <c r="I180" s="1">
        <v>0.74</v>
      </c>
      <c r="J180" s="1">
        <v>0.74</v>
      </c>
      <c r="K180" s="1">
        <v>0.84</v>
      </c>
      <c r="L180" s="1">
        <v>0.84</v>
      </c>
      <c r="M180" s="1">
        <v>0.79</v>
      </c>
      <c r="N180" s="1">
        <v>0.64</v>
      </c>
      <c r="O180" s="1">
        <v>0.49</v>
      </c>
    </row>
    <row r="181" spans="1:15" x14ac:dyDescent="0.25">
      <c r="A181" s="1" t="s">
        <v>23</v>
      </c>
      <c r="B181" s="1" t="s">
        <v>94</v>
      </c>
      <c r="D181" s="1" t="s">
        <v>118</v>
      </c>
      <c r="E181" s="1" t="s">
        <v>2</v>
      </c>
      <c r="F181" s="1">
        <v>2.41</v>
      </c>
      <c r="G181" s="1">
        <v>2.46</v>
      </c>
      <c r="H181" s="1">
        <v>2.08</v>
      </c>
      <c r="I181" s="1">
        <v>2.3199999999999998</v>
      </c>
      <c r="J181" s="1">
        <v>2.02</v>
      </c>
      <c r="K181" s="1">
        <v>2.02</v>
      </c>
      <c r="L181" s="1">
        <v>1.74</v>
      </c>
      <c r="M181" s="1">
        <v>1.51</v>
      </c>
      <c r="N181" s="1">
        <v>1.3</v>
      </c>
      <c r="O181" s="1">
        <v>1.3</v>
      </c>
    </row>
    <row r="182" spans="1:15" x14ac:dyDescent="0.25">
      <c r="A182" s="1" t="s">
        <v>23</v>
      </c>
      <c r="B182" s="1" t="s">
        <v>94</v>
      </c>
      <c r="D182" s="1" t="s">
        <v>118</v>
      </c>
      <c r="E182" s="1" t="s">
        <v>120</v>
      </c>
      <c r="L182" s="1">
        <v>0.61</v>
      </c>
      <c r="M182" s="1">
        <v>0.66</v>
      </c>
      <c r="N182" s="1">
        <v>0.64</v>
      </c>
      <c r="O182" s="1">
        <v>0.49</v>
      </c>
    </row>
    <row r="183" spans="1:15" x14ac:dyDescent="0.25">
      <c r="A183" s="1" t="s">
        <v>23</v>
      </c>
      <c r="B183" s="1" t="s">
        <v>94</v>
      </c>
      <c r="D183" s="1" t="s">
        <v>1</v>
      </c>
      <c r="E183" s="1" t="s">
        <v>2</v>
      </c>
      <c r="F183" s="1">
        <v>34</v>
      </c>
      <c r="G183" s="1">
        <v>41</v>
      </c>
      <c r="H183" s="1">
        <v>69</v>
      </c>
      <c r="I183" s="1">
        <v>64</v>
      </c>
      <c r="J183" s="1">
        <v>54</v>
      </c>
      <c r="K183" s="1">
        <v>53</v>
      </c>
      <c r="L183" s="1">
        <v>54</v>
      </c>
      <c r="M183" s="1">
        <v>46</v>
      </c>
      <c r="N183" s="1">
        <v>38</v>
      </c>
      <c r="O183" s="1">
        <v>30</v>
      </c>
    </row>
    <row r="184" spans="1:15" x14ac:dyDescent="0.25">
      <c r="A184" s="1" t="s">
        <v>110</v>
      </c>
      <c r="B184" s="1" t="s">
        <v>94</v>
      </c>
      <c r="D184" s="1" t="s">
        <v>118</v>
      </c>
      <c r="E184" s="1" t="s">
        <v>2</v>
      </c>
      <c r="F184" s="1">
        <v>2.39</v>
      </c>
      <c r="G184" s="1">
        <v>2.3199999999999998</v>
      </c>
      <c r="H184" s="1">
        <v>1.18</v>
      </c>
      <c r="I184" s="1">
        <v>1.18</v>
      </c>
      <c r="J184" s="1">
        <v>1.25</v>
      </c>
      <c r="K184" s="1">
        <v>1.25</v>
      </c>
      <c r="L184" s="1">
        <v>1.25</v>
      </c>
      <c r="M184" s="1">
        <v>1.32</v>
      </c>
      <c r="N184" s="1">
        <v>1.3</v>
      </c>
      <c r="O184" s="1">
        <v>1.2</v>
      </c>
    </row>
    <row r="185" spans="1:15" x14ac:dyDescent="0.25">
      <c r="A185" s="1" t="s">
        <v>110</v>
      </c>
      <c r="B185" s="1" t="s">
        <v>94</v>
      </c>
      <c r="D185" s="1" t="s">
        <v>118</v>
      </c>
      <c r="E185" s="1" t="s">
        <v>120</v>
      </c>
      <c r="F185" s="1">
        <v>1.33</v>
      </c>
      <c r="G185" s="1">
        <v>1.26</v>
      </c>
      <c r="H185" s="1">
        <v>0.93</v>
      </c>
      <c r="I185" s="1">
        <v>0.93</v>
      </c>
      <c r="J185" s="1">
        <v>0.93</v>
      </c>
      <c r="K185" s="1">
        <v>0.97</v>
      </c>
      <c r="L185" s="1">
        <v>0.97</v>
      </c>
      <c r="M185" s="1">
        <v>0.86</v>
      </c>
      <c r="N185" s="1">
        <v>0.64</v>
      </c>
      <c r="O185" s="1">
        <v>0.49</v>
      </c>
    </row>
    <row r="186" spans="1:15" x14ac:dyDescent="0.25">
      <c r="A186" s="1" t="s">
        <v>110</v>
      </c>
      <c r="B186" s="1" t="s">
        <v>94</v>
      </c>
      <c r="D186" s="1" t="s">
        <v>1</v>
      </c>
      <c r="E186" s="1" t="s">
        <v>120</v>
      </c>
      <c r="F186" s="1">
        <v>44</v>
      </c>
      <c r="G186" s="1">
        <v>40</v>
      </c>
      <c r="H186" s="1">
        <v>31</v>
      </c>
      <c r="I186" s="1">
        <v>31</v>
      </c>
      <c r="J186" s="1">
        <v>20</v>
      </c>
      <c r="K186" s="1">
        <v>30</v>
      </c>
      <c r="L186" s="1">
        <v>30</v>
      </c>
      <c r="M186" s="1">
        <v>29</v>
      </c>
      <c r="N186" s="1">
        <v>27</v>
      </c>
      <c r="O186" s="1">
        <v>26</v>
      </c>
    </row>
    <row r="187" spans="1:15" x14ac:dyDescent="0.25">
      <c r="A187" s="1" t="s">
        <v>110</v>
      </c>
      <c r="B187" s="1" t="s">
        <v>94</v>
      </c>
      <c r="D187" s="1" t="s">
        <v>119</v>
      </c>
      <c r="E187" s="1" t="s">
        <v>120</v>
      </c>
      <c r="F187" s="1">
        <v>39</v>
      </c>
      <c r="G187" s="1">
        <v>40</v>
      </c>
      <c r="H187" s="1">
        <v>24</v>
      </c>
      <c r="I187" s="1">
        <v>24</v>
      </c>
      <c r="J187" s="1">
        <v>24</v>
      </c>
      <c r="K187" s="1">
        <v>24</v>
      </c>
      <c r="L187" s="1">
        <v>24</v>
      </c>
      <c r="M187" s="1">
        <v>24</v>
      </c>
      <c r="N187" s="1">
        <v>24</v>
      </c>
      <c r="O187" s="1">
        <v>25</v>
      </c>
    </row>
    <row r="188" spans="1:15" x14ac:dyDescent="0.25">
      <c r="A188" s="1" t="s">
        <v>24</v>
      </c>
      <c r="B188" s="1" t="s">
        <v>94</v>
      </c>
      <c r="D188" s="1" t="s">
        <v>118</v>
      </c>
      <c r="E188" s="1" t="s">
        <v>2</v>
      </c>
      <c r="F188" s="1">
        <v>2.54</v>
      </c>
      <c r="G188" s="1">
        <v>2.57</v>
      </c>
      <c r="H188" s="1">
        <v>1.64</v>
      </c>
      <c r="I188" s="1">
        <v>1.64</v>
      </c>
      <c r="J188" s="1">
        <v>1.64</v>
      </c>
      <c r="K188" s="1">
        <v>1.64</v>
      </c>
      <c r="L188" s="1">
        <v>1.53</v>
      </c>
      <c r="M188" s="1">
        <v>1.42</v>
      </c>
      <c r="N188" s="1">
        <v>1.48</v>
      </c>
      <c r="O188" s="1">
        <v>1.42</v>
      </c>
    </row>
    <row r="189" spans="1:15" x14ac:dyDescent="0.25">
      <c r="A189" s="1" t="s">
        <v>24</v>
      </c>
      <c r="B189" s="1" t="s">
        <v>94</v>
      </c>
      <c r="D189" s="1" t="s">
        <v>118</v>
      </c>
      <c r="E189" s="1" t="s">
        <v>120</v>
      </c>
      <c r="K189" s="1">
        <v>0.64</v>
      </c>
      <c r="L189" s="1">
        <v>0.63</v>
      </c>
      <c r="M189" s="1">
        <v>0.68</v>
      </c>
      <c r="N189" s="1">
        <v>0.67</v>
      </c>
      <c r="O189" s="1">
        <v>0.71</v>
      </c>
    </row>
    <row r="190" spans="1:15" x14ac:dyDescent="0.25">
      <c r="A190" s="1" t="s">
        <v>111</v>
      </c>
      <c r="B190" s="1" t="s">
        <v>94</v>
      </c>
      <c r="D190" s="1" t="s">
        <v>118</v>
      </c>
      <c r="E190" s="1" t="s">
        <v>2</v>
      </c>
      <c r="F190" s="1">
        <v>2.12</v>
      </c>
      <c r="G190" s="1">
        <v>2.17</v>
      </c>
      <c r="H190" s="1">
        <v>0.81</v>
      </c>
      <c r="I190" s="1">
        <v>1.26</v>
      </c>
      <c r="J190" s="1">
        <v>1.35</v>
      </c>
      <c r="K190" s="1">
        <v>1.35</v>
      </c>
      <c r="L190" s="1">
        <v>1.07</v>
      </c>
      <c r="M190" s="1">
        <v>1.24</v>
      </c>
      <c r="N190" s="1">
        <v>1.3</v>
      </c>
      <c r="O190" s="1">
        <v>1.2</v>
      </c>
    </row>
    <row r="191" spans="1:15" x14ac:dyDescent="0.25">
      <c r="A191" s="1" t="s">
        <v>111</v>
      </c>
      <c r="B191" s="1" t="s">
        <v>94</v>
      </c>
      <c r="D191" s="1" t="s">
        <v>118</v>
      </c>
      <c r="E191" s="1" t="s">
        <v>120</v>
      </c>
      <c r="F191" s="1">
        <v>1.0900000000000001</v>
      </c>
      <c r="G191" s="1">
        <v>1.1299999999999999</v>
      </c>
      <c r="H191" s="1">
        <v>0.56000000000000005</v>
      </c>
      <c r="I191" s="1">
        <v>0.78</v>
      </c>
      <c r="J191" s="1">
        <v>0.99</v>
      </c>
      <c r="K191" s="1">
        <v>0.95</v>
      </c>
      <c r="L191" s="1">
        <v>0.72</v>
      </c>
      <c r="M191" s="1">
        <v>0.73</v>
      </c>
      <c r="N191" s="1">
        <v>0.64</v>
      </c>
      <c r="O191" s="1">
        <v>0.37</v>
      </c>
    </row>
    <row r="192" spans="1:15" x14ac:dyDescent="0.25">
      <c r="A192" s="1" t="s">
        <v>111</v>
      </c>
      <c r="B192" s="1" t="s">
        <v>94</v>
      </c>
      <c r="D192" s="1" t="s">
        <v>1</v>
      </c>
      <c r="E192" s="1" t="s">
        <v>2</v>
      </c>
      <c r="F192" s="1">
        <v>34</v>
      </c>
      <c r="G192" s="1">
        <v>33</v>
      </c>
      <c r="H192" s="1">
        <v>37</v>
      </c>
      <c r="I192" s="1">
        <v>37</v>
      </c>
      <c r="J192" s="1">
        <v>38</v>
      </c>
      <c r="K192" s="1">
        <v>40</v>
      </c>
      <c r="L192" s="1">
        <v>43</v>
      </c>
      <c r="M192" s="1">
        <v>42</v>
      </c>
      <c r="N192" s="1">
        <v>37</v>
      </c>
      <c r="O192" s="1">
        <v>28</v>
      </c>
    </row>
    <row r="193" spans="1:15" x14ac:dyDescent="0.25">
      <c r="A193" s="1" t="s">
        <v>111</v>
      </c>
      <c r="B193" s="1" t="s">
        <v>94</v>
      </c>
      <c r="D193" s="1" t="s">
        <v>1</v>
      </c>
      <c r="E193" s="1" t="s">
        <v>120</v>
      </c>
      <c r="F193" s="1">
        <v>25</v>
      </c>
      <c r="G193" s="1">
        <v>22</v>
      </c>
      <c r="H193" s="1">
        <v>19</v>
      </c>
      <c r="I193" s="1">
        <v>19</v>
      </c>
      <c r="J193" s="1">
        <v>19</v>
      </c>
      <c r="K193" s="1">
        <v>22</v>
      </c>
      <c r="L193" s="1">
        <v>26</v>
      </c>
      <c r="M193" s="1">
        <v>29</v>
      </c>
      <c r="N193" s="1">
        <v>24</v>
      </c>
      <c r="O193" s="1">
        <v>18</v>
      </c>
    </row>
    <row r="194" spans="1:15" x14ac:dyDescent="0.25">
      <c r="A194" s="1" t="s">
        <v>25</v>
      </c>
      <c r="B194" s="1" t="s">
        <v>94</v>
      </c>
      <c r="D194" s="1" t="s">
        <v>118</v>
      </c>
      <c r="E194" s="1" t="s">
        <v>2</v>
      </c>
      <c r="F194" s="1">
        <v>2.12</v>
      </c>
      <c r="G194" s="1">
        <v>2.17</v>
      </c>
      <c r="H194" s="1">
        <v>1.55</v>
      </c>
      <c r="I194" s="1">
        <v>1.55</v>
      </c>
      <c r="J194" s="1">
        <v>1.55</v>
      </c>
      <c r="K194" s="1">
        <v>1.55</v>
      </c>
      <c r="L194" s="1">
        <v>1.5</v>
      </c>
      <c r="M194" s="1">
        <v>1.45</v>
      </c>
      <c r="N194" s="1">
        <v>1.34</v>
      </c>
      <c r="O194" s="1">
        <v>1.34</v>
      </c>
    </row>
    <row r="195" spans="1:15" x14ac:dyDescent="0.25">
      <c r="A195" s="1" t="s">
        <v>25</v>
      </c>
      <c r="B195" s="1" t="s">
        <v>94</v>
      </c>
      <c r="D195" s="1" t="s">
        <v>118</v>
      </c>
      <c r="E195" s="1" t="s">
        <v>120</v>
      </c>
      <c r="F195" s="1">
        <v>1.0900000000000001</v>
      </c>
      <c r="G195" s="1">
        <v>1.1299999999999999</v>
      </c>
      <c r="H195" s="1">
        <v>0.44</v>
      </c>
      <c r="I195" s="1">
        <v>0.44</v>
      </c>
      <c r="J195" s="1">
        <v>0.45</v>
      </c>
      <c r="K195" s="1">
        <v>0.64</v>
      </c>
      <c r="L195" s="1">
        <v>0.63</v>
      </c>
      <c r="M195" s="1">
        <v>0.67</v>
      </c>
      <c r="N195" s="1">
        <v>0.64</v>
      </c>
      <c r="O195" s="1">
        <v>0.49</v>
      </c>
    </row>
    <row r="196" spans="1:15" x14ac:dyDescent="0.25">
      <c r="A196" s="1" t="s">
        <v>112</v>
      </c>
      <c r="B196" s="1" t="s">
        <v>94</v>
      </c>
      <c r="D196" s="1" t="s">
        <v>118</v>
      </c>
      <c r="E196" s="1" t="s">
        <v>120</v>
      </c>
      <c r="G196" s="1">
        <v>1.05</v>
      </c>
      <c r="H196" s="1">
        <v>0.69</v>
      </c>
      <c r="I196" s="1">
        <v>0.69</v>
      </c>
      <c r="J196" s="1">
        <v>0.69</v>
      </c>
      <c r="K196" s="1">
        <v>0.8</v>
      </c>
      <c r="L196" s="1">
        <v>0.8</v>
      </c>
      <c r="M196" s="1">
        <v>0.76</v>
      </c>
      <c r="N196" s="1">
        <v>0.64</v>
      </c>
      <c r="O196" s="1">
        <v>0.37</v>
      </c>
    </row>
    <row r="197" spans="1:15" x14ac:dyDescent="0.25">
      <c r="A197" s="1" t="s">
        <v>113</v>
      </c>
      <c r="B197" s="1" t="s">
        <v>94</v>
      </c>
      <c r="D197" s="1" t="s">
        <v>118</v>
      </c>
      <c r="E197" s="1" t="s">
        <v>2</v>
      </c>
      <c r="F197" s="1">
        <v>2.78</v>
      </c>
      <c r="G197" s="1">
        <v>2.52</v>
      </c>
      <c r="H197" s="1">
        <v>3.06</v>
      </c>
      <c r="I197" s="1">
        <v>3.06</v>
      </c>
      <c r="J197" s="1">
        <v>2.6</v>
      </c>
      <c r="K197" s="1">
        <v>2.6</v>
      </c>
      <c r="L197" s="1">
        <v>2.06</v>
      </c>
      <c r="M197" s="1">
        <v>1.51</v>
      </c>
      <c r="N197" s="1">
        <v>1.3</v>
      </c>
      <c r="O197" s="1">
        <v>1.3</v>
      </c>
    </row>
    <row r="198" spans="1:15" x14ac:dyDescent="0.25">
      <c r="A198" s="1" t="s">
        <v>113</v>
      </c>
      <c r="B198" s="1" t="s">
        <v>94</v>
      </c>
      <c r="D198" s="1" t="s">
        <v>1</v>
      </c>
      <c r="E198" s="1" t="s">
        <v>2</v>
      </c>
      <c r="F198" s="1">
        <v>98</v>
      </c>
      <c r="G198" s="1">
        <v>90</v>
      </c>
      <c r="H198" s="1">
        <v>69</v>
      </c>
      <c r="I198" s="1">
        <v>102</v>
      </c>
      <c r="J198" s="1">
        <v>99</v>
      </c>
      <c r="K198" s="1">
        <v>102</v>
      </c>
      <c r="L198" s="1">
        <v>85</v>
      </c>
      <c r="M198" s="1">
        <v>67</v>
      </c>
      <c r="O198" s="1">
        <v>21</v>
      </c>
    </row>
    <row r="199" spans="1:15" x14ac:dyDescent="0.25">
      <c r="A199" s="1" t="s">
        <v>114</v>
      </c>
      <c r="B199" s="1" t="s">
        <v>94</v>
      </c>
      <c r="D199" s="1" t="s">
        <v>118</v>
      </c>
      <c r="E199" s="1" t="s">
        <v>2</v>
      </c>
      <c r="F199" s="1">
        <v>1.91</v>
      </c>
      <c r="G199" s="1">
        <v>1.92</v>
      </c>
      <c r="H199" s="1">
        <v>0.78</v>
      </c>
      <c r="I199" s="1">
        <v>0.78</v>
      </c>
      <c r="J199" s="1">
        <v>0.98</v>
      </c>
      <c r="K199" s="1">
        <v>0.98</v>
      </c>
      <c r="L199" s="1">
        <v>1.07</v>
      </c>
      <c r="M199" s="1">
        <v>1.24</v>
      </c>
      <c r="N199" s="1">
        <v>1.3</v>
      </c>
      <c r="O199" s="1">
        <v>1.3</v>
      </c>
    </row>
    <row r="200" spans="1:15" x14ac:dyDescent="0.25">
      <c r="A200" s="1" t="s">
        <v>114</v>
      </c>
      <c r="B200" s="1" t="s">
        <v>94</v>
      </c>
      <c r="D200" s="1" t="s">
        <v>118</v>
      </c>
      <c r="E200" s="1" t="s">
        <v>120</v>
      </c>
      <c r="F200" s="1">
        <v>1.05</v>
      </c>
      <c r="G200" s="1">
        <v>1.05</v>
      </c>
      <c r="H200" s="1">
        <v>0.69</v>
      </c>
      <c r="I200" s="1">
        <v>0.69</v>
      </c>
      <c r="J200" s="1">
        <v>0.69</v>
      </c>
      <c r="K200" s="1">
        <v>0.8</v>
      </c>
      <c r="L200" s="1">
        <v>0.8</v>
      </c>
      <c r="M200" s="1">
        <v>0.76</v>
      </c>
      <c r="N200" s="1">
        <v>0.64</v>
      </c>
      <c r="O200" s="1">
        <v>0.49</v>
      </c>
    </row>
    <row r="201" spans="1:15" x14ac:dyDescent="0.25">
      <c r="A201" s="1" t="s">
        <v>115</v>
      </c>
      <c r="B201" s="1" t="s">
        <v>94</v>
      </c>
      <c r="D201" s="1" t="s">
        <v>118</v>
      </c>
      <c r="E201" s="1" t="s">
        <v>2</v>
      </c>
      <c r="F201" s="1">
        <v>1.47</v>
      </c>
      <c r="G201" s="1">
        <v>1.75</v>
      </c>
      <c r="H201" s="1">
        <v>2.4300000000000002</v>
      </c>
      <c r="I201" s="1">
        <v>2.4300000000000002</v>
      </c>
      <c r="J201" s="1">
        <v>2.2400000000000002</v>
      </c>
      <c r="K201" s="1">
        <v>2.2400000000000002</v>
      </c>
      <c r="L201" s="1">
        <v>1.88</v>
      </c>
      <c r="M201" s="1">
        <v>1.51</v>
      </c>
      <c r="N201" s="1">
        <v>1.3</v>
      </c>
      <c r="O201" s="1">
        <v>1.3</v>
      </c>
    </row>
    <row r="202" spans="1:15" x14ac:dyDescent="0.25">
      <c r="A202" s="1" t="s">
        <v>115</v>
      </c>
      <c r="B202" s="1" t="s">
        <v>94</v>
      </c>
      <c r="D202" s="1" t="s">
        <v>1</v>
      </c>
      <c r="E202" s="1" t="s">
        <v>2</v>
      </c>
      <c r="F202" s="1">
        <v>98</v>
      </c>
      <c r="G202" s="1">
        <v>90</v>
      </c>
      <c r="H202" s="1">
        <v>81</v>
      </c>
      <c r="I202" s="1">
        <v>81</v>
      </c>
      <c r="J202" s="1">
        <v>81</v>
      </c>
      <c r="K202" s="1">
        <v>70</v>
      </c>
      <c r="L202" s="1">
        <v>58</v>
      </c>
      <c r="M202" s="1">
        <v>46</v>
      </c>
      <c r="N202" s="1">
        <v>38</v>
      </c>
      <c r="O202" s="1">
        <v>30</v>
      </c>
    </row>
    <row r="203" spans="1:15" x14ac:dyDescent="0.25">
      <c r="A203" s="1" t="s">
        <v>11</v>
      </c>
      <c r="B203" s="1" t="s">
        <v>94</v>
      </c>
      <c r="D203" s="1" t="s">
        <v>118</v>
      </c>
      <c r="E203" s="1" t="s">
        <v>2</v>
      </c>
      <c r="F203" s="1">
        <v>1.53</v>
      </c>
      <c r="G203" s="1">
        <v>1.29</v>
      </c>
      <c r="H203" s="1">
        <v>1.86</v>
      </c>
      <c r="I203" s="1">
        <v>1.92</v>
      </c>
      <c r="J203" s="1">
        <v>1.88</v>
      </c>
      <c r="K203" s="1">
        <v>1.88</v>
      </c>
      <c r="L203" s="1">
        <v>1.67</v>
      </c>
      <c r="M203" s="1">
        <v>1.51</v>
      </c>
      <c r="N203" s="1">
        <v>1.3</v>
      </c>
      <c r="O203" s="1">
        <v>1.3</v>
      </c>
    </row>
    <row r="204" spans="1:15" x14ac:dyDescent="0.25">
      <c r="A204" s="1" t="s">
        <v>11</v>
      </c>
      <c r="B204" s="1" t="s">
        <v>94</v>
      </c>
      <c r="D204" s="1" t="s">
        <v>118</v>
      </c>
      <c r="E204" s="1" t="s">
        <v>120</v>
      </c>
      <c r="M204" s="1">
        <v>0.69</v>
      </c>
      <c r="N204" s="1">
        <v>0.67</v>
      </c>
      <c r="O204" s="1">
        <v>0.49</v>
      </c>
    </row>
    <row r="205" spans="1:15" x14ac:dyDescent="0.25">
      <c r="A205" s="1" t="s">
        <v>11</v>
      </c>
      <c r="B205" s="1" t="s">
        <v>94</v>
      </c>
      <c r="D205" s="1" t="s">
        <v>1</v>
      </c>
      <c r="E205" s="1" t="s">
        <v>2</v>
      </c>
      <c r="F205" s="1">
        <v>37</v>
      </c>
      <c r="G205" s="1">
        <v>42</v>
      </c>
      <c r="H205" s="1">
        <v>62</v>
      </c>
      <c r="I205" s="1">
        <v>55</v>
      </c>
      <c r="J205" s="1">
        <v>48</v>
      </c>
      <c r="K205" s="1">
        <v>51</v>
      </c>
      <c r="L205" s="1">
        <v>51</v>
      </c>
      <c r="M205" s="1">
        <v>46</v>
      </c>
      <c r="N205" s="1">
        <v>38</v>
      </c>
      <c r="O205" s="1">
        <v>30</v>
      </c>
    </row>
    <row r="206" spans="1:15" x14ac:dyDescent="0.25">
      <c r="A206" s="1" t="s">
        <v>11</v>
      </c>
      <c r="B206" s="1" t="s">
        <v>94</v>
      </c>
      <c r="D206" s="1" t="s">
        <v>1</v>
      </c>
      <c r="E206" s="1" t="s">
        <v>120</v>
      </c>
      <c r="F206" s="1">
        <v>20</v>
      </c>
      <c r="G206" s="1">
        <v>19</v>
      </c>
      <c r="H206" s="1">
        <v>14</v>
      </c>
      <c r="I206" s="1">
        <v>62</v>
      </c>
      <c r="J206" s="1">
        <v>37</v>
      </c>
      <c r="K206" s="1">
        <v>62</v>
      </c>
      <c r="L206" s="1">
        <v>52</v>
      </c>
      <c r="M206" s="1">
        <v>29</v>
      </c>
      <c r="N206" s="1">
        <v>24</v>
      </c>
      <c r="O206" s="1">
        <v>18</v>
      </c>
    </row>
    <row r="207" spans="1:15" x14ac:dyDescent="0.25">
      <c r="A207" s="1" t="s">
        <v>116</v>
      </c>
      <c r="B207" s="1" t="s">
        <v>94</v>
      </c>
      <c r="D207" s="1" t="s">
        <v>118</v>
      </c>
      <c r="E207" s="1" t="s">
        <v>2</v>
      </c>
      <c r="F207" s="1">
        <v>1.97</v>
      </c>
      <c r="G207" s="1">
        <v>2.21</v>
      </c>
      <c r="H207" s="1">
        <v>1.1100000000000001</v>
      </c>
      <c r="I207" s="1">
        <v>2.0499999999999998</v>
      </c>
      <c r="J207" s="1">
        <v>1.98</v>
      </c>
      <c r="K207" s="1">
        <v>1.98</v>
      </c>
      <c r="L207" s="1">
        <v>1.75</v>
      </c>
      <c r="M207" s="1">
        <v>1.51</v>
      </c>
      <c r="N207" s="1">
        <v>1.3</v>
      </c>
      <c r="O207" s="1">
        <v>1.3</v>
      </c>
    </row>
    <row r="208" spans="1:15" x14ac:dyDescent="0.25">
      <c r="A208" s="1" t="s">
        <v>116</v>
      </c>
      <c r="B208" s="1" t="s">
        <v>94</v>
      </c>
      <c r="D208" s="1" t="s">
        <v>118</v>
      </c>
      <c r="E208" s="1" t="s">
        <v>120</v>
      </c>
      <c r="F208" s="1">
        <v>1.07</v>
      </c>
      <c r="G208" s="1">
        <v>1.22</v>
      </c>
      <c r="H208" s="1">
        <v>1.1100000000000001</v>
      </c>
      <c r="J208" s="1">
        <v>1.1100000000000001</v>
      </c>
      <c r="K208" s="1">
        <v>1.1100000000000001</v>
      </c>
      <c r="L208" s="1">
        <v>1.0900000000000001</v>
      </c>
      <c r="M208" s="1">
        <v>0.92</v>
      </c>
      <c r="N208" s="1">
        <v>0.64</v>
      </c>
      <c r="O208" s="1">
        <v>0.49</v>
      </c>
    </row>
    <row r="209" spans="1:15" x14ac:dyDescent="0.25">
      <c r="A209" s="1" t="s">
        <v>116</v>
      </c>
      <c r="B209" s="1" t="s">
        <v>94</v>
      </c>
      <c r="D209" s="1" t="s">
        <v>119</v>
      </c>
      <c r="E209" s="1" t="s">
        <v>120</v>
      </c>
      <c r="F209" s="1">
        <v>39</v>
      </c>
      <c r="G209" s="1">
        <v>40</v>
      </c>
      <c r="J209" s="1">
        <v>34</v>
      </c>
      <c r="L209" s="1">
        <v>24</v>
      </c>
      <c r="M209" s="1">
        <v>24</v>
      </c>
      <c r="N209" s="1">
        <v>24</v>
      </c>
      <c r="O209" s="1">
        <v>22</v>
      </c>
    </row>
    <row r="210" spans="1:15" x14ac:dyDescent="0.25">
      <c r="A210" s="1" t="s">
        <v>12</v>
      </c>
      <c r="B210" s="1" t="s">
        <v>94</v>
      </c>
      <c r="D210" s="1" t="s">
        <v>118</v>
      </c>
      <c r="E210" s="1" t="s">
        <v>2</v>
      </c>
      <c r="F210" s="1">
        <v>2.04</v>
      </c>
      <c r="G210" s="1">
        <v>2.11</v>
      </c>
      <c r="H210" s="1">
        <v>1.61</v>
      </c>
      <c r="I210" s="1">
        <v>1.61</v>
      </c>
      <c r="J210" s="1">
        <v>1.61</v>
      </c>
      <c r="K210" s="1">
        <v>1.61</v>
      </c>
      <c r="L210" s="1">
        <v>1.54</v>
      </c>
      <c r="M210" s="1">
        <v>1.47</v>
      </c>
      <c r="N210" s="1">
        <v>1.3</v>
      </c>
      <c r="O210" s="1">
        <v>1.3</v>
      </c>
    </row>
    <row r="211" spans="1:15" x14ac:dyDescent="0.25">
      <c r="A211" s="1" t="s">
        <v>12</v>
      </c>
      <c r="B211" s="1" t="s">
        <v>94</v>
      </c>
      <c r="D211" s="1" t="s">
        <v>118</v>
      </c>
      <c r="E211" s="1" t="s">
        <v>120</v>
      </c>
      <c r="F211" s="1">
        <v>1.02</v>
      </c>
      <c r="G211" s="1">
        <v>1.04</v>
      </c>
      <c r="H211" s="1">
        <v>0.93</v>
      </c>
      <c r="I211" s="1">
        <v>0.93</v>
      </c>
      <c r="J211" s="1">
        <v>0.93</v>
      </c>
      <c r="K211" s="1">
        <v>0.97</v>
      </c>
      <c r="L211" s="1">
        <v>0.97</v>
      </c>
      <c r="M211" s="1">
        <v>0.86</v>
      </c>
      <c r="N211" s="1">
        <v>0.64</v>
      </c>
      <c r="O211" s="1">
        <v>0.64</v>
      </c>
    </row>
    <row r="212" spans="1:15" x14ac:dyDescent="0.25">
      <c r="A212" s="1" t="s">
        <v>12</v>
      </c>
      <c r="B212" s="1" t="s">
        <v>94</v>
      </c>
      <c r="D212" s="1" t="s">
        <v>1</v>
      </c>
      <c r="E212" s="1" t="s">
        <v>2</v>
      </c>
      <c r="F212" s="1">
        <v>44</v>
      </c>
      <c r="G212" s="1">
        <v>44</v>
      </c>
      <c r="H212" s="1">
        <v>54</v>
      </c>
      <c r="I212" s="1">
        <v>54</v>
      </c>
      <c r="J212" s="1">
        <v>52</v>
      </c>
      <c r="K212" s="1">
        <v>57</v>
      </c>
      <c r="L212" s="1">
        <v>49</v>
      </c>
      <c r="M212" s="1">
        <v>46</v>
      </c>
      <c r="N212" s="1">
        <v>46</v>
      </c>
      <c r="O212" s="1">
        <v>47</v>
      </c>
    </row>
    <row r="213" spans="1:15" x14ac:dyDescent="0.25">
      <c r="A213" s="1" t="s">
        <v>12</v>
      </c>
      <c r="B213" s="1" t="s">
        <v>94</v>
      </c>
      <c r="D213" s="1" t="s">
        <v>1</v>
      </c>
      <c r="E213" s="1" t="s">
        <v>120</v>
      </c>
      <c r="F213" s="1">
        <v>29</v>
      </c>
      <c r="G213" s="1">
        <v>29</v>
      </c>
      <c r="H213" s="1">
        <v>31</v>
      </c>
      <c r="I213" s="1">
        <v>31</v>
      </c>
      <c r="J213" s="1">
        <v>30</v>
      </c>
      <c r="K213" s="1">
        <v>34</v>
      </c>
      <c r="L213" s="1">
        <v>30</v>
      </c>
      <c r="M213" s="1">
        <v>29</v>
      </c>
      <c r="N213" s="1">
        <v>27</v>
      </c>
      <c r="O213" s="1">
        <v>26</v>
      </c>
    </row>
    <row r="214" spans="1:15" x14ac:dyDescent="0.25">
      <c r="A214" s="1" t="s">
        <v>84</v>
      </c>
      <c r="B214" s="1" t="s">
        <v>94</v>
      </c>
      <c r="D214" s="1" t="s">
        <v>118</v>
      </c>
      <c r="E214" s="1" t="s">
        <v>2</v>
      </c>
      <c r="F214" s="1">
        <v>2.66</v>
      </c>
      <c r="G214" s="1">
        <v>2.64</v>
      </c>
      <c r="H214" s="1">
        <v>1.74</v>
      </c>
      <c r="I214" s="1">
        <v>1.74</v>
      </c>
      <c r="J214" s="1">
        <v>1.74</v>
      </c>
      <c r="K214" s="1">
        <v>1.74</v>
      </c>
      <c r="L214" s="1">
        <v>1.63</v>
      </c>
      <c r="M214" s="1">
        <v>1.51</v>
      </c>
      <c r="N214" s="1">
        <v>1.3</v>
      </c>
      <c r="O214" s="1">
        <v>1.3</v>
      </c>
    </row>
    <row r="215" spans="1:15" x14ac:dyDescent="0.25">
      <c r="A215" s="1" t="s">
        <v>84</v>
      </c>
      <c r="B215" s="1" t="s">
        <v>94</v>
      </c>
      <c r="D215" s="1" t="s">
        <v>118</v>
      </c>
      <c r="E215" s="1" t="s">
        <v>120</v>
      </c>
      <c r="F215" s="1">
        <v>1.38</v>
      </c>
      <c r="G215" s="1">
        <v>1.37</v>
      </c>
      <c r="H215" s="1">
        <v>0.74</v>
      </c>
      <c r="I215" s="1">
        <v>0.74</v>
      </c>
      <c r="J215" s="1">
        <v>0.74</v>
      </c>
      <c r="K215" s="1">
        <v>0.84</v>
      </c>
      <c r="L215" s="1">
        <v>0.84</v>
      </c>
      <c r="M215" s="1">
        <v>0.84</v>
      </c>
      <c r="N215" s="1">
        <v>0.72</v>
      </c>
      <c r="O215" s="1">
        <v>0.44</v>
      </c>
    </row>
    <row r="216" spans="1:15" x14ac:dyDescent="0.25">
      <c r="A216" s="1" t="s">
        <v>84</v>
      </c>
      <c r="B216" s="1" t="s">
        <v>94</v>
      </c>
      <c r="D216" s="1" t="s">
        <v>1</v>
      </c>
      <c r="E216" s="1" t="s">
        <v>2</v>
      </c>
      <c r="F216" s="1">
        <v>52</v>
      </c>
      <c r="G216" s="1">
        <v>52</v>
      </c>
      <c r="H216" s="1">
        <v>58</v>
      </c>
      <c r="I216" s="1">
        <v>58</v>
      </c>
      <c r="J216" s="1">
        <v>56</v>
      </c>
      <c r="K216" s="1">
        <v>53</v>
      </c>
      <c r="L216" s="1">
        <v>50</v>
      </c>
      <c r="M216" s="1">
        <v>46</v>
      </c>
      <c r="N216" s="1">
        <v>46</v>
      </c>
      <c r="O216" s="1">
        <v>47</v>
      </c>
    </row>
    <row r="217" spans="1:15" x14ac:dyDescent="0.25">
      <c r="A217" s="1" t="s">
        <v>84</v>
      </c>
      <c r="B217" s="1" t="s">
        <v>94</v>
      </c>
      <c r="D217" s="1" t="s">
        <v>1</v>
      </c>
      <c r="E217" s="1" t="s">
        <v>120</v>
      </c>
      <c r="F217" s="1">
        <v>34</v>
      </c>
      <c r="G217" s="1">
        <v>32</v>
      </c>
      <c r="H217" s="1">
        <v>25</v>
      </c>
      <c r="I217" s="1">
        <v>25</v>
      </c>
      <c r="J217" s="1">
        <v>25</v>
      </c>
      <c r="K217" s="1">
        <v>26</v>
      </c>
      <c r="L217" s="1">
        <v>28</v>
      </c>
      <c r="M217" s="1">
        <v>29</v>
      </c>
      <c r="N217" s="1">
        <v>27</v>
      </c>
      <c r="O217" s="1">
        <v>26</v>
      </c>
    </row>
    <row r="218" spans="1:15" x14ac:dyDescent="0.25">
      <c r="A218" s="1" t="s">
        <v>84</v>
      </c>
      <c r="B218" s="1" t="s">
        <v>94</v>
      </c>
      <c r="D218" s="1" t="s">
        <v>119</v>
      </c>
      <c r="E218" s="1" t="s">
        <v>120</v>
      </c>
      <c r="G218" s="1">
        <v>40</v>
      </c>
      <c r="H218" s="1">
        <v>24</v>
      </c>
      <c r="I218" s="1">
        <v>24</v>
      </c>
      <c r="J218" s="1">
        <v>24</v>
      </c>
      <c r="L218" s="1">
        <v>24</v>
      </c>
      <c r="M218" s="1">
        <v>24</v>
      </c>
      <c r="N218" s="1">
        <v>24</v>
      </c>
      <c r="O218" s="1">
        <v>22</v>
      </c>
    </row>
    <row r="219" spans="1:15" x14ac:dyDescent="0.25">
      <c r="A219" s="1" t="s">
        <v>117</v>
      </c>
      <c r="B219" s="1" t="s">
        <v>94</v>
      </c>
      <c r="D219" s="1" t="s">
        <v>118</v>
      </c>
      <c r="E219" s="1" t="s">
        <v>2</v>
      </c>
      <c r="F219" s="1">
        <v>2.44</v>
      </c>
      <c r="G219" s="1">
        <v>2.06</v>
      </c>
      <c r="H219" s="1">
        <v>2.02</v>
      </c>
      <c r="I219" s="1">
        <v>2.02</v>
      </c>
      <c r="J219" s="1">
        <v>1.92</v>
      </c>
      <c r="K219" s="1">
        <v>1.92</v>
      </c>
      <c r="L219" s="1">
        <v>1.72</v>
      </c>
      <c r="M219" s="1">
        <v>1.51</v>
      </c>
      <c r="N219" s="1">
        <v>1.3</v>
      </c>
      <c r="O219" s="1">
        <v>1.3</v>
      </c>
    </row>
    <row r="220" spans="1:15" x14ac:dyDescent="0.25">
      <c r="A220" s="1" t="s">
        <v>117</v>
      </c>
      <c r="B220" s="1" t="s">
        <v>94</v>
      </c>
      <c r="D220" s="1" t="s">
        <v>118</v>
      </c>
      <c r="E220" s="1" t="s">
        <v>120</v>
      </c>
      <c r="F220" s="1">
        <v>1.26</v>
      </c>
      <c r="G220" s="1">
        <v>1.06</v>
      </c>
      <c r="H220" s="1">
        <v>1.0900000000000001</v>
      </c>
      <c r="I220" s="1">
        <v>1.0900000000000001</v>
      </c>
      <c r="J220" s="1">
        <v>1.0900000000000001</v>
      </c>
      <c r="K220" s="1">
        <v>1.0900000000000001</v>
      </c>
      <c r="L220" s="1">
        <v>1.08</v>
      </c>
      <c r="M220" s="1">
        <v>0.92</v>
      </c>
      <c r="N220" s="1">
        <v>0.64</v>
      </c>
      <c r="O220" s="1">
        <v>0.49</v>
      </c>
    </row>
    <row r="221" spans="1:15" x14ac:dyDescent="0.25">
      <c r="A221" s="1" t="s">
        <v>117</v>
      </c>
      <c r="B221" s="1" t="s">
        <v>94</v>
      </c>
      <c r="D221" s="1" t="s">
        <v>1</v>
      </c>
      <c r="E221" s="1" t="s">
        <v>2</v>
      </c>
      <c r="F221" s="1">
        <v>55</v>
      </c>
      <c r="G221" s="1">
        <v>59</v>
      </c>
      <c r="H221" s="1">
        <v>67</v>
      </c>
      <c r="I221" s="1">
        <v>67</v>
      </c>
      <c r="J221" s="1">
        <v>65</v>
      </c>
      <c r="K221" s="1">
        <v>59</v>
      </c>
      <c r="L221" s="1">
        <v>53</v>
      </c>
      <c r="M221" s="1">
        <v>46</v>
      </c>
      <c r="N221" s="1">
        <v>46</v>
      </c>
      <c r="O221" s="1">
        <v>49</v>
      </c>
    </row>
    <row r="222" spans="1:15" x14ac:dyDescent="0.25">
      <c r="A222" s="1" t="s">
        <v>117</v>
      </c>
      <c r="B222" s="1" t="s">
        <v>94</v>
      </c>
      <c r="D222" s="1" t="s">
        <v>119</v>
      </c>
      <c r="E222" s="1" t="s">
        <v>120</v>
      </c>
      <c r="F222" s="1">
        <v>39</v>
      </c>
      <c r="G222" s="1">
        <v>40</v>
      </c>
      <c r="J222" s="1">
        <v>34</v>
      </c>
      <c r="L222" s="1">
        <v>50</v>
      </c>
      <c r="M222" s="1">
        <v>24</v>
      </c>
      <c r="N222" s="1">
        <v>24</v>
      </c>
      <c r="O222" s="1">
        <v>22</v>
      </c>
    </row>
    <row r="223" spans="1:15" x14ac:dyDescent="0.25">
      <c r="A223" s="1" t="s">
        <v>20</v>
      </c>
      <c r="B223" s="1" t="s">
        <v>121</v>
      </c>
      <c r="D223" s="1" t="s">
        <v>16</v>
      </c>
      <c r="E223" s="1" t="s">
        <v>2</v>
      </c>
      <c r="K223" s="1">
        <v>31</v>
      </c>
      <c r="L223" s="1">
        <v>31</v>
      </c>
      <c r="M223" s="1">
        <v>34.03</v>
      </c>
      <c r="N223" s="1">
        <v>37.97</v>
      </c>
      <c r="O223" s="1">
        <v>38</v>
      </c>
    </row>
    <row r="224" spans="1:15" x14ac:dyDescent="0.25">
      <c r="A224" s="1" t="s">
        <v>24</v>
      </c>
      <c r="B224" s="1" t="s">
        <v>121</v>
      </c>
      <c r="D224" s="1" t="s">
        <v>16</v>
      </c>
      <c r="E224" s="1" t="s">
        <v>2</v>
      </c>
      <c r="F224" s="1">
        <v>24</v>
      </c>
      <c r="G224" s="1">
        <v>25</v>
      </c>
      <c r="H224" s="1">
        <v>26</v>
      </c>
      <c r="I224" s="1">
        <v>27</v>
      </c>
      <c r="J224" s="1">
        <v>32.630000000000003</v>
      </c>
      <c r="K224" s="1">
        <v>29.22</v>
      </c>
      <c r="L224" s="1">
        <v>31</v>
      </c>
      <c r="M224" s="1">
        <v>34.03</v>
      </c>
      <c r="N224" s="1">
        <v>37.97</v>
      </c>
      <c r="O224" s="1">
        <v>60.14</v>
      </c>
    </row>
    <row r="225" spans="1:15" x14ac:dyDescent="0.25">
      <c r="A225" s="1" t="s">
        <v>25</v>
      </c>
      <c r="B225" s="1" t="s">
        <v>121</v>
      </c>
      <c r="D225" s="1" t="s">
        <v>16</v>
      </c>
      <c r="E225" s="1" t="s">
        <v>2</v>
      </c>
      <c r="F225" s="1">
        <v>24</v>
      </c>
      <c r="G225" s="1">
        <v>25</v>
      </c>
      <c r="H225" s="1">
        <v>26</v>
      </c>
      <c r="I225" s="1">
        <v>27</v>
      </c>
      <c r="J225" s="1">
        <v>32.53</v>
      </c>
      <c r="K225" s="1">
        <v>29.22</v>
      </c>
      <c r="L225" s="1">
        <v>31</v>
      </c>
      <c r="M225" s="1">
        <v>34.03</v>
      </c>
      <c r="N225" s="1">
        <v>37.97</v>
      </c>
      <c r="O225" s="1">
        <v>38</v>
      </c>
    </row>
    <row r="226" spans="1:15" x14ac:dyDescent="0.25">
      <c r="A226" s="1" t="s">
        <v>95</v>
      </c>
      <c r="B226" s="1" t="s">
        <v>123</v>
      </c>
      <c r="C226" s="1" t="s">
        <v>122</v>
      </c>
      <c r="D226" s="1" t="s">
        <v>119</v>
      </c>
      <c r="E226" s="1" t="s">
        <v>2</v>
      </c>
      <c r="F226" s="1">
        <v>1491</v>
      </c>
      <c r="G226" s="1">
        <v>1491</v>
      </c>
      <c r="H226" s="1">
        <v>1360</v>
      </c>
      <c r="I226" s="1">
        <v>1347</v>
      </c>
      <c r="J226" s="1">
        <v>1353</v>
      </c>
      <c r="K226" s="1">
        <v>1353</v>
      </c>
      <c r="L226" s="1">
        <v>1264</v>
      </c>
      <c r="M226" s="1">
        <v>1264</v>
      </c>
      <c r="N226" s="1">
        <v>1227</v>
      </c>
      <c r="O226" s="1">
        <v>1013</v>
      </c>
    </row>
    <row r="227" spans="1:15" x14ac:dyDescent="0.25">
      <c r="A227" s="1" t="s">
        <v>100</v>
      </c>
      <c r="B227" s="1" t="s">
        <v>123</v>
      </c>
      <c r="C227" s="1" t="s">
        <v>122</v>
      </c>
      <c r="D227" s="1" t="s">
        <v>119</v>
      </c>
      <c r="E227" s="1" t="s">
        <v>2</v>
      </c>
      <c r="F227" s="1">
        <v>1491</v>
      </c>
      <c r="G227" s="1">
        <v>1491</v>
      </c>
      <c r="H227" s="1">
        <v>1177</v>
      </c>
      <c r="I227" s="1">
        <v>1235</v>
      </c>
      <c r="J227" s="1">
        <v>1353</v>
      </c>
      <c r="K227" s="1">
        <v>1353</v>
      </c>
      <c r="L227" s="1">
        <v>1264</v>
      </c>
      <c r="M227" s="1">
        <v>1264</v>
      </c>
      <c r="N227" s="1">
        <v>1227</v>
      </c>
      <c r="O227" s="1">
        <v>1013</v>
      </c>
    </row>
    <row r="228" spans="1:15" x14ac:dyDescent="0.25">
      <c r="A228" s="1" t="s">
        <v>10</v>
      </c>
      <c r="B228" s="1" t="s">
        <v>123</v>
      </c>
      <c r="C228" s="1" t="s">
        <v>122</v>
      </c>
      <c r="D228" s="1" t="s">
        <v>119</v>
      </c>
      <c r="E228" s="1" t="s">
        <v>120</v>
      </c>
      <c r="F228" s="1">
        <v>1044</v>
      </c>
      <c r="G228" s="1">
        <v>976</v>
      </c>
      <c r="J228" s="1">
        <v>912</v>
      </c>
      <c r="K228" s="1">
        <v>912</v>
      </c>
      <c r="L228" s="1">
        <v>846</v>
      </c>
      <c r="M228" s="1">
        <v>921</v>
      </c>
      <c r="N228" s="1">
        <v>879</v>
      </c>
      <c r="O228" s="1">
        <v>704</v>
      </c>
    </row>
    <row r="229" spans="1:15" x14ac:dyDescent="0.25">
      <c r="A229" s="1" t="s">
        <v>113</v>
      </c>
      <c r="B229" s="1" t="s">
        <v>123</v>
      </c>
      <c r="C229" s="1" t="s">
        <v>122</v>
      </c>
      <c r="D229" s="1" t="s">
        <v>119</v>
      </c>
      <c r="E229" s="1" t="s">
        <v>2</v>
      </c>
      <c r="F229" s="1">
        <v>1491</v>
      </c>
      <c r="G229" s="1">
        <v>1491</v>
      </c>
      <c r="H229" s="1">
        <v>1177</v>
      </c>
      <c r="I229" s="1">
        <v>1347</v>
      </c>
      <c r="J229" s="1">
        <v>1347</v>
      </c>
      <c r="K229" s="1">
        <v>1347</v>
      </c>
      <c r="L229" s="1">
        <v>1264</v>
      </c>
      <c r="M229" s="1">
        <v>1264</v>
      </c>
      <c r="N229" s="1">
        <v>1227</v>
      </c>
      <c r="O229" s="1">
        <v>1310</v>
      </c>
    </row>
    <row r="230" spans="1:15" x14ac:dyDescent="0.25">
      <c r="A230" s="1" t="s">
        <v>115</v>
      </c>
      <c r="B230" s="1" t="s">
        <v>123</v>
      </c>
      <c r="C230" s="1" t="s">
        <v>122</v>
      </c>
      <c r="D230" s="1" t="s">
        <v>119</v>
      </c>
      <c r="E230" s="1" t="s">
        <v>2</v>
      </c>
      <c r="F230" s="1">
        <v>1491</v>
      </c>
      <c r="G230" s="1">
        <v>1491</v>
      </c>
      <c r="H230" s="1">
        <v>1177</v>
      </c>
      <c r="I230" s="1">
        <v>1347</v>
      </c>
      <c r="J230" s="1">
        <v>1347</v>
      </c>
      <c r="K230" s="1">
        <v>1347</v>
      </c>
      <c r="L230" s="1">
        <v>1264</v>
      </c>
      <c r="M230" s="1">
        <v>1261</v>
      </c>
      <c r="N230" s="1">
        <v>1227</v>
      </c>
      <c r="O230" s="1">
        <v>1310</v>
      </c>
    </row>
    <row r="231" spans="1:15" x14ac:dyDescent="0.25">
      <c r="A231" s="1" t="s">
        <v>117</v>
      </c>
      <c r="B231" s="1" t="s">
        <v>123</v>
      </c>
      <c r="C231" s="1" t="s">
        <v>124</v>
      </c>
      <c r="D231" s="1" t="s">
        <v>119</v>
      </c>
      <c r="E231" s="1" t="s">
        <v>2</v>
      </c>
      <c r="F231" s="1">
        <v>1491</v>
      </c>
      <c r="G231" s="1">
        <v>1491</v>
      </c>
      <c r="H231" s="1">
        <v>1177</v>
      </c>
      <c r="I231" s="1">
        <v>1235</v>
      </c>
      <c r="J231" s="1">
        <v>1353</v>
      </c>
      <c r="K231" s="1">
        <v>1353</v>
      </c>
      <c r="M231" s="1">
        <v>1264</v>
      </c>
      <c r="N231" s="1">
        <v>1198</v>
      </c>
      <c r="O231" s="1">
        <v>959</v>
      </c>
    </row>
    <row r="232" spans="1:15" x14ac:dyDescent="0.25">
      <c r="A232" s="1" t="s">
        <v>117</v>
      </c>
      <c r="B232" s="1" t="s">
        <v>123</v>
      </c>
      <c r="C232" s="1" t="s">
        <v>124</v>
      </c>
      <c r="D232" s="1" t="s">
        <v>119</v>
      </c>
      <c r="E232" s="1" t="s">
        <v>120</v>
      </c>
      <c r="F232" s="1">
        <v>1044</v>
      </c>
      <c r="G232" s="1">
        <v>976</v>
      </c>
      <c r="H232" s="1">
        <v>883</v>
      </c>
      <c r="I232" s="1">
        <v>927</v>
      </c>
      <c r="J232" s="1">
        <v>1015</v>
      </c>
      <c r="K232" s="1">
        <v>1015</v>
      </c>
      <c r="L232" s="1">
        <v>921</v>
      </c>
      <c r="M232" s="1">
        <v>921</v>
      </c>
      <c r="N232" s="1">
        <v>862</v>
      </c>
      <c r="O232" s="1">
        <v>670</v>
      </c>
    </row>
    <row r="233" spans="1:15" x14ac:dyDescent="0.25">
      <c r="A233" s="1" t="s">
        <v>117</v>
      </c>
      <c r="B233" s="1" t="s">
        <v>123</v>
      </c>
      <c r="C233" s="1" t="s">
        <v>122</v>
      </c>
      <c r="D233" s="1" t="s">
        <v>119</v>
      </c>
      <c r="E233" s="1" t="s">
        <v>2</v>
      </c>
      <c r="F233" s="1">
        <v>1491</v>
      </c>
      <c r="G233" s="1">
        <v>1491</v>
      </c>
      <c r="H233" s="1">
        <v>1177</v>
      </c>
      <c r="I233" s="1">
        <v>1235</v>
      </c>
      <c r="J233" s="1">
        <v>1353</v>
      </c>
      <c r="K233" s="1">
        <v>1353</v>
      </c>
      <c r="L233" s="1">
        <v>1264</v>
      </c>
      <c r="M233" s="1">
        <v>1264</v>
      </c>
      <c r="N233" s="1">
        <v>1227</v>
      </c>
      <c r="O233" s="1">
        <v>1013</v>
      </c>
    </row>
    <row r="234" spans="1:15" x14ac:dyDescent="0.25">
      <c r="A234" s="1" t="s">
        <v>117</v>
      </c>
      <c r="B234" s="1" t="s">
        <v>123</v>
      </c>
      <c r="C234" s="1" t="s">
        <v>122</v>
      </c>
      <c r="D234" s="1" t="s">
        <v>119</v>
      </c>
      <c r="E234" s="1" t="s">
        <v>120</v>
      </c>
      <c r="F234" s="1">
        <v>1044</v>
      </c>
      <c r="G234" s="1">
        <v>976</v>
      </c>
      <c r="H234" s="1">
        <v>883</v>
      </c>
      <c r="I234" s="1">
        <v>927</v>
      </c>
      <c r="J234" s="1">
        <v>1015</v>
      </c>
      <c r="K234" s="1">
        <v>1015</v>
      </c>
      <c r="L234" s="1">
        <v>921</v>
      </c>
      <c r="M234" s="1">
        <v>921</v>
      </c>
      <c r="N234" s="1">
        <v>879</v>
      </c>
      <c r="O234" s="1">
        <v>704</v>
      </c>
    </row>
    <row r="235" spans="1:15" x14ac:dyDescent="0.25">
      <c r="A235" s="1" t="s">
        <v>102</v>
      </c>
      <c r="B235" s="1" t="s">
        <v>125</v>
      </c>
      <c r="C235" s="1" t="s">
        <v>126</v>
      </c>
      <c r="D235" s="1" t="s">
        <v>16</v>
      </c>
      <c r="E235" s="1" t="s">
        <v>2</v>
      </c>
      <c r="F235" s="1">
        <v>9.33</v>
      </c>
      <c r="G235" s="1">
        <v>8.7200000000000006</v>
      </c>
      <c r="H235" s="1">
        <v>4.45</v>
      </c>
      <c r="I235" s="1">
        <v>4.45</v>
      </c>
      <c r="J235" s="1">
        <v>5.73</v>
      </c>
      <c r="K235" s="1">
        <v>5.76</v>
      </c>
      <c r="L235" s="1">
        <v>7.28</v>
      </c>
      <c r="M235" s="1">
        <v>7.36</v>
      </c>
      <c r="N235" s="1">
        <v>8.6300000000000008</v>
      </c>
      <c r="O235" s="1">
        <v>11.73</v>
      </c>
    </row>
    <row r="236" spans="1:15" x14ac:dyDescent="0.25">
      <c r="A236" s="1" t="s">
        <v>20</v>
      </c>
      <c r="B236" s="1" t="s">
        <v>125</v>
      </c>
      <c r="C236" s="1" t="s">
        <v>15</v>
      </c>
      <c r="D236" s="1" t="s">
        <v>16</v>
      </c>
      <c r="E236" s="1" t="s">
        <v>2</v>
      </c>
      <c r="F236" s="1">
        <v>9.33</v>
      </c>
      <c r="G236" s="1">
        <v>8.7200000000000006</v>
      </c>
      <c r="H236" s="1">
        <v>4.45</v>
      </c>
      <c r="I236" s="1">
        <v>4.45</v>
      </c>
      <c r="J236" s="1">
        <v>5.73</v>
      </c>
      <c r="K236" s="1">
        <v>5.9</v>
      </c>
      <c r="L236" s="1">
        <v>6.54</v>
      </c>
      <c r="M236" s="1">
        <v>5.16</v>
      </c>
      <c r="N236" s="1">
        <v>5.26</v>
      </c>
      <c r="O236" s="1">
        <v>4.72</v>
      </c>
    </row>
    <row r="237" spans="1:15" x14ac:dyDescent="0.25">
      <c r="A237" s="1" t="s">
        <v>24</v>
      </c>
      <c r="B237" s="1" t="s">
        <v>125</v>
      </c>
      <c r="C237" s="1" t="s">
        <v>126</v>
      </c>
      <c r="D237" s="1" t="s">
        <v>16</v>
      </c>
      <c r="E237" s="1" t="s">
        <v>2</v>
      </c>
      <c r="F237" s="1">
        <v>9.33</v>
      </c>
      <c r="G237" s="1">
        <v>8.7200000000000006</v>
      </c>
      <c r="H237" s="1">
        <v>4.45</v>
      </c>
      <c r="I237" s="1">
        <v>7.11</v>
      </c>
      <c r="J237" s="1">
        <v>6.91</v>
      </c>
      <c r="K237" s="1">
        <v>6.09</v>
      </c>
      <c r="L237" s="1">
        <v>7.28</v>
      </c>
      <c r="M237" s="1">
        <v>7.36</v>
      </c>
      <c r="N237" s="1">
        <v>6.8</v>
      </c>
      <c r="O237" s="1">
        <v>6.66</v>
      </c>
    </row>
    <row r="238" spans="1:15" x14ac:dyDescent="0.25">
      <c r="A238" s="1" t="s">
        <v>24</v>
      </c>
      <c r="B238" s="1" t="s">
        <v>125</v>
      </c>
      <c r="C238" s="1" t="s">
        <v>127</v>
      </c>
      <c r="D238" s="1" t="s">
        <v>16</v>
      </c>
      <c r="E238" s="1" t="s">
        <v>2</v>
      </c>
      <c r="F238" s="1">
        <v>9.33</v>
      </c>
      <c r="G238" s="1">
        <v>8.7200000000000006</v>
      </c>
      <c r="H238" s="1">
        <v>4.45</v>
      </c>
      <c r="I238" s="1">
        <v>7.11</v>
      </c>
      <c r="J238" s="1">
        <v>6.91</v>
      </c>
      <c r="K238" s="1">
        <v>5.74</v>
      </c>
      <c r="L238" s="1">
        <v>7.53</v>
      </c>
      <c r="M238" s="1">
        <v>6.76</v>
      </c>
      <c r="N238" s="1">
        <v>6.36</v>
      </c>
      <c r="O238" s="1">
        <v>5.97</v>
      </c>
    </row>
    <row r="239" spans="1:15" x14ac:dyDescent="0.25">
      <c r="A239" s="1" t="s">
        <v>25</v>
      </c>
      <c r="B239" s="1" t="s">
        <v>125</v>
      </c>
      <c r="C239" s="1" t="s">
        <v>15</v>
      </c>
      <c r="D239" s="1" t="s">
        <v>16</v>
      </c>
      <c r="E239" s="1" t="s">
        <v>2</v>
      </c>
      <c r="F239" s="1">
        <v>9.33</v>
      </c>
      <c r="G239" s="1">
        <v>8.7200000000000006</v>
      </c>
      <c r="H239" s="1">
        <v>4.45</v>
      </c>
      <c r="I239" s="1">
        <v>8.14</v>
      </c>
      <c r="J239" s="1">
        <v>7.96</v>
      </c>
      <c r="K239" s="1">
        <v>7.3</v>
      </c>
      <c r="L239" s="1">
        <v>6.54</v>
      </c>
      <c r="M239" s="1">
        <v>5.8</v>
      </c>
      <c r="N239" s="1">
        <v>5.8</v>
      </c>
      <c r="O239" s="1">
        <v>5.4</v>
      </c>
    </row>
    <row r="240" spans="1:15" x14ac:dyDescent="0.25">
      <c r="A240" s="1" t="s">
        <v>25</v>
      </c>
      <c r="B240" s="1" t="s">
        <v>125</v>
      </c>
      <c r="C240" s="1" t="s">
        <v>126</v>
      </c>
      <c r="D240" s="1" t="s">
        <v>16</v>
      </c>
      <c r="E240" s="1" t="s">
        <v>2</v>
      </c>
      <c r="F240" s="1">
        <v>9.33</v>
      </c>
      <c r="G240" s="1">
        <v>8.7200000000000006</v>
      </c>
      <c r="H240" s="1">
        <v>4.45</v>
      </c>
      <c r="I240" s="1">
        <v>4.45</v>
      </c>
      <c r="J240" s="1">
        <v>5.73</v>
      </c>
      <c r="K240" s="1">
        <v>5.76</v>
      </c>
      <c r="L240" s="1">
        <v>7.28</v>
      </c>
      <c r="M240" s="1">
        <v>6.54</v>
      </c>
      <c r="N240" s="1">
        <v>6.71</v>
      </c>
      <c r="O240" s="1">
        <v>6.22</v>
      </c>
    </row>
    <row r="241" spans="1:15" x14ac:dyDescent="0.25">
      <c r="A241" s="1" t="s">
        <v>25</v>
      </c>
      <c r="B241" s="1" t="s">
        <v>125</v>
      </c>
      <c r="C241" s="1" t="s">
        <v>127</v>
      </c>
      <c r="D241" s="1" t="s">
        <v>16</v>
      </c>
      <c r="E241" s="1" t="s">
        <v>2</v>
      </c>
      <c r="F241" s="1">
        <v>9.33</v>
      </c>
      <c r="G241" s="1">
        <v>8.7200000000000006</v>
      </c>
      <c r="H241" s="1">
        <v>4.45</v>
      </c>
      <c r="I241" s="1">
        <v>8.14</v>
      </c>
      <c r="J241" s="1">
        <v>7.94</v>
      </c>
      <c r="K241" s="1">
        <v>6.76</v>
      </c>
      <c r="L241" s="1">
        <v>7.53</v>
      </c>
      <c r="M241" s="1">
        <v>6.61</v>
      </c>
      <c r="N241" s="1">
        <v>5.74</v>
      </c>
      <c r="O241" s="1">
        <v>5.5</v>
      </c>
    </row>
    <row r="242" spans="1:15" x14ac:dyDescent="0.25">
      <c r="A242" s="1" t="s">
        <v>84</v>
      </c>
      <c r="B242" s="1" t="s">
        <v>125</v>
      </c>
      <c r="C242" s="1" t="s">
        <v>15</v>
      </c>
      <c r="D242" s="1" t="s">
        <v>16</v>
      </c>
      <c r="E242" s="1" t="s">
        <v>2</v>
      </c>
      <c r="F242" s="1">
        <v>9.33</v>
      </c>
      <c r="G242" s="1">
        <v>8.7200000000000006</v>
      </c>
      <c r="H242" s="1">
        <v>4.45</v>
      </c>
      <c r="I242" s="1">
        <v>4.45</v>
      </c>
      <c r="J242" s="1">
        <v>5.73</v>
      </c>
      <c r="K242" s="1">
        <v>5.9</v>
      </c>
      <c r="L242" s="1">
        <v>5.52</v>
      </c>
      <c r="M242" s="1">
        <v>5.16</v>
      </c>
      <c r="N242" s="1">
        <v>6.62</v>
      </c>
      <c r="O242" s="1">
        <v>6.11</v>
      </c>
    </row>
    <row r="243" spans="1:15" x14ac:dyDescent="0.25">
      <c r="A243" s="1" t="s">
        <v>84</v>
      </c>
      <c r="B243" s="1" t="s">
        <v>125</v>
      </c>
      <c r="C243" s="1" t="s">
        <v>126</v>
      </c>
      <c r="D243" s="1" t="s">
        <v>16</v>
      </c>
      <c r="E243" s="1" t="s">
        <v>2</v>
      </c>
      <c r="F243" s="1">
        <v>9.33</v>
      </c>
      <c r="G243" s="1">
        <v>8.7200000000000006</v>
      </c>
      <c r="H243" s="1">
        <v>4.45</v>
      </c>
      <c r="I243" s="1">
        <v>4.45</v>
      </c>
      <c r="J243" s="1">
        <v>5.73</v>
      </c>
      <c r="K243" s="1">
        <v>5.76</v>
      </c>
      <c r="L243" s="1">
        <v>7.28</v>
      </c>
      <c r="M243" s="1">
        <v>6.54</v>
      </c>
      <c r="N243" s="1">
        <v>4.97</v>
      </c>
      <c r="O243" s="1">
        <v>4.49</v>
      </c>
    </row>
    <row r="244" spans="1:15" x14ac:dyDescent="0.25">
      <c r="A244" s="1" t="s">
        <v>84</v>
      </c>
      <c r="B244" s="1" t="s">
        <v>125</v>
      </c>
      <c r="C244" s="1" t="s">
        <v>127</v>
      </c>
      <c r="D244" s="1" t="s">
        <v>16</v>
      </c>
      <c r="E244" s="1" t="s">
        <v>2</v>
      </c>
      <c r="F244" s="1">
        <v>9.33</v>
      </c>
      <c r="G244" s="1">
        <v>8.7200000000000006</v>
      </c>
      <c r="H244" s="1">
        <v>4.45</v>
      </c>
      <c r="I244" s="1">
        <v>4.45</v>
      </c>
      <c r="J244" s="1">
        <v>5.73</v>
      </c>
      <c r="K244" s="1">
        <v>5.5</v>
      </c>
      <c r="L244" s="1">
        <v>7.53</v>
      </c>
      <c r="M244" s="1">
        <v>6.43</v>
      </c>
      <c r="N244" s="1">
        <v>5.18</v>
      </c>
      <c r="O244" s="1">
        <v>4.8899999999999997</v>
      </c>
    </row>
    <row r="245" spans="1:15" x14ac:dyDescent="0.25">
      <c r="A245" s="1" t="s">
        <v>0</v>
      </c>
      <c r="B245" s="1" t="s">
        <v>129</v>
      </c>
      <c r="C245" s="1" t="s">
        <v>130</v>
      </c>
      <c r="D245" s="1" t="s">
        <v>16</v>
      </c>
      <c r="E245" s="1" t="s">
        <v>2</v>
      </c>
      <c r="F245" s="1">
        <v>4233</v>
      </c>
      <c r="G245" s="1">
        <v>3933</v>
      </c>
      <c r="H245" s="1">
        <v>3933</v>
      </c>
      <c r="I245" s="1">
        <v>3767</v>
      </c>
      <c r="J245" s="1">
        <v>3767</v>
      </c>
      <c r="K245" s="1">
        <v>3767</v>
      </c>
      <c r="L245" s="1">
        <v>3627</v>
      </c>
      <c r="M245" s="1">
        <v>3473</v>
      </c>
      <c r="N245" s="1">
        <v>2988</v>
      </c>
      <c r="O245" s="1">
        <v>2510</v>
      </c>
    </row>
    <row r="246" spans="1:15" x14ac:dyDescent="0.25">
      <c r="A246" s="1" t="s">
        <v>128</v>
      </c>
      <c r="B246" s="1" t="s">
        <v>129</v>
      </c>
      <c r="C246" s="1" t="s">
        <v>131</v>
      </c>
      <c r="D246" s="1" t="s">
        <v>136</v>
      </c>
      <c r="E246" s="1" t="s">
        <v>2</v>
      </c>
      <c r="F246" s="1">
        <v>1641</v>
      </c>
      <c r="G246" s="1">
        <v>1603</v>
      </c>
      <c r="H246" s="1">
        <v>1603</v>
      </c>
      <c r="I246" s="1">
        <v>1688</v>
      </c>
      <c r="J246" s="1">
        <v>1847</v>
      </c>
      <c r="K246" s="1">
        <v>1847</v>
      </c>
      <c r="L246" s="1">
        <v>1938</v>
      </c>
      <c r="M246" s="1">
        <v>1986</v>
      </c>
      <c r="N246" s="1">
        <v>1961</v>
      </c>
      <c r="O246" s="1">
        <v>1986</v>
      </c>
    </row>
    <row r="247" spans="1:15" x14ac:dyDescent="0.25">
      <c r="A247" s="1" t="s">
        <v>128</v>
      </c>
      <c r="B247" s="1" t="s">
        <v>129</v>
      </c>
      <c r="C247" s="1" t="s">
        <v>132</v>
      </c>
      <c r="D247" s="1" t="s">
        <v>136</v>
      </c>
      <c r="E247" s="1" t="s">
        <v>2</v>
      </c>
      <c r="F247" s="1">
        <v>1641</v>
      </c>
      <c r="G247" s="1">
        <v>1603</v>
      </c>
      <c r="H247" s="1">
        <v>1603</v>
      </c>
      <c r="I247" s="1">
        <v>1688</v>
      </c>
      <c r="J247" s="1">
        <v>1847</v>
      </c>
      <c r="K247" s="1">
        <v>1847</v>
      </c>
      <c r="L247" s="1">
        <v>1927</v>
      </c>
      <c r="M247" s="1">
        <v>1972</v>
      </c>
      <c r="N247" s="1">
        <v>1943</v>
      </c>
      <c r="O247" s="1">
        <v>1973</v>
      </c>
    </row>
    <row r="248" spans="1:15" x14ac:dyDescent="0.25">
      <c r="A248" s="1" t="s">
        <v>128</v>
      </c>
      <c r="B248" s="1" t="s">
        <v>129</v>
      </c>
      <c r="C248" s="1" t="s">
        <v>130</v>
      </c>
      <c r="D248" s="1" t="s">
        <v>16</v>
      </c>
      <c r="E248" s="1" t="s">
        <v>2</v>
      </c>
      <c r="F248" s="1">
        <v>4233</v>
      </c>
      <c r="G248" s="1">
        <v>3933</v>
      </c>
      <c r="H248" s="1">
        <v>3933</v>
      </c>
      <c r="I248" s="1">
        <v>3767</v>
      </c>
      <c r="J248" s="1">
        <v>3600</v>
      </c>
      <c r="K248" s="1">
        <v>3335</v>
      </c>
      <c r="L248" s="1">
        <v>3262</v>
      </c>
      <c r="M248" s="1">
        <v>2778</v>
      </c>
      <c r="N248" s="1">
        <v>1713</v>
      </c>
      <c r="O248" s="1">
        <v>1540</v>
      </c>
    </row>
    <row r="249" spans="1:15" x14ac:dyDescent="0.25">
      <c r="A249" s="1" t="s">
        <v>128</v>
      </c>
      <c r="B249" s="1" t="s">
        <v>129</v>
      </c>
      <c r="C249" s="1" t="s">
        <v>133</v>
      </c>
      <c r="D249" s="1" t="s">
        <v>136</v>
      </c>
      <c r="E249" s="1" t="s">
        <v>2</v>
      </c>
      <c r="F249" s="1">
        <v>1641</v>
      </c>
      <c r="G249" s="1">
        <v>1603</v>
      </c>
      <c r="H249" s="1">
        <v>1603</v>
      </c>
      <c r="I249" s="1">
        <v>1688</v>
      </c>
      <c r="J249" s="1">
        <v>1847</v>
      </c>
      <c r="K249" s="1">
        <v>1847</v>
      </c>
      <c r="L249" s="1">
        <v>1938</v>
      </c>
      <c r="M249" s="1">
        <v>1986</v>
      </c>
      <c r="N249" s="1">
        <v>1961</v>
      </c>
      <c r="O249" s="1">
        <v>1986</v>
      </c>
    </row>
    <row r="250" spans="1:15" x14ac:dyDescent="0.25">
      <c r="A250" s="1" t="s">
        <v>9</v>
      </c>
      <c r="B250" s="1" t="s">
        <v>129</v>
      </c>
      <c r="C250" s="1" t="s">
        <v>130</v>
      </c>
      <c r="D250" s="1" t="s">
        <v>16</v>
      </c>
      <c r="E250" s="1" t="s">
        <v>2</v>
      </c>
      <c r="F250" s="1">
        <v>4233</v>
      </c>
      <c r="G250" s="1">
        <v>3933</v>
      </c>
      <c r="J250" s="1">
        <v>3667</v>
      </c>
      <c r="K250" s="1">
        <v>3584</v>
      </c>
      <c r="L250" s="1">
        <v>3444</v>
      </c>
      <c r="M250" s="1">
        <v>3444</v>
      </c>
      <c r="N250" s="1">
        <v>3644</v>
      </c>
      <c r="O250" s="1">
        <v>3807</v>
      </c>
    </row>
    <row r="251" spans="1:15" x14ac:dyDescent="0.25">
      <c r="A251" s="1" t="s">
        <v>67</v>
      </c>
      <c r="B251" s="1" t="s">
        <v>129</v>
      </c>
      <c r="C251" s="1" t="s">
        <v>134</v>
      </c>
      <c r="D251" s="1" t="s">
        <v>136</v>
      </c>
      <c r="E251" s="1" t="s">
        <v>2</v>
      </c>
      <c r="F251" s="1">
        <v>1900</v>
      </c>
      <c r="G251" s="1">
        <v>1850</v>
      </c>
      <c r="H251" s="1">
        <v>1850</v>
      </c>
      <c r="I251" s="1">
        <v>1810</v>
      </c>
      <c r="J251" s="1">
        <v>1720</v>
      </c>
      <c r="K251" s="1">
        <v>1720</v>
      </c>
      <c r="L251" s="1">
        <v>1685</v>
      </c>
      <c r="M251" s="1">
        <v>1662</v>
      </c>
      <c r="N251" s="1">
        <v>1716</v>
      </c>
      <c r="O251" s="1">
        <v>1802</v>
      </c>
    </row>
    <row r="252" spans="1:15" x14ac:dyDescent="0.25">
      <c r="A252" s="1" t="s">
        <v>67</v>
      </c>
      <c r="B252" s="1" t="s">
        <v>129</v>
      </c>
      <c r="C252" s="1" t="s">
        <v>134</v>
      </c>
      <c r="D252" s="1" t="s">
        <v>136</v>
      </c>
      <c r="E252" s="1" t="s">
        <v>120</v>
      </c>
      <c r="F252" s="1">
        <v>948</v>
      </c>
      <c r="G252" s="1">
        <v>936</v>
      </c>
      <c r="H252" s="1">
        <v>936</v>
      </c>
      <c r="I252" s="1">
        <v>919</v>
      </c>
      <c r="J252" s="1">
        <v>891</v>
      </c>
      <c r="K252" s="1">
        <v>891</v>
      </c>
      <c r="L252" s="1">
        <v>877</v>
      </c>
      <c r="M252" s="1">
        <v>860</v>
      </c>
      <c r="N252" s="1">
        <v>860</v>
      </c>
      <c r="O252" s="1">
        <v>713</v>
      </c>
    </row>
    <row r="253" spans="1:15" x14ac:dyDescent="0.25">
      <c r="A253" s="1" t="s">
        <v>67</v>
      </c>
      <c r="B253" s="1" t="s">
        <v>129</v>
      </c>
      <c r="C253" s="1" t="s">
        <v>135</v>
      </c>
      <c r="D253" s="1" t="s">
        <v>119</v>
      </c>
      <c r="E253" s="1" t="s">
        <v>120</v>
      </c>
      <c r="F253" s="1">
        <v>556</v>
      </c>
      <c r="G253" s="1">
        <v>561</v>
      </c>
      <c r="H253" s="1">
        <v>561</v>
      </c>
      <c r="I253" s="1">
        <v>555</v>
      </c>
      <c r="J253" s="1">
        <v>558</v>
      </c>
      <c r="K253" s="1">
        <v>558</v>
      </c>
      <c r="L253" s="1">
        <v>558</v>
      </c>
      <c r="M253" s="1">
        <v>558</v>
      </c>
      <c r="N253" s="1">
        <v>558</v>
      </c>
      <c r="O253" s="1">
        <v>558</v>
      </c>
    </row>
    <row r="254" spans="1:15" x14ac:dyDescent="0.25">
      <c r="A254" s="1" t="s">
        <v>10</v>
      </c>
      <c r="B254" s="1" t="s">
        <v>129</v>
      </c>
      <c r="C254" s="1" t="s">
        <v>134</v>
      </c>
      <c r="D254" s="1" t="s">
        <v>136</v>
      </c>
      <c r="E254" s="1" t="s">
        <v>120</v>
      </c>
      <c r="H254" s="1">
        <v>936</v>
      </c>
      <c r="I254" s="1">
        <v>919</v>
      </c>
      <c r="J254" s="1">
        <v>891</v>
      </c>
      <c r="K254" s="1">
        <v>891</v>
      </c>
      <c r="L254" s="1">
        <v>877</v>
      </c>
      <c r="M254" s="1">
        <v>860</v>
      </c>
      <c r="N254" s="1">
        <v>860</v>
      </c>
      <c r="O254" s="1">
        <v>825</v>
      </c>
    </row>
    <row r="255" spans="1:15" x14ac:dyDescent="0.25">
      <c r="A255" s="1" t="s">
        <v>107</v>
      </c>
      <c r="B255" s="1" t="s">
        <v>129</v>
      </c>
      <c r="C255" s="1" t="s">
        <v>135</v>
      </c>
      <c r="D255" s="1" t="s">
        <v>136</v>
      </c>
      <c r="E255" s="1" t="s">
        <v>2</v>
      </c>
      <c r="N255" s="1">
        <v>1112</v>
      </c>
      <c r="O255" s="1">
        <v>1112</v>
      </c>
    </row>
    <row r="256" spans="1:15" x14ac:dyDescent="0.25">
      <c r="A256" s="1" t="s">
        <v>23</v>
      </c>
      <c r="B256" s="1" t="s">
        <v>129</v>
      </c>
      <c r="C256" s="1" t="s">
        <v>132</v>
      </c>
      <c r="D256" s="1" t="s">
        <v>136</v>
      </c>
      <c r="E256" s="1" t="s">
        <v>120</v>
      </c>
      <c r="F256" s="1">
        <v>542</v>
      </c>
      <c r="G256" s="1">
        <v>500</v>
      </c>
      <c r="H256" s="1">
        <v>500</v>
      </c>
      <c r="I256" s="1">
        <v>465</v>
      </c>
      <c r="J256" s="1">
        <v>458</v>
      </c>
      <c r="K256" s="1">
        <v>458</v>
      </c>
      <c r="L256" s="1">
        <v>467</v>
      </c>
      <c r="M256" s="1">
        <v>481</v>
      </c>
      <c r="N256" s="1">
        <v>485</v>
      </c>
      <c r="O256" s="1">
        <v>481</v>
      </c>
    </row>
    <row r="257" spans="1:15" x14ac:dyDescent="0.25">
      <c r="A257" s="1" t="s">
        <v>23</v>
      </c>
      <c r="B257" s="1" t="s">
        <v>129</v>
      </c>
      <c r="C257" s="1" t="s">
        <v>134</v>
      </c>
      <c r="D257" s="1" t="s">
        <v>136</v>
      </c>
      <c r="E257" s="1" t="s">
        <v>120</v>
      </c>
      <c r="F257" s="1">
        <v>948</v>
      </c>
      <c r="G257" s="1">
        <v>936</v>
      </c>
      <c r="H257" s="1">
        <v>936</v>
      </c>
      <c r="I257" s="1">
        <v>919</v>
      </c>
      <c r="J257" s="1">
        <v>891</v>
      </c>
      <c r="K257" s="1">
        <v>891</v>
      </c>
      <c r="L257" s="1">
        <v>877</v>
      </c>
      <c r="M257" s="1">
        <v>860</v>
      </c>
      <c r="N257" s="1">
        <v>860</v>
      </c>
      <c r="O257" s="1">
        <v>825</v>
      </c>
    </row>
    <row r="258" spans="1:15" x14ac:dyDescent="0.25">
      <c r="A258" s="1" t="s">
        <v>24</v>
      </c>
      <c r="B258" s="1" t="s">
        <v>129</v>
      </c>
      <c r="C258" s="1" t="s">
        <v>137</v>
      </c>
      <c r="D258" s="1" t="s">
        <v>16</v>
      </c>
      <c r="E258" s="1" t="s">
        <v>2</v>
      </c>
      <c r="F258" s="1">
        <v>4233</v>
      </c>
      <c r="G258" s="1">
        <v>3933</v>
      </c>
      <c r="H258" s="1">
        <v>3933</v>
      </c>
      <c r="I258" s="1">
        <v>3767</v>
      </c>
      <c r="J258" s="1">
        <v>3753</v>
      </c>
      <c r="K258" s="1">
        <v>3753</v>
      </c>
      <c r="L258" s="1">
        <v>3285</v>
      </c>
      <c r="M258" s="1">
        <v>2703</v>
      </c>
      <c r="N258" s="1">
        <v>2042</v>
      </c>
      <c r="O258" s="1">
        <v>1544</v>
      </c>
    </row>
    <row r="259" spans="1:15" x14ac:dyDescent="0.25">
      <c r="A259" s="1" t="s">
        <v>24</v>
      </c>
      <c r="B259" s="1" t="s">
        <v>129</v>
      </c>
      <c r="C259" s="1" t="s">
        <v>130</v>
      </c>
      <c r="D259" s="1" t="s">
        <v>16</v>
      </c>
      <c r="E259" s="1" t="s">
        <v>2</v>
      </c>
      <c r="F259" s="1">
        <v>4233</v>
      </c>
      <c r="G259" s="1">
        <v>3933</v>
      </c>
      <c r="H259" s="1">
        <v>3933</v>
      </c>
      <c r="I259" s="1">
        <v>3767</v>
      </c>
      <c r="J259" s="1">
        <v>3600</v>
      </c>
      <c r="K259" s="1">
        <v>3335</v>
      </c>
      <c r="L259" s="1">
        <v>3262</v>
      </c>
      <c r="M259" s="1">
        <v>3262</v>
      </c>
      <c r="N259" s="1">
        <v>2778</v>
      </c>
      <c r="O259" s="1">
        <v>2561</v>
      </c>
    </row>
    <row r="260" spans="1:15" x14ac:dyDescent="0.25">
      <c r="A260" s="1" t="s">
        <v>24</v>
      </c>
      <c r="B260" s="1" t="s">
        <v>129</v>
      </c>
      <c r="C260" s="1" t="s">
        <v>133</v>
      </c>
      <c r="D260" s="1" t="s">
        <v>136</v>
      </c>
      <c r="E260" s="1" t="s">
        <v>2</v>
      </c>
      <c r="F260" s="1">
        <v>1641</v>
      </c>
      <c r="G260" s="1">
        <v>1603</v>
      </c>
      <c r="H260" s="1">
        <v>1603</v>
      </c>
      <c r="I260" s="1">
        <v>1688</v>
      </c>
      <c r="J260" s="1">
        <v>1847</v>
      </c>
      <c r="K260" s="1">
        <v>1847</v>
      </c>
      <c r="L260" s="1">
        <v>1938</v>
      </c>
      <c r="M260" s="1">
        <v>1986</v>
      </c>
      <c r="N260" s="1">
        <v>1961</v>
      </c>
      <c r="O260" s="1">
        <v>1986</v>
      </c>
    </row>
    <row r="261" spans="1:15" x14ac:dyDescent="0.25">
      <c r="A261" s="1" t="s">
        <v>24</v>
      </c>
      <c r="B261" s="1" t="s">
        <v>129</v>
      </c>
      <c r="C261" s="1" t="s">
        <v>140</v>
      </c>
      <c r="D261" s="1" t="s">
        <v>16</v>
      </c>
      <c r="E261" s="1" t="s">
        <v>2</v>
      </c>
      <c r="F261" s="1">
        <v>4233</v>
      </c>
      <c r="G261" s="1">
        <v>3933</v>
      </c>
      <c r="H261" s="1">
        <v>3933</v>
      </c>
      <c r="I261" s="1">
        <v>3767</v>
      </c>
      <c r="J261" s="1">
        <v>3753</v>
      </c>
      <c r="K261" s="1">
        <v>3753</v>
      </c>
      <c r="L261" s="1">
        <v>3641</v>
      </c>
      <c r="M261" s="1">
        <v>3226</v>
      </c>
      <c r="N261" s="1">
        <v>2565</v>
      </c>
      <c r="O261" s="1">
        <v>1937</v>
      </c>
    </row>
    <row r="262" spans="1:15" x14ac:dyDescent="0.25">
      <c r="A262" s="1" t="s">
        <v>24</v>
      </c>
      <c r="B262" s="1" t="s">
        <v>129</v>
      </c>
      <c r="C262" s="1" t="s">
        <v>138</v>
      </c>
      <c r="D262" s="1" t="s">
        <v>16</v>
      </c>
      <c r="E262" s="1" t="s">
        <v>2</v>
      </c>
      <c r="F262" s="1">
        <v>4233</v>
      </c>
      <c r="G262" s="1">
        <v>3933</v>
      </c>
      <c r="H262" s="1">
        <v>3933</v>
      </c>
      <c r="I262" s="1">
        <v>3767</v>
      </c>
      <c r="K262" s="1">
        <v>3753</v>
      </c>
      <c r="L262" s="1">
        <v>3641</v>
      </c>
      <c r="M262" s="1">
        <v>3226</v>
      </c>
      <c r="N262" s="1">
        <v>2565</v>
      </c>
      <c r="O262" s="1">
        <v>1937</v>
      </c>
    </row>
    <row r="263" spans="1:15" x14ac:dyDescent="0.25">
      <c r="A263" s="1" t="s">
        <v>25</v>
      </c>
      <c r="B263" s="1" t="s">
        <v>129</v>
      </c>
      <c r="C263" s="1" t="s">
        <v>137</v>
      </c>
      <c r="D263" s="1" t="s">
        <v>16</v>
      </c>
      <c r="E263" s="1" t="s">
        <v>2</v>
      </c>
      <c r="F263" s="1">
        <v>4233</v>
      </c>
      <c r="G263" s="1">
        <v>3933</v>
      </c>
      <c r="H263" s="1">
        <v>3933</v>
      </c>
      <c r="I263" s="1">
        <v>3767</v>
      </c>
      <c r="J263" s="1">
        <v>3753</v>
      </c>
      <c r="K263" s="1">
        <v>3753</v>
      </c>
      <c r="L263" s="1">
        <v>3285</v>
      </c>
      <c r="M263" s="1">
        <v>2703</v>
      </c>
      <c r="N263" s="1">
        <v>2047</v>
      </c>
      <c r="O263" s="1">
        <v>1965</v>
      </c>
    </row>
    <row r="264" spans="1:15" x14ac:dyDescent="0.25">
      <c r="A264" s="1" t="s">
        <v>25</v>
      </c>
      <c r="B264" s="1" t="s">
        <v>129</v>
      </c>
      <c r="C264" s="1" t="s">
        <v>130</v>
      </c>
      <c r="D264" s="1" t="s">
        <v>16</v>
      </c>
      <c r="E264" s="1" t="s">
        <v>2</v>
      </c>
      <c r="F264" s="1">
        <v>4233</v>
      </c>
      <c r="G264" s="1">
        <v>3933</v>
      </c>
      <c r="H264" s="1">
        <v>3933</v>
      </c>
      <c r="I264" s="1">
        <v>3767</v>
      </c>
      <c r="J264" s="1">
        <v>3600</v>
      </c>
      <c r="K264" s="1">
        <v>3517</v>
      </c>
      <c r="L264" s="1">
        <v>3444</v>
      </c>
      <c r="M264" s="1">
        <v>3444</v>
      </c>
      <c r="N264" s="1">
        <v>3930</v>
      </c>
      <c r="O264" s="1">
        <v>4021</v>
      </c>
    </row>
    <row r="265" spans="1:15" x14ac:dyDescent="0.25">
      <c r="A265" s="1" t="s">
        <v>25</v>
      </c>
      <c r="B265" s="1" t="s">
        <v>129</v>
      </c>
      <c r="C265" s="1" t="s">
        <v>138</v>
      </c>
      <c r="D265" s="1" t="s">
        <v>16</v>
      </c>
      <c r="E265" s="1" t="s">
        <v>2</v>
      </c>
      <c r="F265" s="1">
        <v>4233</v>
      </c>
      <c r="G265" s="1">
        <v>3933</v>
      </c>
      <c r="H265" s="1">
        <v>3933</v>
      </c>
      <c r="I265" s="1">
        <v>3767</v>
      </c>
      <c r="K265" s="1">
        <v>3753</v>
      </c>
      <c r="L265" s="1">
        <v>3641</v>
      </c>
      <c r="M265" s="1">
        <v>3226</v>
      </c>
      <c r="N265" s="1">
        <v>2571</v>
      </c>
      <c r="O265" s="1">
        <v>2357</v>
      </c>
    </row>
    <row r="266" spans="1:15" x14ac:dyDescent="0.25">
      <c r="A266" s="1" t="s">
        <v>11</v>
      </c>
      <c r="B266" s="1" t="s">
        <v>129</v>
      </c>
      <c r="C266" s="1" t="s">
        <v>131</v>
      </c>
      <c r="D266" s="1" t="s">
        <v>136</v>
      </c>
      <c r="E266" s="1" t="s">
        <v>120</v>
      </c>
      <c r="F266" s="1">
        <v>438</v>
      </c>
      <c r="G266" s="1">
        <v>434</v>
      </c>
      <c r="H266" s="1">
        <v>434</v>
      </c>
      <c r="J266" s="1">
        <v>429</v>
      </c>
      <c r="K266" s="1">
        <v>365</v>
      </c>
      <c r="L266" s="1">
        <v>375</v>
      </c>
      <c r="M266" s="1">
        <v>867</v>
      </c>
      <c r="N266" s="1">
        <v>1052</v>
      </c>
      <c r="O266" s="1">
        <v>1285</v>
      </c>
    </row>
    <row r="267" spans="1:15" x14ac:dyDescent="0.25">
      <c r="A267" s="1" t="s">
        <v>116</v>
      </c>
      <c r="B267" s="1" t="s">
        <v>129</v>
      </c>
      <c r="C267" s="1" t="s">
        <v>134</v>
      </c>
      <c r="D267" s="1" t="s">
        <v>136</v>
      </c>
      <c r="E267" s="1" t="s">
        <v>120</v>
      </c>
      <c r="F267" s="1">
        <v>948</v>
      </c>
      <c r="G267" s="1">
        <v>936</v>
      </c>
      <c r="H267" s="1">
        <v>936</v>
      </c>
      <c r="I267" s="1">
        <v>919</v>
      </c>
      <c r="J267" s="1">
        <v>891</v>
      </c>
      <c r="K267" s="1">
        <v>891</v>
      </c>
      <c r="L267" s="1">
        <v>877</v>
      </c>
      <c r="M267" s="1">
        <v>927</v>
      </c>
      <c r="N267" s="1">
        <v>927</v>
      </c>
      <c r="O267" s="1">
        <v>958</v>
      </c>
    </row>
    <row r="268" spans="1:15" x14ac:dyDescent="0.25">
      <c r="A268" s="1" t="s">
        <v>84</v>
      </c>
      <c r="B268" s="1" t="s">
        <v>129</v>
      </c>
      <c r="C268" s="1" t="s">
        <v>130</v>
      </c>
      <c r="D268" s="1" t="s">
        <v>16</v>
      </c>
      <c r="E268" s="1" t="s">
        <v>2</v>
      </c>
      <c r="F268" s="1">
        <v>4233</v>
      </c>
      <c r="G268" s="1">
        <v>3933</v>
      </c>
      <c r="H268" s="1">
        <v>3933</v>
      </c>
      <c r="I268" s="1">
        <v>3767</v>
      </c>
      <c r="J268" s="1">
        <v>3767</v>
      </c>
      <c r="K268" s="1">
        <v>3767</v>
      </c>
      <c r="L268" s="1">
        <v>3627</v>
      </c>
      <c r="M268" s="1">
        <v>3473</v>
      </c>
      <c r="N268" s="1">
        <v>2988</v>
      </c>
      <c r="O268" s="1">
        <v>2510</v>
      </c>
    </row>
    <row r="269" spans="1:15" x14ac:dyDescent="0.25">
      <c r="A269" s="1" t="s">
        <v>84</v>
      </c>
      <c r="B269" s="1" t="s">
        <v>129</v>
      </c>
      <c r="C269" s="1" t="s">
        <v>139</v>
      </c>
      <c r="D269" s="1" t="s">
        <v>16</v>
      </c>
      <c r="E269" s="1" t="s">
        <v>2</v>
      </c>
      <c r="H269" s="1">
        <v>1607</v>
      </c>
      <c r="I269" s="1">
        <v>1573</v>
      </c>
      <c r="L269" s="1">
        <v>1517</v>
      </c>
      <c r="M269" s="1">
        <v>1517</v>
      </c>
      <c r="N269" s="1">
        <v>1517</v>
      </c>
      <c r="O269" s="1">
        <v>1330</v>
      </c>
    </row>
    <row r="270" spans="1:15" x14ac:dyDescent="0.25">
      <c r="A270" s="1" t="s">
        <v>84</v>
      </c>
      <c r="B270" s="1" t="s">
        <v>129</v>
      </c>
      <c r="C270" s="1" t="s">
        <v>140</v>
      </c>
      <c r="D270" s="1" t="s">
        <v>16</v>
      </c>
      <c r="E270" s="1" t="s">
        <v>2</v>
      </c>
      <c r="F270" s="1">
        <v>4233</v>
      </c>
      <c r="G270" s="1">
        <v>3933</v>
      </c>
      <c r="H270" s="1">
        <v>3933</v>
      </c>
      <c r="I270" s="1">
        <v>3767</v>
      </c>
      <c r="K270" s="1">
        <v>3753</v>
      </c>
      <c r="L270" s="1">
        <v>3641</v>
      </c>
      <c r="M270" s="1">
        <v>3694</v>
      </c>
      <c r="N270" s="1">
        <v>3452</v>
      </c>
      <c r="O270" s="1">
        <v>4490</v>
      </c>
    </row>
    <row r="271" spans="1:15" x14ac:dyDescent="0.25">
      <c r="A271" s="1" t="s">
        <v>84</v>
      </c>
      <c r="B271" s="1" t="s">
        <v>129</v>
      </c>
      <c r="C271" s="1" t="s">
        <v>141</v>
      </c>
      <c r="D271" s="1" t="s">
        <v>16</v>
      </c>
      <c r="E271" s="1" t="s">
        <v>2</v>
      </c>
      <c r="M271" s="1">
        <v>3226</v>
      </c>
      <c r="N271" s="1">
        <v>2565</v>
      </c>
      <c r="O271" s="1">
        <v>2066</v>
      </c>
    </row>
    <row r="272" spans="1:15" x14ac:dyDescent="0.25">
      <c r="A272" s="1" t="s">
        <v>117</v>
      </c>
      <c r="B272" s="1" t="s">
        <v>129</v>
      </c>
      <c r="C272" s="1" t="s">
        <v>134</v>
      </c>
      <c r="D272" s="1" t="s">
        <v>136</v>
      </c>
      <c r="E272" s="1" t="s">
        <v>2</v>
      </c>
      <c r="M272" s="1">
        <v>1662</v>
      </c>
      <c r="N272" s="1">
        <v>1716</v>
      </c>
      <c r="O272" s="1">
        <v>1802</v>
      </c>
    </row>
    <row r="273" spans="1:15" x14ac:dyDescent="0.25">
      <c r="A273" s="1" t="s">
        <v>117</v>
      </c>
      <c r="B273" s="1" t="s">
        <v>129</v>
      </c>
      <c r="C273" s="1" t="s">
        <v>134</v>
      </c>
      <c r="D273" s="1" t="s">
        <v>136</v>
      </c>
      <c r="E273" s="1" t="s">
        <v>120</v>
      </c>
      <c r="M273" s="1">
        <v>860</v>
      </c>
      <c r="N273" s="1">
        <v>860</v>
      </c>
      <c r="O273" s="1">
        <v>825</v>
      </c>
    </row>
    <row r="274" spans="1:15" x14ac:dyDescent="0.25">
      <c r="A274" s="1" t="s">
        <v>117</v>
      </c>
      <c r="B274" s="1" t="s">
        <v>129</v>
      </c>
      <c r="C274" s="1" t="s">
        <v>142</v>
      </c>
      <c r="D274" s="1" t="s">
        <v>136</v>
      </c>
      <c r="E274" s="1" t="s">
        <v>2</v>
      </c>
      <c r="K274" s="1">
        <v>2362</v>
      </c>
      <c r="L274" s="1">
        <v>2362</v>
      </c>
      <c r="M274" s="1">
        <v>2214</v>
      </c>
      <c r="N274" s="1">
        <v>1922</v>
      </c>
      <c r="O274" s="1">
        <v>1887</v>
      </c>
    </row>
    <row r="275" spans="1:15" x14ac:dyDescent="0.25">
      <c r="A275" s="1" t="s">
        <v>84</v>
      </c>
      <c r="B275" s="1" t="s">
        <v>143</v>
      </c>
      <c r="D275" s="1" t="s">
        <v>16</v>
      </c>
      <c r="E275" s="1" t="s">
        <v>2</v>
      </c>
      <c r="F275" s="1">
        <v>129.68</v>
      </c>
      <c r="G275" s="1">
        <v>129.99</v>
      </c>
      <c r="H275" s="1">
        <v>129.99</v>
      </c>
      <c r="I275" s="1">
        <v>130.24</v>
      </c>
      <c r="J275" s="1">
        <v>130.24</v>
      </c>
      <c r="K275" s="1">
        <v>139.37</v>
      </c>
      <c r="L275" s="1">
        <v>139.37</v>
      </c>
      <c r="M275" s="1">
        <v>133.38999999999999</v>
      </c>
      <c r="N275" s="1">
        <v>104.58</v>
      </c>
    </row>
    <row r="276" spans="1:15" x14ac:dyDescent="0.25">
      <c r="A276" s="1" t="s">
        <v>84</v>
      </c>
      <c r="B276" s="1" t="s">
        <v>144</v>
      </c>
      <c r="D276" s="1" t="s">
        <v>16</v>
      </c>
      <c r="E276" s="1" t="s">
        <v>2</v>
      </c>
      <c r="F276" s="1">
        <v>216.67</v>
      </c>
      <c r="G276" s="1">
        <v>220.67</v>
      </c>
      <c r="H276" s="1">
        <v>220.67</v>
      </c>
      <c r="I276" s="1">
        <v>233</v>
      </c>
      <c r="J276" s="1">
        <v>237.93</v>
      </c>
      <c r="K276" s="1">
        <v>233.87</v>
      </c>
      <c r="L276" s="1">
        <v>233.87</v>
      </c>
      <c r="M276" s="1">
        <v>217.57</v>
      </c>
      <c r="N276" s="1">
        <v>166.47</v>
      </c>
    </row>
    <row r="277" spans="1:15" x14ac:dyDescent="0.25">
      <c r="A277" s="1" t="s">
        <v>84</v>
      </c>
      <c r="B277" s="1" t="s">
        <v>145</v>
      </c>
      <c r="D277" s="1" t="s">
        <v>16</v>
      </c>
      <c r="E277" s="1" t="s">
        <v>2</v>
      </c>
      <c r="F277" s="1">
        <v>620</v>
      </c>
      <c r="G277" s="1">
        <v>615.66999999999996</v>
      </c>
      <c r="H277" s="1">
        <v>615.66999999999996</v>
      </c>
      <c r="I277" s="1">
        <v>604</v>
      </c>
      <c r="J277" s="1">
        <v>589.66999999999996</v>
      </c>
      <c r="K277" s="1">
        <v>567.66999999999996</v>
      </c>
      <c r="L277" s="1">
        <v>531.29999999999995</v>
      </c>
      <c r="M277" s="1">
        <v>355.88</v>
      </c>
      <c r="N277" s="1">
        <v>187.12</v>
      </c>
    </row>
    <row r="278" spans="1:15" x14ac:dyDescent="0.25">
      <c r="A278" s="1" t="s">
        <v>0</v>
      </c>
      <c r="B278" s="1" t="s">
        <v>146</v>
      </c>
      <c r="D278" s="1" t="s">
        <v>147</v>
      </c>
      <c r="E278" s="1" t="s">
        <v>120</v>
      </c>
      <c r="H278" s="1">
        <v>288</v>
      </c>
      <c r="I278" s="1">
        <v>288</v>
      </c>
      <c r="J278" s="1">
        <v>288</v>
      </c>
      <c r="K278" s="1">
        <v>190</v>
      </c>
      <c r="L278" s="1">
        <v>191</v>
      </c>
      <c r="M278" s="1">
        <v>190</v>
      </c>
      <c r="N278" s="1">
        <v>135</v>
      </c>
    </row>
    <row r="279" spans="1:15" x14ac:dyDescent="0.25">
      <c r="A279" s="1" t="s">
        <v>0</v>
      </c>
      <c r="B279" s="1" t="s">
        <v>146</v>
      </c>
      <c r="D279" s="1" t="s">
        <v>148</v>
      </c>
      <c r="E279" s="1" t="s">
        <v>2</v>
      </c>
      <c r="H279" s="1">
        <v>2388</v>
      </c>
      <c r="I279" s="1">
        <v>2388</v>
      </c>
      <c r="J279" s="1">
        <v>2388</v>
      </c>
      <c r="K279" s="1">
        <v>2534</v>
      </c>
      <c r="L279" s="1">
        <v>2271</v>
      </c>
      <c r="M279" s="1">
        <v>2271</v>
      </c>
      <c r="N279" s="1">
        <v>1476</v>
      </c>
    </row>
    <row r="280" spans="1:15" x14ac:dyDescent="0.25">
      <c r="A280" s="1" t="s">
        <v>0</v>
      </c>
      <c r="B280" s="1" t="s">
        <v>146</v>
      </c>
      <c r="D280" s="1" t="s">
        <v>148</v>
      </c>
      <c r="E280" s="1" t="s">
        <v>120</v>
      </c>
      <c r="H280" s="1">
        <v>759</v>
      </c>
      <c r="I280" s="1">
        <v>759</v>
      </c>
      <c r="J280" s="1">
        <v>759</v>
      </c>
      <c r="K280" s="1">
        <v>601</v>
      </c>
      <c r="L280" s="1">
        <v>601</v>
      </c>
      <c r="M280" s="1">
        <v>601</v>
      </c>
      <c r="N280" s="1">
        <v>432</v>
      </c>
    </row>
    <row r="281" spans="1:15" x14ac:dyDescent="0.25">
      <c r="A281" s="1" t="s">
        <v>0</v>
      </c>
      <c r="B281" s="1" t="s">
        <v>146</v>
      </c>
      <c r="D281" s="1" t="s">
        <v>1</v>
      </c>
      <c r="E281" s="1" t="s">
        <v>2</v>
      </c>
      <c r="H281" s="1">
        <v>961</v>
      </c>
      <c r="I281" s="1">
        <v>961</v>
      </c>
      <c r="J281" s="1">
        <v>961</v>
      </c>
      <c r="K281" s="1">
        <v>463</v>
      </c>
      <c r="L281" s="1">
        <v>463</v>
      </c>
      <c r="M281" s="1">
        <v>463</v>
      </c>
      <c r="N281" s="1">
        <v>328</v>
      </c>
    </row>
    <row r="282" spans="1:15" x14ac:dyDescent="0.25">
      <c r="A282" s="1" t="s">
        <v>0</v>
      </c>
      <c r="B282" s="1" t="s">
        <v>146</v>
      </c>
      <c r="D282" s="1" t="s">
        <v>119</v>
      </c>
      <c r="E282" s="1" t="s">
        <v>2</v>
      </c>
      <c r="H282" s="1">
        <v>961</v>
      </c>
      <c r="I282" s="1">
        <v>961</v>
      </c>
      <c r="J282" s="1">
        <v>961</v>
      </c>
      <c r="K282" s="1">
        <v>463</v>
      </c>
      <c r="L282" s="1">
        <v>463</v>
      </c>
      <c r="M282" s="1">
        <v>463</v>
      </c>
      <c r="N282" s="1">
        <v>328</v>
      </c>
    </row>
    <row r="283" spans="1:15" x14ac:dyDescent="0.25">
      <c r="A283" s="1" t="s">
        <v>95</v>
      </c>
      <c r="B283" s="1" t="s">
        <v>146</v>
      </c>
      <c r="D283" s="1" t="s">
        <v>147</v>
      </c>
      <c r="E283" s="1" t="s">
        <v>2</v>
      </c>
      <c r="H283" s="1">
        <v>828</v>
      </c>
      <c r="I283" s="1">
        <v>828</v>
      </c>
      <c r="J283" s="1">
        <v>828</v>
      </c>
      <c r="K283" s="1">
        <v>299</v>
      </c>
      <c r="L283" s="1">
        <v>299</v>
      </c>
      <c r="M283" s="1">
        <v>359</v>
      </c>
      <c r="N283" s="1">
        <v>365</v>
      </c>
    </row>
    <row r="284" spans="1:15" x14ac:dyDescent="0.25">
      <c r="A284" s="1" t="s">
        <v>95</v>
      </c>
      <c r="B284" s="1" t="s">
        <v>146</v>
      </c>
      <c r="D284" s="1" t="s">
        <v>147</v>
      </c>
      <c r="E284" s="1" t="s">
        <v>120</v>
      </c>
      <c r="H284" s="1">
        <v>275</v>
      </c>
      <c r="I284" s="1">
        <v>275</v>
      </c>
      <c r="J284" s="1">
        <v>329</v>
      </c>
      <c r="K284" s="1">
        <v>329</v>
      </c>
      <c r="L284" s="1">
        <v>329</v>
      </c>
      <c r="M284" s="1">
        <v>329</v>
      </c>
      <c r="N284" s="1">
        <v>109</v>
      </c>
    </row>
    <row r="285" spans="1:15" x14ac:dyDescent="0.25">
      <c r="A285" s="1" t="s">
        <v>95</v>
      </c>
      <c r="B285" s="1" t="s">
        <v>146</v>
      </c>
      <c r="D285" s="1" t="s">
        <v>148</v>
      </c>
      <c r="E285" s="1" t="s">
        <v>2</v>
      </c>
      <c r="H285" s="1">
        <v>2147</v>
      </c>
      <c r="I285" s="1">
        <v>2147</v>
      </c>
      <c r="J285" s="1">
        <v>2147</v>
      </c>
      <c r="K285" s="1">
        <v>2345</v>
      </c>
      <c r="L285" s="1">
        <v>1921</v>
      </c>
      <c r="M285" s="1">
        <v>1921</v>
      </c>
      <c r="N285" s="1">
        <v>1249</v>
      </c>
    </row>
    <row r="286" spans="1:15" x14ac:dyDescent="0.25">
      <c r="A286" s="1" t="s">
        <v>95</v>
      </c>
      <c r="B286" s="1" t="s">
        <v>146</v>
      </c>
      <c r="D286" s="1" t="s">
        <v>148</v>
      </c>
      <c r="E286" s="1" t="s">
        <v>120</v>
      </c>
      <c r="H286" s="1">
        <v>709</v>
      </c>
      <c r="I286" s="1">
        <v>709</v>
      </c>
      <c r="J286" s="1">
        <v>852</v>
      </c>
      <c r="K286" s="1">
        <v>852</v>
      </c>
      <c r="L286" s="1">
        <v>852</v>
      </c>
      <c r="M286" s="1">
        <v>852</v>
      </c>
      <c r="N286" s="1">
        <v>361</v>
      </c>
    </row>
    <row r="287" spans="1:15" x14ac:dyDescent="0.25">
      <c r="A287" s="1" t="s">
        <v>95</v>
      </c>
      <c r="B287" s="1" t="s">
        <v>146</v>
      </c>
      <c r="D287" s="1" t="s">
        <v>1</v>
      </c>
      <c r="E287" s="1" t="s">
        <v>2</v>
      </c>
      <c r="H287" s="1">
        <v>857</v>
      </c>
      <c r="I287" s="1">
        <v>857</v>
      </c>
      <c r="J287" s="1">
        <v>857</v>
      </c>
      <c r="K287" s="1">
        <v>463</v>
      </c>
      <c r="L287" s="1">
        <v>463</v>
      </c>
      <c r="M287" s="1">
        <v>463</v>
      </c>
      <c r="N287" s="1">
        <v>328</v>
      </c>
    </row>
    <row r="288" spans="1:15" x14ac:dyDescent="0.25">
      <c r="A288" s="1" t="s">
        <v>95</v>
      </c>
      <c r="B288" s="1" t="s">
        <v>146</v>
      </c>
      <c r="D288" s="1" t="s">
        <v>1</v>
      </c>
      <c r="E288" s="1" t="s">
        <v>120</v>
      </c>
      <c r="H288" s="1">
        <v>281</v>
      </c>
      <c r="I288" s="1">
        <v>281</v>
      </c>
      <c r="J288" s="1">
        <v>340</v>
      </c>
      <c r="K288" s="1">
        <v>340</v>
      </c>
      <c r="L288" s="1">
        <v>340</v>
      </c>
      <c r="M288" s="1">
        <v>340</v>
      </c>
      <c r="N288" s="1">
        <v>340</v>
      </c>
    </row>
    <row r="289" spans="1:14" x14ac:dyDescent="0.25">
      <c r="A289" s="1" t="s">
        <v>95</v>
      </c>
      <c r="B289" s="1" t="s">
        <v>146</v>
      </c>
      <c r="D289" s="1" t="s">
        <v>119</v>
      </c>
      <c r="E289" s="1" t="s">
        <v>2</v>
      </c>
      <c r="H289" s="1">
        <v>857</v>
      </c>
      <c r="I289" s="1">
        <v>857</v>
      </c>
      <c r="J289" s="1">
        <v>857</v>
      </c>
      <c r="K289" s="1">
        <v>463</v>
      </c>
      <c r="L289" s="1">
        <v>463</v>
      </c>
      <c r="M289" s="1">
        <v>463</v>
      </c>
      <c r="N289" s="1">
        <v>328</v>
      </c>
    </row>
    <row r="290" spans="1:14" x14ac:dyDescent="0.25">
      <c r="A290" s="1" t="s">
        <v>96</v>
      </c>
      <c r="B290" s="1" t="s">
        <v>146</v>
      </c>
      <c r="D290" s="1" t="s">
        <v>147</v>
      </c>
      <c r="E290" s="1" t="s">
        <v>120</v>
      </c>
      <c r="H290" s="1">
        <v>254</v>
      </c>
      <c r="I290" s="1">
        <v>254</v>
      </c>
      <c r="J290" s="1">
        <v>254</v>
      </c>
      <c r="K290" s="1">
        <v>159</v>
      </c>
      <c r="L290" s="1">
        <v>159</v>
      </c>
      <c r="M290" s="1">
        <v>159</v>
      </c>
      <c r="N290" s="1">
        <v>113</v>
      </c>
    </row>
    <row r="291" spans="1:14" x14ac:dyDescent="0.25">
      <c r="A291" s="1" t="s">
        <v>96</v>
      </c>
      <c r="B291" s="1" t="s">
        <v>146</v>
      </c>
      <c r="D291" s="1" t="s">
        <v>148</v>
      </c>
      <c r="E291" s="1" t="s">
        <v>2</v>
      </c>
      <c r="H291" s="1">
        <v>1549</v>
      </c>
      <c r="I291" s="1">
        <v>1549</v>
      </c>
      <c r="J291" s="1">
        <v>1549</v>
      </c>
      <c r="K291" s="1">
        <v>1605</v>
      </c>
      <c r="L291" s="1">
        <v>1034</v>
      </c>
      <c r="M291" s="1">
        <v>1034</v>
      </c>
      <c r="N291" s="1">
        <v>672</v>
      </c>
    </row>
    <row r="292" spans="1:14" x14ac:dyDescent="0.25">
      <c r="A292" s="1" t="s">
        <v>96</v>
      </c>
      <c r="B292" s="1" t="s">
        <v>146</v>
      </c>
      <c r="D292" s="1" t="s">
        <v>148</v>
      </c>
      <c r="E292" s="1" t="s">
        <v>120</v>
      </c>
      <c r="H292" s="1">
        <v>674</v>
      </c>
      <c r="I292" s="1">
        <v>674</v>
      </c>
      <c r="J292" s="1">
        <v>674</v>
      </c>
      <c r="K292" s="1">
        <v>502</v>
      </c>
      <c r="L292" s="1">
        <v>502</v>
      </c>
      <c r="M292" s="1">
        <v>502</v>
      </c>
      <c r="N292" s="1">
        <v>361</v>
      </c>
    </row>
    <row r="293" spans="1:14" x14ac:dyDescent="0.25">
      <c r="A293" s="1" t="s">
        <v>96</v>
      </c>
      <c r="B293" s="1" t="s">
        <v>146</v>
      </c>
      <c r="D293" s="1" t="s">
        <v>1</v>
      </c>
      <c r="E293" s="1" t="s">
        <v>2</v>
      </c>
      <c r="H293" s="1">
        <v>622</v>
      </c>
      <c r="I293" s="1">
        <v>622</v>
      </c>
      <c r="J293" s="1">
        <v>622</v>
      </c>
      <c r="K293" s="1">
        <v>463</v>
      </c>
      <c r="L293" s="1">
        <v>315</v>
      </c>
      <c r="M293" s="1">
        <v>315</v>
      </c>
      <c r="N293" s="1">
        <v>223</v>
      </c>
    </row>
    <row r="294" spans="1:14" x14ac:dyDescent="0.25">
      <c r="A294" s="1" t="s">
        <v>96</v>
      </c>
      <c r="B294" s="1" t="s">
        <v>146</v>
      </c>
      <c r="D294" s="1" t="s">
        <v>119</v>
      </c>
      <c r="E294" s="1" t="s">
        <v>2</v>
      </c>
      <c r="H294" s="1">
        <v>622</v>
      </c>
      <c r="I294" s="1">
        <v>622</v>
      </c>
      <c r="J294" s="1">
        <v>622</v>
      </c>
      <c r="K294" s="1">
        <v>463</v>
      </c>
      <c r="L294" s="1">
        <v>315</v>
      </c>
      <c r="M294" s="1">
        <v>315</v>
      </c>
      <c r="N294" s="1">
        <v>223</v>
      </c>
    </row>
    <row r="295" spans="1:14" x14ac:dyDescent="0.25">
      <c r="A295" s="1" t="s">
        <v>100</v>
      </c>
      <c r="B295" s="1" t="s">
        <v>146</v>
      </c>
      <c r="D295" s="1" t="s">
        <v>148</v>
      </c>
      <c r="E295" s="1" t="s">
        <v>120</v>
      </c>
      <c r="H295" s="1">
        <v>709</v>
      </c>
      <c r="I295" s="1">
        <v>709</v>
      </c>
      <c r="J295" s="1">
        <v>815</v>
      </c>
      <c r="K295" s="1">
        <v>815</v>
      </c>
      <c r="N295" s="1">
        <v>115</v>
      </c>
    </row>
    <row r="296" spans="1:14" x14ac:dyDescent="0.25">
      <c r="A296" s="1" t="s">
        <v>100</v>
      </c>
      <c r="B296" s="1" t="s">
        <v>146</v>
      </c>
      <c r="D296" s="1" t="s">
        <v>1</v>
      </c>
      <c r="E296" s="1" t="s">
        <v>2</v>
      </c>
      <c r="H296" s="1">
        <v>358</v>
      </c>
      <c r="I296" s="1">
        <v>358</v>
      </c>
      <c r="J296" s="1">
        <v>829</v>
      </c>
      <c r="K296" s="1">
        <v>463</v>
      </c>
      <c r="L296" s="1">
        <v>463</v>
      </c>
      <c r="M296" s="1">
        <v>463</v>
      </c>
      <c r="N296" s="1">
        <v>328</v>
      </c>
    </row>
    <row r="297" spans="1:14" x14ac:dyDescent="0.25">
      <c r="A297" s="1" t="s">
        <v>100</v>
      </c>
      <c r="B297" s="1" t="s">
        <v>146</v>
      </c>
      <c r="D297" s="1" t="s">
        <v>1</v>
      </c>
      <c r="E297" s="1" t="s">
        <v>120</v>
      </c>
      <c r="H297" s="1">
        <v>281</v>
      </c>
      <c r="I297" s="1">
        <v>281</v>
      </c>
      <c r="J297" s="1">
        <v>329</v>
      </c>
      <c r="K297" s="1">
        <v>329</v>
      </c>
      <c r="L297" s="1">
        <v>329</v>
      </c>
      <c r="M297" s="1">
        <v>329</v>
      </c>
      <c r="N297" s="1">
        <v>329</v>
      </c>
    </row>
    <row r="298" spans="1:14" x14ac:dyDescent="0.25">
      <c r="A298" s="1" t="s">
        <v>100</v>
      </c>
      <c r="B298" s="1" t="s">
        <v>146</v>
      </c>
      <c r="D298" s="1" t="s">
        <v>119</v>
      </c>
      <c r="E298" s="1" t="s">
        <v>2</v>
      </c>
      <c r="H298" s="1">
        <v>358</v>
      </c>
      <c r="I298" s="1">
        <v>358</v>
      </c>
      <c r="J298" s="1">
        <v>829</v>
      </c>
      <c r="K298" s="1">
        <v>463</v>
      </c>
      <c r="L298" s="1">
        <v>463</v>
      </c>
      <c r="M298" s="1">
        <v>463</v>
      </c>
      <c r="N298" s="1">
        <v>328</v>
      </c>
    </row>
    <row r="299" spans="1:14" x14ac:dyDescent="0.25">
      <c r="A299" s="1" t="s">
        <v>101</v>
      </c>
      <c r="B299" s="1" t="s">
        <v>146</v>
      </c>
      <c r="D299" s="1" t="s">
        <v>147</v>
      </c>
      <c r="E299" s="1" t="s">
        <v>120</v>
      </c>
      <c r="H299" s="1">
        <v>275</v>
      </c>
      <c r="I299" s="1">
        <v>275</v>
      </c>
      <c r="J299" s="1">
        <v>306</v>
      </c>
      <c r="K299" s="1">
        <v>306</v>
      </c>
      <c r="L299" s="1">
        <v>306</v>
      </c>
      <c r="M299" s="1">
        <v>306</v>
      </c>
      <c r="N299" s="1">
        <v>115</v>
      </c>
    </row>
    <row r="300" spans="1:14" x14ac:dyDescent="0.25">
      <c r="A300" s="1" t="s">
        <v>101</v>
      </c>
      <c r="B300" s="1" t="s">
        <v>146</v>
      </c>
      <c r="D300" s="1" t="s">
        <v>1</v>
      </c>
      <c r="E300" s="1" t="s">
        <v>2</v>
      </c>
      <c r="H300" s="1">
        <v>793</v>
      </c>
      <c r="I300" s="1">
        <v>793</v>
      </c>
      <c r="J300" s="1">
        <v>793</v>
      </c>
      <c r="K300" s="1">
        <v>463</v>
      </c>
      <c r="L300" s="1">
        <v>463</v>
      </c>
      <c r="M300" s="1">
        <v>463</v>
      </c>
      <c r="N300" s="1">
        <v>328</v>
      </c>
    </row>
    <row r="301" spans="1:14" x14ac:dyDescent="0.25">
      <c r="A301" s="1" t="s">
        <v>101</v>
      </c>
      <c r="B301" s="1" t="s">
        <v>146</v>
      </c>
      <c r="D301" s="1" t="s">
        <v>1</v>
      </c>
      <c r="E301" s="1" t="s">
        <v>120</v>
      </c>
      <c r="H301" s="1">
        <v>281</v>
      </c>
      <c r="I301" s="1">
        <v>281</v>
      </c>
      <c r="J301" s="1">
        <v>315</v>
      </c>
      <c r="K301" s="1">
        <v>315</v>
      </c>
      <c r="L301" s="1">
        <v>315</v>
      </c>
      <c r="M301" s="1">
        <v>315</v>
      </c>
      <c r="N301" s="1">
        <v>315</v>
      </c>
    </row>
    <row r="302" spans="1:14" x14ac:dyDescent="0.25">
      <c r="A302" s="1" t="s">
        <v>101</v>
      </c>
      <c r="B302" s="1" t="s">
        <v>146</v>
      </c>
      <c r="D302" s="1" t="s">
        <v>119</v>
      </c>
      <c r="E302" s="1" t="s">
        <v>2</v>
      </c>
      <c r="H302" s="1">
        <v>793</v>
      </c>
      <c r="I302" s="1">
        <v>793</v>
      </c>
      <c r="J302" s="1">
        <v>793</v>
      </c>
      <c r="K302" s="1">
        <v>463</v>
      </c>
      <c r="L302" s="1">
        <v>463</v>
      </c>
      <c r="M302" s="1">
        <v>463</v>
      </c>
      <c r="N302" s="1">
        <v>328</v>
      </c>
    </row>
    <row r="303" spans="1:14" x14ac:dyDescent="0.25">
      <c r="A303" s="1" t="s">
        <v>102</v>
      </c>
      <c r="B303" s="1" t="s">
        <v>146</v>
      </c>
      <c r="D303" s="1" t="s">
        <v>147</v>
      </c>
      <c r="E303" s="1" t="s">
        <v>2</v>
      </c>
      <c r="H303" s="1">
        <v>671</v>
      </c>
      <c r="I303" s="1">
        <v>671</v>
      </c>
      <c r="J303" s="1">
        <v>671</v>
      </c>
      <c r="K303" s="1">
        <v>299</v>
      </c>
      <c r="L303" s="1">
        <v>299</v>
      </c>
      <c r="M303" s="1">
        <v>359</v>
      </c>
      <c r="N303" s="1">
        <v>362</v>
      </c>
    </row>
    <row r="304" spans="1:14" x14ac:dyDescent="0.25">
      <c r="A304" s="1" t="s">
        <v>102</v>
      </c>
      <c r="B304" s="1" t="s">
        <v>146</v>
      </c>
      <c r="D304" s="1" t="s">
        <v>147</v>
      </c>
      <c r="E304" s="1" t="s">
        <v>120</v>
      </c>
      <c r="H304" s="1">
        <v>275</v>
      </c>
      <c r="I304" s="1">
        <v>275</v>
      </c>
      <c r="J304" s="1">
        <v>266</v>
      </c>
      <c r="K304" s="1">
        <v>266</v>
      </c>
      <c r="L304" s="1">
        <v>266</v>
      </c>
      <c r="M304" s="1">
        <v>266</v>
      </c>
      <c r="N304" s="1">
        <v>115</v>
      </c>
    </row>
    <row r="305" spans="1:14" x14ac:dyDescent="0.25">
      <c r="A305" s="1" t="s">
        <v>102</v>
      </c>
      <c r="B305" s="1" t="s">
        <v>146</v>
      </c>
      <c r="D305" s="1" t="s">
        <v>148</v>
      </c>
      <c r="E305" s="1" t="s">
        <v>2</v>
      </c>
      <c r="H305" s="1">
        <v>1715</v>
      </c>
      <c r="I305" s="1">
        <v>1715</v>
      </c>
      <c r="J305" s="1">
        <v>1715</v>
      </c>
      <c r="K305" s="1">
        <v>1739</v>
      </c>
      <c r="L305" s="1">
        <v>1715</v>
      </c>
      <c r="M305" s="1">
        <v>1715</v>
      </c>
      <c r="N305" s="1">
        <v>1115</v>
      </c>
    </row>
    <row r="306" spans="1:14" x14ac:dyDescent="0.25">
      <c r="A306" s="1" t="s">
        <v>102</v>
      </c>
      <c r="B306" s="1" t="s">
        <v>146</v>
      </c>
      <c r="D306" s="1" t="s">
        <v>148</v>
      </c>
      <c r="E306" s="1" t="s">
        <v>120</v>
      </c>
      <c r="H306" s="1">
        <v>709</v>
      </c>
      <c r="I306" s="1">
        <v>709</v>
      </c>
      <c r="J306" s="1">
        <v>681</v>
      </c>
      <c r="K306" s="1">
        <v>681</v>
      </c>
      <c r="L306" s="1">
        <v>681</v>
      </c>
      <c r="M306" s="1">
        <v>681</v>
      </c>
      <c r="N306" s="1">
        <v>361</v>
      </c>
    </row>
    <row r="307" spans="1:14" x14ac:dyDescent="0.25">
      <c r="A307" s="1" t="s">
        <v>102</v>
      </c>
      <c r="B307" s="1" t="s">
        <v>146</v>
      </c>
      <c r="D307" s="1" t="s">
        <v>1</v>
      </c>
      <c r="E307" s="1" t="s">
        <v>2</v>
      </c>
      <c r="H307" s="1">
        <v>692</v>
      </c>
      <c r="I307" s="1">
        <v>692</v>
      </c>
      <c r="J307" s="1">
        <v>692</v>
      </c>
      <c r="K307" s="1">
        <v>463</v>
      </c>
      <c r="L307" s="1">
        <v>463</v>
      </c>
      <c r="M307" s="1">
        <v>463</v>
      </c>
      <c r="N307" s="1">
        <v>328</v>
      </c>
    </row>
    <row r="308" spans="1:14" x14ac:dyDescent="0.25">
      <c r="A308" s="1" t="s">
        <v>102</v>
      </c>
      <c r="B308" s="1" t="s">
        <v>146</v>
      </c>
      <c r="D308" s="1" t="s">
        <v>1</v>
      </c>
      <c r="E308" s="1" t="s">
        <v>120</v>
      </c>
      <c r="H308" s="1">
        <v>281</v>
      </c>
      <c r="I308" s="1">
        <v>281</v>
      </c>
      <c r="J308" s="1">
        <v>275</v>
      </c>
      <c r="K308" s="1">
        <v>275</v>
      </c>
      <c r="L308" s="1">
        <v>275</v>
      </c>
      <c r="M308" s="1">
        <v>275</v>
      </c>
      <c r="N308" s="1">
        <v>275</v>
      </c>
    </row>
    <row r="309" spans="1:14" x14ac:dyDescent="0.25">
      <c r="A309" s="1" t="s">
        <v>102</v>
      </c>
      <c r="B309" s="1" t="s">
        <v>146</v>
      </c>
      <c r="D309" s="1" t="s">
        <v>119</v>
      </c>
      <c r="E309" s="1" t="s">
        <v>2</v>
      </c>
      <c r="H309" s="1">
        <v>692</v>
      </c>
      <c r="I309" s="1">
        <v>692</v>
      </c>
      <c r="J309" s="1">
        <v>692</v>
      </c>
      <c r="K309" s="1">
        <v>463</v>
      </c>
      <c r="L309" s="1">
        <v>463</v>
      </c>
      <c r="M309" s="1">
        <v>463</v>
      </c>
      <c r="N309" s="1">
        <v>328</v>
      </c>
    </row>
    <row r="310" spans="1:14" x14ac:dyDescent="0.25">
      <c r="A310" s="1" t="s">
        <v>8</v>
      </c>
      <c r="B310" s="1" t="s">
        <v>146</v>
      </c>
      <c r="D310" s="1" t="s">
        <v>147</v>
      </c>
      <c r="E310" s="1" t="s">
        <v>2</v>
      </c>
      <c r="H310" s="1">
        <v>389</v>
      </c>
      <c r="I310" s="1">
        <v>389</v>
      </c>
      <c r="J310" s="1">
        <v>389</v>
      </c>
      <c r="K310" s="1">
        <v>299</v>
      </c>
      <c r="L310" s="1">
        <v>299</v>
      </c>
      <c r="M310" s="1">
        <v>359</v>
      </c>
      <c r="N310" s="1">
        <v>362</v>
      </c>
    </row>
    <row r="311" spans="1:14" x14ac:dyDescent="0.25">
      <c r="A311" s="1" t="s">
        <v>8</v>
      </c>
      <c r="B311" s="1" t="s">
        <v>146</v>
      </c>
      <c r="D311" s="1" t="s">
        <v>147</v>
      </c>
      <c r="E311" s="1" t="s">
        <v>120</v>
      </c>
      <c r="H311" s="1">
        <v>275</v>
      </c>
      <c r="I311" s="1">
        <v>275</v>
      </c>
      <c r="J311" s="1">
        <v>154</v>
      </c>
      <c r="K311" s="1">
        <v>154</v>
      </c>
      <c r="L311" s="1">
        <v>154</v>
      </c>
      <c r="M311" s="1">
        <v>154</v>
      </c>
      <c r="N311" s="1">
        <v>115</v>
      </c>
    </row>
    <row r="312" spans="1:14" x14ac:dyDescent="0.25">
      <c r="A312" s="1" t="s">
        <v>8</v>
      </c>
      <c r="B312" s="1" t="s">
        <v>146</v>
      </c>
      <c r="D312" s="1" t="s">
        <v>148</v>
      </c>
      <c r="E312" s="1" t="s">
        <v>2</v>
      </c>
      <c r="H312" s="1">
        <v>981</v>
      </c>
      <c r="I312" s="1">
        <v>981</v>
      </c>
      <c r="J312" s="1">
        <v>981</v>
      </c>
      <c r="K312" s="1">
        <v>1063</v>
      </c>
      <c r="L312" s="1">
        <v>981</v>
      </c>
      <c r="M312" s="1">
        <v>981</v>
      </c>
      <c r="N312" s="1">
        <v>638</v>
      </c>
    </row>
    <row r="313" spans="1:14" x14ac:dyDescent="0.25">
      <c r="A313" s="1" t="s">
        <v>8</v>
      </c>
      <c r="B313" s="1" t="s">
        <v>146</v>
      </c>
      <c r="D313" s="1" t="s">
        <v>148</v>
      </c>
      <c r="E313" s="1" t="s">
        <v>120</v>
      </c>
      <c r="H313" s="1">
        <v>709</v>
      </c>
      <c r="I313" s="1">
        <v>709</v>
      </c>
      <c r="J313" s="1">
        <v>389</v>
      </c>
      <c r="K313" s="1">
        <v>389</v>
      </c>
      <c r="L313" s="1">
        <v>389</v>
      </c>
      <c r="M313" s="1">
        <v>389</v>
      </c>
      <c r="N313" s="1">
        <v>261</v>
      </c>
    </row>
    <row r="314" spans="1:14" x14ac:dyDescent="0.25">
      <c r="A314" s="1" t="s">
        <v>8</v>
      </c>
      <c r="B314" s="1" t="s">
        <v>146</v>
      </c>
      <c r="D314" s="1" t="s">
        <v>1</v>
      </c>
      <c r="E314" s="1" t="s">
        <v>2</v>
      </c>
      <c r="H314" s="1">
        <v>400</v>
      </c>
      <c r="I314" s="1">
        <v>400</v>
      </c>
      <c r="J314" s="1">
        <v>400</v>
      </c>
      <c r="K314" s="1">
        <v>463</v>
      </c>
      <c r="L314" s="1">
        <v>352</v>
      </c>
      <c r="M314" s="1">
        <v>352</v>
      </c>
      <c r="N314" s="1">
        <v>250</v>
      </c>
    </row>
    <row r="315" spans="1:14" x14ac:dyDescent="0.25">
      <c r="A315" s="1" t="s">
        <v>8</v>
      </c>
      <c r="B315" s="1" t="s">
        <v>146</v>
      </c>
      <c r="D315" s="1" t="s">
        <v>1</v>
      </c>
      <c r="E315" s="1" t="s">
        <v>120</v>
      </c>
      <c r="H315" s="1">
        <v>281</v>
      </c>
      <c r="I315" s="1">
        <v>281</v>
      </c>
      <c r="J315" s="1">
        <v>159</v>
      </c>
      <c r="K315" s="1">
        <v>159</v>
      </c>
      <c r="L315" s="1">
        <v>159</v>
      </c>
      <c r="M315" s="1">
        <v>159</v>
      </c>
      <c r="N315" s="1">
        <v>159</v>
      </c>
    </row>
    <row r="316" spans="1:14" x14ac:dyDescent="0.25">
      <c r="A316" s="1" t="s">
        <v>8</v>
      </c>
      <c r="B316" s="1" t="s">
        <v>146</v>
      </c>
      <c r="D316" s="1" t="s">
        <v>119</v>
      </c>
      <c r="E316" s="1" t="s">
        <v>2</v>
      </c>
      <c r="H316" s="1">
        <v>400</v>
      </c>
      <c r="I316" s="1">
        <v>400</v>
      </c>
      <c r="J316" s="1">
        <v>400</v>
      </c>
      <c r="K316" s="1">
        <v>463</v>
      </c>
      <c r="L316" s="1">
        <v>352</v>
      </c>
      <c r="M316" s="1">
        <v>352</v>
      </c>
      <c r="N316" s="1">
        <v>250</v>
      </c>
    </row>
    <row r="317" spans="1:14" x14ac:dyDescent="0.25">
      <c r="A317" s="1" t="s">
        <v>104</v>
      </c>
      <c r="B317" s="1" t="s">
        <v>146</v>
      </c>
      <c r="D317" s="1" t="s">
        <v>148</v>
      </c>
      <c r="E317" s="1" t="s">
        <v>2</v>
      </c>
      <c r="H317" s="1">
        <v>881</v>
      </c>
      <c r="I317" s="1">
        <v>881</v>
      </c>
      <c r="J317" s="1">
        <v>1803</v>
      </c>
      <c r="K317" s="1">
        <v>1803</v>
      </c>
      <c r="L317" s="1">
        <v>1803</v>
      </c>
      <c r="M317" s="1">
        <v>1803</v>
      </c>
      <c r="N317" s="1">
        <v>1030</v>
      </c>
    </row>
    <row r="318" spans="1:14" x14ac:dyDescent="0.25">
      <c r="A318" s="1" t="s">
        <v>23</v>
      </c>
      <c r="B318" s="1" t="s">
        <v>146</v>
      </c>
      <c r="D318" s="1" t="s">
        <v>147</v>
      </c>
      <c r="E318" s="1" t="s">
        <v>2</v>
      </c>
      <c r="H318" s="1">
        <v>391</v>
      </c>
      <c r="I318" s="1">
        <v>391</v>
      </c>
      <c r="J318" s="1">
        <v>391</v>
      </c>
      <c r="K318" s="1">
        <v>299</v>
      </c>
      <c r="L318" s="1">
        <v>299</v>
      </c>
      <c r="M318" s="1">
        <v>359</v>
      </c>
      <c r="N318" s="1">
        <v>362</v>
      </c>
    </row>
    <row r="319" spans="1:14" x14ac:dyDescent="0.25">
      <c r="A319" s="1" t="s">
        <v>23</v>
      </c>
      <c r="B319" s="1" t="s">
        <v>146</v>
      </c>
      <c r="D319" s="1" t="s">
        <v>147</v>
      </c>
      <c r="E319" s="1" t="s">
        <v>120</v>
      </c>
      <c r="H319" s="1">
        <v>275</v>
      </c>
      <c r="I319" s="1">
        <v>275</v>
      </c>
      <c r="J319" s="1">
        <v>155</v>
      </c>
      <c r="K319" s="1">
        <v>155</v>
      </c>
      <c r="L319" s="1">
        <v>155</v>
      </c>
      <c r="M319" s="1">
        <v>155</v>
      </c>
      <c r="N319" s="1">
        <v>115</v>
      </c>
    </row>
    <row r="320" spans="1:14" x14ac:dyDescent="0.25">
      <c r="A320" s="1" t="s">
        <v>23</v>
      </c>
      <c r="B320" s="1" t="s">
        <v>146</v>
      </c>
      <c r="D320" s="1" t="s">
        <v>148</v>
      </c>
      <c r="E320" s="1" t="s">
        <v>2</v>
      </c>
      <c r="H320" s="1">
        <v>989</v>
      </c>
      <c r="I320" s="1">
        <v>989</v>
      </c>
      <c r="J320" s="1">
        <v>989</v>
      </c>
      <c r="K320" s="1">
        <v>985</v>
      </c>
      <c r="L320" s="1">
        <v>941</v>
      </c>
      <c r="M320" s="1">
        <v>941</v>
      </c>
      <c r="N320" s="1">
        <v>612</v>
      </c>
    </row>
    <row r="321" spans="1:14" x14ac:dyDescent="0.25">
      <c r="A321" s="1" t="s">
        <v>23</v>
      </c>
      <c r="B321" s="1" t="s">
        <v>146</v>
      </c>
      <c r="D321" s="1" t="s">
        <v>148</v>
      </c>
      <c r="E321" s="1" t="s">
        <v>120</v>
      </c>
      <c r="H321" s="1">
        <v>709</v>
      </c>
      <c r="I321" s="1">
        <v>709</v>
      </c>
      <c r="J321" s="1">
        <v>392</v>
      </c>
      <c r="K321" s="1">
        <v>392</v>
      </c>
      <c r="L321" s="1">
        <v>392</v>
      </c>
      <c r="M321" s="1">
        <v>392</v>
      </c>
      <c r="N321" s="1">
        <v>251</v>
      </c>
    </row>
    <row r="322" spans="1:14" x14ac:dyDescent="0.25">
      <c r="A322" s="1" t="s">
        <v>23</v>
      </c>
      <c r="B322" s="1" t="s">
        <v>146</v>
      </c>
      <c r="D322" s="1" t="s">
        <v>1</v>
      </c>
      <c r="E322" s="1" t="s">
        <v>2</v>
      </c>
      <c r="H322" s="1">
        <v>402</v>
      </c>
      <c r="I322" s="1">
        <v>402</v>
      </c>
      <c r="J322" s="1">
        <v>402</v>
      </c>
      <c r="K322" s="1">
        <v>463</v>
      </c>
      <c r="L322" s="1">
        <v>320</v>
      </c>
      <c r="M322" s="1">
        <v>322</v>
      </c>
      <c r="N322" s="1">
        <v>228</v>
      </c>
    </row>
    <row r="323" spans="1:14" x14ac:dyDescent="0.25">
      <c r="A323" s="1" t="s">
        <v>23</v>
      </c>
      <c r="B323" s="1" t="s">
        <v>146</v>
      </c>
      <c r="D323" s="1" t="s">
        <v>1</v>
      </c>
      <c r="E323" s="1" t="s">
        <v>120</v>
      </c>
      <c r="H323" s="1">
        <v>281</v>
      </c>
      <c r="I323" s="1">
        <v>281</v>
      </c>
      <c r="J323" s="1">
        <v>160</v>
      </c>
      <c r="K323" s="1">
        <v>160</v>
      </c>
      <c r="L323" s="1">
        <v>160</v>
      </c>
      <c r="M323" s="1">
        <v>160</v>
      </c>
      <c r="N323" s="1">
        <v>160</v>
      </c>
    </row>
    <row r="324" spans="1:14" x14ac:dyDescent="0.25">
      <c r="A324" s="1" t="s">
        <v>23</v>
      </c>
      <c r="B324" s="1" t="s">
        <v>146</v>
      </c>
      <c r="D324" s="1" t="s">
        <v>119</v>
      </c>
      <c r="E324" s="1" t="s">
        <v>2</v>
      </c>
      <c r="H324" s="1">
        <v>402</v>
      </c>
      <c r="I324" s="1">
        <v>402</v>
      </c>
      <c r="J324" s="1">
        <v>402</v>
      </c>
      <c r="K324" s="1">
        <v>463</v>
      </c>
      <c r="L324" s="1">
        <v>320</v>
      </c>
      <c r="M324" s="1">
        <v>322</v>
      </c>
      <c r="N324" s="1">
        <v>228</v>
      </c>
    </row>
    <row r="325" spans="1:14" x14ac:dyDescent="0.25">
      <c r="A325" s="1" t="s">
        <v>30</v>
      </c>
      <c r="B325" s="1" t="s">
        <v>146</v>
      </c>
      <c r="D325" s="1" t="s">
        <v>147</v>
      </c>
      <c r="E325" s="1" t="s">
        <v>2</v>
      </c>
      <c r="H325" s="1">
        <v>243</v>
      </c>
      <c r="I325" s="1">
        <v>243</v>
      </c>
      <c r="J325" s="1">
        <v>243</v>
      </c>
      <c r="K325" s="1">
        <v>167</v>
      </c>
      <c r="L325" s="1">
        <v>152</v>
      </c>
      <c r="M325" s="1">
        <v>96</v>
      </c>
      <c r="N325" s="1">
        <v>184</v>
      </c>
    </row>
    <row r="326" spans="1:14" x14ac:dyDescent="0.25">
      <c r="A326" s="1" t="s">
        <v>30</v>
      </c>
      <c r="B326" s="1" t="s">
        <v>146</v>
      </c>
      <c r="D326" s="1" t="s">
        <v>147</v>
      </c>
      <c r="E326" s="1" t="s">
        <v>120</v>
      </c>
      <c r="H326" s="1">
        <v>275</v>
      </c>
      <c r="I326" s="1">
        <v>275</v>
      </c>
      <c r="J326" s="1">
        <v>96</v>
      </c>
      <c r="K326" s="1">
        <v>96</v>
      </c>
      <c r="L326" s="1">
        <v>96</v>
      </c>
      <c r="M326" s="1">
        <v>349</v>
      </c>
      <c r="N326" s="1">
        <v>63</v>
      </c>
    </row>
    <row r="327" spans="1:14" x14ac:dyDescent="0.25">
      <c r="A327" s="1" t="s">
        <v>30</v>
      </c>
      <c r="B327" s="1" t="s">
        <v>146</v>
      </c>
      <c r="D327" s="1" t="s">
        <v>148</v>
      </c>
      <c r="E327" s="1" t="s">
        <v>2</v>
      </c>
      <c r="H327" s="1">
        <v>620</v>
      </c>
      <c r="I327" s="1">
        <v>620</v>
      </c>
      <c r="J327" s="1">
        <v>620</v>
      </c>
      <c r="K327" s="1">
        <v>349</v>
      </c>
      <c r="L327" s="1">
        <v>349</v>
      </c>
      <c r="M327" s="1">
        <v>246</v>
      </c>
      <c r="N327" s="1">
        <v>227</v>
      </c>
    </row>
    <row r="328" spans="1:14" x14ac:dyDescent="0.25">
      <c r="A328" s="1" t="s">
        <v>30</v>
      </c>
      <c r="B328" s="1" t="s">
        <v>146</v>
      </c>
      <c r="D328" s="1" t="s">
        <v>148</v>
      </c>
      <c r="E328" s="1" t="s">
        <v>120</v>
      </c>
      <c r="H328" s="1">
        <v>709</v>
      </c>
      <c r="I328" s="1">
        <v>709</v>
      </c>
      <c r="J328" s="1">
        <v>246</v>
      </c>
      <c r="K328" s="1">
        <v>246</v>
      </c>
      <c r="L328" s="1">
        <v>246</v>
      </c>
      <c r="M328" s="1">
        <v>171</v>
      </c>
      <c r="N328" s="1">
        <v>93</v>
      </c>
    </row>
    <row r="329" spans="1:14" x14ac:dyDescent="0.25">
      <c r="A329" s="1" t="s">
        <v>30</v>
      </c>
      <c r="B329" s="1" t="s">
        <v>146</v>
      </c>
      <c r="D329" s="1" t="s">
        <v>1</v>
      </c>
      <c r="E329" s="1" t="s">
        <v>2</v>
      </c>
      <c r="H329" s="1">
        <v>250</v>
      </c>
      <c r="I329" s="1">
        <v>250</v>
      </c>
      <c r="J329" s="1">
        <v>250</v>
      </c>
      <c r="K329" s="1">
        <v>171</v>
      </c>
      <c r="L329" s="1">
        <v>171</v>
      </c>
      <c r="M329" s="1">
        <v>99</v>
      </c>
      <c r="N329" s="1">
        <v>121</v>
      </c>
    </row>
    <row r="330" spans="1:14" x14ac:dyDescent="0.25">
      <c r="A330" s="1" t="s">
        <v>30</v>
      </c>
      <c r="B330" s="1" t="s">
        <v>146</v>
      </c>
      <c r="D330" s="1" t="s">
        <v>1</v>
      </c>
      <c r="E330" s="1" t="s">
        <v>120</v>
      </c>
      <c r="H330" s="1">
        <v>281</v>
      </c>
      <c r="I330" s="1">
        <v>281</v>
      </c>
      <c r="J330" s="1">
        <v>99</v>
      </c>
      <c r="K330" s="1">
        <v>99</v>
      </c>
      <c r="L330" s="1">
        <v>99</v>
      </c>
      <c r="M330" s="1">
        <v>171</v>
      </c>
      <c r="N330" s="1">
        <v>99</v>
      </c>
    </row>
    <row r="331" spans="1:14" x14ac:dyDescent="0.25">
      <c r="A331" s="1" t="s">
        <v>30</v>
      </c>
      <c r="B331" s="1" t="s">
        <v>146</v>
      </c>
      <c r="D331" s="1" t="s">
        <v>119</v>
      </c>
      <c r="E331" s="1" t="s">
        <v>2</v>
      </c>
      <c r="H331" s="1">
        <v>250</v>
      </c>
      <c r="I331" s="1">
        <v>250</v>
      </c>
      <c r="J331" s="1">
        <v>250</v>
      </c>
      <c r="K331" s="1">
        <v>171</v>
      </c>
      <c r="L331" s="1">
        <v>171</v>
      </c>
      <c r="M331" s="1">
        <v>171</v>
      </c>
      <c r="N331" s="1">
        <v>121</v>
      </c>
    </row>
    <row r="332" spans="1:14" x14ac:dyDescent="0.25">
      <c r="A332" s="1" t="s">
        <v>24</v>
      </c>
      <c r="B332" s="1" t="s">
        <v>146</v>
      </c>
      <c r="D332" s="1" t="s">
        <v>147</v>
      </c>
      <c r="E332" s="1" t="s">
        <v>2</v>
      </c>
      <c r="H332" s="1">
        <v>923</v>
      </c>
      <c r="I332" s="1">
        <v>923</v>
      </c>
      <c r="J332" s="1">
        <v>923</v>
      </c>
      <c r="K332" s="1">
        <v>299</v>
      </c>
      <c r="L332" s="1">
        <v>299</v>
      </c>
      <c r="M332" s="1">
        <v>359</v>
      </c>
      <c r="N332" s="1">
        <v>362</v>
      </c>
    </row>
    <row r="333" spans="1:14" x14ac:dyDescent="0.25">
      <c r="A333" s="1" t="s">
        <v>24</v>
      </c>
      <c r="B333" s="1" t="s">
        <v>146</v>
      </c>
      <c r="D333" s="1" t="s">
        <v>147</v>
      </c>
      <c r="E333" s="1" t="s">
        <v>120</v>
      </c>
      <c r="H333" s="1">
        <v>275</v>
      </c>
      <c r="I333" s="1">
        <v>275</v>
      </c>
      <c r="J333" s="1">
        <v>366</v>
      </c>
      <c r="K333" s="1">
        <v>366</v>
      </c>
      <c r="L333" s="1">
        <v>366</v>
      </c>
      <c r="M333" s="1">
        <v>366</v>
      </c>
      <c r="N333" s="1">
        <v>115</v>
      </c>
    </row>
    <row r="334" spans="1:14" x14ac:dyDescent="0.25">
      <c r="A334" s="1" t="s">
        <v>24</v>
      </c>
      <c r="B334" s="1" t="s">
        <v>146</v>
      </c>
      <c r="D334" s="1" t="s">
        <v>148</v>
      </c>
      <c r="E334" s="1" t="s">
        <v>2</v>
      </c>
      <c r="H334" s="1">
        <v>2350</v>
      </c>
      <c r="I334" s="1">
        <v>2350</v>
      </c>
      <c r="J334" s="1">
        <v>2350</v>
      </c>
      <c r="K334" s="1">
        <v>1725</v>
      </c>
      <c r="L334" s="1">
        <v>1725</v>
      </c>
      <c r="M334" s="1">
        <v>1725</v>
      </c>
      <c r="N334" s="1">
        <v>1414</v>
      </c>
    </row>
    <row r="335" spans="1:14" x14ac:dyDescent="0.25">
      <c r="A335" s="1" t="s">
        <v>24</v>
      </c>
      <c r="B335" s="1" t="s">
        <v>146</v>
      </c>
      <c r="D335" s="1" t="s">
        <v>148</v>
      </c>
      <c r="E335" s="1" t="s">
        <v>120</v>
      </c>
      <c r="H335" s="1">
        <v>709</v>
      </c>
      <c r="I335" s="1">
        <v>709</v>
      </c>
      <c r="J335" s="1">
        <v>933</v>
      </c>
      <c r="K335" s="1">
        <v>933</v>
      </c>
      <c r="L335" s="1">
        <v>933</v>
      </c>
      <c r="M335" s="1">
        <v>933</v>
      </c>
      <c r="N335" s="1">
        <v>361</v>
      </c>
    </row>
    <row r="336" spans="1:14" x14ac:dyDescent="0.25">
      <c r="A336" s="1" t="s">
        <v>24</v>
      </c>
      <c r="B336" s="1" t="s">
        <v>146</v>
      </c>
      <c r="D336" s="1" t="s">
        <v>1</v>
      </c>
      <c r="E336" s="1" t="s">
        <v>2</v>
      </c>
      <c r="H336" s="1">
        <v>951</v>
      </c>
      <c r="I336" s="1">
        <v>951</v>
      </c>
      <c r="J336" s="1">
        <v>951</v>
      </c>
      <c r="K336" s="1">
        <v>463</v>
      </c>
      <c r="L336" s="1">
        <v>463</v>
      </c>
      <c r="M336" s="1">
        <v>463</v>
      </c>
      <c r="N336" s="1">
        <v>328</v>
      </c>
    </row>
    <row r="337" spans="1:14" x14ac:dyDescent="0.25">
      <c r="A337" s="1" t="s">
        <v>24</v>
      </c>
      <c r="B337" s="1" t="s">
        <v>146</v>
      </c>
      <c r="D337" s="1" t="s">
        <v>1</v>
      </c>
      <c r="E337" s="1" t="s">
        <v>120</v>
      </c>
      <c r="H337" s="1">
        <v>281</v>
      </c>
      <c r="I337" s="1">
        <v>281</v>
      </c>
      <c r="J337" s="1">
        <v>377</v>
      </c>
      <c r="K337" s="1">
        <v>377</v>
      </c>
      <c r="L337" s="1">
        <v>377</v>
      </c>
      <c r="M337" s="1">
        <v>377</v>
      </c>
      <c r="N337" s="1">
        <v>377</v>
      </c>
    </row>
    <row r="338" spans="1:14" x14ac:dyDescent="0.25">
      <c r="A338" s="1" t="s">
        <v>24</v>
      </c>
      <c r="B338" s="1" t="s">
        <v>146</v>
      </c>
      <c r="D338" s="1" t="s">
        <v>119</v>
      </c>
      <c r="E338" s="1" t="s">
        <v>2</v>
      </c>
      <c r="H338" s="1">
        <v>951</v>
      </c>
      <c r="I338" s="1">
        <v>951</v>
      </c>
      <c r="J338" s="1">
        <v>951</v>
      </c>
      <c r="K338" s="1">
        <v>463</v>
      </c>
      <c r="L338" s="1">
        <v>463</v>
      </c>
      <c r="M338" s="1">
        <v>463</v>
      </c>
      <c r="N338" s="1">
        <v>328</v>
      </c>
    </row>
    <row r="339" spans="1:14" x14ac:dyDescent="0.25">
      <c r="A339" s="1" t="s">
        <v>111</v>
      </c>
      <c r="B339" s="1" t="s">
        <v>146</v>
      </c>
      <c r="D339" s="1" t="s">
        <v>147</v>
      </c>
      <c r="E339" s="1" t="s">
        <v>2</v>
      </c>
      <c r="H339" s="1">
        <v>925</v>
      </c>
      <c r="I339" s="1">
        <v>925</v>
      </c>
      <c r="J339" s="1">
        <v>925</v>
      </c>
      <c r="K339" s="1">
        <v>299</v>
      </c>
      <c r="L339" s="1">
        <v>299</v>
      </c>
      <c r="M339" s="1">
        <v>359</v>
      </c>
      <c r="N339" s="1">
        <v>362</v>
      </c>
    </row>
    <row r="340" spans="1:14" x14ac:dyDescent="0.25">
      <c r="A340" s="1" t="s">
        <v>111</v>
      </c>
      <c r="B340" s="1" t="s">
        <v>146</v>
      </c>
      <c r="D340" s="1" t="s">
        <v>147</v>
      </c>
      <c r="E340" s="1" t="s">
        <v>120</v>
      </c>
      <c r="H340" s="1">
        <v>275</v>
      </c>
      <c r="I340" s="1">
        <v>275</v>
      </c>
      <c r="J340" s="1">
        <v>367</v>
      </c>
      <c r="K340" s="1">
        <v>367</v>
      </c>
      <c r="L340" s="1">
        <v>367</v>
      </c>
      <c r="M340" s="1">
        <v>367</v>
      </c>
      <c r="N340" s="1">
        <v>115</v>
      </c>
    </row>
    <row r="341" spans="1:14" x14ac:dyDescent="0.25">
      <c r="A341" s="1" t="s">
        <v>111</v>
      </c>
      <c r="B341" s="1" t="s">
        <v>146</v>
      </c>
      <c r="D341" s="1" t="s">
        <v>148</v>
      </c>
      <c r="E341" s="1" t="s">
        <v>2</v>
      </c>
      <c r="H341" s="1">
        <v>2352</v>
      </c>
      <c r="I341" s="1">
        <v>2352</v>
      </c>
      <c r="J341" s="1">
        <v>2352</v>
      </c>
      <c r="K341" s="1">
        <v>2335</v>
      </c>
      <c r="L341" s="1">
        <v>2312</v>
      </c>
      <c r="M341" s="1">
        <v>2312</v>
      </c>
      <c r="N341" s="1">
        <v>1503</v>
      </c>
    </row>
    <row r="342" spans="1:14" x14ac:dyDescent="0.25">
      <c r="A342" s="1" t="s">
        <v>111</v>
      </c>
      <c r="B342" s="1" t="s">
        <v>146</v>
      </c>
      <c r="D342" s="1" t="s">
        <v>148</v>
      </c>
      <c r="E342" s="1" t="s">
        <v>120</v>
      </c>
      <c r="H342" s="1">
        <v>709</v>
      </c>
      <c r="I342" s="1">
        <v>709</v>
      </c>
      <c r="J342" s="1">
        <v>933</v>
      </c>
      <c r="K342" s="1">
        <v>933</v>
      </c>
      <c r="L342" s="1">
        <v>933</v>
      </c>
      <c r="M342" s="1">
        <v>933</v>
      </c>
      <c r="N342" s="1">
        <v>361</v>
      </c>
    </row>
    <row r="343" spans="1:14" x14ac:dyDescent="0.25">
      <c r="A343" s="1" t="s">
        <v>111</v>
      </c>
      <c r="B343" s="1" t="s">
        <v>146</v>
      </c>
      <c r="D343" s="1" t="s">
        <v>1</v>
      </c>
      <c r="E343" s="1" t="s">
        <v>2</v>
      </c>
      <c r="H343" s="1">
        <v>955</v>
      </c>
      <c r="I343" s="1">
        <v>955</v>
      </c>
      <c r="J343" s="1">
        <v>955</v>
      </c>
      <c r="K343" s="1">
        <v>463</v>
      </c>
      <c r="L343" s="1">
        <v>463</v>
      </c>
      <c r="M343" s="1">
        <v>463</v>
      </c>
      <c r="N343" s="1">
        <v>328</v>
      </c>
    </row>
    <row r="344" spans="1:14" x14ac:dyDescent="0.25">
      <c r="A344" s="1" t="s">
        <v>111</v>
      </c>
      <c r="B344" s="1" t="s">
        <v>146</v>
      </c>
      <c r="D344" s="1" t="s">
        <v>1</v>
      </c>
      <c r="E344" s="1" t="s">
        <v>120</v>
      </c>
      <c r="H344" s="1">
        <v>281</v>
      </c>
      <c r="I344" s="1">
        <v>281</v>
      </c>
      <c r="J344" s="1">
        <v>379</v>
      </c>
      <c r="K344" s="1">
        <v>379</v>
      </c>
      <c r="L344" s="1">
        <v>379</v>
      </c>
      <c r="M344" s="1">
        <v>379</v>
      </c>
      <c r="N344" s="1">
        <v>379</v>
      </c>
    </row>
    <row r="345" spans="1:14" x14ac:dyDescent="0.25">
      <c r="A345" s="1" t="s">
        <v>111</v>
      </c>
      <c r="B345" s="1" t="s">
        <v>146</v>
      </c>
      <c r="D345" s="1" t="s">
        <v>119</v>
      </c>
      <c r="E345" s="1" t="s">
        <v>2</v>
      </c>
      <c r="H345" s="1">
        <v>955</v>
      </c>
      <c r="I345" s="1">
        <v>955</v>
      </c>
      <c r="J345" s="1">
        <v>955</v>
      </c>
      <c r="K345" s="1">
        <v>463</v>
      </c>
      <c r="L345" s="1">
        <v>463</v>
      </c>
      <c r="M345" s="1">
        <v>463</v>
      </c>
      <c r="N345" s="1">
        <v>328</v>
      </c>
    </row>
    <row r="346" spans="1:14" x14ac:dyDescent="0.25">
      <c r="A346" s="1" t="s">
        <v>25</v>
      </c>
      <c r="B346" s="1" t="s">
        <v>146</v>
      </c>
      <c r="D346" s="1" t="s">
        <v>147</v>
      </c>
      <c r="E346" s="1" t="s">
        <v>2</v>
      </c>
      <c r="H346" s="1">
        <v>882</v>
      </c>
      <c r="I346" s="1">
        <v>882</v>
      </c>
      <c r="J346" s="1">
        <v>882</v>
      </c>
      <c r="K346" s="1">
        <v>299</v>
      </c>
      <c r="L346" s="1">
        <v>299</v>
      </c>
      <c r="M346" s="1">
        <v>359</v>
      </c>
      <c r="N346" s="1">
        <v>362</v>
      </c>
    </row>
    <row r="347" spans="1:14" x14ac:dyDescent="0.25">
      <c r="A347" s="1" t="s">
        <v>25</v>
      </c>
      <c r="B347" s="1" t="s">
        <v>146</v>
      </c>
      <c r="D347" s="1" t="s">
        <v>147</v>
      </c>
      <c r="E347" s="1" t="s">
        <v>120</v>
      </c>
      <c r="H347" s="1">
        <v>275</v>
      </c>
      <c r="I347" s="1">
        <v>275</v>
      </c>
      <c r="J347" s="1">
        <v>350</v>
      </c>
      <c r="K347" s="1">
        <v>350</v>
      </c>
      <c r="M347" s="1">
        <v>350</v>
      </c>
      <c r="N347" s="1">
        <v>115</v>
      </c>
    </row>
    <row r="348" spans="1:14" x14ac:dyDescent="0.25">
      <c r="A348" s="1" t="s">
        <v>25</v>
      </c>
      <c r="B348" s="1" t="s">
        <v>146</v>
      </c>
      <c r="D348" s="1" t="s">
        <v>148</v>
      </c>
      <c r="E348" s="1" t="s">
        <v>2</v>
      </c>
      <c r="H348" s="1">
        <v>2261</v>
      </c>
      <c r="I348" s="1">
        <v>2261</v>
      </c>
      <c r="J348" s="1">
        <v>2261</v>
      </c>
      <c r="K348" s="1">
        <v>2315</v>
      </c>
      <c r="L348" s="1">
        <v>2261</v>
      </c>
      <c r="M348" s="1">
        <v>2261</v>
      </c>
      <c r="N348" s="1">
        <v>1470</v>
      </c>
    </row>
    <row r="349" spans="1:14" x14ac:dyDescent="0.25">
      <c r="A349" s="1" t="s">
        <v>25</v>
      </c>
      <c r="B349" s="1" t="s">
        <v>146</v>
      </c>
      <c r="D349" s="1" t="s">
        <v>148</v>
      </c>
      <c r="E349" s="1" t="s">
        <v>120</v>
      </c>
      <c r="H349" s="1">
        <v>709</v>
      </c>
      <c r="I349" s="1">
        <v>709</v>
      </c>
      <c r="J349" s="1">
        <v>897</v>
      </c>
      <c r="K349" s="1">
        <v>897</v>
      </c>
      <c r="L349" s="1">
        <v>897</v>
      </c>
      <c r="M349" s="1">
        <v>897</v>
      </c>
      <c r="N349" s="1">
        <v>361</v>
      </c>
    </row>
    <row r="350" spans="1:14" x14ac:dyDescent="0.25">
      <c r="A350" s="1" t="s">
        <v>25</v>
      </c>
      <c r="B350" s="1" t="s">
        <v>146</v>
      </c>
      <c r="D350" s="1" t="s">
        <v>1</v>
      </c>
      <c r="E350" s="1" t="s">
        <v>2</v>
      </c>
      <c r="H350" s="1">
        <v>910</v>
      </c>
      <c r="I350" s="1">
        <v>910</v>
      </c>
      <c r="J350" s="1">
        <v>910</v>
      </c>
      <c r="K350" s="1">
        <v>463</v>
      </c>
      <c r="L350" s="1">
        <v>463</v>
      </c>
      <c r="M350" s="1">
        <v>463</v>
      </c>
      <c r="N350" s="1">
        <v>328</v>
      </c>
    </row>
    <row r="351" spans="1:14" x14ac:dyDescent="0.25">
      <c r="A351" s="1" t="s">
        <v>25</v>
      </c>
      <c r="B351" s="1" t="s">
        <v>146</v>
      </c>
      <c r="D351" s="1" t="s">
        <v>1</v>
      </c>
      <c r="E351" s="1" t="s">
        <v>120</v>
      </c>
      <c r="H351" s="1">
        <v>281</v>
      </c>
      <c r="I351" s="1">
        <v>281</v>
      </c>
      <c r="J351" s="1">
        <v>361</v>
      </c>
      <c r="K351" s="1">
        <v>361</v>
      </c>
      <c r="L351" s="1">
        <v>361</v>
      </c>
      <c r="M351" s="1">
        <v>361</v>
      </c>
      <c r="N351" s="1">
        <v>361</v>
      </c>
    </row>
    <row r="352" spans="1:14" x14ac:dyDescent="0.25">
      <c r="A352" s="1" t="s">
        <v>25</v>
      </c>
      <c r="B352" s="1" t="s">
        <v>146</v>
      </c>
      <c r="D352" s="1" t="s">
        <v>119</v>
      </c>
      <c r="E352" s="1" t="s">
        <v>2</v>
      </c>
      <c r="H352" s="1">
        <v>910</v>
      </c>
      <c r="I352" s="1">
        <v>910</v>
      </c>
      <c r="J352" s="1">
        <v>910</v>
      </c>
      <c r="K352" s="1">
        <v>463</v>
      </c>
      <c r="L352" s="1">
        <v>463</v>
      </c>
      <c r="M352" s="1">
        <v>463</v>
      </c>
      <c r="N352" s="1">
        <v>328</v>
      </c>
    </row>
    <row r="353" spans="1:15" x14ac:dyDescent="0.25">
      <c r="A353" s="1" t="s">
        <v>25</v>
      </c>
      <c r="B353" s="1" t="s">
        <v>149</v>
      </c>
      <c r="D353" s="1" t="s">
        <v>16</v>
      </c>
      <c r="E353" s="1" t="s">
        <v>2</v>
      </c>
      <c r="F353" s="1">
        <v>216.67</v>
      </c>
      <c r="G353" s="1">
        <v>215.77</v>
      </c>
      <c r="H353" s="1">
        <v>215.77</v>
      </c>
      <c r="I353" s="1">
        <v>229.87</v>
      </c>
      <c r="J353" s="1">
        <v>235.84</v>
      </c>
      <c r="K353" s="1">
        <v>215.07</v>
      </c>
      <c r="L353" s="1">
        <v>193.58</v>
      </c>
      <c r="M353" s="1">
        <v>149.24</v>
      </c>
      <c r="N353" s="1">
        <v>84.71</v>
      </c>
    </row>
    <row r="354" spans="1:15" x14ac:dyDescent="0.25">
      <c r="A354" s="1" t="s">
        <v>84</v>
      </c>
      <c r="B354" s="1" t="s">
        <v>150</v>
      </c>
      <c r="D354" s="1" t="s">
        <v>16</v>
      </c>
      <c r="E354" s="1" t="s">
        <v>2</v>
      </c>
      <c r="F354" s="1">
        <v>51.47</v>
      </c>
      <c r="G354" s="1">
        <v>51.47</v>
      </c>
      <c r="H354" s="1">
        <v>51.47</v>
      </c>
      <c r="I354" s="1">
        <v>51.46</v>
      </c>
      <c r="J354" s="1">
        <v>51.46</v>
      </c>
      <c r="K354" s="1">
        <v>51.46</v>
      </c>
      <c r="L354" s="1">
        <v>51.46</v>
      </c>
      <c r="M354" s="1">
        <v>51.46</v>
      </c>
      <c r="N354" s="1">
        <v>42.66</v>
      </c>
    </row>
    <row r="355" spans="1:15" x14ac:dyDescent="0.25">
      <c r="A355" s="1" t="s">
        <v>0</v>
      </c>
      <c r="B355" s="1" t="s">
        <v>151</v>
      </c>
      <c r="C355" s="1" t="s">
        <v>152</v>
      </c>
      <c r="D355" s="1" t="s">
        <v>136</v>
      </c>
      <c r="E355" s="1" t="s">
        <v>120</v>
      </c>
      <c r="F355" s="1">
        <v>1100</v>
      </c>
      <c r="G355" s="1">
        <v>1017</v>
      </c>
      <c r="H355" s="1">
        <v>1017</v>
      </c>
      <c r="J355" s="1">
        <v>1013</v>
      </c>
      <c r="L355" s="1">
        <v>995</v>
      </c>
      <c r="M355" s="1">
        <v>1004</v>
      </c>
      <c r="N355" s="1">
        <v>1103</v>
      </c>
      <c r="O355" s="1">
        <v>1151</v>
      </c>
    </row>
    <row r="356" spans="1:15" x14ac:dyDescent="0.25">
      <c r="A356" s="1" t="s">
        <v>100</v>
      </c>
      <c r="B356" s="1" t="s">
        <v>151</v>
      </c>
      <c r="C356" s="1" t="s">
        <v>153</v>
      </c>
      <c r="D356" s="1" t="s">
        <v>136</v>
      </c>
      <c r="E356" s="1" t="s">
        <v>2</v>
      </c>
      <c r="F356" s="1">
        <v>1117</v>
      </c>
      <c r="G356" s="1">
        <v>1117</v>
      </c>
      <c r="H356" s="1">
        <v>1117</v>
      </c>
      <c r="I356" s="1">
        <v>1015</v>
      </c>
      <c r="J356" s="1">
        <v>1013</v>
      </c>
      <c r="L356" s="1">
        <v>994</v>
      </c>
      <c r="M356" s="1">
        <v>996</v>
      </c>
      <c r="N356" s="1">
        <v>998</v>
      </c>
      <c r="O356" s="1">
        <v>1004</v>
      </c>
    </row>
    <row r="357" spans="1:15" x14ac:dyDescent="0.25">
      <c r="A357" s="1" t="s">
        <v>101</v>
      </c>
      <c r="B357" s="1" t="s">
        <v>151</v>
      </c>
      <c r="C357" s="1" t="s">
        <v>126</v>
      </c>
      <c r="D357" s="1" t="s">
        <v>16</v>
      </c>
      <c r="E357" s="1" t="s">
        <v>2</v>
      </c>
      <c r="F357" s="1">
        <v>4313</v>
      </c>
      <c r="G357" s="1">
        <v>4427</v>
      </c>
      <c r="J357" s="1">
        <v>45557</v>
      </c>
      <c r="K357" s="1">
        <v>4352</v>
      </c>
      <c r="L357" s="1">
        <v>4149</v>
      </c>
      <c r="M357" s="1">
        <v>3865</v>
      </c>
      <c r="N357" s="1">
        <v>3583</v>
      </c>
      <c r="O357" s="1">
        <v>3068</v>
      </c>
    </row>
    <row r="358" spans="1:15" x14ac:dyDescent="0.25">
      <c r="A358" s="1" t="s">
        <v>102</v>
      </c>
      <c r="B358" s="1" t="s">
        <v>151</v>
      </c>
      <c r="C358" s="1" t="s">
        <v>154</v>
      </c>
      <c r="D358" s="1" t="s">
        <v>16</v>
      </c>
      <c r="E358" s="1" t="s">
        <v>2</v>
      </c>
      <c r="F358" s="1">
        <v>4313</v>
      </c>
      <c r="G358" s="1">
        <v>4427</v>
      </c>
      <c r="H358" s="1">
        <v>1140</v>
      </c>
      <c r="I358" s="1">
        <v>1140</v>
      </c>
      <c r="J358" s="1">
        <v>1140</v>
      </c>
      <c r="K358" s="1">
        <v>4247</v>
      </c>
      <c r="L358" s="1">
        <v>4073</v>
      </c>
      <c r="M358" s="1">
        <v>3363</v>
      </c>
      <c r="N358" s="1">
        <v>2779</v>
      </c>
      <c r="O358" s="1">
        <v>2359</v>
      </c>
    </row>
    <row r="359" spans="1:15" x14ac:dyDescent="0.25">
      <c r="A359" s="1" t="s">
        <v>102</v>
      </c>
      <c r="B359" s="1" t="s">
        <v>151</v>
      </c>
      <c r="C359" s="1" t="s">
        <v>155</v>
      </c>
      <c r="D359" s="1" t="s">
        <v>16</v>
      </c>
      <c r="E359" s="1" t="s">
        <v>2</v>
      </c>
      <c r="F359" s="1">
        <v>4313</v>
      </c>
      <c r="G359" s="1">
        <v>4427</v>
      </c>
      <c r="H359" s="1">
        <v>4383</v>
      </c>
      <c r="I359" s="1">
        <v>2583</v>
      </c>
      <c r="J359" s="1">
        <v>4557</v>
      </c>
      <c r="K359" s="1">
        <v>4247</v>
      </c>
      <c r="L359" s="1">
        <v>4337</v>
      </c>
      <c r="M359" s="1">
        <v>4055</v>
      </c>
      <c r="N359" s="1">
        <v>3373</v>
      </c>
      <c r="O359" s="1">
        <v>3060</v>
      </c>
    </row>
    <row r="360" spans="1:15" x14ac:dyDescent="0.25">
      <c r="A360" s="1" t="s">
        <v>102</v>
      </c>
      <c r="B360" s="1" t="s">
        <v>151</v>
      </c>
      <c r="C360" s="1" t="s">
        <v>156</v>
      </c>
      <c r="D360" s="1" t="s">
        <v>16</v>
      </c>
      <c r="E360" s="1" t="s">
        <v>2</v>
      </c>
      <c r="F360" s="1">
        <v>4313</v>
      </c>
      <c r="G360" s="1">
        <v>4427</v>
      </c>
      <c r="H360" s="1">
        <v>4383</v>
      </c>
      <c r="I360" s="1">
        <v>1889</v>
      </c>
      <c r="J360" s="1">
        <v>4557</v>
      </c>
      <c r="K360" s="1">
        <v>4247</v>
      </c>
      <c r="L360" s="1">
        <v>3694</v>
      </c>
      <c r="M360" s="1">
        <v>3156</v>
      </c>
      <c r="N360" s="1">
        <v>2576</v>
      </c>
      <c r="O360" s="1">
        <v>2462</v>
      </c>
    </row>
    <row r="361" spans="1:15" x14ac:dyDescent="0.25">
      <c r="A361" s="1" t="s">
        <v>20</v>
      </c>
      <c r="B361" s="1" t="s">
        <v>151</v>
      </c>
      <c r="C361" s="1" t="s">
        <v>156</v>
      </c>
      <c r="D361" s="1" t="s">
        <v>16</v>
      </c>
      <c r="E361" s="1" t="s">
        <v>2</v>
      </c>
      <c r="K361" s="1">
        <v>3694</v>
      </c>
      <c r="L361" s="1">
        <v>3694</v>
      </c>
      <c r="M361" s="1">
        <v>3156</v>
      </c>
      <c r="N361" s="1">
        <v>2576</v>
      </c>
      <c r="O361" s="1">
        <v>2462</v>
      </c>
    </row>
    <row r="362" spans="1:15" x14ac:dyDescent="0.25">
      <c r="A362" s="1" t="s">
        <v>157</v>
      </c>
      <c r="B362" s="1" t="s">
        <v>151</v>
      </c>
      <c r="C362" s="1" t="s">
        <v>152</v>
      </c>
      <c r="D362" s="1" t="s">
        <v>136</v>
      </c>
      <c r="E362" s="1" t="s">
        <v>120</v>
      </c>
      <c r="F362" s="1">
        <v>1100</v>
      </c>
      <c r="G362" s="1">
        <v>1017</v>
      </c>
      <c r="H362" s="1">
        <v>1017</v>
      </c>
      <c r="I362" s="1">
        <v>1015</v>
      </c>
      <c r="J362" s="1">
        <v>1013</v>
      </c>
      <c r="L362" s="1">
        <v>995</v>
      </c>
      <c r="M362" s="1">
        <v>1004</v>
      </c>
      <c r="N362" s="1">
        <v>1103</v>
      </c>
      <c r="O362" s="1">
        <v>1151</v>
      </c>
    </row>
    <row r="363" spans="1:15" x14ac:dyDescent="0.25">
      <c r="A363" s="1" t="s">
        <v>82</v>
      </c>
      <c r="B363" s="1" t="s">
        <v>151</v>
      </c>
      <c r="C363" s="1" t="s">
        <v>152</v>
      </c>
      <c r="D363" s="1" t="s">
        <v>136</v>
      </c>
      <c r="E363" s="1" t="s">
        <v>120</v>
      </c>
      <c r="F363" s="1">
        <v>1100</v>
      </c>
      <c r="G363" s="1">
        <v>1017</v>
      </c>
      <c r="H363" s="1">
        <v>1017</v>
      </c>
      <c r="J363" s="1">
        <v>1013</v>
      </c>
      <c r="L363" s="1">
        <v>995</v>
      </c>
      <c r="M363" s="1">
        <v>1004</v>
      </c>
      <c r="N363" s="1">
        <v>1103</v>
      </c>
      <c r="O363" s="1">
        <v>1151</v>
      </c>
    </row>
    <row r="364" spans="1:15" x14ac:dyDescent="0.25">
      <c r="A364" s="1" t="s">
        <v>24</v>
      </c>
      <c r="B364" s="1" t="s">
        <v>151</v>
      </c>
      <c r="C364" s="1" t="s">
        <v>154</v>
      </c>
      <c r="D364" s="1" t="s">
        <v>16</v>
      </c>
      <c r="E364" s="1" t="s">
        <v>2</v>
      </c>
      <c r="F364" s="1">
        <v>4313</v>
      </c>
      <c r="G364" s="1">
        <v>4427</v>
      </c>
      <c r="H364" s="1">
        <v>1140</v>
      </c>
      <c r="I364" s="1">
        <v>1140</v>
      </c>
      <c r="J364" s="1">
        <v>1140</v>
      </c>
      <c r="K364" s="1">
        <v>4247</v>
      </c>
      <c r="L364" s="1">
        <v>4073</v>
      </c>
      <c r="M364" s="1">
        <v>4073</v>
      </c>
      <c r="N364" s="1">
        <v>4196</v>
      </c>
      <c r="O364" s="1">
        <v>3948</v>
      </c>
    </row>
    <row r="365" spans="1:15" x14ac:dyDescent="0.25">
      <c r="A365" s="1" t="s">
        <v>25</v>
      </c>
      <c r="B365" s="1" t="s">
        <v>151</v>
      </c>
      <c r="C365" s="1" t="s">
        <v>126</v>
      </c>
      <c r="D365" s="1" t="s">
        <v>16</v>
      </c>
      <c r="E365" s="1" t="s">
        <v>2</v>
      </c>
      <c r="F365" s="1">
        <v>4313</v>
      </c>
      <c r="G365" s="1">
        <v>4427</v>
      </c>
      <c r="H365" s="1">
        <v>4383</v>
      </c>
      <c r="I365" s="1">
        <v>4383</v>
      </c>
      <c r="J365" s="1">
        <v>4557</v>
      </c>
      <c r="K365" s="1">
        <v>4352</v>
      </c>
      <c r="L365" s="1">
        <v>4149</v>
      </c>
      <c r="M365" s="1">
        <v>3645</v>
      </c>
      <c r="N365" s="1">
        <v>3585</v>
      </c>
      <c r="O365" s="1">
        <v>3115</v>
      </c>
    </row>
    <row r="366" spans="1:15" x14ac:dyDescent="0.25">
      <c r="A366" s="1" t="s">
        <v>25</v>
      </c>
      <c r="B366" s="1" t="s">
        <v>151</v>
      </c>
      <c r="C366" s="1" t="s">
        <v>158</v>
      </c>
      <c r="D366" s="1" t="s">
        <v>16</v>
      </c>
      <c r="E366" s="1" t="s">
        <v>2</v>
      </c>
      <c r="F366" s="1">
        <v>4313</v>
      </c>
      <c r="G366" s="1">
        <v>4427</v>
      </c>
      <c r="H366" s="1">
        <v>1889</v>
      </c>
      <c r="I366" s="1">
        <v>1889</v>
      </c>
      <c r="J366" s="1">
        <v>4597</v>
      </c>
      <c r="K366" s="1">
        <v>4491</v>
      </c>
      <c r="L366" s="1">
        <v>3727</v>
      </c>
      <c r="M366" s="1">
        <v>2312</v>
      </c>
      <c r="N366" s="1">
        <v>897</v>
      </c>
      <c r="O366" s="1">
        <v>731</v>
      </c>
    </row>
    <row r="367" spans="1:15" x14ac:dyDescent="0.25">
      <c r="A367" s="1" t="s">
        <v>116</v>
      </c>
      <c r="B367" s="1" t="s">
        <v>151</v>
      </c>
      <c r="C367" s="1" t="s">
        <v>154</v>
      </c>
      <c r="D367" s="1" t="s">
        <v>136</v>
      </c>
      <c r="E367" s="1" t="s">
        <v>2</v>
      </c>
      <c r="F367" s="1">
        <v>902</v>
      </c>
      <c r="G367" s="1">
        <v>902</v>
      </c>
      <c r="H367" s="1">
        <v>902</v>
      </c>
      <c r="I367" s="1">
        <v>902</v>
      </c>
      <c r="L367" s="1">
        <v>902</v>
      </c>
      <c r="M367" s="1">
        <v>902</v>
      </c>
      <c r="N367" s="1">
        <v>902</v>
      </c>
      <c r="O367" s="1">
        <v>902</v>
      </c>
    </row>
    <row r="368" spans="1:15" x14ac:dyDescent="0.25">
      <c r="A368" s="1" t="s">
        <v>116</v>
      </c>
      <c r="B368" s="1" t="s">
        <v>151</v>
      </c>
      <c r="C368" s="1" t="s">
        <v>154</v>
      </c>
      <c r="D368" s="1" t="s">
        <v>136</v>
      </c>
      <c r="E368" s="1" t="s">
        <v>120</v>
      </c>
      <c r="F368" s="1">
        <v>556</v>
      </c>
      <c r="G368" s="1">
        <v>556</v>
      </c>
      <c r="H368" s="1">
        <v>556</v>
      </c>
      <c r="I368" s="1">
        <v>556</v>
      </c>
      <c r="L368" s="1">
        <v>556</v>
      </c>
      <c r="M368" s="1">
        <v>556</v>
      </c>
      <c r="N368" s="1">
        <v>556</v>
      </c>
      <c r="O368" s="1">
        <v>575</v>
      </c>
    </row>
    <row r="369" spans="1:15" x14ac:dyDescent="0.25">
      <c r="A369" s="1" t="s">
        <v>116</v>
      </c>
      <c r="B369" s="1" t="s">
        <v>151</v>
      </c>
      <c r="C369" s="1" t="s">
        <v>152</v>
      </c>
      <c r="D369" s="1" t="s">
        <v>136</v>
      </c>
      <c r="E369" s="1" t="s">
        <v>120</v>
      </c>
      <c r="F369" s="1">
        <v>1100</v>
      </c>
      <c r="G369" s="1">
        <v>1017</v>
      </c>
      <c r="H369" s="1">
        <v>1017</v>
      </c>
      <c r="I369" s="1">
        <v>1015</v>
      </c>
      <c r="J369" s="1">
        <v>1013</v>
      </c>
      <c r="L369" s="1">
        <v>995</v>
      </c>
      <c r="M369" s="1">
        <v>1004</v>
      </c>
      <c r="N369" s="1">
        <v>1103</v>
      </c>
      <c r="O369" s="1">
        <v>1151</v>
      </c>
    </row>
    <row r="370" spans="1:15" x14ac:dyDescent="0.25">
      <c r="A370" s="1" t="s">
        <v>84</v>
      </c>
      <c r="B370" s="1" t="s">
        <v>151</v>
      </c>
      <c r="C370" s="1" t="s">
        <v>126</v>
      </c>
      <c r="D370" s="1" t="s">
        <v>16</v>
      </c>
      <c r="E370" s="1" t="s">
        <v>2</v>
      </c>
      <c r="F370" s="1">
        <v>4313</v>
      </c>
      <c r="G370" s="1">
        <v>4427</v>
      </c>
      <c r="J370" s="1">
        <v>4557</v>
      </c>
      <c r="K370" s="1">
        <v>4352</v>
      </c>
      <c r="L370" s="1">
        <v>4149</v>
      </c>
      <c r="M370" s="1">
        <v>3865</v>
      </c>
      <c r="N370" s="1">
        <v>3583</v>
      </c>
      <c r="O370" s="1">
        <v>3068</v>
      </c>
    </row>
    <row r="371" spans="1:15" x14ac:dyDescent="0.25">
      <c r="A371" s="1" t="s">
        <v>84</v>
      </c>
      <c r="B371" s="1" t="s">
        <v>151</v>
      </c>
      <c r="C371" s="1" t="s">
        <v>155</v>
      </c>
      <c r="D371" s="1" t="s">
        <v>16</v>
      </c>
      <c r="E371" s="1" t="s">
        <v>2</v>
      </c>
      <c r="F371" s="1">
        <v>4313</v>
      </c>
      <c r="G371" s="1">
        <v>4427</v>
      </c>
      <c r="H371" s="1">
        <v>4383</v>
      </c>
      <c r="I371" s="1">
        <v>2583</v>
      </c>
      <c r="J371" s="1">
        <v>4557</v>
      </c>
      <c r="K371" s="1">
        <v>4247</v>
      </c>
      <c r="L371" s="1">
        <v>4123</v>
      </c>
      <c r="M371" s="1">
        <v>3441</v>
      </c>
      <c r="N371" s="1">
        <v>2908</v>
      </c>
      <c r="O371" s="1">
        <v>2562</v>
      </c>
    </row>
    <row r="372" spans="1:15" x14ac:dyDescent="0.25">
      <c r="A372" s="1" t="s">
        <v>84</v>
      </c>
      <c r="B372" s="1" t="s">
        <v>151</v>
      </c>
      <c r="C372" s="1" t="s">
        <v>156</v>
      </c>
      <c r="D372" s="1" t="s">
        <v>16</v>
      </c>
      <c r="E372" s="1" t="s">
        <v>2</v>
      </c>
      <c r="F372" s="1">
        <v>4313</v>
      </c>
      <c r="G372" s="1">
        <v>4427</v>
      </c>
      <c r="H372" s="1">
        <v>4383</v>
      </c>
      <c r="I372" s="1">
        <v>1889</v>
      </c>
      <c r="J372" s="1">
        <v>4557</v>
      </c>
      <c r="K372" s="1">
        <v>4247</v>
      </c>
      <c r="L372" s="1">
        <v>3694</v>
      </c>
      <c r="M372" s="1">
        <v>3156</v>
      </c>
      <c r="N372" s="1">
        <v>2576</v>
      </c>
      <c r="O372" s="1">
        <v>2313</v>
      </c>
    </row>
    <row r="373" spans="1:15" x14ac:dyDescent="0.25">
      <c r="A373" s="1" t="s">
        <v>84</v>
      </c>
      <c r="B373" s="1" t="s">
        <v>151</v>
      </c>
      <c r="C373" s="1" t="s">
        <v>152</v>
      </c>
      <c r="D373" s="1" t="s">
        <v>136</v>
      </c>
      <c r="E373" s="1" t="s">
        <v>120</v>
      </c>
      <c r="F373" s="1">
        <v>1100</v>
      </c>
      <c r="G373" s="1">
        <v>1017</v>
      </c>
      <c r="H373" s="1">
        <v>1017</v>
      </c>
      <c r="J373" s="1">
        <v>1013</v>
      </c>
      <c r="L373" s="1">
        <v>995</v>
      </c>
      <c r="M373" s="1">
        <v>1004</v>
      </c>
      <c r="N373" s="1">
        <v>1103</v>
      </c>
      <c r="O373" s="1">
        <v>1151</v>
      </c>
    </row>
    <row r="374" spans="1:15" x14ac:dyDescent="0.25">
      <c r="A374" s="1" t="s">
        <v>117</v>
      </c>
      <c r="B374" s="1" t="s">
        <v>151</v>
      </c>
      <c r="C374" s="1" t="s">
        <v>154</v>
      </c>
      <c r="D374" s="1" t="s">
        <v>136</v>
      </c>
      <c r="E374" s="1" t="s">
        <v>2</v>
      </c>
      <c r="K374" s="1">
        <v>902</v>
      </c>
      <c r="L374" s="1">
        <v>902</v>
      </c>
      <c r="M374" s="1">
        <v>902</v>
      </c>
      <c r="N374" s="1">
        <v>902</v>
      </c>
      <c r="O374" s="1">
        <v>902</v>
      </c>
    </row>
    <row r="375" spans="1:15" x14ac:dyDescent="0.25">
      <c r="A375" s="1" t="s">
        <v>117</v>
      </c>
      <c r="B375" s="1" t="s">
        <v>151</v>
      </c>
      <c r="C375" s="1" t="s">
        <v>154</v>
      </c>
      <c r="D375" s="1" t="s">
        <v>136</v>
      </c>
      <c r="E375" s="1" t="s">
        <v>120</v>
      </c>
      <c r="K375" s="1">
        <v>556</v>
      </c>
      <c r="L375" s="1">
        <v>556</v>
      </c>
      <c r="M375" s="1">
        <v>556</v>
      </c>
      <c r="N375" s="1">
        <v>556</v>
      </c>
      <c r="O375" s="1">
        <v>575</v>
      </c>
    </row>
    <row r="376" spans="1:15" x14ac:dyDescent="0.25">
      <c r="A376" s="1" t="s">
        <v>84</v>
      </c>
      <c r="B376" s="1" t="s">
        <v>159</v>
      </c>
      <c r="C376" s="1" t="s">
        <v>160</v>
      </c>
      <c r="D376" s="1" t="s">
        <v>16</v>
      </c>
      <c r="E376" s="1" t="s">
        <v>2</v>
      </c>
      <c r="F376" s="1">
        <v>142.99</v>
      </c>
      <c r="G376" s="1">
        <v>148.99</v>
      </c>
      <c r="J376" s="1">
        <v>182.67</v>
      </c>
      <c r="K376" s="1">
        <v>180.2</v>
      </c>
      <c r="L376" s="1">
        <v>191.87</v>
      </c>
      <c r="M376" s="1">
        <v>191.87</v>
      </c>
      <c r="N376" s="1">
        <v>136.03</v>
      </c>
    </row>
    <row r="377" spans="1:15" x14ac:dyDescent="0.25">
      <c r="A377" s="1" t="s">
        <v>0</v>
      </c>
      <c r="B377" s="1" t="s">
        <v>161</v>
      </c>
      <c r="C377" s="1" t="s">
        <v>162</v>
      </c>
      <c r="D377" s="1" t="s">
        <v>16</v>
      </c>
      <c r="E377" s="1" t="s">
        <v>2</v>
      </c>
      <c r="F377" s="1">
        <v>206</v>
      </c>
      <c r="G377" s="1">
        <v>175</v>
      </c>
      <c r="J377" s="1">
        <v>206</v>
      </c>
      <c r="K377" s="1">
        <v>206</v>
      </c>
      <c r="L377" s="1">
        <v>206</v>
      </c>
      <c r="M377" s="1">
        <v>181</v>
      </c>
      <c r="N377" s="1">
        <v>165</v>
      </c>
      <c r="O377" s="1">
        <v>143</v>
      </c>
    </row>
    <row r="378" spans="1:15" x14ac:dyDescent="0.25">
      <c r="A378" s="1" t="s">
        <v>102</v>
      </c>
      <c r="B378" s="1" t="s">
        <v>161</v>
      </c>
      <c r="C378" s="1" t="s">
        <v>162</v>
      </c>
      <c r="D378" s="1" t="s">
        <v>16</v>
      </c>
      <c r="E378" s="1" t="s">
        <v>2</v>
      </c>
      <c r="F378" s="1">
        <v>206</v>
      </c>
      <c r="G378" s="1">
        <v>175</v>
      </c>
      <c r="H378" s="1">
        <v>175</v>
      </c>
      <c r="I378" s="1">
        <v>191</v>
      </c>
      <c r="J378" s="1">
        <v>206</v>
      </c>
      <c r="K378" s="1">
        <v>206</v>
      </c>
      <c r="L378" s="1">
        <v>206</v>
      </c>
      <c r="M378" s="1">
        <v>181</v>
      </c>
      <c r="N378" s="1">
        <v>165</v>
      </c>
      <c r="O378" s="1">
        <v>143</v>
      </c>
    </row>
    <row r="379" spans="1:15" x14ac:dyDescent="0.25">
      <c r="A379" s="1" t="s">
        <v>9</v>
      </c>
      <c r="B379" s="1" t="s">
        <v>161</v>
      </c>
      <c r="C379" s="1" t="s">
        <v>162</v>
      </c>
      <c r="D379" s="1" t="s">
        <v>16</v>
      </c>
      <c r="E379" s="1" t="s">
        <v>2</v>
      </c>
      <c r="F379" s="1">
        <v>206</v>
      </c>
      <c r="G379" s="1">
        <v>175</v>
      </c>
      <c r="J379" s="1">
        <v>206</v>
      </c>
      <c r="K379" s="1">
        <v>206</v>
      </c>
      <c r="L379" s="1">
        <v>206</v>
      </c>
      <c r="M379" s="1">
        <v>181</v>
      </c>
      <c r="N379" s="1">
        <v>165</v>
      </c>
      <c r="O379" s="1">
        <v>172</v>
      </c>
    </row>
    <row r="380" spans="1:15" x14ac:dyDescent="0.25">
      <c r="A380" s="1" t="s">
        <v>25</v>
      </c>
      <c r="B380" s="1" t="s">
        <v>161</v>
      </c>
      <c r="C380" s="1" t="s">
        <v>162</v>
      </c>
      <c r="D380" s="1" t="s">
        <v>16</v>
      </c>
      <c r="E380" s="1" t="s">
        <v>2</v>
      </c>
      <c r="F380" s="1">
        <v>206</v>
      </c>
      <c r="G380" s="1">
        <v>175</v>
      </c>
      <c r="H380" s="1">
        <v>175</v>
      </c>
      <c r="I380" s="1">
        <v>191</v>
      </c>
      <c r="J380" s="1">
        <v>206</v>
      </c>
      <c r="K380" s="1">
        <v>206</v>
      </c>
      <c r="L380" s="1">
        <v>206</v>
      </c>
      <c r="M380" s="1">
        <v>246</v>
      </c>
      <c r="N380" s="1">
        <v>317</v>
      </c>
      <c r="O380" s="1">
        <v>459</v>
      </c>
    </row>
    <row r="381" spans="1:15" x14ac:dyDescent="0.25">
      <c r="A381" s="1" t="s">
        <v>25</v>
      </c>
      <c r="B381" s="1" t="s">
        <v>161</v>
      </c>
      <c r="C381" s="1" t="s">
        <v>163</v>
      </c>
      <c r="D381" s="1" t="s">
        <v>16</v>
      </c>
      <c r="E381" s="1" t="s">
        <v>2</v>
      </c>
      <c r="F381" s="1">
        <v>206</v>
      </c>
      <c r="G381" s="1">
        <v>175</v>
      </c>
      <c r="H381" s="1">
        <v>175</v>
      </c>
      <c r="I381" s="1">
        <v>191</v>
      </c>
      <c r="J381" s="1">
        <v>206</v>
      </c>
      <c r="K381" s="1">
        <v>206</v>
      </c>
      <c r="L381" s="1">
        <v>183</v>
      </c>
      <c r="M381" s="1">
        <v>157</v>
      </c>
      <c r="N381" s="1">
        <v>130</v>
      </c>
      <c r="O381" s="1">
        <v>105</v>
      </c>
    </row>
    <row r="382" spans="1:15" x14ac:dyDescent="0.25">
      <c r="A382" s="1" t="s">
        <v>84</v>
      </c>
      <c r="B382" s="1" t="s">
        <v>161</v>
      </c>
      <c r="C382" s="1" t="s">
        <v>162</v>
      </c>
      <c r="D382" s="1" t="s">
        <v>16</v>
      </c>
      <c r="E382" s="1" t="s">
        <v>2</v>
      </c>
      <c r="F382" s="1">
        <v>206</v>
      </c>
      <c r="G382" s="1">
        <v>175</v>
      </c>
      <c r="H382" s="1">
        <v>175</v>
      </c>
      <c r="I382" s="1">
        <v>191</v>
      </c>
      <c r="J382" s="1">
        <v>206</v>
      </c>
      <c r="K382" s="1">
        <v>206</v>
      </c>
      <c r="L382" s="1">
        <v>206</v>
      </c>
      <c r="M382" s="1">
        <v>181</v>
      </c>
      <c r="N382" s="1">
        <v>165</v>
      </c>
      <c r="O382" s="1">
        <v>143</v>
      </c>
    </row>
    <row r="383" spans="1:15" x14ac:dyDescent="0.25">
      <c r="A383" s="1" t="s">
        <v>117</v>
      </c>
      <c r="B383" s="1" t="s">
        <v>164</v>
      </c>
      <c r="D383" s="1" t="s">
        <v>21</v>
      </c>
      <c r="E383" s="1" t="s">
        <v>2</v>
      </c>
      <c r="F383" s="1">
        <f>31.23*2000</f>
        <v>62460</v>
      </c>
      <c r="G383" s="1">
        <f>31.83*2000</f>
        <v>63660</v>
      </c>
      <c r="H383" s="1">
        <v>11480</v>
      </c>
      <c r="I383" s="1">
        <v>11480</v>
      </c>
      <c r="J383" s="1">
        <v>11856</v>
      </c>
      <c r="K383" s="1">
        <v>11674</v>
      </c>
      <c r="L383" s="1">
        <v>11674</v>
      </c>
      <c r="M383" s="1">
        <v>11445</v>
      </c>
      <c r="N383" s="1">
        <v>10868</v>
      </c>
    </row>
    <row r="384" spans="1:15" x14ac:dyDescent="0.25">
      <c r="A384" s="1" t="s">
        <v>20</v>
      </c>
      <c r="B384" s="1" t="s">
        <v>165</v>
      </c>
      <c r="D384" s="1" t="s">
        <v>16</v>
      </c>
      <c r="E384" s="1" t="s">
        <v>2</v>
      </c>
      <c r="J384" s="1">
        <v>96.2</v>
      </c>
      <c r="K384" s="1">
        <v>91.52</v>
      </c>
      <c r="L384" s="1">
        <v>91.52</v>
      </c>
      <c r="M384" s="1">
        <v>76.72</v>
      </c>
      <c r="N384" s="1">
        <v>59.85</v>
      </c>
    </row>
    <row r="385" spans="1:15" x14ac:dyDescent="0.25">
      <c r="A385" s="1" t="s">
        <v>102</v>
      </c>
      <c r="B385" s="1" t="s">
        <v>166</v>
      </c>
      <c r="C385" s="1" t="s">
        <v>162</v>
      </c>
      <c r="D385" s="1" t="s">
        <v>16</v>
      </c>
      <c r="E385" s="1" t="s">
        <v>2</v>
      </c>
      <c r="F385" s="1">
        <v>140</v>
      </c>
      <c r="G385" s="1">
        <v>139.33000000000001</v>
      </c>
      <c r="H385" s="1">
        <v>139.33000000000001</v>
      </c>
      <c r="I385" s="1">
        <v>134.79</v>
      </c>
      <c r="J385" s="1">
        <v>109.12</v>
      </c>
      <c r="K385" s="1">
        <v>85.42</v>
      </c>
      <c r="L385" s="1">
        <v>63.1</v>
      </c>
      <c r="M385" s="1">
        <v>63.1</v>
      </c>
      <c r="N385" s="1">
        <v>63.89</v>
      </c>
    </row>
    <row r="386" spans="1:15" x14ac:dyDescent="0.25">
      <c r="A386" s="1" t="s">
        <v>9</v>
      </c>
      <c r="B386" s="1" t="s">
        <v>166</v>
      </c>
      <c r="C386" s="1" t="s">
        <v>162</v>
      </c>
      <c r="D386" s="1" t="s">
        <v>16</v>
      </c>
      <c r="E386" s="1" t="s">
        <v>2</v>
      </c>
      <c r="F386" s="1">
        <v>140</v>
      </c>
      <c r="G386" s="1">
        <v>139.33000000000001</v>
      </c>
      <c r="J386" s="1">
        <v>109.12</v>
      </c>
      <c r="K386" s="1">
        <v>85.42</v>
      </c>
      <c r="L386" s="1">
        <v>63.1</v>
      </c>
      <c r="M386" s="1">
        <v>63.1</v>
      </c>
      <c r="N386" s="1">
        <v>70.319999999999993</v>
      </c>
    </row>
    <row r="387" spans="1:15" x14ac:dyDescent="0.25">
      <c r="A387" s="1" t="s">
        <v>24</v>
      </c>
      <c r="B387" s="1" t="s">
        <v>166</v>
      </c>
      <c r="C387" s="1" t="s">
        <v>162</v>
      </c>
      <c r="D387" s="1" t="s">
        <v>16</v>
      </c>
      <c r="E387" s="1" t="s">
        <v>2</v>
      </c>
      <c r="F387" s="1">
        <v>140</v>
      </c>
      <c r="G387" s="1">
        <v>139.33000000000001</v>
      </c>
      <c r="H387" s="1">
        <v>139.33000000000001</v>
      </c>
      <c r="I387" s="1">
        <v>134.79</v>
      </c>
      <c r="J387" s="1">
        <v>124.4</v>
      </c>
      <c r="K387" s="1">
        <v>100.7</v>
      </c>
      <c r="L387" s="1">
        <v>63.1</v>
      </c>
      <c r="M387" s="1">
        <v>63.1</v>
      </c>
      <c r="N387" s="1">
        <v>66.48</v>
      </c>
    </row>
    <row r="388" spans="1:15" x14ac:dyDescent="0.25">
      <c r="A388" s="1" t="s">
        <v>24</v>
      </c>
      <c r="B388" s="1" t="s">
        <v>166</v>
      </c>
      <c r="C388" s="1" t="s">
        <v>162</v>
      </c>
      <c r="D388" s="1" t="s">
        <v>16</v>
      </c>
      <c r="E388" s="1" t="s">
        <v>168</v>
      </c>
      <c r="L388" s="1">
        <v>63.15</v>
      </c>
      <c r="M388" s="1">
        <v>55.54</v>
      </c>
      <c r="N388" s="1">
        <v>50.8</v>
      </c>
    </row>
    <row r="389" spans="1:15" x14ac:dyDescent="0.25">
      <c r="A389" s="1" t="s">
        <v>25</v>
      </c>
      <c r="B389" s="1" t="s">
        <v>166</v>
      </c>
      <c r="C389" s="1" t="s">
        <v>162</v>
      </c>
      <c r="D389" s="1" t="s">
        <v>16</v>
      </c>
      <c r="E389" s="1" t="s">
        <v>2</v>
      </c>
      <c r="F389" s="1">
        <v>140</v>
      </c>
      <c r="G389" s="1">
        <v>139.33000000000001</v>
      </c>
      <c r="H389" s="1">
        <v>139.33000000000001</v>
      </c>
      <c r="I389" s="1">
        <v>134.79</v>
      </c>
      <c r="J389" s="1">
        <v>124.4</v>
      </c>
      <c r="K389" s="1">
        <v>100.7</v>
      </c>
      <c r="L389" s="1">
        <v>63.1</v>
      </c>
      <c r="M389" s="1">
        <v>63.1</v>
      </c>
      <c r="N389" s="1">
        <v>71.67</v>
      </c>
    </row>
    <row r="390" spans="1:15" x14ac:dyDescent="0.25">
      <c r="A390" s="1" t="s">
        <v>84</v>
      </c>
      <c r="B390" s="1" t="s">
        <v>166</v>
      </c>
      <c r="C390" s="1" t="s">
        <v>162</v>
      </c>
      <c r="D390" s="1" t="s">
        <v>16</v>
      </c>
      <c r="E390" s="1" t="s">
        <v>2</v>
      </c>
      <c r="F390" s="1">
        <v>140</v>
      </c>
      <c r="G390" s="1">
        <v>139.33000000000001</v>
      </c>
      <c r="H390" s="1">
        <v>139.33000000000001</v>
      </c>
      <c r="I390" s="1">
        <v>134.79</v>
      </c>
      <c r="J390" s="1">
        <v>99.23</v>
      </c>
      <c r="K390" s="1">
        <v>75.53</v>
      </c>
      <c r="L390" s="1">
        <v>63.1</v>
      </c>
      <c r="M390" s="1">
        <v>56.88</v>
      </c>
      <c r="N390" s="1">
        <v>51.81</v>
      </c>
    </row>
    <row r="391" spans="1:15" x14ac:dyDescent="0.25">
      <c r="A391" s="1" t="s">
        <v>84</v>
      </c>
      <c r="B391" s="1" t="s">
        <v>166</v>
      </c>
      <c r="C391" s="1" t="s">
        <v>167</v>
      </c>
      <c r="D391" s="1" t="s">
        <v>16</v>
      </c>
      <c r="E391" s="1" t="s">
        <v>2</v>
      </c>
      <c r="F391" s="1">
        <v>140</v>
      </c>
      <c r="G391" s="1">
        <v>139.33000000000001</v>
      </c>
      <c r="H391" s="1">
        <v>139.33000000000001</v>
      </c>
      <c r="I391" s="1">
        <v>134.79</v>
      </c>
      <c r="J391" s="1">
        <v>99.23</v>
      </c>
      <c r="K391" s="1">
        <v>75.53</v>
      </c>
      <c r="L391" s="1">
        <v>53.21</v>
      </c>
      <c r="M391" s="1">
        <v>46.99</v>
      </c>
      <c r="N391" s="1">
        <v>46.99</v>
      </c>
    </row>
    <row r="392" spans="1:15" x14ac:dyDescent="0.25">
      <c r="A392" s="1" t="s">
        <v>25</v>
      </c>
      <c r="B392" s="1" t="s">
        <v>169</v>
      </c>
      <c r="D392" s="1" t="s">
        <v>16</v>
      </c>
      <c r="E392" s="1" t="s">
        <v>2</v>
      </c>
      <c r="F392" s="1">
        <v>162.33000000000001</v>
      </c>
      <c r="G392" s="1">
        <v>160.87</v>
      </c>
      <c r="H392" s="1">
        <v>164.2</v>
      </c>
      <c r="I392" s="1">
        <v>164.2</v>
      </c>
      <c r="J392" s="1">
        <v>156.97</v>
      </c>
      <c r="K392" s="1">
        <v>155.19999999999999</v>
      </c>
      <c r="L392" s="1">
        <v>145.31</v>
      </c>
      <c r="M392" s="1">
        <v>121.47</v>
      </c>
      <c r="N392" s="1">
        <v>86.33</v>
      </c>
    </row>
    <row r="393" spans="1:15" x14ac:dyDescent="0.25">
      <c r="A393" s="1" t="s">
        <v>84</v>
      </c>
      <c r="B393" s="1" t="s">
        <v>169</v>
      </c>
      <c r="D393" s="1" t="s">
        <v>16</v>
      </c>
      <c r="E393" s="1" t="s">
        <v>2</v>
      </c>
      <c r="F393" s="1">
        <v>162.33000000000001</v>
      </c>
      <c r="G393" s="1">
        <v>160.87</v>
      </c>
      <c r="H393" s="1">
        <v>160.87</v>
      </c>
      <c r="I393" s="1">
        <v>159.19999999999999</v>
      </c>
      <c r="J393" s="1">
        <v>156.97</v>
      </c>
      <c r="K393" s="1">
        <v>155.19999999999999</v>
      </c>
      <c r="L393" s="1">
        <v>145.31</v>
      </c>
      <c r="M393" s="1">
        <v>121.47</v>
      </c>
      <c r="N393" s="1">
        <v>83.18</v>
      </c>
    </row>
    <row r="394" spans="1:15" x14ac:dyDescent="0.25">
      <c r="A394" s="1" t="s">
        <v>102</v>
      </c>
      <c r="B394" s="1" t="s">
        <v>170</v>
      </c>
      <c r="C394" s="1" t="s">
        <v>162</v>
      </c>
      <c r="D394" s="1" t="s">
        <v>16</v>
      </c>
      <c r="E394" s="1" t="s">
        <v>2</v>
      </c>
      <c r="F394" s="1">
        <v>448.33</v>
      </c>
      <c r="G394" s="1">
        <v>430.33</v>
      </c>
      <c r="H394" s="1">
        <v>430.33</v>
      </c>
      <c r="I394" s="1">
        <v>408.33</v>
      </c>
      <c r="J394" s="1">
        <v>385.77</v>
      </c>
      <c r="K394" s="1">
        <v>385.77</v>
      </c>
      <c r="L394" s="1">
        <v>373.1</v>
      </c>
      <c r="M394" s="1">
        <v>335.03</v>
      </c>
      <c r="N394" s="1">
        <v>344.52</v>
      </c>
      <c r="O394" s="1">
        <v>307.81</v>
      </c>
    </row>
    <row r="395" spans="1:15" x14ac:dyDescent="0.25">
      <c r="A395" s="1" t="s">
        <v>24</v>
      </c>
      <c r="B395" s="1" t="s">
        <v>170</v>
      </c>
      <c r="C395" s="1" t="s">
        <v>162</v>
      </c>
      <c r="D395" s="1" t="s">
        <v>16</v>
      </c>
      <c r="E395" s="1" t="s">
        <v>2</v>
      </c>
      <c r="F395" s="1">
        <v>448.33</v>
      </c>
      <c r="G395" s="1">
        <v>430.33</v>
      </c>
      <c r="H395" s="1">
        <v>430.33</v>
      </c>
      <c r="I395" s="1">
        <v>408.33</v>
      </c>
      <c r="J395" s="1">
        <v>394.67</v>
      </c>
      <c r="K395" s="1">
        <v>394.67</v>
      </c>
      <c r="L395" s="1">
        <v>373.1</v>
      </c>
      <c r="M395" s="1">
        <v>335.03</v>
      </c>
      <c r="N395" s="1">
        <v>344.52</v>
      </c>
      <c r="O395" s="1">
        <v>307.81</v>
      </c>
    </row>
    <row r="396" spans="1:15" x14ac:dyDescent="0.25">
      <c r="A396" s="1" t="s">
        <v>24</v>
      </c>
      <c r="B396" s="1" t="s">
        <v>170</v>
      </c>
      <c r="C396" s="1" t="s">
        <v>171</v>
      </c>
      <c r="D396" s="1" t="s">
        <v>16</v>
      </c>
      <c r="E396" s="1" t="s">
        <v>2</v>
      </c>
      <c r="F396" s="1">
        <v>448.33</v>
      </c>
      <c r="G396" s="1">
        <v>430.33</v>
      </c>
      <c r="H396" s="1">
        <v>430.33</v>
      </c>
      <c r="I396" s="1">
        <v>408.33</v>
      </c>
      <c r="J396" s="1">
        <v>385.77</v>
      </c>
      <c r="K396" s="1">
        <v>373.1</v>
      </c>
      <c r="L396" s="1">
        <v>339.07</v>
      </c>
      <c r="M396" s="1">
        <v>309.89</v>
      </c>
      <c r="N396" s="1">
        <v>216.92</v>
      </c>
      <c r="O396" s="1">
        <v>171.81</v>
      </c>
    </row>
    <row r="397" spans="1:15" x14ac:dyDescent="0.25">
      <c r="A397" s="1" t="s">
        <v>24</v>
      </c>
      <c r="B397" s="1" t="s">
        <v>170</v>
      </c>
      <c r="C397" s="1" t="s">
        <v>172</v>
      </c>
      <c r="D397" s="1" t="s">
        <v>16</v>
      </c>
      <c r="E397" s="1" t="s">
        <v>2</v>
      </c>
      <c r="F397" s="1">
        <v>448.33</v>
      </c>
      <c r="G397" s="1">
        <v>430.33</v>
      </c>
      <c r="H397" s="1">
        <v>430.33</v>
      </c>
      <c r="I397" s="1">
        <v>408.33</v>
      </c>
      <c r="J397" s="1">
        <v>385.77</v>
      </c>
      <c r="K397" s="1">
        <v>373.1</v>
      </c>
      <c r="L397" s="1">
        <v>318.13</v>
      </c>
      <c r="M397" s="1">
        <v>224.03</v>
      </c>
      <c r="N397" s="1">
        <v>138.4</v>
      </c>
      <c r="O397" s="1">
        <v>124.04</v>
      </c>
    </row>
    <row r="398" spans="1:15" x14ac:dyDescent="0.25">
      <c r="A398" s="1" t="s">
        <v>25</v>
      </c>
      <c r="B398" s="1" t="s">
        <v>170</v>
      </c>
      <c r="C398" s="1" t="s">
        <v>162</v>
      </c>
      <c r="D398" s="1" t="s">
        <v>16</v>
      </c>
      <c r="E398" s="1" t="s">
        <v>2</v>
      </c>
      <c r="F398" s="1">
        <v>448.33</v>
      </c>
      <c r="G398" s="1">
        <v>430.33</v>
      </c>
      <c r="H398" s="1">
        <v>381.3</v>
      </c>
      <c r="I398" s="1">
        <v>408.33</v>
      </c>
      <c r="J398" s="1">
        <v>385.77</v>
      </c>
      <c r="K398" s="1">
        <v>385.77</v>
      </c>
      <c r="L398" s="1">
        <v>415.1</v>
      </c>
      <c r="M398" s="1">
        <v>424.03</v>
      </c>
      <c r="N398" s="1">
        <v>499.34</v>
      </c>
      <c r="O398" s="1">
        <v>558.62</v>
      </c>
    </row>
    <row r="399" spans="1:15" x14ac:dyDescent="0.25">
      <c r="A399" s="1" t="s">
        <v>25</v>
      </c>
      <c r="B399" s="1" t="s">
        <v>170</v>
      </c>
      <c r="C399" s="1" t="s">
        <v>171</v>
      </c>
      <c r="D399" s="1" t="s">
        <v>16</v>
      </c>
      <c r="E399" s="1" t="s">
        <v>2</v>
      </c>
      <c r="F399" s="1">
        <v>448.33</v>
      </c>
      <c r="G399" s="1">
        <v>430.33</v>
      </c>
      <c r="H399" s="1">
        <v>381.3</v>
      </c>
      <c r="I399" s="1">
        <v>381.3</v>
      </c>
      <c r="J399" s="1">
        <v>377.8</v>
      </c>
      <c r="K399" s="1">
        <v>372.67</v>
      </c>
      <c r="L399" s="1">
        <v>339.07</v>
      </c>
      <c r="M399" s="1">
        <v>309.89</v>
      </c>
      <c r="N399" s="1">
        <v>216.92</v>
      </c>
      <c r="O399" s="1">
        <v>171.81</v>
      </c>
    </row>
    <row r="400" spans="1:15" x14ac:dyDescent="0.25">
      <c r="A400" s="1" t="s">
        <v>25</v>
      </c>
      <c r="B400" s="1" t="s">
        <v>170</v>
      </c>
      <c r="C400" s="1" t="s">
        <v>172</v>
      </c>
      <c r="D400" s="1" t="s">
        <v>16</v>
      </c>
      <c r="E400" s="1" t="s">
        <v>2</v>
      </c>
      <c r="F400" s="1">
        <v>448.33</v>
      </c>
      <c r="G400" s="1">
        <v>430.33</v>
      </c>
      <c r="H400" s="1">
        <v>381.3</v>
      </c>
      <c r="I400" s="1">
        <v>381.3</v>
      </c>
      <c r="J400" s="1">
        <v>377.8</v>
      </c>
      <c r="K400" s="1">
        <v>372.67</v>
      </c>
      <c r="L400" s="1">
        <v>345.73</v>
      </c>
      <c r="M400" s="1">
        <v>297.63</v>
      </c>
      <c r="N400" s="1">
        <v>212</v>
      </c>
      <c r="O400" s="1">
        <v>180.25</v>
      </c>
    </row>
    <row r="401" spans="1:15" x14ac:dyDescent="0.25">
      <c r="A401" s="1" t="s">
        <v>84</v>
      </c>
      <c r="B401" s="1" t="s">
        <v>170</v>
      </c>
      <c r="C401" s="1" t="s">
        <v>162</v>
      </c>
      <c r="D401" s="1" t="s">
        <v>16</v>
      </c>
      <c r="E401" s="1" t="s">
        <v>2</v>
      </c>
      <c r="F401" s="1">
        <v>448.33</v>
      </c>
      <c r="G401" s="1">
        <v>430.33</v>
      </c>
      <c r="H401" s="1">
        <v>381.3</v>
      </c>
      <c r="I401" s="1">
        <v>381.3</v>
      </c>
      <c r="J401" s="1">
        <v>377.8</v>
      </c>
      <c r="K401" s="1">
        <v>383.77</v>
      </c>
      <c r="L401" s="1">
        <v>373.1</v>
      </c>
      <c r="M401" s="1">
        <v>355.03</v>
      </c>
      <c r="N401" s="1">
        <v>265.69</v>
      </c>
      <c r="O401" s="1">
        <v>248.69</v>
      </c>
    </row>
    <row r="402" spans="1:15" x14ac:dyDescent="0.25">
      <c r="A402" s="1" t="s">
        <v>84</v>
      </c>
      <c r="B402" s="1" t="s">
        <v>170</v>
      </c>
      <c r="C402" s="1" t="s">
        <v>171</v>
      </c>
      <c r="D402" s="1" t="s">
        <v>16</v>
      </c>
      <c r="E402" s="1" t="s">
        <v>2</v>
      </c>
      <c r="F402" s="1">
        <v>448.33</v>
      </c>
      <c r="G402" s="1">
        <v>430.33</v>
      </c>
      <c r="H402" s="1">
        <v>381.3</v>
      </c>
      <c r="I402" s="1">
        <v>381.3</v>
      </c>
      <c r="J402" s="1">
        <v>377.8</v>
      </c>
      <c r="K402" s="1">
        <v>372.67</v>
      </c>
      <c r="L402" s="1">
        <v>339.07</v>
      </c>
      <c r="M402" s="1">
        <v>291.97000000000003</v>
      </c>
      <c r="N402" s="1">
        <v>187.81</v>
      </c>
      <c r="O402" s="1">
        <v>149.97999999999999</v>
      </c>
    </row>
    <row r="403" spans="1:15" x14ac:dyDescent="0.25">
      <c r="A403" s="1" t="s">
        <v>84</v>
      </c>
      <c r="B403" s="1" t="s">
        <v>170</v>
      </c>
      <c r="C403" s="1" t="s">
        <v>167</v>
      </c>
      <c r="D403" s="1" t="s">
        <v>16</v>
      </c>
      <c r="E403" s="1" t="s">
        <v>2</v>
      </c>
      <c r="F403" s="1">
        <v>448.33</v>
      </c>
      <c r="G403" s="1">
        <v>430.33</v>
      </c>
      <c r="H403" s="1">
        <v>381.3</v>
      </c>
      <c r="I403" s="1">
        <v>381.3</v>
      </c>
      <c r="J403" s="1">
        <v>377.8</v>
      </c>
      <c r="K403" s="1">
        <v>372.67</v>
      </c>
      <c r="L403" s="1">
        <v>335.66</v>
      </c>
      <c r="M403" s="1">
        <v>241.56</v>
      </c>
      <c r="N403" s="1">
        <v>158.15</v>
      </c>
      <c r="O403" s="1">
        <v>138.86000000000001</v>
      </c>
    </row>
    <row r="404" spans="1:15" x14ac:dyDescent="0.25">
      <c r="A404" s="1" t="s">
        <v>84</v>
      </c>
      <c r="B404" s="1" t="s">
        <v>170</v>
      </c>
      <c r="C404" s="1" t="s">
        <v>172</v>
      </c>
      <c r="D404" s="1" t="s">
        <v>16</v>
      </c>
      <c r="E404" s="1" t="s">
        <v>2</v>
      </c>
      <c r="F404" s="1">
        <v>448.33</v>
      </c>
      <c r="G404" s="1">
        <v>430.33</v>
      </c>
      <c r="H404" s="1">
        <v>381.3</v>
      </c>
      <c r="I404" s="1">
        <v>381.3</v>
      </c>
      <c r="J404" s="1">
        <v>377.8</v>
      </c>
      <c r="K404" s="1">
        <v>372.67</v>
      </c>
      <c r="L404" s="1">
        <v>318.13</v>
      </c>
      <c r="M404" s="1">
        <v>224.03</v>
      </c>
      <c r="N404" s="1">
        <v>138.4</v>
      </c>
      <c r="O404" s="1">
        <v>116.69</v>
      </c>
    </row>
    <row r="405" spans="1:15" x14ac:dyDescent="0.25">
      <c r="A405" s="1" t="s">
        <v>84</v>
      </c>
      <c r="B405" s="1" t="s">
        <v>170</v>
      </c>
      <c r="C405" s="1" t="s">
        <v>173</v>
      </c>
      <c r="D405" s="1" t="s">
        <v>16</v>
      </c>
      <c r="E405" s="1" t="s">
        <v>2</v>
      </c>
      <c r="F405" s="1">
        <v>448.33</v>
      </c>
      <c r="G405" s="1">
        <v>430.33</v>
      </c>
      <c r="H405" s="1">
        <v>381.3</v>
      </c>
      <c r="I405" s="1">
        <v>381.3</v>
      </c>
      <c r="J405" s="1">
        <v>377.8</v>
      </c>
      <c r="K405" s="1">
        <v>372.67</v>
      </c>
      <c r="L405" s="1">
        <v>339.07</v>
      </c>
      <c r="M405" s="1">
        <v>309.89</v>
      </c>
      <c r="N405" s="1">
        <v>216.92</v>
      </c>
      <c r="O405" s="1">
        <v>181.69</v>
      </c>
    </row>
    <row r="406" spans="1:15" x14ac:dyDescent="0.25">
      <c r="A406" s="1" t="s">
        <v>102</v>
      </c>
      <c r="B406" s="1" t="s">
        <v>174</v>
      </c>
      <c r="D406" s="1" t="s">
        <v>119</v>
      </c>
      <c r="E406" s="1" t="s">
        <v>2</v>
      </c>
      <c r="F406" s="1">
        <v>77</v>
      </c>
      <c r="G406" s="1">
        <v>76</v>
      </c>
      <c r="H406" s="1">
        <v>76</v>
      </c>
      <c r="I406" s="1">
        <v>77</v>
      </c>
      <c r="J406" s="1">
        <v>77</v>
      </c>
      <c r="K406" s="1">
        <v>77</v>
      </c>
      <c r="L406" s="1">
        <v>76</v>
      </c>
      <c r="M406" s="1">
        <v>75</v>
      </c>
      <c r="N406" s="1">
        <v>71</v>
      </c>
      <c r="O406" s="1">
        <v>64</v>
      </c>
    </row>
    <row r="407" spans="1:15" x14ac:dyDescent="0.25">
      <c r="A407" s="1" t="s">
        <v>24</v>
      </c>
      <c r="B407" s="1" t="s">
        <v>174</v>
      </c>
      <c r="D407" s="1" t="s">
        <v>119</v>
      </c>
      <c r="E407" s="1" t="s">
        <v>2</v>
      </c>
      <c r="F407" s="1">
        <v>77</v>
      </c>
      <c r="G407" s="1">
        <v>76</v>
      </c>
      <c r="H407" s="1">
        <v>76</v>
      </c>
      <c r="I407" s="1">
        <v>77</v>
      </c>
      <c r="J407" s="1">
        <v>77</v>
      </c>
      <c r="K407" s="1">
        <v>77</v>
      </c>
      <c r="L407" s="1">
        <v>76</v>
      </c>
      <c r="M407" s="1">
        <v>75</v>
      </c>
      <c r="N407" s="1">
        <v>71</v>
      </c>
      <c r="O407" s="1">
        <v>69</v>
      </c>
    </row>
    <row r="408" spans="1:15" x14ac:dyDescent="0.25">
      <c r="A408" s="1" t="s">
        <v>25</v>
      </c>
      <c r="B408" s="1" t="s">
        <v>174</v>
      </c>
      <c r="D408" s="1" t="s">
        <v>119</v>
      </c>
      <c r="E408" s="1" t="s">
        <v>2</v>
      </c>
      <c r="F408" s="1">
        <v>77</v>
      </c>
      <c r="G408" s="1">
        <v>76</v>
      </c>
      <c r="H408" s="1">
        <v>76</v>
      </c>
      <c r="I408" s="1">
        <v>77</v>
      </c>
      <c r="J408" s="1">
        <v>77</v>
      </c>
      <c r="K408" s="1">
        <v>77</v>
      </c>
      <c r="L408" s="1">
        <v>76</v>
      </c>
      <c r="M408" s="1">
        <v>75</v>
      </c>
      <c r="N408" s="1">
        <v>75</v>
      </c>
      <c r="O408" s="1">
        <v>74</v>
      </c>
    </row>
    <row r="409" spans="1:15" x14ac:dyDescent="0.25">
      <c r="A409" s="1" t="s">
        <v>20</v>
      </c>
      <c r="B409" s="1" t="s">
        <v>175</v>
      </c>
      <c r="C409" s="1" t="s">
        <v>162</v>
      </c>
      <c r="D409" s="1" t="s">
        <v>16</v>
      </c>
      <c r="E409" s="1" t="s">
        <v>2</v>
      </c>
      <c r="F409" s="1">
        <v>337.67</v>
      </c>
      <c r="G409" s="1">
        <v>337.67</v>
      </c>
      <c r="H409" s="1">
        <v>337.67</v>
      </c>
      <c r="I409" s="1">
        <v>332.33</v>
      </c>
      <c r="J409" s="1">
        <v>329.43</v>
      </c>
      <c r="K409" s="1">
        <v>326.10000000000002</v>
      </c>
      <c r="L409" s="1">
        <v>308.69</v>
      </c>
      <c r="M409" s="1">
        <v>251.85</v>
      </c>
      <c r="N409" s="1">
        <v>191.63</v>
      </c>
    </row>
    <row r="410" spans="1:15" x14ac:dyDescent="0.25">
      <c r="A410" s="1" t="s">
        <v>25</v>
      </c>
      <c r="B410" s="1" t="s">
        <v>175</v>
      </c>
      <c r="C410" s="1" t="s">
        <v>162</v>
      </c>
      <c r="D410" s="1" t="s">
        <v>16</v>
      </c>
      <c r="E410" s="1" t="s">
        <v>2</v>
      </c>
      <c r="F410" s="1">
        <v>337.67</v>
      </c>
      <c r="G410" s="1">
        <v>337.67</v>
      </c>
      <c r="H410" s="1">
        <v>337.67</v>
      </c>
      <c r="I410" s="1">
        <v>332.33</v>
      </c>
      <c r="J410" s="1">
        <v>329.43</v>
      </c>
      <c r="K410" s="1">
        <v>326.10000000000002</v>
      </c>
      <c r="L410" s="1">
        <v>308.69</v>
      </c>
      <c r="M410" s="1">
        <v>251.85</v>
      </c>
      <c r="N410" s="1">
        <v>210.29</v>
      </c>
    </row>
    <row r="411" spans="1:15" x14ac:dyDescent="0.25">
      <c r="A411" s="1" t="s">
        <v>84</v>
      </c>
      <c r="B411" s="1" t="s">
        <v>175</v>
      </c>
      <c r="C411" s="1" t="s">
        <v>162</v>
      </c>
      <c r="D411" s="1" t="s">
        <v>16</v>
      </c>
      <c r="E411" s="1" t="s">
        <v>2</v>
      </c>
      <c r="F411" s="1">
        <v>337.67</v>
      </c>
      <c r="G411" s="1">
        <v>337.67</v>
      </c>
      <c r="H411" s="1">
        <v>337.67</v>
      </c>
      <c r="I411" s="1">
        <v>332.33</v>
      </c>
      <c r="J411" s="1">
        <v>329.43</v>
      </c>
      <c r="K411" s="1">
        <v>326.10000000000002</v>
      </c>
      <c r="L411" s="1">
        <v>308.69</v>
      </c>
      <c r="M411" s="1">
        <v>229.59</v>
      </c>
      <c r="N411" s="1">
        <v>152.54</v>
      </c>
    </row>
    <row r="412" spans="1:15" x14ac:dyDescent="0.25">
      <c r="A412" s="1" t="s">
        <v>84</v>
      </c>
      <c r="B412" s="1" t="s">
        <v>175</v>
      </c>
      <c r="C412" s="1" t="s">
        <v>167</v>
      </c>
      <c r="D412" s="1" t="s">
        <v>16</v>
      </c>
      <c r="E412" s="1" t="s">
        <v>2</v>
      </c>
      <c r="F412" s="1">
        <v>337.67</v>
      </c>
      <c r="G412" s="1">
        <v>337.67</v>
      </c>
      <c r="H412" s="1">
        <v>337.67</v>
      </c>
      <c r="I412" s="1">
        <v>332.33</v>
      </c>
      <c r="J412" s="1">
        <v>329.43</v>
      </c>
      <c r="K412" s="1">
        <v>326.10000000000002</v>
      </c>
      <c r="L412" s="1">
        <v>308.69</v>
      </c>
      <c r="M412" s="1">
        <v>229.59</v>
      </c>
      <c r="N412" s="1">
        <v>140.59</v>
      </c>
    </row>
    <row r="413" spans="1:15" x14ac:dyDescent="0.25">
      <c r="A413" s="1" t="s">
        <v>25</v>
      </c>
      <c r="B413" s="1" t="s">
        <v>176</v>
      </c>
      <c r="D413" s="1" t="s">
        <v>16</v>
      </c>
      <c r="E413" s="1" t="s">
        <v>2</v>
      </c>
      <c r="F413" s="1">
        <v>182</v>
      </c>
      <c r="G413" s="1">
        <v>182.33</v>
      </c>
      <c r="H413" s="1">
        <v>182.33</v>
      </c>
      <c r="I413" s="1">
        <v>188.33</v>
      </c>
      <c r="J413" s="1">
        <v>196.72</v>
      </c>
      <c r="K413" s="1">
        <v>196.72</v>
      </c>
      <c r="L413" s="1">
        <v>194.09</v>
      </c>
      <c r="M413" s="1">
        <v>150.75</v>
      </c>
      <c r="N413" s="1">
        <v>95.03</v>
      </c>
    </row>
    <row r="414" spans="1:15" x14ac:dyDescent="0.25">
      <c r="A414" s="1" t="s">
        <v>84</v>
      </c>
      <c r="B414" s="1" t="s">
        <v>176</v>
      </c>
      <c r="D414" s="1" t="s">
        <v>16</v>
      </c>
      <c r="E414" s="1" t="s">
        <v>2</v>
      </c>
      <c r="F414" s="1">
        <v>182</v>
      </c>
      <c r="G414" s="1">
        <v>182.33</v>
      </c>
      <c r="H414" s="1">
        <v>182.33</v>
      </c>
      <c r="I414" s="1">
        <v>188.33</v>
      </c>
      <c r="J414" s="1">
        <v>196.72</v>
      </c>
      <c r="K414" s="1">
        <v>196.72</v>
      </c>
      <c r="L414" s="1">
        <v>194.09</v>
      </c>
      <c r="M414" s="1">
        <v>175.7</v>
      </c>
      <c r="N414" s="1">
        <v>131.07</v>
      </c>
    </row>
    <row r="415" spans="1:15" x14ac:dyDescent="0.25">
      <c r="A415" s="1" t="s">
        <v>95</v>
      </c>
      <c r="B415" s="1" t="s">
        <v>177</v>
      </c>
      <c r="C415" s="1" t="s">
        <v>152</v>
      </c>
      <c r="D415" s="1" t="s">
        <v>1</v>
      </c>
      <c r="E415" s="1" t="s">
        <v>2</v>
      </c>
      <c r="F415" s="1">
        <v>137</v>
      </c>
      <c r="G415" s="1">
        <v>141</v>
      </c>
      <c r="H415" s="1">
        <v>144</v>
      </c>
      <c r="I415" s="1">
        <v>144</v>
      </c>
      <c r="J415" s="1">
        <v>145</v>
      </c>
      <c r="K415" s="1">
        <v>143</v>
      </c>
      <c r="L415" s="1">
        <v>144</v>
      </c>
      <c r="M415" s="1">
        <v>140</v>
      </c>
      <c r="N415" s="1">
        <v>134</v>
      </c>
      <c r="O415" s="1">
        <v>132</v>
      </c>
    </row>
    <row r="416" spans="1:15" x14ac:dyDescent="0.25">
      <c r="A416" s="1" t="s">
        <v>95</v>
      </c>
      <c r="B416" s="1" t="s">
        <v>177</v>
      </c>
      <c r="C416" s="1" t="s">
        <v>152</v>
      </c>
      <c r="D416" s="1" t="s">
        <v>178</v>
      </c>
      <c r="E416" s="1" t="s">
        <v>2</v>
      </c>
      <c r="G416" s="1">
        <v>23.2</v>
      </c>
      <c r="H416" s="1">
        <v>24.83</v>
      </c>
      <c r="I416" s="1">
        <v>23</v>
      </c>
      <c r="J416" s="1">
        <v>23.83</v>
      </c>
      <c r="K416" s="1">
        <v>22.6</v>
      </c>
      <c r="L416" s="1">
        <v>22.26</v>
      </c>
      <c r="M416" s="1">
        <v>20.6</v>
      </c>
      <c r="N416" s="1">
        <v>20.82</v>
      </c>
      <c r="O416" s="1">
        <v>21.37</v>
      </c>
    </row>
    <row r="417" spans="1:15" x14ac:dyDescent="0.25">
      <c r="A417" s="1" t="s">
        <v>81</v>
      </c>
      <c r="B417" s="1" t="s">
        <v>177</v>
      </c>
      <c r="C417" s="1" t="s">
        <v>179</v>
      </c>
      <c r="D417" s="1" t="s">
        <v>21</v>
      </c>
      <c r="E417" s="1" t="s">
        <v>2</v>
      </c>
      <c r="F417" s="1">
        <v>2947</v>
      </c>
      <c r="G417" s="1">
        <v>2771</v>
      </c>
      <c r="H417" s="1">
        <v>2771</v>
      </c>
      <c r="I417" s="1">
        <v>2596</v>
      </c>
      <c r="J417" s="1">
        <v>2447</v>
      </c>
      <c r="K417" s="1">
        <v>2649</v>
      </c>
      <c r="L417" s="1">
        <v>2731</v>
      </c>
      <c r="M417" s="1">
        <v>2614</v>
      </c>
      <c r="N417" s="1">
        <v>2596</v>
      </c>
      <c r="O417" s="1">
        <v>2634</v>
      </c>
    </row>
    <row r="418" spans="1:15" x14ac:dyDescent="0.25">
      <c r="A418" s="1" t="s">
        <v>81</v>
      </c>
      <c r="B418" s="1" t="s">
        <v>177</v>
      </c>
      <c r="C418" s="1" t="s">
        <v>180</v>
      </c>
      <c r="D418" s="1" t="s">
        <v>16</v>
      </c>
      <c r="E418" s="1" t="s">
        <v>2</v>
      </c>
      <c r="F418" s="1">
        <v>161</v>
      </c>
      <c r="G418" s="1">
        <v>164.67</v>
      </c>
      <c r="H418" s="1">
        <v>93</v>
      </c>
      <c r="I418" s="1">
        <v>166</v>
      </c>
      <c r="J418" s="1">
        <v>91.85</v>
      </c>
      <c r="K418" s="1">
        <v>84.9</v>
      </c>
      <c r="L418" s="1">
        <v>77.290000000000006</v>
      </c>
      <c r="M418" s="1">
        <v>80.55</v>
      </c>
      <c r="N418" s="1">
        <v>74.010000000000005</v>
      </c>
      <c r="O418" s="1">
        <v>77.819999999999993</v>
      </c>
    </row>
    <row r="419" spans="1:15" x14ac:dyDescent="0.25">
      <c r="A419" s="1" t="s">
        <v>81</v>
      </c>
      <c r="B419" s="1" t="s">
        <v>177</v>
      </c>
      <c r="C419" s="1" t="s">
        <v>181</v>
      </c>
      <c r="D419" s="1" t="s">
        <v>16</v>
      </c>
      <c r="E419" s="1" t="s">
        <v>2</v>
      </c>
      <c r="H419" s="1">
        <v>93</v>
      </c>
      <c r="I419" s="1">
        <v>166.67</v>
      </c>
      <c r="J419" s="1">
        <v>91.85</v>
      </c>
      <c r="K419" s="1">
        <v>84.9</v>
      </c>
      <c r="L419" s="1">
        <v>77.290000000000006</v>
      </c>
      <c r="M419" s="1">
        <v>80.55</v>
      </c>
      <c r="N419" s="1">
        <v>74.010000000000005</v>
      </c>
      <c r="O419" s="1">
        <v>77.819999999999993</v>
      </c>
    </row>
    <row r="420" spans="1:15" x14ac:dyDescent="0.25">
      <c r="A420" s="1" t="s">
        <v>81</v>
      </c>
      <c r="B420" s="1" t="s">
        <v>177</v>
      </c>
      <c r="C420" s="1" t="s">
        <v>182</v>
      </c>
      <c r="D420" s="1" t="s">
        <v>16</v>
      </c>
      <c r="E420" s="1" t="s">
        <v>2</v>
      </c>
      <c r="H420" s="1">
        <v>93</v>
      </c>
      <c r="I420" s="1">
        <v>166.67</v>
      </c>
      <c r="J420" s="1">
        <v>91.85</v>
      </c>
      <c r="K420" s="1">
        <v>84.9</v>
      </c>
      <c r="L420" s="1">
        <v>77.290000000000006</v>
      </c>
      <c r="M420" s="1">
        <v>80.55</v>
      </c>
      <c r="N420" s="1">
        <v>74.010000000000005</v>
      </c>
      <c r="O420" s="1">
        <v>77.819999999999993</v>
      </c>
    </row>
    <row r="421" spans="1:15" x14ac:dyDescent="0.25">
      <c r="A421" s="1" t="s">
        <v>81</v>
      </c>
      <c r="B421" s="1" t="s">
        <v>177</v>
      </c>
      <c r="C421" s="1" t="s">
        <v>183</v>
      </c>
      <c r="D421" s="1" t="s">
        <v>16</v>
      </c>
      <c r="E421" s="1" t="s">
        <v>2</v>
      </c>
      <c r="H421" s="1">
        <v>93</v>
      </c>
      <c r="I421" s="1">
        <v>166.67</v>
      </c>
      <c r="J421" s="1">
        <v>91.85</v>
      </c>
      <c r="K421" s="1">
        <v>84.9</v>
      </c>
      <c r="L421" s="1">
        <v>77.290000000000006</v>
      </c>
      <c r="M421" s="1">
        <v>80.55</v>
      </c>
      <c r="N421" s="1">
        <v>74.010000000000005</v>
      </c>
      <c r="O421" s="1">
        <v>77.819999999999993</v>
      </c>
    </row>
    <row r="422" spans="1:15" x14ac:dyDescent="0.25">
      <c r="A422" s="1" t="s">
        <v>101</v>
      </c>
      <c r="B422" s="1" t="s">
        <v>177</v>
      </c>
      <c r="C422" s="1" t="s">
        <v>180</v>
      </c>
      <c r="D422" s="1" t="s">
        <v>16</v>
      </c>
      <c r="E422" s="1" t="s">
        <v>2</v>
      </c>
      <c r="F422" s="1">
        <v>161</v>
      </c>
      <c r="G422" s="1">
        <v>164.67</v>
      </c>
      <c r="H422" s="1">
        <v>93</v>
      </c>
      <c r="I422" s="1">
        <v>166</v>
      </c>
      <c r="J422" s="1">
        <v>91.85</v>
      </c>
      <c r="K422" s="1">
        <v>83.57</v>
      </c>
      <c r="L422" s="1">
        <v>75.62</v>
      </c>
      <c r="M422" s="1">
        <v>77.040000000000006</v>
      </c>
      <c r="N422" s="1">
        <v>70.5</v>
      </c>
      <c r="O422" s="1">
        <v>70.91</v>
      </c>
    </row>
    <row r="423" spans="1:15" x14ac:dyDescent="0.25">
      <c r="A423" s="1" t="s">
        <v>101</v>
      </c>
      <c r="B423" s="1" t="s">
        <v>177</v>
      </c>
      <c r="C423" s="1" t="s">
        <v>181</v>
      </c>
      <c r="D423" s="1" t="s">
        <v>16</v>
      </c>
      <c r="E423" s="1" t="s">
        <v>2</v>
      </c>
      <c r="H423" s="1">
        <v>93</v>
      </c>
      <c r="I423" s="1">
        <v>166.67</v>
      </c>
      <c r="J423" s="1">
        <v>91.85</v>
      </c>
      <c r="K423" s="1">
        <v>83.57</v>
      </c>
      <c r="L423" s="1">
        <v>75.62</v>
      </c>
      <c r="M423" s="1">
        <v>83.57</v>
      </c>
      <c r="N423" s="1">
        <v>77.03</v>
      </c>
      <c r="O423" s="1">
        <v>77.97</v>
      </c>
    </row>
    <row r="424" spans="1:15" x14ac:dyDescent="0.25">
      <c r="A424" s="1" t="s">
        <v>101</v>
      </c>
      <c r="B424" s="1" t="s">
        <v>177</v>
      </c>
      <c r="C424" s="1" t="s">
        <v>182</v>
      </c>
      <c r="D424" s="1" t="s">
        <v>16</v>
      </c>
      <c r="E424" s="1" t="s">
        <v>2</v>
      </c>
      <c r="H424" s="1">
        <v>93</v>
      </c>
      <c r="I424" s="1">
        <v>163.33000000000001</v>
      </c>
      <c r="J424" s="1">
        <v>91.85</v>
      </c>
      <c r="K424" s="1">
        <v>83.57</v>
      </c>
      <c r="L424" s="1">
        <v>75.62</v>
      </c>
      <c r="M424" s="1">
        <v>83.57</v>
      </c>
      <c r="N424" s="1">
        <v>77.03</v>
      </c>
      <c r="O424" s="1">
        <v>77.97</v>
      </c>
    </row>
    <row r="425" spans="1:15" x14ac:dyDescent="0.25">
      <c r="A425" s="1" t="s">
        <v>101</v>
      </c>
      <c r="B425" s="1" t="s">
        <v>177</v>
      </c>
      <c r="C425" s="1" t="s">
        <v>183</v>
      </c>
      <c r="D425" s="1" t="s">
        <v>16</v>
      </c>
      <c r="E425" s="1" t="s">
        <v>2</v>
      </c>
      <c r="H425" s="1">
        <v>93</v>
      </c>
      <c r="I425" s="1">
        <v>166.67</v>
      </c>
      <c r="J425" s="1">
        <v>91.85</v>
      </c>
      <c r="K425" s="1">
        <v>86.03</v>
      </c>
      <c r="L425" s="1">
        <v>75.62</v>
      </c>
      <c r="M425" s="1">
        <v>86.45</v>
      </c>
      <c r="N425" s="1">
        <v>79.92</v>
      </c>
      <c r="O425" s="1">
        <v>92.25</v>
      </c>
    </row>
    <row r="426" spans="1:15" x14ac:dyDescent="0.25">
      <c r="A426" s="1" t="s">
        <v>102</v>
      </c>
      <c r="B426" s="1" t="s">
        <v>177</v>
      </c>
      <c r="C426" s="1" t="s">
        <v>180</v>
      </c>
      <c r="D426" s="1" t="s">
        <v>16</v>
      </c>
      <c r="E426" s="1" t="s">
        <v>2</v>
      </c>
      <c r="F426" s="1">
        <v>161</v>
      </c>
      <c r="G426" s="1">
        <v>164.67</v>
      </c>
      <c r="H426" s="1">
        <v>93</v>
      </c>
      <c r="I426" s="1">
        <v>166</v>
      </c>
      <c r="J426" s="1">
        <v>91.85</v>
      </c>
      <c r="K426" s="1">
        <v>53.22</v>
      </c>
      <c r="L426" s="1">
        <v>51.28</v>
      </c>
      <c r="M426" s="1">
        <v>54.29</v>
      </c>
      <c r="N426" s="1">
        <v>51.61</v>
      </c>
      <c r="O426" s="1">
        <v>53.58</v>
      </c>
    </row>
    <row r="427" spans="1:15" x14ac:dyDescent="0.25">
      <c r="A427" s="1" t="s">
        <v>102</v>
      </c>
      <c r="B427" s="1" t="s">
        <v>177</v>
      </c>
      <c r="C427" s="1" t="s">
        <v>152</v>
      </c>
      <c r="D427" s="1" t="s">
        <v>178</v>
      </c>
      <c r="E427" s="1" t="s">
        <v>2</v>
      </c>
      <c r="H427" s="1">
        <v>24.83</v>
      </c>
      <c r="I427" s="1">
        <v>23</v>
      </c>
      <c r="J427" s="1">
        <v>23.83</v>
      </c>
      <c r="K427" s="1">
        <v>22.64</v>
      </c>
      <c r="L427" s="1">
        <v>22.3</v>
      </c>
      <c r="M427" s="1">
        <v>20.97</v>
      </c>
      <c r="N427" s="1">
        <v>21.3</v>
      </c>
      <c r="O427" s="1">
        <v>21.96</v>
      </c>
    </row>
    <row r="428" spans="1:15" x14ac:dyDescent="0.25">
      <c r="A428" s="1" t="s">
        <v>8</v>
      </c>
      <c r="B428" s="1" t="s">
        <v>177</v>
      </c>
      <c r="C428" s="1" t="s">
        <v>152</v>
      </c>
      <c r="D428" s="1" t="s">
        <v>1</v>
      </c>
      <c r="E428" s="1" t="s">
        <v>2</v>
      </c>
      <c r="F428" s="1">
        <v>137</v>
      </c>
      <c r="G428" s="1">
        <v>141</v>
      </c>
      <c r="H428" s="1">
        <v>154</v>
      </c>
      <c r="I428" s="1">
        <v>142</v>
      </c>
      <c r="J428" s="1">
        <v>140</v>
      </c>
      <c r="K428" s="1">
        <v>131</v>
      </c>
      <c r="L428" s="1">
        <v>128</v>
      </c>
      <c r="M428" s="1">
        <v>121</v>
      </c>
      <c r="N428" s="1">
        <v>118</v>
      </c>
      <c r="O428" s="1">
        <v>121</v>
      </c>
    </row>
    <row r="429" spans="1:15" x14ac:dyDescent="0.25">
      <c r="A429" s="1" t="s">
        <v>8</v>
      </c>
      <c r="B429" s="1" t="s">
        <v>177</v>
      </c>
      <c r="C429" s="1" t="s">
        <v>152</v>
      </c>
      <c r="D429" s="1" t="s">
        <v>1</v>
      </c>
      <c r="E429" s="1" t="s">
        <v>168</v>
      </c>
      <c r="F429" s="1">
        <v>28</v>
      </c>
      <c r="G429" s="1">
        <v>28</v>
      </c>
      <c r="H429" s="1">
        <v>60</v>
      </c>
      <c r="I429" s="1">
        <v>43</v>
      </c>
      <c r="J429" s="1">
        <v>39</v>
      </c>
      <c r="K429" s="1">
        <v>38</v>
      </c>
      <c r="L429" s="1">
        <v>17</v>
      </c>
      <c r="M429" s="1">
        <v>17</v>
      </c>
      <c r="N429" s="1">
        <v>17</v>
      </c>
      <c r="O429" s="1">
        <v>16</v>
      </c>
    </row>
    <row r="430" spans="1:15" x14ac:dyDescent="0.25">
      <c r="A430" s="1" t="s">
        <v>9</v>
      </c>
      <c r="B430" s="1" t="s">
        <v>177</v>
      </c>
      <c r="C430" s="1" t="s">
        <v>152</v>
      </c>
      <c r="D430" s="1" t="s">
        <v>1</v>
      </c>
      <c r="E430" s="1" t="s">
        <v>2</v>
      </c>
      <c r="F430" s="1">
        <v>150</v>
      </c>
      <c r="G430" s="1">
        <v>156</v>
      </c>
      <c r="H430" s="1">
        <v>156</v>
      </c>
      <c r="J430" s="1">
        <v>161</v>
      </c>
      <c r="K430" s="1">
        <v>161</v>
      </c>
      <c r="L430" s="1">
        <v>161</v>
      </c>
      <c r="M430" s="1">
        <v>155</v>
      </c>
      <c r="N430" s="1">
        <v>148</v>
      </c>
      <c r="O430" s="1">
        <v>146</v>
      </c>
    </row>
    <row r="431" spans="1:15" x14ac:dyDescent="0.25">
      <c r="A431" s="1" t="s">
        <v>107</v>
      </c>
      <c r="B431" s="1" t="s">
        <v>177</v>
      </c>
      <c r="C431" s="1" t="s">
        <v>183</v>
      </c>
      <c r="D431" s="1" t="s">
        <v>16</v>
      </c>
      <c r="E431" s="1" t="s">
        <v>2</v>
      </c>
      <c r="M431" s="1">
        <v>74.260000000000005</v>
      </c>
      <c r="N431" s="1">
        <v>69.36</v>
      </c>
      <c r="O431" s="1">
        <v>83.09</v>
      </c>
    </row>
    <row r="432" spans="1:15" x14ac:dyDescent="0.25">
      <c r="A432" s="1" t="s">
        <v>107</v>
      </c>
      <c r="B432" s="1" t="s">
        <v>177</v>
      </c>
      <c r="C432" s="1" t="s">
        <v>152</v>
      </c>
      <c r="D432" s="1" t="s">
        <v>1</v>
      </c>
      <c r="E432" s="1" t="s">
        <v>2</v>
      </c>
      <c r="F432" s="1">
        <v>150</v>
      </c>
      <c r="G432" s="1">
        <v>156</v>
      </c>
      <c r="H432" s="1">
        <v>154</v>
      </c>
      <c r="I432" s="1">
        <v>154</v>
      </c>
      <c r="J432" s="1">
        <v>161</v>
      </c>
      <c r="K432" s="1">
        <v>151</v>
      </c>
      <c r="L432" s="1">
        <v>146</v>
      </c>
      <c r="M432" s="1">
        <v>152</v>
      </c>
      <c r="N432" s="1">
        <v>151</v>
      </c>
      <c r="O432" s="1">
        <v>148</v>
      </c>
    </row>
    <row r="433" spans="1:15" x14ac:dyDescent="0.25">
      <c r="A433" s="1" t="s">
        <v>23</v>
      </c>
      <c r="B433" s="1" t="s">
        <v>177</v>
      </c>
      <c r="C433" s="1" t="s">
        <v>180</v>
      </c>
      <c r="D433" s="1" t="s">
        <v>16</v>
      </c>
      <c r="E433" s="1" t="s">
        <v>2</v>
      </c>
      <c r="F433" s="1">
        <v>161</v>
      </c>
      <c r="G433" s="1">
        <v>164.67</v>
      </c>
      <c r="H433" s="1">
        <v>93</v>
      </c>
      <c r="I433" s="1">
        <v>166</v>
      </c>
      <c r="J433" s="1">
        <v>91.85</v>
      </c>
      <c r="K433" s="1">
        <v>83.57</v>
      </c>
      <c r="L433" s="1">
        <v>75.62</v>
      </c>
      <c r="M433" s="1">
        <v>77.040000000000006</v>
      </c>
      <c r="N433" s="1">
        <v>70.5</v>
      </c>
      <c r="O433" s="1">
        <v>70.91</v>
      </c>
    </row>
    <row r="434" spans="1:15" x14ac:dyDescent="0.25">
      <c r="A434" s="1" t="s">
        <v>23</v>
      </c>
      <c r="B434" s="1" t="s">
        <v>177</v>
      </c>
      <c r="C434" s="1" t="s">
        <v>181</v>
      </c>
      <c r="D434" s="1" t="s">
        <v>16</v>
      </c>
      <c r="E434" s="1" t="s">
        <v>2</v>
      </c>
      <c r="H434" s="1">
        <v>93</v>
      </c>
      <c r="I434" s="1">
        <v>166.67</v>
      </c>
      <c r="J434" s="1">
        <v>91.85</v>
      </c>
      <c r="K434" s="1">
        <v>83.57</v>
      </c>
      <c r="L434" s="1">
        <v>75.62</v>
      </c>
      <c r="M434" s="1">
        <v>83.57</v>
      </c>
      <c r="N434" s="1">
        <v>77.03</v>
      </c>
      <c r="O434" s="1">
        <v>77.97</v>
      </c>
    </row>
    <row r="435" spans="1:15" x14ac:dyDescent="0.25">
      <c r="A435" s="1" t="s">
        <v>23</v>
      </c>
      <c r="B435" s="1" t="s">
        <v>177</v>
      </c>
      <c r="C435" s="1" t="s">
        <v>183</v>
      </c>
      <c r="D435" s="1" t="s">
        <v>16</v>
      </c>
      <c r="E435" s="1" t="s">
        <v>2</v>
      </c>
      <c r="H435" s="1">
        <v>93</v>
      </c>
      <c r="I435" s="1">
        <v>165</v>
      </c>
      <c r="J435" s="1">
        <v>91.85</v>
      </c>
      <c r="K435" s="1">
        <v>86.03</v>
      </c>
      <c r="L435" s="1">
        <v>75.62</v>
      </c>
      <c r="M435" s="1">
        <v>86.45</v>
      </c>
      <c r="N435" s="1">
        <v>79.92</v>
      </c>
      <c r="O435" s="1">
        <v>97.25</v>
      </c>
    </row>
    <row r="436" spans="1:15" x14ac:dyDescent="0.25">
      <c r="A436" s="1" t="s">
        <v>23</v>
      </c>
      <c r="B436" s="1" t="s">
        <v>177</v>
      </c>
      <c r="C436" s="1" t="s">
        <v>152</v>
      </c>
      <c r="D436" s="1" t="s">
        <v>1</v>
      </c>
      <c r="E436" s="1" t="s">
        <v>2</v>
      </c>
      <c r="F436" s="1">
        <v>137</v>
      </c>
      <c r="G436" s="1">
        <v>141</v>
      </c>
      <c r="H436" s="1">
        <v>154</v>
      </c>
      <c r="I436" s="1">
        <v>142</v>
      </c>
      <c r="J436" s="1">
        <v>140</v>
      </c>
      <c r="K436" s="1">
        <v>141</v>
      </c>
      <c r="L436" s="1">
        <v>138</v>
      </c>
      <c r="M436" s="1">
        <v>138</v>
      </c>
      <c r="N436" s="1">
        <v>142</v>
      </c>
      <c r="O436" s="1">
        <v>161</v>
      </c>
    </row>
    <row r="437" spans="1:15" x14ac:dyDescent="0.25">
      <c r="A437" s="1" t="s">
        <v>23</v>
      </c>
      <c r="B437" s="1" t="s">
        <v>177</v>
      </c>
      <c r="C437" s="1" t="s">
        <v>152</v>
      </c>
      <c r="D437" s="1" t="s">
        <v>1</v>
      </c>
      <c r="E437" s="1" t="s">
        <v>168</v>
      </c>
      <c r="F437" s="1">
        <v>28</v>
      </c>
      <c r="G437" s="1">
        <v>28</v>
      </c>
      <c r="H437" s="1">
        <v>60</v>
      </c>
      <c r="I437" s="1">
        <v>43</v>
      </c>
      <c r="J437" s="1">
        <v>39</v>
      </c>
      <c r="K437" s="1">
        <v>42</v>
      </c>
      <c r="L437" s="1">
        <v>47</v>
      </c>
      <c r="M437" s="1">
        <v>39</v>
      </c>
      <c r="N437" s="1">
        <v>30</v>
      </c>
      <c r="O437" s="1">
        <v>33</v>
      </c>
    </row>
    <row r="438" spans="1:15" x14ac:dyDescent="0.25">
      <c r="A438" s="1" t="s">
        <v>110</v>
      </c>
      <c r="B438" s="1" t="s">
        <v>177</v>
      </c>
      <c r="C438" s="1" t="s">
        <v>181</v>
      </c>
      <c r="D438" s="1" t="s">
        <v>16</v>
      </c>
      <c r="E438" s="1" t="s">
        <v>2</v>
      </c>
      <c r="H438" s="1">
        <v>93</v>
      </c>
      <c r="I438" s="1">
        <v>166.67</v>
      </c>
      <c r="J438" s="1">
        <v>91.85</v>
      </c>
      <c r="K438" s="1">
        <v>83.57</v>
      </c>
      <c r="L438" s="1">
        <v>75.62</v>
      </c>
      <c r="M438" s="1">
        <v>83.57</v>
      </c>
      <c r="N438" s="1">
        <v>87.87</v>
      </c>
      <c r="O438" s="1">
        <v>90.95</v>
      </c>
    </row>
    <row r="439" spans="1:15" x14ac:dyDescent="0.25">
      <c r="A439" s="1" t="s">
        <v>24</v>
      </c>
      <c r="B439" s="1" t="s">
        <v>177</v>
      </c>
      <c r="C439" s="1" t="s">
        <v>179</v>
      </c>
      <c r="D439" s="1" t="s">
        <v>21</v>
      </c>
      <c r="E439" s="1" t="s">
        <v>2</v>
      </c>
      <c r="F439" s="1">
        <v>2947</v>
      </c>
      <c r="G439" s="1">
        <v>2771</v>
      </c>
      <c r="H439" s="1">
        <v>2771</v>
      </c>
      <c r="I439" s="1">
        <v>2596</v>
      </c>
      <c r="J439" s="1">
        <v>2447</v>
      </c>
      <c r="K439" s="1">
        <v>2649</v>
      </c>
      <c r="L439" s="1">
        <v>2731</v>
      </c>
      <c r="M439" s="1">
        <v>2614</v>
      </c>
      <c r="N439" s="1">
        <v>2596</v>
      </c>
      <c r="O439" s="1">
        <v>2634</v>
      </c>
    </row>
    <row r="440" spans="1:15" x14ac:dyDescent="0.25">
      <c r="A440" s="1" t="s">
        <v>24</v>
      </c>
      <c r="B440" s="1" t="s">
        <v>177</v>
      </c>
      <c r="C440" s="1" t="s">
        <v>180</v>
      </c>
      <c r="D440" s="1" t="s">
        <v>16</v>
      </c>
      <c r="E440" s="1" t="s">
        <v>2</v>
      </c>
      <c r="F440" s="1">
        <v>161</v>
      </c>
      <c r="G440" s="1">
        <v>164.67</v>
      </c>
      <c r="H440" s="1">
        <v>93</v>
      </c>
      <c r="I440" s="1">
        <v>166</v>
      </c>
      <c r="J440" s="1">
        <v>91.85</v>
      </c>
      <c r="K440" s="1">
        <v>74.2</v>
      </c>
      <c r="L440" s="1">
        <v>72.459999999999994</v>
      </c>
      <c r="M440" s="1">
        <v>73.010000000000005</v>
      </c>
      <c r="N440" s="1">
        <v>63.13</v>
      </c>
      <c r="O440" s="1">
        <v>66.59</v>
      </c>
    </row>
    <row r="441" spans="1:15" x14ac:dyDescent="0.25">
      <c r="A441" s="1" t="s">
        <v>24</v>
      </c>
      <c r="B441" s="1" t="s">
        <v>177</v>
      </c>
      <c r="C441" s="1" t="s">
        <v>181</v>
      </c>
      <c r="D441" s="1" t="s">
        <v>16</v>
      </c>
      <c r="E441" s="1" t="s">
        <v>2</v>
      </c>
      <c r="H441" s="1">
        <v>93</v>
      </c>
      <c r="I441" s="1">
        <v>166.67</v>
      </c>
      <c r="J441" s="1">
        <v>91.85</v>
      </c>
      <c r="K441" s="1">
        <v>74.2</v>
      </c>
      <c r="L441" s="1">
        <v>72.459999999999994</v>
      </c>
      <c r="M441" s="1">
        <v>73.010000000000005</v>
      </c>
      <c r="N441" s="1">
        <v>63.13</v>
      </c>
      <c r="O441" s="1">
        <v>66.59</v>
      </c>
    </row>
    <row r="442" spans="1:15" x14ac:dyDescent="0.25">
      <c r="A442" s="1" t="s">
        <v>24</v>
      </c>
      <c r="B442" s="1" t="s">
        <v>177</v>
      </c>
      <c r="C442" s="1" t="s">
        <v>182</v>
      </c>
      <c r="D442" s="1" t="s">
        <v>16</v>
      </c>
      <c r="E442" s="1" t="s">
        <v>2</v>
      </c>
      <c r="H442" s="1">
        <v>93</v>
      </c>
      <c r="I442" s="1">
        <v>163.33000000000001</v>
      </c>
      <c r="J442" s="1">
        <v>91.85</v>
      </c>
      <c r="K442" s="1">
        <v>74.2</v>
      </c>
      <c r="L442" s="1">
        <v>72.459999999999994</v>
      </c>
      <c r="M442" s="1">
        <v>73.010000000000005</v>
      </c>
      <c r="N442" s="1">
        <v>63.13</v>
      </c>
      <c r="O442" s="1">
        <v>66.59</v>
      </c>
    </row>
    <row r="443" spans="1:15" x14ac:dyDescent="0.25">
      <c r="A443" s="1" t="s">
        <v>24</v>
      </c>
      <c r="B443" s="1" t="s">
        <v>177</v>
      </c>
      <c r="C443" s="1" t="s">
        <v>183</v>
      </c>
      <c r="D443" s="1" t="s">
        <v>16</v>
      </c>
      <c r="E443" s="1" t="s">
        <v>2</v>
      </c>
      <c r="H443" s="1">
        <v>93</v>
      </c>
      <c r="I443" s="1">
        <v>166.67</v>
      </c>
      <c r="J443" s="1">
        <v>91.85</v>
      </c>
      <c r="K443" s="1">
        <v>79.459999999999994</v>
      </c>
      <c r="L443" s="1">
        <v>72.459999999999994</v>
      </c>
      <c r="M443" s="1">
        <v>75.62</v>
      </c>
      <c r="N443" s="1">
        <v>67.36</v>
      </c>
      <c r="O443" s="1">
        <v>87.83</v>
      </c>
    </row>
    <row r="444" spans="1:15" x14ac:dyDescent="0.25">
      <c r="A444" s="1" t="s">
        <v>24</v>
      </c>
      <c r="B444" s="1" t="s">
        <v>177</v>
      </c>
      <c r="C444" s="1" t="s">
        <v>152</v>
      </c>
      <c r="D444" s="1" t="s">
        <v>178</v>
      </c>
      <c r="E444" s="1" t="s">
        <v>2</v>
      </c>
      <c r="H444" s="1">
        <v>24.83</v>
      </c>
      <c r="I444" s="1">
        <v>23</v>
      </c>
      <c r="J444" s="1">
        <v>23.83</v>
      </c>
      <c r="K444" s="1">
        <v>22.67</v>
      </c>
      <c r="L444" s="1">
        <v>22.34</v>
      </c>
      <c r="M444" s="1">
        <v>21.01</v>
      </c>
      <c r="N444" s="1">
        <v>21.34</v>
      </c>
      <c r="O444" s="1">
        <v>21.99</v>
      </c>
    </row>
    <row r="445" spans="1:15" x14ac:dyDescent="0.25">
      <c r="A445" s="1" t="s">
        <v>25</v>
      </c>
      <c r="B445" s="1" t="s">
        <v>177</v>
      </c>
      <c r="C445" s="1" t="s">
        <v>179</v>
      </c>
      <c r="D445" s="1" t="s">
        <v>21</v>
      </c>
      <c r="E445" s="1" t="s">
        <v>2</v>
      </c>
      <c r="F445" s="1">
        <v>2947</v>
      </c>
      <c r="G445" s="1">
        <v>2771</v>
      </c>
      <c r="H445" s="1">
        <v>2771</v>
      </c>
      <c r="I445" s="1">
        <v>2596</v>
      </c>
      <c r="J445" s="1">
        <v>2447</v>
      </c>
      <c r="K445" s="1">
        <v>2649</v>
      </c>
      <c r="L445" s="1">
        <v>2880</v>
      </c>
      <c r="M445" s="1">
        <v>2763</v>
      </c>
      <c r="N445" s="1">
        <v>2678</v>
      </c>
      <c r="O445" s="1">
        <v>2634</v>
      </c>
    </row>
    <row r="446" spans="1:15" x14ac:dyDescent="0.25">
      <c r="A446" s="1" t="s">
        <v>25</v>
      </c>
      <c r="B446" s="1" t="s">
        <v>177</v>
      </c>
      <c r="C446" s="1" t="s">
        <v>179</v>
      </c>
      <c r="D446" s="1" t="s">
        <v>119</v>
      </c>
      <c r="E446" s="1" t="s">
        <v>2</v>
      </c>
      <c r="F446" s="1">
        <v>3205</v>
      </c>
      <c r="G446" s="1">
        <v>3205</v>
      </c>
      <c r="H446" s="1">
        <v>3205</v>
      </c>
      <c r="I446" s="1">
        <v>3205</v>
      </c>
      <c r="L446" s="1">
        <v>2850</v>
      </c>
      <c r="M446" s="1">
        <v>2739</v>
      </c>
      <c r="N446" s="1">
        <v>2689</v>
      </c>
      <c r="O446" s="1">
        <v>2689</v>
      </c>
    </row>
    <row r="447" spans="1:15" x14ac:dyDescent="0.25">
      <c r="A447" s="1" t="s">
        <v>25</v>
      </c>
      <c r="B447" s="1" t="s">
        <v>177</v>
      </c>
      <c r="C447" s="1" t="s">
        <v>180</v>
      </c>
      <c r="D447" s="1" t="s">
        <v>16</v>
      </c>
      <c r="E447" s="1" t="s">
        <v>2</v>
      </c>
      <c r="F447" s="1">
        <v>161</v>
      </c>
      <c r="G447" s="1">
        <v>164.67</v>
      </c>
      <c r="H447" s="1">
        <v>93</v>
      </c>
      <c r="I447" s="1">
        <v>166</v>
      </c>
      <c r="J447" s="1">
        <v>91.85</v>
      </c>
      <c r="K447" s="1">
        <v>103.71</v>
      </c>
      <c r="L447" s="1">
        <v>101.92</v>
      </c>
      <c r="M447" s="1">
        <v>107.13</v>
      </c>
      <c r="N447" s="1">
        <v>115.6</v>
      </c>
      <c r="O447" s="1">
        <v>120.87</v>
      </c>
    </row>
    <row r="448" spans="1:15" x14ac:dyDescent="0.25">
      <c r="A448" s="1" t="s">
        <v>25</v>
      </c>
      <c r="B448" s="1" t="s">
        <v>177</v>
      </c>
      <c r="C448" s="1" t="s">
        <v>181</v>
      </c>
      <c r="D448" s="1" t="s">
        <v>16</v>
      </c>
      <c r="E448" s="1" t="s">
        <v>2</v>
      </c>
      <c r="J448" s="1">
        <v>91.85</v>
      </c>
      <c r="K448" s="1">
        <v>103.71</v>
      </c>
      <c r="L448" s="1">
        <v>103.71</v>
      </c>
      <c r="M448" s="1">
        <v>117.39</v>
      </c>
      <c r="N448" s="1">
        <v>127.16</v>
      </c>
      <c r="O448" s="1">
        <v>130.72</v>
      </c>
    </row>
    <row r="449" spans="1:15" x14ac:dyDescent="0.25">
      <c r="A449" s="1" t="s">
        <v>25</v>
      </c>
      <c r="B449" s="1" t="s">
        <v>177</v>
      </c>
      <c r="C449" s="1" t="s">
        <v>182</v>
      </c>
      <c r="D449" s="1" t="s">
        <v>16</v>
      </c>
      <c r="E449" s="1" t="s">
        <v>2</v>
      </c>
      <c r="H449" s="1">
        <v>93</v>
      </c>
      <c r="I449" s="1">
        <v>163.33000000000001</v>
      </c>
      <c r="J449" s="1">
        <v>91.85</v>
      </c>
      <c r="K449" s="1">
        <v>103.71</v>
      </c>
      <c r="L449" s="1">
        <v>101.92</v>
      </c>
      <c r="M449" s="1">
        <v>107.13</v>
      </c>
      <c r="N449" s="1">
        <v>115.6</v>
      </c>
      <c r="O449" s="1">
        <v>120.87</v>
      </c>
    </row>
    <row r="450" spans="1:15" x14ac:dyDescent="0.25">
      <c r="A450" s="1" t="s">
        <v>25</v>
      </c>
      <c r="B450" s="1" t="s">
        <v>177</v>
      </c>
      <c r="C450" s="1" t="s">
        <v>183</v>
      </c>
      <c r="D450" s="1" t="s">
        <v>16</v>
      </c>
      <c r="E450" s="1" t="s">
        <v>2</v>
      </c>
      <c r="H450" s="1">
        <v>93</v>
      </c>
      <c r="I450" s="1">
        <v>166.67</v>
      </c>
      <c r="J450" s="1">
        <v>91.85</v>
      </c>
      <c r="K450" s="1">
        <v>113.44</v>
      </c>
      <c r="L450" s="1">
        <v>75.62</v>
      </c>
      <c r="M450" s="1">
        <v>99.01</v>
      </c>
      <c r="N450" s="1">
        <v>117.17</v>
      </c>
      <c r="O450" s="1">
        <v>130.05000000000001</v>
      </c>
    </row>
    <row r="451" spans="1:15" x14ac:dyDescent="0.25">
      <c r="A451" s="1" t="s">
        <v>84</v>
      </c>
      <c r="B451" s="1" t="s">
        <v>177</v>
      </c>
      <c r="C451" s="1" t="s">
        <v>179</v>
      </c>
      <c r="D451" s="1" t="s">
        <v>21</v>
      </c>
      <c r="E451" s="1" t="s">
        <v>2</v>
      </c>
      <c r="G451" s="1">
        <v>2771</v>
      </c>
      <c r="H451" s="1">
        <v>2771</v>
      </c>
      <c r="I451" s="1">
        <v>2596</v>
      </c>
      <c r="J451" s="1">
        <v>2447</v>
      </c>
      <c r="K451" s="1">
        <v>2649</v>
      </c>
      <c r="L451" s="1">
        <v>2731</v>
      </c>
      <c r="M451" s="1">
        <v>2614</v>
      </c>
      <c r="N451" s="1">
        <v>2596</v>
      </c>
      <c r="O451" s="1">
        <v>2634</v>
      </c>
    </row>
    <row r="452" spans="1:15" x14ac:dyDescent="0.25">
      <c r="A452" s="1" t="s">
        <v>84</v>
      </c>
      <c r="B452" s="1" t="s">
        <v>177</v>
      </c>
      <c r="C452" s="1" t="s">
        <v>180</v>
      </c>
      <c r="D452" s="1" t="s">
        <v>16</v>
      </c>
      <c r="E452" s="1" t="s">
        <v>2</v>
      </c>
      <c r="G452" s="1">
        <v>164.67</v>
      </c>
      <c r="H452" s="1">
        <v>93</v>
      </c>
      <c r="I452" s="1">
        <v>166</v>
      </c>
      <c r="J452" s="1">
        <v>91.85</v>
      </c>
      <c r="K452" s="1">
        <v>83.57</v>
      </c>
      <c r="L452" s="1">
        <v>75.62</v>
      </c>
      <c r="M452" s="1">
        <v>77.040000000000006</v>
      </c>
      <c r="N452" s="1">
        <v>78.45</v>
      </c>
      <c r="O452" s="1">
        <v>105.33</v>
      </c>
    </row>
    <row r="453" spans="1:15" x14ac:dyDescent="0.25">
      <c r="A453" s="1" t="s">
        <v>84</v>
      </c>
      <c r="B453" s="1" t="s">
        <v>177</v>
      </c>
      <c r="C453" s="1" t="s">
        <v>182</v>
      </c>
      <c r="D453" s="1" t="s">
        <v>16</v>
      </c>
      <c r="E453" s="1" t="s">
        <v>2</v>
      </c>
      <c r="H453" s="1">
        <v>93</v>
      </c>
      <c r="I453" s="1">
        <v>163.33000000000001</v>
      </c>
      <c r="J453" s="1">
        <v>91.85</v>
      </c>
      <c r="K453" s="1">
        <v>83.57</v>
      </c>
      <c r="L453" s="1">
        <v>75.62</v>
      </c>
      <c r="M453" s="1">
        <v>83.57</v>
      </c>
      <c r="N453" s="1">
        <v>87.87</v>
      </c>
      <c r="O453" s="1">
        <v>112.39</v>
      </c>
    </row>
    <row r="454" spans="1:15" x14ac:dyDescent="0.25">
      <c r="A454" s="1" t="s">
        <v>84</v>
      </c>
      <c r="B454" s="1" t="s">
        <v>177</v>
      </c>
      <c r="C454" s="1" t="s">
        <v>183</v>
      </c>
      <c r="D454" s="1" t="s">
        <v>16</v>
      </c>
      <c r="E454" s="1" t="s">
        <v>2</v>
      </c>
      <c r="H454" s="1">
        <v>93</v>
      </c>
      <c r="I454" s="1">
        <v>166.67</v>
      </c>
      <c r="J454" s="1">
        <v>91.85</v>
      </c>
      <c r="K454" s="1">
        <v>86.03</v>
      </c>
      <c r="L454" s="1">
        <v>75.62</v>
      </c>
      <c r="M454" s="1">
        <v>86.45</v>
      </c>
      <c r="N454" s="1">
        <v>113.58</v>
      </c>
      <c r="O454" s="1">
        <v>131.68</v>
      </c>
    </row>
    <row r="455" spans="1:15" x14ac:dyDescent="0.25">
      <c r="A455" s="1" t="s">
        <v>102</v>
      </c>
      <c r="B455" s="1" t="s">
        <v>184</v>
      </c>
      <c r="D455" s="1" t="s">
        <v>16</v>
      </c>
      <c r="E455" s="1" t="s">
        <v>2</v>
      </c>
      <c r="F455" s="1">
        <v>215.67</v>
      </c>
      <c r="G455" s="1">
        <v>215.67</v>
      </c>
      <c r="H455" s="1">
        <v>215.67</v>
      </c>
      <c r="I455" s="1">
        <v>229.67</v>
      </c>
      <c r="J455" s="1">
        <v>223.37</v>
      </c>
      <c r="K455" s="1">
        <v>202.7</v>
      </c>
      <c r="L455" s="1">
        <v>191.97</v>
      </c>
      <c r="M455" s="1">
        <v>160.58000000000001</v>
      </c>
      <c r="N455" s="1">
        <v>120.91</v>
      </c>
    </row>
    <row r="456" spans="1:15" x14ac:dyDescent="0.25">
      <c r="A456" s="1" t="s">
        <v>24</v>
      </c>
      <c r="B456" s="1" t="s">
        <v>184</v>
      </c>
      <c r="D456" s="1" t="s">
        <v>16</v>
      </c>
      <c r="E456" s="1" t="s">
        <v>2</v>
      </c>
      <c r="F456" s="1">
        <v>215.67</v>
      </c>
      <c r="G456" s="1">
        <v>215.67</v>
      </c>
      <c r="H456" s="1">
        <v>215.67</v>
      </c>
      <c r="I456" s="1">
        <v>229.67</v>
      </c>
      <c r="J456" s="1">
        <v>223.37</v>
      </c>
      <c r="K456" s="1">
        <v>202.7</v>
      </c>
      <c r="L456" s="1">
        <v>203.04</v>
      </c>
      <c r="M456" s="1">
        <v>183.1</v>
      </c>
      <c r="N456" s="1">
        <v>183.1</v>
      </c>
    </row>
    <row r="457" spans="1:15" x14ac:dyDescent="0.25">
      <c r="A457" s="1" t="s">
        <v>84</v>
      </c>
      <c r="B457" s="1" t="s">
        <v>184</v>
      </c>
      <c r="D457" s="1" t="s">
        <v>16</v>
      </c>
      <c r="E457" s="1" t="s">
        <v>2</v>
      </c>
      <c r="F457" s="1">
        <v>215.67</v>
      </c>
      <c r="G457" s="1">
        <v>215.67</v>
      </c>
      <c r="H457" s="1">
        <v>215.67</v>
      </c>
      <c r="I457" s="1">
        <v>229.67</v>
      </c>
      <c r="J457" s="1">
        <v>223.37</v>
      </c>
      <c r="K457" s="1">
        <v>202.7</v>
      </c>
      <c r="L457" s="1">
        <v>186.44</v>
      </c>
      <c r="M457" s="1">
        <v>149.51</v>
      </c>
      <c r="N457" s="1">
        <v>110.5</v>
      </c>
    </row>
    <row r="458" spans="1:15" x14ac:dyDescent="0.25">
      <c r="A458" s="1" t="s">
        <v>102</v>
      </c>
      <c r="B458" s="1" t="s">
        <v>185</v>
      </c>
      <c r="C458" s="1" t="s">
        <v>126</v>
      </c>
      <c r="D458" s="1" t="s">
        <v>16</v>
      </c>
      <c r="E458" s="1" t="s">
        <v>2</v>
      </c>
      <c r="F458" s="1">
        <v>9.33</v>
      </c>
      <c r="G458" s="1">
        <v>8.7200000000000006</v>
      </c>
      <c r="H458" s="1">
        <v>4.45</v>
      </c>
      <c r="I458" s="1">
        <v>4.45</v>
      </c>
      <c r="J458" s="1">
        <v>5.73</v>
      </c>
      <c r="K458" s="1">
        <v>7.77</v>
      </c>
      <c r="L458" s="1">
        <v>7.28</v>
      </c>
      <c r="M458" s="1">
        <v>7.36</v>
      </c>
      <c r="N458" s="1">
        <v>8.6300000000000008</v>
      </c>
      <c r="O458" s="1">
        <v>11.73</v>
      </c>
    </row>
    <row r="459" spans="1:15" x14ac:dyDescent="0.25">
      <c r="A459" s="1" t="s">
        <v>9</v>
      </c>
      <c r="B459" s="1" t="s">
        <v>185</v>
      </c>
      <c r="C459" s="1" t="s">
        <v>15</v>
      </c>
      <c r="D459" s="1" t="s">
        <v>16</v>
      </c>
      <c r="E459" s="1" t="s">
        <v>2</v>
      </c>
      <c r="F459" s="1">
        <v>9.33</v>
      </c>
      <c r="G459" s="1">
        <v>8.7200000000000006</v>
      </c>
      <c r="H459" s="1">
        <v>4.45</v>
      </c>
      <c r="I459" s="1">
        <v>4.45</v>
      </c>
      <c r="J459" s="1">
        <v>5.73</v>
      </c>
      <c r="K459" s="1">
        <v>5.9</v>
      </c>
      <c r="L459" s="1">
        <v>6.54</v>
      </c>
      <c r="M459" s="1">
        <v>5.16</v>
      </c>
      <c r="N459" s="1">
        <v>5.26</v>
      </c>
      <c r="O459" s="1">
        <v>4.72</v>
      </c>
    </row>
    <row r="460" spans="1:15" x14ac:dyDescent="0.25">
      <c r="A460" s="1" t="s">
        <v>24</v>
      </c>
      <c r="B460" s="1" t="s">
        <v>185</v>
      </c>
      <c r="C460" s="1" t="s">
        <v>126</v>
      </c>
      <c r="D460" s="1" t="s">
        <v>16</v>
      </c>
      <c r="E460" s="1" t="s">
        <v>2</v>
      </c>
      <c r="F460" s="1">
        <v>9.33</v>
      </c>
      <c r="G460" s="1">
        <v>8.7200000000000006</v>
      </c>
      <c r="H460" s="1">
        <v>4.45</v>
      </c>
      <c r="I460" s="1">
        <v>7.11</v>
      </c>
      <c r="J460" s="1">
        <v>6.91</v>
      </c>
      <c r="K460" s="1">
        <v>6.09</v>
      </c>
      <c r="L460" s="1">
        <v>7.28</v>
      </c>
      <c r="M460" s="1">
        <v>7.36</v>
      </c>
      <c r="N460" s="1">
        <v>6.8</v>
      </c>
      <c r="O460" s="1">
        <v>6.66</v>
      </c>
    </row>
    <row r="461" spans="1:15" x14ac:dyDescent="0.25">
      <c r="A461" s="1" t="s">
        <v>24</v>
      </c>
      <c r="B461" s="1" t="s">
        <v>185</v>
      </c>
      <c r="C461" s="1" t="s">
        <v>127</v>
      </c>
      <c r="D461" s="1" t="s">
        <v>16</v>
      </c>
      <c r="E461" s="1" t="s">
        <v>2</v>
      </c>
      <c r="F461" s="1">
        <v>9.33</v>
      </c>
      <c r="G461" s="1">
        <v>8.7200000000000006</v>
      </c>
      <c r="H461" s="1">
        <v>4.45</v>
      </c>
      <c r="I461" s="1">
        <v>7.11</v>
      </c>
      <c r="J461" s="1">
        <v>6.91</v>
      </c>
      <c r="K461" s="1">
        <v>5.74</v>
      </c>
      <c r="L461" s="1">
        <v>7.53</v>
      </c>
      <c r="M461" s="1">
        <v>6.76</v>
      </c>
      <c r="N461" s="1">
        <v>6.36</v>
      </c>
      <c r="O461" s="1">
        <v>5.97</v>
      </c>
    </row>
    <row r="462" spans="1:15" x14ac:dyDescent="0.25">
      <c r="A462" s="1" t="s">
        <v>25</v>
      </c>
      <c r="B462" s="1" t="s">
        <v>185</v>
      </c>
      <c r="C462" s="1" t="s">
        <v>15</v>
      </c>
      <c r="D462" s="1" t="s">
        <v>16</v>
      </c>
      <c r="E462" s="1" t="s">
        <v>2</v>
      </c>
      <c r="F462" s="1">
        <v>9.33</v>
      </c>
      <c r="G462" s="1">
        <v>8.7200000000000006</v>
      </c>
      <c r="H462" s="1">
        <v>4.45</v>
      </c>
      <c r="I462" s="1">
        <v>8.14</v>
      </c>
      <c r="J462" s="1">
        <v>7.94</v>
      </c>
      <c r="K462" s="1">
        <v>7.3</v>
      </c>
      <c r="L462" s="1">
        <v>6.54</v>
      </c>
      <c r="M462" s="1">
        <v>5.8</v>
      </c>
      <c r="N462" s="1">
        <v>5.8</v>
      </c>
      <c r="O462" s="1">
        <v>5.4</v>
      </c>
    </row>
    <row r="463" spans="1:15" x14ac:dyDescent="0.25">
      <c r="A463" s="1" t="s">
        <v>25</v>
      </c>
      <c r="B463" s="1" t="s">
        <v>185</v>
      </c>
      <c r="C463" s="1" t="s">
        <v>126</v>
      </c>
      <c r="D463" s="1" t="s">
        <v>16</v>
      </c>
      <c r="E463" s="1" t="s">
        <v>2</v>
      </c>
      <c r="F463" s="1">
        <v>9.33</v>
      </c>
      <c r="G463" s="1">
        <v>8.7200000000000006</v>
      </c>
      <c r="H463" s="1">
        <v>4.45</v>
      </c>
      <c r="I463" s="1">
        <v>4.45</v>
      </c>
      <c r="J463" s="1">
        <v>5.73</v>
      </c>
      <c r="K463" s="1">
        <v>5.76</v>
      </c>
      <c r="L463" s="1">
        <v>7.28</v>
      </c>
      <c r="M463" s="1">
        <v>6.54</v>
      </c>
      <c r="N463" s="1">
        <v>6.71</v>
      </c>
      <c r="O463" s="1">
        <v>6.22</v>
      </c>
    </row>
    <row r="464" spans="1:15" x14ac:dyDescent="0.25">
      <c r="A464" s="1" t="s">
        <v>25</v>
      </c>
      <c r="B464" s="1" t="s">
        <v>185</v>
      </c>
      <c r="C464" s="1" t="s">
        <v>127</v>
      </c>
      <c r="D464" s="1" t="s">
        <v>16</v>
      </c>
      <c r="E464" s="1" t="s">
        <v>2</v>
      </c>
      <c r="F464" s="1">
        <v>9.33</v>
      </c>
      <c r="G464" s="1">
        <v>8.7200000000000006</v>
      </c>
      <c r="H464" s="1">
        <v>4.45</v>
      </c>
      <c r="I464" s="1">
        <v>8.14</v>
      </c>
      <c r="J464" s="1">
        <v>7.94</v>
      </c>
      <c r="K464" s="1">
        <v>6.76</v>
      </c>
      <c r="L464" s="1">
        <v>7.53</v>
      </c>
      <c r="M464" s="1">
        <v>6.61</v>
      </c>
      <c r="N464" s="1">
        <v>5.74</v>
      </c>
      <c r="O464" s="1">
        <v>5.5</v>
      </c>
    </row>
    <row r="465" spans="1:15" x14ac:dyDescent="0.25">
      <c r="A465" s="1" t="s">
        <v>84</v>
      </c>
      <c r="B465" s="1" t="s">
        <v>185</v>
      </c>
      <c r="C465" s="1" t="s">
        <v>15</v>
      </c>
      <c r="D465" s="1" t="s">
        <v>16</v>
      </c>
      <c r="E465" s="1" t="s">
        <v>2</v>
      </c>
      <c r="F465" s="1">
        <v>9.33</v>
      </c>
      <c r="G465" s="1">
        <v>8.7200000000000006</v>
      </c>
      <c r="H465" s="1">
        <v>4.45</v>
      </c>
      <c r="I465" s="1">
        <v>4.45</v>
      </c>
      <c r="J465" s="1">
        <v>5.73</v>
      </c>
      <c r="K465" s="1">
        <v>5.9</v>
      </c>
      <c r="L465" s="1">
        <v>5.52</v>
      </c>
      <c r="M465" s="1">
        <v>5.16</v>
      </c>
      <c r="N465" s="1">
        <v>6.62</v>
      </c>
      <c r="O465" s="1">
        <v>6.11</v>
      </c>
    </row>
    <row r="466" spans="1:15" x14ac:dyDescent="0.25">
      <c r="A466" s="1" t="s">
        <v>84</v>
      </c>
      <c r="B466" s="1" t="s">
        <v>185</v>
      </c>
      <c r="C466" s="1" t="s">
        <v>126</v>
      </c>
      <c r="D466" s="1" t="s">
        <v>16</v>
      </c>
      <c r="E466" s="1" t="s">
        <v>2</v>
      </c>
      <c r="F466" s="1">
        <v>9.33</v>
      </c>
      <c r="G466" s="1">
        <v>8.7200000000000006</v>
      </c>
      <c r="H466" s="1">
        <v>4.45</v>
      </c>
      <c r="I466" s="1">
        <v>4.45</v>
      </c>
      <c r="J466" s="1">
        <v>5.73</v>
      </c>
      <c r="K466" s="1">
        <v>5.76</v>
      </c>
      <c r="L466" s="1">
        <v>7.28</v>
      </c>
      <c r="M466" s="1">
        <v>6.54</v>
      </c>
      <c r="N466" s="1">
        <v>4.97</v>
      </c>
      <c r="O466" s="1">
        <v>4.49</v>
      </c>
    </row>
    <row r="467" spans="1:15" x14ac:dyDescent="0.25">
      <c r="A467" s="1" t="s">
        <v>84</v>
      </c>
      <c r="B467" s="1" t="s">
        <v>185</v>
      </c>
      <c r="C467" s="1" t="s">
        <v>127</v>
      </c>
      <c r="D467" s="1" t="s">
        <v>16</v>
      </c>
      <c r="E467" s="1" t="s">
        <v>2</v>
      </c>
      <c r="F467" s="1">
        <v>9.33</v>
      </c>
      <c r="G467" s="1">
        <v>8.7200000000000006</v>
      </c>
      <c r="H467" s="1">
        <v>4.45</v>
      </c>
      <c r="I467" s="1">
        <v>4.45</v>
      </c>
      <c r="J467" s="1">
        <v>5.73</v>
      </c>
      <c r="K467" s="1">
        <v>5.5</v>
      </c>
      <c r="L467" s="1">
        <v>7.53</v>
      </c>
      <c r="M467" s="1">
        <v>6.43</v>
      </c>
      <c r="N467" s="1">
        <v>5.18</v>
      </c>
      <c r="O467" s="1">
        <v>4.8899999999999997</v>
      </c>
    </row>
    <row r="468" spans="1:15" x14ac:dyDescent="0.25">
      <c r="A468" s="1" t="s">
        <v>102</v>
      </c>
      <c r="B468" s="1" t="s">
        <v>188</v>
      </c>
      <c r="C468" s="1" t="s">
        <v>189</v>
      </c>
      <c r="D468" s="1" t="s">
        <v>16</v>
      </c>
      <c r="E468" s="1" t="s">
        <v>2</v>
      </c>
      <c r="F468" s="1">
        <v>100.38</v>
      </c>
      <c r="G468" s="1">
        <v>92.67</v>
      </c>
      <c r="H468" s="1">
        <v>92.67</v>
      </c>
      <c r="I468" s="1">
        <v>106.67</v>
      </c>
      <c r="J468" s="1">
        <v>100.97</v>
      </c>
      <c r="K468" s="1">
        <v>98.3</v>
      </c>
      <c r="L468" s="1">
        <v>112.3</v>
      </c>
      <c r="M468" s="1">
        <v>101.21</v>
      </c>
      <c r="N468" s="1">
        <v>88.6</v>
      </c>
    </row>
    <row r="469" spans="1:15" x14ac:dyDescent="0.25">
      <c r="A469" s="1" t="s">
        <v>20</v>
      </c>
      <c r="B469" s="1" t="s">
        <v>188</v>
      </c>
      <c r="C469" s="1" t="s">
        <v>189</v>
      </c>
      <c r="D469" s="1" t="s">
        <v>16</v>
      </c>
      <c r="E469" s="1" t="s">
        <v>2</v>
      </c>
      <c r="F469" s="1">
        <v>100.38</v>
      </c>
      <c r="G469" s="1">
        <v>92.67</v>
      </c>
      <c r="H469" s="1">
        <v>92.67</v>
      </c>
      <c r="I469" s="1">
        <v>106.67</v>
      </c>
      <c r="J469" s="1">
        <v>100.97</v>
      </c>
      <c r="K469" s="1">
        <v>98.3</v>
      </c>
      <c r="L469" s="1">
        <v>112.3</v>
      </c>
      <c r="M469" s="1">
        <v>91.68</v>
      </c>
      <c r="N469" s="1">
        <v>76.349999999999994</v>
      </c>
    </row>
    <row r="470" spans="1:15" x14ac:dyDescent="0.25">
      <c r="A470" s="1" t="s">
        <v>24</v>
      </c>
      <c r="B470" s="1" t="s">
        <v>188</v>
      </c>
      <c r="C470" s="1" t="s">
        <v>189</v>
      </c>
      <c r="D470" s="1" t="s">
        <v>16</v>
      </c>
      <c r="E470" s="1" t="s">
        <v>2</v>
      </c>
      <c r="F470" s="1">
        <v>100.38</v>
      </c>
      <c r="G470" s="1">
        <v>92.67</v>
      </c>
      <c r="H470" s="1">
        <v>92.67</v>
      </c>
      <c r="I470" s="1">
        <v>106.67</v>
      </c>
      <c r="J470" s="1">
        <v>100.97</v>
      </c>
      <c r="K470" s="1">
        <v>98.3</v>
      </c>
      <c r="L470" s="1">
        <v>112.3</v>
      </c>
      <c r="M470" s="1">
        <v>116.07</v>
      </c>
      <c r="N470" s="1">
        <v>98.02</v>
      </c>
    </row>
    <row r="471" spans="1:15" x14ac:dyDescent="0.25">
      <c r="A471" s="1" t="s">
        <v>25</v>
      </c>
      <c r="B471" s="1" t="s">
        <v>188</v>
      </c>
      <c r="C471" s="1" t="s">
        <v>189</v>
      </c>
      <c r="D471" s="1" t="s">
        <v>16</v>
      </c>
      <c r="E471" s="1" t="s">
        <v>2</v>
      </c>
      <c r="F471" s="1">
        <v>100.38</v>
      </c>
      <c r="G471" s="1">
        <v>92.67</v>
      </c>
      <c r="H471" s="1">
        <v>92.67</v>
      </c>
      <c r="I471" s="1">
        <v>106.67</v>
      </c>
      <c r="J471" s="1">
        <v>100.97</v>
      </c>
      <c r="K471" s="1">
        <v>98.3</v>
      </c>
      <c r="L471" s="1">
        <v>112.3</v>
      </c>
      <c r="M471" s="1">
        <v>91.68</v>
      </c>
      <c r="N471" s="1">
        <v>79.069999999999993</v>
      </c>
    </row>
    <row r="472" spans="1:15" x14ac:dyDescent="0.25">
      <c r="A472" s="1" t="s">
        <v>84</v>
      </c>
      <c r="B472" s="1" t="s">
        <v>188</v>
      </c>
      <c r="C472" s="1" t="s">
        <v>189</v>
      </c>
      <c r="D472" s="1" t="s">
        <v>16</v>
      </c>
      <c r="E472" s="1" t="s">
        <v>2</v>
      </c>
      <c r="F472" s="1">
        <v>100.38</v>
      </c>
      <c r="G472" s="1">
        <v>92.67</v>
      </c>
      <c r="H472" s="1">
        <v>92.67</v>
      </c>
      <c r="I472" s="1">
        <v>106.67</v>
      </c>
      <c r="J472" s="1">
        <v>100.97</v>
      </c>
      <c r="K472" s="1">
        <v>98.3</v>
      </c>
      <c r="L472" s="1">
        <v>112.3</v>
      </c>
      <c r="M472" s="1">
        <v>116.07</v>
      </c>
      <c r="N472" s="1">
        <v>114.04</v>
      </c>
    </row>
    <row r="473" spans="1:15" x14ac:dyDescent="0.25">
      <c r="A473" s="1" t="s">
        <v>102</v>
      </c>
      <c r="B473" s="1" t="s">
        <v>190</v>
      </c>
      <c r="C473" s="1" t="s">
        <v>191</v>
      </c>
      <c r="D473" s="1" t="s">
        <v>119</v>
      </c>
      <c r="E473" s="1" t="s">
        <v>2</v>
      </c>
      <c r="F473" s="1">
        <v>240</v>
      </c>
      <c r="G473" s="1">
        <v>240</v>
      </c>
      <c r="H473" s="1">
        <v>240</v>
      </c>
      <c r="I473" s="1">
        <v>240</v>
      </c>
      <c r="J473" s="1">
        <v>240</v>
      </c>
      <c r="K473" s="1">
        <v>240</v>
      </c>
      <c r="L473" s="1">
        <v>226</v>
      </c>
      <c r="M473" s="1">
        <v>151</v>
      </c>
      <c r="N473" s="1">
        <v>77</v>
      </c>
    </row>
    <row r="474" spans="1:15" x14ac:dyDescent="0.25">
      <c r="A474" s="1" t="s">
        <v>23</v>
      </c>
      <c r="B474" s="1" t="s">
        <v>190</v>
      </c>
      <c r="C474" s="1" t="s">
        <v>192</v>
      </c>
      <c r="D474" s="1" t="s">
        <v>119</v>
      </c>
      <c r="E474" s="1" t="s">
        <v>2</v>
      </c>
      <c r="F474" s="1">
        <v>29</v>
      </c>
      <c r="G474" s="1">
        <v>29</v>
      </c>
      <c r="H474" s="1">
        <v>29</v>
      </c>
      <c r="I474" s="1">
        <v>29</v>
      </c>
      <c r="J474" s="1">
        <v>29</v>
      </c>
      <c r="K474" s="1">
        <v>29</v>
      </c>
      <c r="L474" s="1">
        <v>29</v>
      </c>
      <c r="M474" s="1">
        <v>29</v>
      </c>
      <c r="N474" s="1">
        <v>29</v>
      </c>
    </row>
    <row r="475" spans="1:15" x14ac:dyDescent="0.25">
      <c r="A475" s="1" t="s">
        <v>23</v>
      </c>
      <c r="B475" s="1" t="s">
        <v>190</v>
      </c>
      <c r="C475" s="1" t="s">
        <v>192</v>
      </c>
      <c r="D475" s="1" t="s">
        <v>119</v>
      </c>
      <c r="E475" s="1" t="s">
        <v>168</v>
      </c>
      <c r="F475" s="1">
        <v>21</v>
      </c>
      <c r="G475" s="1">
        <v>21</v>
      </c>
      <c r="H475" s="1">
        <v>21</v>
      </c>
      <c r="I475" s="1">
        <v>21</v>
      </c>
      <c r="J475" s="1">
        <v>21</v>
      </c>
      <c r="K475" s="1">
        <v>21</v>
      </c>
      <c r="L475" s="1">
        <v>21</v>
      </c>
      <c r="M475" s="1">
        <v>21</v>
      </c>
      <c r="N475" s="1">
        <v>20</v>
      </c>
    </row>
    <row r="476" spans="1:15" x14ac:dyDescent="0.25">
      <c r="A476" s="1" t="s">
        <v>24</v>
      </c>
      <c r="B476" s="1" t="s">
        <v>190</v>
      </c>
      <c r="C476" s="1" t="s">
        <v>191</v>
      </c>
      <c r="D476" s="1" t="s">
        <v>119</v>
      </c>
      <c r="E476" s="1" t="s">
        <v>2</v>
      </c>
      <c r="F476" s="1">
        <v>240</v>
      </c>
      <c r="G476" s="1">
        <v>240</v>
      </c>
      <c r="H476" s="1">
        <v>240</v>
      </c>
      <c r="I476" s="1">
        <v>240</v>
      </c>
      <c r="J476" s="1">
        <v>240</v>
      </c>
      <c r="K476" s="1">
        <v>240</v>
      </c>
      <c r="L476" s="1">
        <v>226</v>
      </c>
      <c r="M476" s="1">
        <v>151</v>
      </c>
      <c r="N476" s="1">
        <v>77</v>
      </c>
    </row>
    <row r="477" spans="1:15" x14ac:dyDescent="0.25">
      <c r="A477" s="1" t="s">
        <v>24</v>
      </c>
      <c r="B477" s="1" t="s">
        <v>193</v>
      </c>
      <c r="C477" s="1" t="s">
        <v>194</v>
      </c>
      <c r="D477" s="1" t="s">
        <v>16</v>
      </c>
      <c r="E477" s="1" t="s">
        <v>2</v>
      </c>
      <c r="F477" s="1">
        <v>5752</v>
      </c>
      <c r="G477" s="1">
        <v>5748</v>
      </c>
      <c r="H477" s="1">
        <v>5784</v>
      </c>
      <c r="I477" s="1">
        <v>5752</v>
      </c>
      <c r="J477" s="1">
        <v>5756</v>
      </c>
      <c r="K477" s="1">
        <v>5839</v>
      </c>
      <c r="L477" s="1">
        <v>5876</v>
      </c>
      <c r="M477" s="1">
        <v>5928</v>
      </c>
      <c r="N477" s="1">
        <v>5951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1587-E325-401D-9F93-36ECF16F30FF}">
  <dimension ref="A1:R21"/>
  <sheetViews>
    <sheetView topLeftCell="A10" workbookViewId="0">
      <selection sqref="A1:O21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2</v>
      </c>
      <c r="F2" s="1">
        <v>194</v>
      </c>
      <c r="G2" s="1">
        <v>194</v>
      </c>
      <c r="H2" s="1">
        <v>194</v>
      </c>
      <c r="I2" s="1">
        <v>217</v>
      </c>
      <c r="J2" s="1">
        <v>235</v>
      </c>
      <c r="K2" s="1">
        <v>228</v>
      </c>
      <c r="L2" s="1">
        <v>248</v>
      </c>
      <c r="M2" s="1">
        <v>229</v>
      </c>
      <c r="N2" s="1">
        <v>172</v>
      </c>
      <c r="O2" s="1">
        <v>113</v>
      </c>
      <c r="R2" t="s">
        <v>17</v>
      </c>
    </row>
    <row r="3" spans="1:18" x14ac:dyDescent="0.25">
      <c r="A3" s="1" t="s">
        <v>20</v>
      </c>
      <c r="B3" s="1" t="s">
        <v>14</v>
      </c>
      <c r="C3" s="1" t="s">
        <v>15</v>
      </c>
      <c r="D3" s="1" t="s">
        <v>16</v>
      </c>
      <c r="E3" s="1" t="s">
        <v>2</v>
      </c>
      <c r="F3" s="1">
        <v>194</v>
      </c>
      <c r="G3" s="1">
        <v>194</v>
      </c>
      <c r="H3" s="1">
        <v>194</v>
      </c>
      <c r="I3" s="1">
        <v>217</v>
      </c>
      <c r="J3" s="1">
        <v>235</v>
      </c>
      <c r="K3" s="1">
        <v>228</v>
      </c>
      <c r="L3" s="1">
        <v>396</v>
      </c>
      <c r="M3" s="1">
        <v>229</v>
      </c>
      <c r="N3" s="1">
        <v>172</v>
      </c>
      <c r="O3" s="1">
        <v>128</v>
      </c>
      <c r="R3" t="s">
        <v>18</v>
      </c>
    </row>
    <row r="4" spans="1:18" x14ac:dyDescent="0.25">
      <c r="A4" s="1" t="s">
        <v>20</v>
      </c>
      <c r="B4" s="1" t="s">
        <v>14</v>
      </c>
      <c r="C4" s="1" t="s">
        <v>15</v>
      </c>
      <c r="D4" s="1" t="s">
        <v>21</v>
      </c>
      <c r="E4" s="1" t="s">
        <v>2</v>
      </c>
      <c r="F4" s="1">
        <v>194</v>
      </c>
      <c r="G4" s="1">
        <v>194</v>
      </c>
      <c r="H4" s="1">
        <v>194</v>
      </c>
      <c r="I4" s="1">
        <v>217</v>
      </c>
      <c r="J4" s="1">
        <v>235</v>
      </c>
      <c r="K4" s="1">
        <v>228</v>
      </c>
      <c r="L4" s="1">
        <v>396</v>
      </c>
      <c r="M4" s="1">
        <v>229</v>
      </c>
      <c r="N4" s="1">
        <v>172</v>
      </c>
      <c r="O4" s="1">
        <v>128</v>
      </c>
      <c r="R4" t="s">
        <v>19</v>
      </c>
    </row>
    <row r="5" spans="1:18" x14ac:dyDescent="0.25">
      <c r="A5" s="1" t="s">
        <v>20</v>
      </c>
      <c r="B5" s="1" t="s">
        <v>14</v>
      </c>
      <c r="C5" s="1" t="s">
        <v>22</v>
      </c>
      <c r="D5" s="1" t="s">
        <v>16</v>
      </c>
      <c r="E5" s="1" t="s">
        <v>2</v>
      </c>
      <c r="F5" s="1">
        <v>194</v>
      </c>
      <c r="G5" s="1">
        <v>194</v>
      </c>
      <c r="H5" s="1">
        <v>194</v>
      </c>
      <c r="I5" s="1">
        <v>217</v>
      </c>
      <c r="J5" s="1">
        <v>235</v>
      </c>
      <c r="K5" s="1">
        <v>228</v>
      </c>
      <c r="L5" s="1">
        <v>248</v>
      </c>
      <c r="M5" s="1">
        <v>223</v>
      </c>
      <c r="N5" s="1">
        <v>160</v>
      </c>
      <c r="O5" s="1">
        <v>81</v>
      </c>
    </row>
    <row r="6" spans="1:18" x14ac:dyDescent="0.25">
      <c r="A6" s="1" t="s">
        <v>20</v>
      </c>
      <c r="B6" s="1" t="s">
        <v>14</v>
      </c>
      <c r="C6" s="1" t="s">
        <v>22</v>
      </c>
      <c r="D6" s="1" t="s">
        <v>21</v>
      </c>
      <c r="E6" s="1" t="s">
        <v>2</v>
      </c>
      <c r="F6" s="1">
        <v>194</v>
      </c>
      <c r="G6" s="1">
        <v>194</v>
      </c>
      <c r="H6" s="1">
        <v>194</v>
      </c>
      <c r="I6" s="1">
        <v>217</v>
      </c>
      <c r="J6" s="1">
        <v>235</v>
      </c>
      <c r="K6" s="1">
        <v>228</v>
      </c>
      <c r="L6" s="1">
        <v>248</v>
      </c>
      <c r="M6" s="1">
        <v>223</v>
      </c>
      <c r="N6" s="1">
        <v>160</v>
      </c>
      <c r="O6" s="1">
        <v>81</v>
      </c>
    </row>
    <row r="7" spans="1:18" x14ac:dyDescent="0.25">
      <c r="A7" s="1" t="s">
        <v>10</v>
      </c>
      <c r="B7" s="1" t="s">
        <v>14</v>
      </c>
      <c r="C7" s="1" t="s">
        <v>15</v>
      </c>
      <c r="D7" s="1" t="s">
        <v>21</v>
      </c>
      <c r="E7" s="1" t="s">
        <v>2</v>
      </c>
      <c r="F7" s="1">
        <v>194</v>
      </c>
      <c r="G7" s="1">
        <v>194</v>
      </c>
      <c r="H7" s="1">
        <v>194</v>
      </c>
      <c r="J7" s="1">
        <v>235</v>
      </c>
      <c r="K7" s="1">
        <v>228</v>
      </c>
      <c r="L7" s="1">
        <v>247</v>
      </c>
      <c r="M7" s="1">
        <v>48</v>
      </c>
      <c r="N7" s="1">
        <v>48</v>
      </c>
      <c r="O7" s="1">
        <v>48</v>
      </c>
    </row>
    <row r="8" spans="1:18" x14ac:dyDescent="0.25">
      <c r="A8" s="1" t="s">
        <v>10</v>
      </c>
      <c r="B8" s="1" t="s">
        <v>14</v>
      </c>
      <c r="C8" s="1" t="s">
        <v>22</v>
      </c>
      <c r="D8" s="1" t="s">
        <v>21</v>
      </c>
      <c r="E8" s="1" t="s">
        <v>2</v>
      </c>
      <c r="F8" s="1">
        <v>194</v>
      </c>
      <c r="G8" s="1">
        <v>194</v>
      </c>
      <c r="H8" s="1">
        <v>194</v>
      </c>
      <c r="J8" s="1">
        <v>235</v>
      </c>
      <c r="K8" s="1">
        <v>228</v>
      </c>
      <c r="L8" s="1">
        <v>247</v>
      </c>
      <c r="M8" s="1">
        <v>11</v>
      </c>
      <c r="N8" s="1">
        <v>11</v>
      </c>
      <c r="O8" s="1">
        <v>11</v>
      </c>
    </row>
    <row r="9" spans="1:18" x14ac:dyDescent="0.25">
      <c r="A9" s="1" t="s">
        <v>23</v>
      </c>
      <c r="B9" s="1" t="s">
        <v>14</v>
      </c>
      <c r="C9" s="1" t="s">
        <v>15</v>
      </c>
      <c r="D9" s="1" t="s">
        <v>16</v>
      </c>
      <c r="E9" s="1" t="s">
        <v>2</v>
      </c>
      <c r="F9" s="1">
        <v>194</v>
      </c>
      <c r="G9" s="1">
        <v>194</v>
      </c>
      <c r="H9" s="1">
        <v>194</v>
      </c>
      <c r="J9" s="1">
        <v>235</v>
      </c>
      <c r="K9" s="1">
        <v>228</v>
      </c>
      <c r="L9" s="1">
        <v>248</v>
      </c>
      <c r="M9" s="1">
        <v>229</v>
      </c>
      <c r="N9" s="1">
        <v>158</v>
      </c>
      <c r="O9" s="1">
        <v>88</v>
      </c>
    </row>
    <row r="10" spans="1:18" x14ac:dyDescent="0.25">
      <c r="A10" s="1" t="s">
        <v>24</v>
      </c>
      <c r="B10" s="1" t="s">
        <v>14</v>
      </c>
      <c r="C10" s="1" t="s">
        <v>15</v>
      </c>
      <c r="D10" s="1" t="s">
        <v>16</v>
      </c>
      <c r="E10" s="1" t="s">
        <v>2</v>
      </c>
      <c r="F10" s="1">
        <v>194</v>
      </c>
      <c r="G10" s="1">
        <v>194</v>
      </c>
      <c r="H10" s="1">
        <v>194</v>
      </c>
      <c r="I10" s="1">
        <v>217</v>
      </c>
      <c r="J10" s="1">
        <v>235</v>
      </c>
      <c r="K10" s="1">
        <v>228</v>
      </c>
      <c r="L10" s="1">
        <v>248</v>
      </c>
      <c r="M10" s="1">
        <v>229</v>
      </c>
      <c r="N10" s="1">
        <v>158</v>
      </c>
      <c r="O10" s="1">
        <v>88</v>
      </c>
    </row>
    <row r="11" spans="1:18" x14ac:dyDescent="0.25">
      <c r="A11" s="1" t="s">
        <v>24</v>
      </c>
      <c r="B11" s="1" t="s">
        <v>14</v>
      </c>
      <c r="C11" s="1" t="s">
        <v>22</v>
      </c>
      <c r="D11" s="1" t="s">
        <v>16</v>
      </c>
      <c r="E11" s="1" t="s">
        <v>2</v>
      </c>
      <c r="F11" s="1">
        <v>194</v>
      </c>
      <c r="G11" s="1">
        <v>194</v>
      </c>
      <c r="H11" s="1">
        <v>194</v>
      </c>
      <c r="I11" s="1">
        <v>217</v>
      </c>
      <c r="J11" s="1">
        <v>235</v>
      </c>
      <c r="K11" s="1">
        <v>228</v>
      </c>
      <c r="L11" s="1">
        <v>247</v>
      </c>
      <c r="M11" s="1">
        <v>223</v>
      </c>
      <c r="N11" s="1">
        <v>145</v>
      </c>
      <c r="O11" s="1">
        <v>66</v>
      </c>
    </row>
    <row r="12" spans="1:18" x14ac:dyDescent="0.25">
      <c r="A12" s="1" t="s">
        <v>25</v>
      </c>
      <c r="B12" s="1" t="s">
        <v>14</v>
      </c>
      <c r="C12" s="1" t="s">
        <v>22</v>
      </c>
      <c r="D12" s="1" t="s">
        <v>16</v>
      </c>
      <c r="E12" s="1" t="s">
        <v>2</v>
      </c>
      <c r="F12" s="1">
        <v>194</v>
      </c>
      <c r="G12" s="1">
        <v>194</v>
      </c>
      <c r="H12" s="1">
        <v>194</v>
      </c>
      <c r="J12" s="1">
        <v>235</v>
      </c>
      <c r="K12" s="1">
        <v>228</v>
      </c>
      <c r="L12" s="1">
        <v>247</v>
      </c>
      <c r="M12" s="1">
        <v>190</v>
      </c>
      <c r="N12" s="1">
        <v>112</v>
      </c>
      <c r="O12" s="1">
        <v>58</v>
      </c>
    </row>
    <row r="13" spans="1:18" x14ac:dyDescent="0.25">
      <c r="A13" s="1" t="s">
        <v>26</v>
      </c>
      <c r="B13" s="1" t="s">
        <v>28</v>
      </c>
      <c r="D13" s="1" t="s">
        <v>16</v>
      </c>
      <c r="E13" s="1" t="s">
        <v>2</v>
      </c>
      <c r="F13" s="1">
        <v>110.87</v>
      </c>
      <c r="G13" s="1">
        <v>108.2</v>
      </c>
      <c r="H13" s="1">
        <v>108.2</v>
      </c>
      <c r="I13" s="1">
        <v>91.2</v>
      </c>
      <c r="J13" s="1">
        <v>86.33</v>
      </c>
      <c r="K13" s="1">
        <v>86.33</v>
      </c>
      <c r="L13" s="1">
        <v>81.45</v>
      </c>
      <c r="M13" s="1">
        <v>66.08</v>
      </c>
      <c r="N13" s="3">
        <v>67.680000000000007</v>
      </c>
      <c r="O13" s="1">
        <v>60.16</v>
      </c>
    </row>
    <row r="14" spans="1:18" x14ac:dyDescent="0.25">
      <c r="A14" s="1" t="s">
        <v>27</v>
      </c>
      <c r="B14" s="1" t="s">
        <v>28</v>
      </c>
      <c r="D14" s="1" t="s">
        <v>16</v>
      </c>
      <c r="E14" s="1" t="s">
        <v>2</v>
      </c>
      <c r="F14" s="1">
        <v>110.87</v>
      </c>
      <c r="G14" s="1">
        <v>108.2</v>
      </c>
      <c r="H14" s="1">
        <v>108.2</v>
      </c>
      <c r="I14" s="1">
        <v>91.2</v>
      </c>
      <c r="J14" s="1">
        <v>86.33</v>
      </c>
      <c r="K14" s="1">
        <v>86.33</v>
      </c>
      <c r="L14" s="1">
        <v>81.45</v>
      </c>
      <c r="M14" s="1">
        <v>81.05</v>
      </c>
      <c r="N14" s="3">
        <v>86.42</v>
      </c>
      <c r="O14" s="1">
        <v>81.05</v>
      </c>
    </row>
    <row r="15" spans="1:18" x14ac:dyDescent="0.25">
      <c r="A15" s="1" t="s">
        <v>26</v>
      </c>
      <c r="B15" s="1" t="s">
        <v>29</v>
      </c>
      <c r="C15" s="1" t="s">
        <v>31</v>
      </c>
      <c r="D15" s="1" t="s">
        <v>16</v>
      </c>
      <c r="E15" s="1" t="s">
        <v>2</v>
      </c>
      <c r="F15" s="1">
        <v>77.53</v>
      </c>
      <c r="G15" s="1">
        <v>77.53</v>
      </c>
      <c r="H15" s="1">
        <v>77.53</v>
      </c>
      <c r="I15" s="1">
        <v>74.930000000000007</v>
      </c>
      <c r="J15" s="1">
        <v>73.8</v>
      </c>
      <c r="K15" s="1">
        <v>73.8</v>
      </c>
      <c r="L15" s="1">
        <v>71</v>
      </c>
      <c r="M15" s="1">
        <v>62.84</v>
      </c>
      <c r="N15" s="1">
        <v>55.02</v>
      </c>
      <c r="O15" s="1">
        <v>48.53</v>
      </c>
    </row>
    <row r="16" spans="1:18" x14ac:dyDescent="0.25">
      <c r="A16" s="1" t="s">
        <v>26</v>
      </c>
      <c r="B16" s="1" t="s">
        <v>29</v>
      </c>
      <c r="C16" s="1" t="s">
        <v>32</v>
      </c>
      <c r="D16" s="1" t="s">
        <v>16</v>
      </c>
      <c r="E16" s="1" t="s">
        <v>2</v>
      </c>
      <c r="F16" s="1">
        <v>74.67</v>
      </c>
      <c r="G16" s="1">
        <v>76.599999999999994</v>
      </c>
      <c r="H16" s="1">
        <v>76.599999999999994</v>
      </c>
      <c r="I16" s="1">
        <v>72.400000000000006</v>
      </c>
      <c r="J16" s="1">
        <v>72.400000000000006</v>
      </c>
      <c r="K16" s="1">
        <v>72.400000000000006</v>
      </c>
      <c r="L16" s="1">
        <v>68.069999999999993</v>
      </c>
      <c r="M16" s="1">
        <v>47.83</v>
      </c>
      <c r="N16" s="1">
        <v>34.93</v>
      </c>
      <c r="O16" s="1">
        <v>24.03</v>
      </c>
    </row>
    <row r="17" spans="1:15" x14ac:dyDescent="0.25">
      <c r="A17" s="1" t="s">
        <v>26</v>
      </c>
      <c r="B17" s="1" t="s">
        <v>29</v>
      </c>
      <c r="C17" s="1" t="s">
        <v>32</v>
      </c>
      <c r="D17" s="1" t="s">
        <v>21</v>
      </c>
      <c r="E17" s="1" t="s">
        <v>2</v>
      </c>
      <c r="F17" s="1">
        <v>74.67</v>
      </c>
      <c r="G17" s="1">
        <v>76.569999999999993</v>
      </c>
      <c r="H17" s="1">
        <v>76.569999999999993</v>
      </c>
      <c r="I17" s="1">
        <v>72.37</v>
      </c>
      <c r="J17" s="1">
        <v>72.37</v>
      </c>
      <c r="K17" s="1">
        <v>72.37</v>
      </c>
      <c r="L17" s="1">
        <v>68.069999999999993</v>
      </c>
      <c r="M17" s="1">
        <v>47.83</v>
      </c>
      <c r="N17" s="1">
        <v>34.93</v>
      </c>
      <c r="O17" s="1">
        <v>24.03</v>
      </c>
    </row>
    <row r="18" spans="1:15" x14ac:dyDescent="0.25">
      <c r="A18" s="1" t="s">
        <v>20</v>
      </c>
      <c r="B18" s="1" t="s">
        <v>29</v>
      </c>
      <c r="C18" s="1" t="s">
        <v>32</v>
      </c>
      <c r="D18" s="1" t="s">
        <v>16</v>
      </c>
      <c r="E18" s="1" t="s">
        <v>2</v>
      </c>
      <c r="F18" s="1">
        <v>74.67</v>
      </c>
      <c r="G18" s="1">
        <v>76.599999999999994</v>
      </c>
      <c r="H18" s="1">
        <v>76.599999999999994</v>
      </c>
      <c r="I18" s="1">
        <v>72.400000000000006</v>
      </c>
      <c r="J18" s="1">
        <v>72.400000000000006</v>
      </c>
      <c r="K18" s="1">
        <v>72.400000000000006</v>
      </c>
      <c r="L18" s="1">
        <v>68.069999999999993</v>
      </c>
      <c r="M18" s="1">
        <v>47.83</v>
      </c>
      <c r="N18" s="1">
        <v>34.93</v>
      </c>
      <c r="O18" s="1">
        <v>17.760000000000002</v>
      </c>
    </row>
    <row r="19" spans="1:15" x14ac:dyDescent="0.25">
      <c r="A19" s="1" t="s">
        <v>20</v>
      </c>
      <c r="B19" s="1" t="s">
        <v>29</v>
      </c>
      <c r="C19" s="1" t="s">
        <v>32</v>
      </c>
      <c r="D19" s="1" t="s">
        <v>21</v>
      </c>
      <c r="E19" s="1" t="s">
        <v>2</v>
      </c>
      <c r="F19" s="1">
        <v>74.67</v>
      </c>
      <c r="G19" s="1">
        <v>76.569999999999993</v>
      </c>
      <c r="J19" s="1">
        <v>72.37</v>
      </c>
      <c r="K19" s="1">
        <v>72.37</v>
      </c>
      <c r="L19" s="1">
        <v>68.069999999999993</v>
      </c>
      <c r="M19" s="1">
        <v>47.83</v>
      </c>
      <c r="N19" s="1">
        <v>34.93</v>
      </c>
      <c r="O19" s="1">
        <v>17.760000000000002</v>
      </c>
    </row>
    <row r="20" spans="1:15" x14ac:dyDescent="0.25">
      <c r="A20" s="1" t="s">
        <v>27</v>
      </c>
      <c r="B20" s="1" t="s">
        <v>29</v>
      </c>
      <c r="C20" s="1" t="s">
        <v>31</v>
      </c>
      <c r="D20" s="1" t="s">
        <v>16</v>
      </c>
      <c r="E20" s="1" t="s">
        <v>2</v>
      </c>
      <c r="F20" s="1">
        <v>77.53</v>
      </c>
      <c r="G20" s="1">
        <v>77.53</v>
      </c>
      <c r="H20" s="1">
        <v>77.53</v>
      </c>
      <c r="I20" s="1">
        <v>74.930000000000007</v>
      </c>
      <c r="J20" s="1">
        <v>73.8</v>
      </c>
      <c r="K20" s="1">
        <v>73.8</v>
      </c>
      <c r="L20" s="1">
        <v>71</v>
      </c>
      <c r="M20" s="1">
        <v>66.92</v>
      </c>
      <c r="N20" s="1">
        <v>63.17</v>
      </c>
      <c r="O20" s="1">
        <v>63.17</v>
      </c>
    </row>
    <row r="21" spans="1:15" x14ac:dyDescent="0.25">
      <c r="A21" s="1" t="s">
        <v>30</v>
      </c>
      <c r="B21" s="1" t="s">
        <v>29</v>
      </c>
      <c r="C21" s="1" t="s">
        <v>31</v>
      </c>
      <c r="D21" s="1" t="s">
        <v>16</v>
      </c>
      <c r="E21" s="1" t="s">
        <v>2</v>
      </c>
      <c r="F21" s="1">
        <v>77.53</v>
      </c>
      <c r="G21" s="1">
        <v>77.53</v>
      </c>
      <c r="H21" s="1">
        <v>77.53</v>
      </c>
      <c r="I21" s="1">
        <v>74.930000000000007</v>
      </c>
      <c r="J21" s="1">
        <v>73.8</v>
      </c>
      <c r="K21" s="1">
        <v>73.8</v>
      </c>
      <c r="L21" s="1">
        <v>71</v>
      </c>
      <c r="M21" s="1">
        <v>52.68</v>
      </c>
      <c r="N21" s="1">
        <v>34.700000000000003</v>
      </c>
      <c r="O21" s="1">
        <v>26.13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39461-E404-4CDD-9C8A-E5F85822563C}">
  <dimension ref="A1:R4"/>
  <sheetViews>
    <sheetView workbookViewId="0">
      <selection activeCell="M32" sqref="M3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x14ac:dyDescent="0.25">
      <c r="A2" s="1" t="s">
        <v>26</v>
      </c>
      <c r="B2" s="1" t="s">
        <v>28</v>
      </c>
      <c r="D2" s="1" t="s">
        <v>16</v>
      </c>
      <c r="E2" s="1" t="s">
        <v>2</v>
      </c>
      <c r="F2" s="1">
        <v>110.87</v>
      </c>
      <c r="G2" s="1">
        <v>108.2</v>
      </c>
      <c r="H2" s="1">
        <v>108.2</v>
      </c>
      <c r="I2" s="1">
        <v>91.2</v>
      </c>
      <c r="J2" s="1">
        <v>86.33</v>
      </c>
      <c r="K2" s="1">
        <v>86.33</v>
      </c>
      <c r="L2" s="1">
        <v>81.45</v>
      </c>
      <c r="M2" s="1">
        <v>66.08</v>
      </c>
      <c r="N2" s="3">
        <v>67.680000000000007</v>
      </c>
      <c r="O2" s="1">
        <v>60.16</v>
      </c>
      <c r="R2" t="s">
        <v>17</v>
      </c>
    </row>
    <row r="3" spans="1:18" x14ac:dyDescent="0.25">
      <c r="A3" s="1" t="s">
        <v>27</v>
      </c>
      <c r="B3" s="1" t="s">
        <v>28</v>
      </c>
      <c r="D3" s="1" t="s">
        <v>16</v>
      </c>
      <c r="E3" s="1" t="s">
        <v>2</v>
      </c>
      <c r="F3" s="1">
        <v>110.87</v>
      </c>
      <c r="G3" s="1">
        <v>108.2</v>
      </c>
      <c r="H3" s="1">
        <v>108.2</v>
      </c>
      <c r="I3" s="1">
        <v>91.2</v>
      </c>
      <c r="J3" s="1">
        <v>86.33</v>
      </c>
      <c r="K3" s="1">
        <v>86.33</v>
      </c>
      <c r="L3" s="1">
        <v>81.45</v>
      </c>
      <c r="M3" s="1">
        <v>81.05</v>
      </c>
      <c r="N3" s="3">
        <v>86.42</v>
      </c>
      <c r="O3" s="1">
        <v>81.05</v>
      </c>
      <c r="R3" t="s">
        <v>18</v>
      </c>
    </row>
    <row r="4" spans="1:18" x14ac:dyDescent="0.25">
      <c r="R4" t="s">
        <v>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5036-D6C1-4FED-B2E8-2094B961D26C}">
  <sheetPr>
    <pageSetUpPr fitToPage="1"/>
  </sheetPr>
  <dimension ref="A1:Q8"/>
  <sheetViews>
    <sheetView tabSelected="1" topLeftCell="A22" workbookViewId="0">
      <selection activeCell="D40" sqref="D40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26</v>
      </c>
      <c r="B2" s="1" t="s">
        <v>29</v>
      </c>
      <c r="C2" s="1" t="s">
        <v>31</v>
      </c>
      <c r="D2" s="1" t="s">
        <v>16</v>
      </c>
      <c r="E2" s="1" t="s">
        <v>2</v>
      </c>
      <c r="F2" s="1">
        <v>77.53</v>
      </c>
      <c r="G2" s="1">
        <v>77.53</v>
      </c>
      <c r="H2" s="1">
        <v>77.53</v>
      </c>
      <c r="I2" s="1">
        <v>74.930000000000007</v>
      </c>
      <c r="J2" s="1">
        <v>73.8</v>
      </c>
      <c r="K2" s="1">
        <v>73.8</v>
      </c>
      <c r="L2" s="1">
        <v>71</v>
      </c>
      <c r="M2" s="1">
        <v>62.84</v>
      </c>
      <c r="N2" s="1">
        <v>55.02</v>
      </c>
      <c r="O2" s="1">
        <v>48.53</v>
      </c>
    </row>
    <row r="3" spans="1:15" x14ac:dyDescent="0.25">
      <c r="A3" s="1" t="s">
        <v>26</v>
      </c>
      <c r="B3" s="1" t="s">
        <v>29</v>
      </c>
      <c r="C3" s="1" t="s">
        <v>32</v>
      </c>
      <c r="D3" s="1" t="s">
        <v>16</v>
      </c>
      <c r="E3" s="1" t="s">
        <v>2</v>
      </c>
      <c r="F3" s="1">
        <v>74.67</v>
      </c>
      <c r="G3" s="1">
        <v>76.599999999999994</v>
      </c>
      <c r="H3" s="1">
        <v>76.599999999999994</v>
      </c>
      <c r="I3" s="1">
        <v>72.400000000000006</v>
      </c>
      <c r="J3" s="1">
        <v>72.400000000000006</v>
      </c>
      <c r="K3" s="1">
        <v>72.400000000000006</v>
      </c>
      <c r="L3" s="1">
        <v>68.069999999999993</v>
      </c>
      <c r="M3" s="1">
        <v>47.83</v>
      </c>
      <c r="N3" s="1">
        <v>34.93</v>
      </c>
      <c r="O3" s="1">
        <v>24.03</v>
      </c>
    </row>
    <row r="4" spans="1:15" x14ac:dyDescent="0.25">
      <c r="A4" s="1" t="s">
        <v>26</v>
      </c>
      <c r="B4" s="1" t="s">
        <v>29</v>
      </c>
      <c r="C4" s="1" t="s">
        <v>32</v>
      </c>
      <c r="D4" s="1" t="s">
        <v>21</v>
      </c>
      <c r="E4" s="1" t="s">
        <v>2</v>
      </c>
      <c r="F4" s="1">
        <v>74.67</v>
      </c>
      <c r="G4" s="1">
        <v>76.569999999999993</v>
      </c>
      <c r="H4" s="1">
        <v>76.569999999999993</v>
      </c>
      <c r="I4" s="1">
        <v>72.37</v>
      </c>
      <c r="J4" s="1">
        <v>72.37</v>
      </c>
      <c r="K4" s="1">
        <v>72.37</v>
      </c>
      <c r="L4" s="1">
        <v>68.069999999999993</v>
      </c>
      <c r="M4" s="1">
        <v>47.83</v>
      </c>
      <c r="N4" s="1">
        <v>34.93</v>
      </c>
      <c r="O4" s="1">
        <v>24.03</v>
      </c>
    </row>
    <row r="5" spans="1:15" x14ac:dyDescent="0.25">
      <c r="A5" s="1" t="s">
        <v>20</v>
      </c>
      <c r="B5" s="1" t="s">
        <v>29</v>
      </c>
      <c r="C5" s="1" t="s">
        <v>32</v>
      </c>
      <c r="D5" s="1" t="s">
        <v>16</v>
      </c>
      <c r="E5" s="1" t="s">
        <v>2</v>
      </c>
      <c r="F5" s="1">
        <v>74.67</v>
      </c>
      <c r="G5" s="1">
        <v>76.599999999999994</v>
      </c>
      <c r="H5" s="1">
        <v>76.599999999999994</v>
      </c>
      <c r="I5" s="1">
        <v>72.400000000000006</v>
      </c>
      <c r="J5" s="1">
        <v>72.400000000000006</v>
      </c>
      <c r="K5" s="1">
        <v>72.400000000000006</v>
      </c>
      <c r="L5" s="1">
        <v>68.069999999999993</v>
      </c>
      <c r="M5" s="1">
        <v>47.83</v>
      </c>
      <c r="N5" s="1">
        <v>34.93</v>
      </c>
      <c r="O5" s="1">
        <v>17.760000000000002</v>
      </c>
    </row>
    <row r="6" spans="1:15" x14ac:dyDescent="0.25">
      <c r="A6" s="1" t="s">
        <v>20</v>
      </c>
      <c r="B6" s="1" t="s">
        <v>29</v>
      </c>
      <c r="C6" s="1" t="s">
        <v>32</v>
      </c>
      <c r="D6" s="1" t="s">
        <v>21</v>
      </c>
      <c r="E6" s="1" t="s">
        <v>2</v>
      </c>
      <c r="F6" s="1">
        <v>74.67</v>
      </c>
      <c r="G6" s="1">
        <v>76.569999999999993</v>
      </c>
      <c r="J6" s="1">
        <v>72.37</v>
      </c>
      <c r="K6" s="1">
        <v>72.37</v>
      </c>
      <c r="L6" s="1">
        <v>68.069999999999993</v>
      </c>
      <c r="M6" s="1">
        <v>47.83</v>
      </c>
      <c r="N6" s="1">
        <v>34.93</v>
      </c>
      <c r="O6" s="1">
        <v>17.760000000000002</v>
      </c>
    </row>
    <row r="7" spans="1:15" x14ac:dyDescent="0.25">
      <c r="A7" s="1" t="s">
        <v>27</v>
      </c>
      <c r="B7" s="1" t="s">
        <v>29</v>
      </c>
      <c r="C7" s="1" t="s">
        <v>31</v>
      </c>
      <c r="D7" s="1" t="s">
        <v>16</v>
      </c>
      <c r="E7" s="1" t="s">
        <v>2</v>
      </c>
      <c r="F7" s="1">
        <v>77.53</v>
      </c>
      <c r="G7" s="1">
        <v>77.53</v>
      </c>
      <c r="H7" s="1">
        <v>77.53</v>
      </c>
      <c r="I7" s="1">
        <v>74.930000000000007</v>
      </c>
      <c r="J7" s="1">
        <v>73.8</v>
      </c>
      <c r="K7" s="1">
        <v>73.8</v>
      </c>
      <c r="L7" s="1">
        <v>71</v>
      </c>
      <c r="M7" s="1">
        <v>66.92</v>
      </c>
      <c r="N7" s="1">
        <v>63.17</v>
      </c>
      <c r="O7" s="1">
        <v>63.17</v>
      </c>
    </row>
    <row r="8" spans="1:15" x14ac:dyDescent="0.25">
      <c r="A8" s="1" t="s">
        <v>30</v>
      </c>
      <c r="B8" s="1" t="s">
        <v>29</v>
      </c>
      <c r="C8" s="1" t="s">
        <v>31</v>
      </c>
      <c r="D8" s="1" t="s">
        <v>16</v>
      </c>
      <c r="E8" s="1" t="s">
        <v>2</v>
      </c>
      <c r="F8" s="1">
        <v>77.53</v>
      </c>
      <c r="G8" s="1">
        <v>77.53</v>
      </c>
      <c r="H8" s="1">
        <v>77.53</v>
      </c>
      <c r="I8" s="1">
        <v>74.930000000000007</v>
      </c>
      <c r="J8" s="1">
        <v>73.8</v>
      </c>
      <c r="K8" s="1">
        <v>73.8</v>
      </c>
      <c r="L8" s="1">
        <v>71</v>
      </c>
      <c r="M8" s="1">
        <v>52.68</v>
      </c>
      <c r="N8" s="1">
        <v>34.700000000000003</v>
      </c>
      <c r="O8" s="1">
        <v>26.13</v>
      </c>
    </row>
  </sheetData>
  <pageMargins left="0.7" right="0.7" top="1" bottom="0.75" header="0.3" footer="0.3"/>
  <pageSetup scale="86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0799-2978-4A33-886D-B4BCA4DF1EA8}">
  <dimension ref="A1:Q4"/>
  <sheetViews>
    <sheetView workbookViewId="0">
      <selection sqref="A1:O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20</v>
      </c>
      <c r="B2" s="1" t="s">
        <v>34</v>
      </c>
      <c r="C2" s="1" t="s">
        <v>15</v>
      </c>
      <c r="D2" s="1" t="s">
        <v>16</v>
      </c>
      <c r="E2" s="1" t="s">
        <v>2</v>
      </c>
      <c r="F2" s="1">
        <v>4667</v>
      </c>
      <c r="G2" s="1">
        <v>4800</v>
      </c>
      <c r="K2" s="1">
        <v>4291</v>
      </c>
      <c r="L2" s="1">
        <v>4041</v>
      </c>
      <c r="M2" s="1">
        <v>3897</v>
      </c>
      <c r="N2" s="1">
        <v>3656</v>
      </c>
      <c r="O2" s="1">
        <v>2691</v>
      </c>
    </row>
    <row r="3" spans="1:15" x14ac:dyDescent="0.25">
      <c r="A3" s="1" t="s">
        <v>33</v>
      </c>
      <c r="B3" s="1" t="s">
        <v>34</v>
      </c>
      <c r="C3" s="1" t="s">
        <v>15</v>
      </c>
      <c r="D3" s="1" t="s">
        <v>16</v>
      </c>
      <c r="E3" s="1" t="s">
        <v>2</v>
      </c>
      <c r="F3" s="1">
        <v>4667</v>
      </c>
      <c r="G3" s="1">
        <v>4800</v>
      </c>
      <c r="K3" s="1">
        <v>4291</v>
      </c>
      <c r="L3" s="1">
        <v>4041</v>
      </c>
      <c r="M3" s="1">
        <v>3897</v>
      </c>
      <c r="N3" s="1">
        <v>3656</v>
      </c>
      <c r="O3" s="1">
        <v>2691</v>
      </c>
    </row>
    <row r="4" spans="1:15" x14ac:dyDescent="0.25">
      <c r="A4" s="1" t="s">
        <v>25</v>
      </c>
      <c r="B4" s="1" t="s">
        <v>34</v>
      </c>
      <c r="C4" s="1" t="s">
        <v>15</v>
      </c>
      <c r="D4" s="1" t="s">
        <v>16</v>
      </c>
      <c r="E4" s="1" t="s">
        <v>2</v>
      </c>
      <c r="M4" s="1">
        <v>884</v>
      </c>
      <c r="N4" s="1">
        <v>884</v>
      </c>
      <c r="O4" s="1">
        <v>884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0BB38-5038-4A8E-9FE0-324651ECFCD0}">
  <dimension ref="A1:Z87"/>
  <sheetViews>
    <sheetView topLeftCell="A83" workbookViewId="0">
      <selection activeCell="A51" sqref="A51:O8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26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26" x14ac:dyDescent="0.25">
      <c r="A2" s="1" t="s">
        <v>26</v>
      </c>
      <c r="B2" s="1" t="s">
        <v>66</v>
      </c>
      <c r="C2" s="1" t="s">
        <v>35</v>
      </c>
      <c r="D2" s="1" t="s">
        <v>16</v>
      </c>
      <c r="E2" s="1" t="s">
        <v>2</v>
      </c>
      <c r="F2" s="1">
        <v>2.72</v>
      </c>
      <c r="G2" s="1">
        <v>2.65</v>
      </c>
      <c r="H2" s="1">
        <v>2.8</v>
      </c>
      <c r="I2" s="1">
        <v>2.8</v>
      </c>
      <c r="J2" s="1">
        <v>2.8</v>
      </c>
      <c r="K2" s="1">
        <v>2.8</v>
      </c>
      <c r="L2" s="1">
        <v>2.65</v>
      </c>
      <c r="M2" s="1">
        <v>2.4500000000000002</v>
      </c>
      <c r="N2" s="1">
        <v>2.4700000000000002</v>
      </c>
      <c r="O2" s="1">
        <v>2.06</v>
      </c>
    </row>
    <row r="3" spans="1:26" x14ac:dyDescent="0.25">
      <c r="A3" s="1" t="s">
        <v>26</v>
      </c>
      <c r="B3" s="1" t="s">
        <v>66</v>
      </c>
      <c r="C3" s="1" t="s">
        <v>35</v>
      </c>
      <c r="D3" s="1" t="s">
        <v>21</v>
      </c>
      <c r="E3" s="1" t="s">
        <v>2</v>
      </c>
      <c r="F3" s="1">
        <v>2.72</v>
      </c>
      <c r="G3" s="1">
        <v>2.65</v>
      </c>
      <c r="H3" s="1">
        <v>2.8</v>
      </c>
      <c r="I3" s="1">
        <v>2.8</v>
      </c>
      <c r="J3" s="1">
        <v>2.8</v>
      </c>
      <c r="K3" s="1">
        <v>2.8</v>
      </c>
      <c r="L3" s="1">
        <v>2.8</v>
      </c>
      <c r="M3" s="1">
        <v>2.65</v>
      </c>
      <c r="N3" s="1">
        <v>2.4700000000000002</v>
      </c>
      <c r="O3" s="1">
        <v>2.06</v>
      </c>
    </row>
    <row r="4" spans="1:26" x14ac:dyDescent="0.25">
      <c r="A4" s="1" t="s">
        <v>26</v>
      </c>
      <c r="B4" s="1" t="s">
        <v>66</v>
      </c>
      <c r="C4" s="1" t="s">
        <v>36</v>
      </c>
      <c r="D4" s="1" t="s">
        <v>16</v>
      </c>
      <c r="E4" s="1" t="s">
        <v>2</v>
      </c>
      <c r="F4" s="1">
        <v>2.72</v>
      </c>
      <c r="G4" s="1">
        <v>2.65</v>
      </c>
      <c r="H4" s="1">
        <v>2.8</v>
      </c>
      <c r="I4" s="1">
        <v>2.8</v>
      </c>
      <c r="J4" s="1">
        <v>2.8</v>
      </c>
      <c r="K4" s="1">
        <v>2.8</v>
      </c>
      <c r="L4" s="1">
        <v>2.65</v>
      </c>
      <c r="M4" s="1">
        <v>2.4500000000000002</v>
      </c>
      <c r="N4" s="1">
        <v>2.4700000000000002</v>
      </c>
      <c r="O4" s="1">
        <v>2.06</v>
      </c>
    </row>
    <row r="5" spans="1:26" x14ac:dyDescent="0.25">
      <c r="A5" s="1" t="s">
        <v>26</v>
      </c>
      <c r="B5" s="1" t="s">
        <v>66</v>
      </c>
      <c r="C5" s="1" t="s">
        <v>36</v>
      </c>
      <c r="D5" s="1" t="s">
        <v>21</v>
      </c>
      <c r="E5" s="1" t="s">
        <v>2</v>
      </c>
      <c r="F5" s="1">
        <v>2.72</v>
      </c>
      <c r="G5" s="1">
        <v>2.65</v>
      </c>
      <c r="H5" s="1">
        <v>2.8</v>
      </c>
      <c r="I5" s="1">
        <v>2.8</v>
      </c>
      <c r="J5" s="1">
        <v>2.8</v>
      </c>
      <c r="K5" s="1">
        <v>2.8</v>
      </c>
      <c r="L5" s="1">
        <v>2.65</v>
      </c>
      <c r="M5" s="1">
        <v>2.4500000000000002</v>
      </c>
      <c r="N5" s="1">
        <v>2.4700000000000002</v>
      </c>
      <c r="O5" s="1">
        <v>2.06</v>
      </c>
    </row>
    <row r="6" spans="1:26" x14ac:dyDescent="0.25">
      <c r="A6" s="1" t="s">
        <v>26</v>
      </c>
      <c r="B6" s="1" t="s">
        <v>66</v>
      </c>
      <c r="C6" s="1" t="s">
        <v>37</v>
      </c>
      <c r="D6" s="1" t="s">
        <v>21</v>
      </c>
      <c r="E6" s="1" t="s">
        <v>2</v>
      </c>
      <c r="F6" s="1">
        <v>2.72</v>
      </c>
      <c r="G6" s="1">
        <v>2.65</v>
      </c>
      <c r="H6" s="1">
        <v>2.8</v>
      </c>
      <c r="I6" s="1">
        <v>2.8</v>
      </c>
      <c r="J6" s="1">
        <v>2.8</v>
      </c>
      <c r="K6" s="1">
        <v>2.8</v>
      </c>
      <c r="L6" s="1">
        <v>2.6</v>
      </c>
      <c r="M6" s="1">
        <v>2.2000000000000002</v>
      </c>
      <c r="N6" s="1">
        <v>2.19</v>
      </c>
      <c r="O6" s="1">
        <v>2.0499999999999998</v>
      </c>
    </row>
    <row r="7" spans="1:26" x14ac:dyDescent="0.25">
      <c r="A7" s="1" t="s">
        <v>26</v>
      </c>
      <c r="B7" s="1" t="s">
        <v>66</v>
      </c>
      <c r="C7" s="1" t="s">
        <v>38</v>
      </c>
      <c r="D7" s="1" t="s">
        <v>21</v>
      </c>
      <c r="E7" s="1" t="s">
        <v>2</v>
      </c>
      <c r="F7" s="1">
        <v>2.72</v>
      </c>
      <c r="G7" s="1">
        <v>2.65</v>
      </c>
      <c r="H7" s="1">
        <v>2.65</v>
      </c>
      <c r="J7" s="1">
        <v>2.8</v>
      </c>
      <c r="K7" s="1">
        <v>2.8</v>
      </c>
      <c r="L7" s="1">
        <v>2.6</v>
      </c>
      <c r="M7" s="1">
        <v>2.2000000000000002</v>
      </c>
      <c r="N7" s="1">
        <v>2.19</v>
      </c>
      <c r="O7" s="1">
        <v>2.0499999999999998</v>
      </c>
    </row>
    <row r="8" spans="1:26" x14ac:dyDescent="0.25">
      <c r="A8" s="1" t="s">
        <v>26</v>
      </c>
      <c r="B8" s="1" t="s">
        <v>66</v>
      </c>
      <c r="C8" s="1" t="s">
        <v>39</v>
      </c>
      <c r="D8" s="1" t="s">
        <v>21</v>
      </c>
      <c r="E8" s="1" t="s">
        <v>2</v>
      </c>
      <c r="F8" s="1">
        <v>2.72</v>
      </c>
      <c r="G8" s="1">
        <v>2.65</v>
      </c>
      <c r="H8" s="1">
        <v>2.8</v>
      </c>
      <c r="I8" s="1">
        <v>2.8</v>
      </c>
      <c r="J8" s="1">
        <v>2.8</v>
      </c>
      <c r="K8" s="1">
        <v>2.8</v>
      </c>
      <c r="L8" s="1">
        <v>2.6</v>
      </c>
      <c r="M8" s="1">
        <v>2.2000000000000002</v>
      </c>
      <c r="N8" s="1">
        <v>2.19</v>
      </c>
      <c r="O8" s="1">
        <v>2.19</v>
      </c>
    </row>
    <row r="9" spans="1:26" x14ac:dyDescent="0.25">
      <c r="A9" s="1" t="s">
        <v>26</v>
      </c>
      <c r="B9" s="1" t="s">
        <v>66</v>
      </c>
      <c r="C9" s="1" t="s">
        <v>40</v>
      </c>
      <c r="D9" s="1" t="s">
        <v>21</v>
      </c>
      <c r="E9" s="1" t="s">
        <v>2</v>
      </c>
      <c r="F9" s="1">
        <v>2.72</v>
      </c>
      <c r="G9" s="1">
        <v>2.65</v>
      </c>
      <c r="H9" s="1">
        <v>2.65</v>
      </c>
      <c r="J9" s="1">
        <v>2.8</v>
      </c>
      <c r="K9" s="1">
        <v>2.8</v>
      </c>
      <c r="L9" s="1">
        <v>2.65</v>
      </c>
      <c r="M9" s="1">
        <v>2.4500000000000002</v>
      </c>
      <c r="N9" s="1">
        <v>2.4700000000000002</v>
      </c>
      <c r="O9" s="1">
        <v>2.06</v>
      </c>
    </row>
    <row r="10" spans="1:26" s="1" customFormat="1" x14ac:dyDescent="0.25">
      <c r="A10" s="1" t="s">
        <v>26</v>
      </c>
      <c r="B10" s="1" t="s">
        <v>66</v>
      </c>
      <c r="C10" s="1" t="s">
        <v>41</v>
      </c>
      <c r="D10" s="1" t="s">
        <v>21</v>
      </c>
      <c r="E10" s="1" t="s">
        <v>2</v>
      </c>
      <c r="F10" s="1">
        <v>2.72</v>
      </c>
      <c r="G10" s="1">
        <v>2.65</v>
      </c>
      <c r="H10" s="1">
        <v>2.65</v>
      </c>
      <c r="J10" s="1">
        <v>2.8</v>
      </c>
      <c r="K10" s="1">
        <v>2.8</v>
      </c>
      <c r="L10" s="1">
        <v>2.65</v>
      </c>
      <c r="M10" s="1">
        <v>2.4500000000000002</v>
      </c>
      <c r="N10" s="1">
        <v>2.4700000000000002</v>
      </c>
      <c r="O10" s="1">
        <v>2.06</v>
      </c>
      <c r="R10"/>
      <c r="S10"/>
      <c r="T10"/>
      <c r="U10"/>
      <c r="V10"/>
      <c r="W10"/>
      <c r="X10"/>
      <c r="Y10"/>
      <c r="Z10"/>
    </row>
    <row r="11" spans="1:26" s="1" customFormat="1" x14ac:dyDescent="0.25">
      <c r="A11" s="1" t="s">
        <v>26</v>
      </c>
      <c r="B11" s="1" t="s">
        <v>66</v>
      </c>
      <c r="C11" s="1" t="s">
        <v>42</v>
      </c>
      <c r="D11" s="1" t="s">
        <v>16</v>
      </c>
      <c r="E11" s="1" t="s">
        <v>2</v>
      </c>
      <c r="F11" s="1">
        <v>2.72</v>
      </c>
      <c r="G11" s="1">
        <v>2.65</v>
      </c>
      <c r="H11" s="1">
        <v>2.8</v>
      </c>
      <c r="I11" s="1">
        <v>2.8</v>
      </c>
      <c r="J11" s="1">
        <v>2.8</v>
      </c>
      <c r="K11" s="1">
        <v>2.8</v>
      </c>
      <c r="L11" s="1">
        <v>2.65</v>
      </c>
      <c r="M11" s="1">
        <v>2.4500000000000002</v>
      </c>
      <c r="N11" s="1">
        <v>2.4700000000000002</v>
      </c>
      <c r="O11" s="1">
        <v>2.06</v>
      </c>
      <c r="R11"/>
      <c r="S11"/>
      <c r="T11"/>
      <c r="U11"/>
      <c r="V11"/>
      <c r="W11"/>
      <c r="X11"/>
      <c r="Y11"/>
      <c r="Z11"/>
    </row>
    <row r="12" spans="1:26" s="1" customFormat="1" x14ac:dyDescent="0.25">
      <c r="A12" s="1" t="s">
        <v>26</v>
      </c>
      <c r="B12" s="1" t="s">
        <v>66</v>
      </c>
      <c r="C12" s="1" t="s">
        <v>42</v>
      </c>
      <c r="D12" s="1" t="s">
        <v>21</v>
      </c>
      <c r="E12" s="1" t="s">
        <v>2</v>
      </c>
      <c r="F12" s="1">
        <v>2.72</v>
      </c>
      <c r="G12" s="1">
        <v>2.65</v>
      </c>
      <c r="H12" s="1">
        <v>2.65</v>
      </c>
      <c r="J12" s="1">
        <v>2.8</v>
      </c>
      <c r="K12" s="1">
        <v>2.8</v>
      </c>
      <c r="L12" s="1">
        <v>2.65</v>
      </c>
      <c r="M12" s="1">
        <v>2.4500000000000002</v>
      </c>
      <c r="N12" s="1">
        <v>2.4700000000000002</v>
      </c>
      <c r="O12" s="1">
        <v>2.06</v>
      </c>
      <c r="R12"/>
      <c r="S12"/>
      <c r="T12"/>
      <c r="U12"/>
      <c r="V12"/>
      <c r="W12"/>
      <c r="X12"/>
      <c r="Y12"/>
      <c r="Z12"/>
    </row>
    <row r="13" spans="1:26" s="1" customFormat="1" x14ac:dyDescent="0.25">
      <c r="A13" s="1" t="s">
        <v>26</v>
      </c>
      <c r="B13" s="1" t="s">
        <v>66</v>
      </c>
      <c r="C13" s="1" t="s">
        <v>43</v>
      </c>
      <c r="D13" s="1" t="s">
        <v>21</v>
      </c>
      <c r="E13" s="1" t="s">
        <v>2</v>
      </c>
      <c r="F13" s="1">
        <v>2.72</v>
      </c>
      <c r="G13" s="1">
        <v>2.65</v>
      </c>
      <c r="H13" s="1">
        <v>2.65</v>
      </c>
      <c r="J13" s="1">
        <v>2.8</v>
      </c>
      <c r="K13" s="1">
        <v>2.8</v>
      </c>
      <c r="L13" s="1">
        <v>2.65</v>
      </c>
      <c r="M13" s="1">
        <v>2.4500000000000002</v>
      </c>
      <c r="N13" s="1">
        <v>2.4700000000000002</v>
      </c>
      <c r="O13" s="1">
        <v>2.06</v>
      </c>
      <c r="R13"/>
      <c r="S13"/>
      <c r="T13"/>
      <c r="U13"/>
      <c r="V13"/>
      <c r="W13"/>
      <c r="X13"/>
      <c r="Y13"/>
      <c r="Z13"/>
    </row>
    <row r="14" spans="1:26" s="1" customFormat="1" x14ac:dyDescent="0.25">
      <c r="A14" s="1" t="s">
        <v>26</v>
      </c>
      <c r="B14" s="1" t="s">
        <v>66</v>
      </c>
      <c r="C14" s="1" t="s">
        <v>44</v>
      </c>
      <c r="D14" s="1" t="s">
        <v>21</v>
      </c>
      <c r="E14" s="1" t="s">
        <v>2</v>
      </c>
      <c r="F14" s="1">
        <v>2.72</v>
      </c>
      <c r="G14" s="1">
        <v>2.65</v>
      </c>
      <c r="H14" s="1">
        <v>2.8</v>
      </c>
      <c r="I14" s="1">
        <v>2.8</v>
      </c>
      <c r="J14" s="1">
        <v>2.8</v>
      </c>
      <c r="K14" s="1">
        <v>2.8</v>
      </c>
      <c r="L14" s="1">
        <v>2.65</v>
      </c>
      <c r="M14" s="1">
        <v>2.4500000000000002</v>
      </c>
      <c r="N14" s="1">
        <v>2.4700000000000002</v>
      </c>
      <c r="O14" s="1">
        <v>2.06</v>
      </c>
      <c r="R14"/>
      <c r="S14"/>
      <c r="T14"/>
      <c r="U14"/>
      <c r="V14"/>
      <c r="W14"/>
      <c r="X14"/>
      <c r="Y14"/>
      <c r="Z14"/>
    </row>
    <row r="15" spans="1:26" s="1" customFormat="1" x14ac:dyDescent="0.25">
      <c r="A15" s="1" t="s">
        <v>26</v>
      </c>
      <c r="B15" s="1" t="s">
        <v>66</v>
      </c>
      <c r="C15" s="1" t="s">
        <v>45</v>
      </c>
      <c r="D15" s="1" t="s">
        <v>21</v>
      </c>
      <c r="E15" s="1" t="s">
        <v>2</v>
      </c>
      <c r="F15" s="1">
        <v>2.72</v>
      </c>
      <c r="G15" s="1">
        <v>2.65</v>
      </c>
      <c r="H15" s="1">
        <v>2.65</v>
      </c>
      <c r="J15" s="1">
        <v>2.8</v>
      </c>
      <c r="K15" s="1">
        <v>2.8</v>
      </c>
      <c r="L15" s="1">
        <v>2.65</v>
      </c>
      <c r="M15" s="1">
        <v>2.4500000000000002</v>
      </c>
      <c r="N15" s="1">
        <v>2.4700000000000002</v>
      </c>
      <c r="O15" s="1">
        <v>2.06</v>
      </c>
      <c r="R15"/>
      <c r="S15"/>
      <c r="T15"/>
      <c r="U15"/>
      <c r="V15"/>
      <c r="W15"/>
      <c r="X15"/>
      <c r="Y15"/>
      <c r="Z15"/>
    </row>
    <row r="16" spans="1:26" s="1" customFormat="1" x14ac:dyDescent="0.25">
      <c r="A16" s="1" t="s">
        <v>26</v>
      </c>
      <c r="B16" s="1" t="s">
        <v>66</v>
      </c>
      <c r="C16" s="1" t="s">
        <v>46</v>
      </c>
      <c r="D16" s="1" t="s">
        <v>21</v>
      </c>
      <c r="E16" s="1" t="s">
        <v>2</v>
      </c>
      <c r="F16" s="1">
        <v>2.72</v>
      </c>
      <c r="G16" s="1">
        <v>2.65</v>
      </c>
      <c r="H16" s="1">
        <v>2.65</v>
      </c>
      <c r="J16" s="1">
        <v>2.8</v>
      </c>
      <c r="K16" s="1">
        <v>2.8</v>
      </c>
      <c r="L16" s="1">
        <v>2.65</v>
      </c>
      <c r="M16" s="1">
        <v>2.4500000000000002</v>
      </c>
      <c r="N16" s="1">
        <v>2.4700000000000002</v>
      </c>
      <c r="O16" s="1">
        <v>2.06</v>
      </c>
      <c r="R16"/>
      <c r="S16"/>
      <c r="T16"/>
      <c r="U16"/>
      <c r="V16"/>
      <c r="W16"/>
      <c r="X16"/>
      <c r="Y16"/>
      <c r="Z16"/>
    </row>
    <row r="17" spans="1:26" s="1" customFormat="1" x14ac:dyDescent="0.25">
      <c r="A17" s="1" t="s">
        <v>26</v>
      </c>
      <c r="B17" s="1" t="s">
        <v>66</v>
      </c>
      <c r="C17" s="1" t="s">
        <v>47</v>
      </c>
      <c r="D17" s="1" t="s">
        <v>21</v>
      </c>
      <c r="E17" s="1" t="s">
        <v>2</v>
      </c>
      <c r="F17" s="1">
        <v>2.72</v>
      </c>
      <c r="G17" s="1">
        <v>2.65</v>
      </c>
      <c r="H17" s="1">
        <v>2.65</v>
      </c>
      <c r="J17" s="1">
        <v>2.8</v>
      </c>
      <c r="K17" s="1">
        <v>2.8</v>
      </c>
      <c r="L17" s="1">
        <v>2.65</v>
      </c>
      <c r="M17" s="1">
        <v>2.4500000000000002</v>
      </c>
      <c r="N17" s="1">
        <v>2.4700000000000002</v>
      </c>
      <c r="O17" s="1">
        <v>2.06</v>
      </c>
      <c r="R17"/>
      <c r="S17"/>
      <c r="T17"/>
      <c r="U17"/>
      <c r="V17"/>
      <c r="W17"/>
      <c r="X17"/>
      <c r="Y17"/>
      <c r="Z17"/>
    </row>
    <row r="18" spans="1:26" s="1" customFormat="1" x14ac:dyDescent="0.25">
      <c r="A18" s="1" t="s">
        <v>26</v>
      </c>
      <c r="B18" s="1" t="s">
        <v>66</v>
      </c>
      <c r="C18" s="1" t="s">
        <v>48</v>
      </c>
      <c r="D18" s="1" t="s">
        <v>16</v>
      </c>
      <c r="E18" s="1" t="s">
        <v>2</v>
      </c>
      <c r="F18" s="1">
        <v>2.72</v>
      </c>
      <c r="G18" s="1">
        <v>2.65</v>
      </c>
      <c r="H18" s="1">
        <v>2.8</v>
      </c>
      <c r="I18" s="1">
        <v>2.8</v>
      </c>
      <c r="J18" s="1">
        <v>2.8</v>
      </c>
      <c r="K18" s="1">
        <v>2.8</v>
      </c>
      <c r="L18" s="1">
        <v>2.65</v>
      </c>
      <c r="M18" s="1">
        <v>2.4500000000000002</v>
      </c>
      <c r="N18" s="1">
        <v>2.4700000000000002</v>
      </c>
      <c r="O18" s="1">
        <v>2.06</v>
      </c>
      <c r="R18"/>
      <c r="S18"/>
      <c r="T18"/>
      <c r="U18"/>
      <c r="V18"/>
      <c r="W18"/>
      <c r="X18"/>
      <c r="Y18"/>
      <c r="Z18"/>
    </row>
    <row r="19" spans="1:26" s="1" customFormat="1" x14ac:dyDescent="0.25">
      <c r="A19" s="1" t="s">
        <v>26</v>
      </c>
      <c r="B19" s="1" t="s">
        <v>66</v>
      </c>
      <c r="C19" s="1" t="s">
        <v>48</v>
      </c>
      <c r="D19" s="1" t="s">
        <v>21</v>
      </c>
      <c r="E19" s="1" t="s">
        <v>2</v>
      </c>
      <c r="F19" s="1">
        <v>2.72</v>
      </c>
      <c r="G19" s="1">
        <v>2.65</v>
      </c>
      <c r="H19" s="1">
        <v>2.8</v>
      </c>
      <c r="I19" s="1">
        <v>2.8</v>
      </c>
      <c r="J19" s="1">
        <v>2.8</v>
      </c>
      <c r="K19" s="1">
        <v>2.8</v>
      </c>
      <c r="L19" s="1">
        <v>2.65</v>
      </c>
      <c r="M19" s="1">
        <v>2.4500000000000002</v>
      </c>
      <c r="N19" s="1">
        <v>2.4700000000000002</v>
      </c>
      <c r="O19" s="1">
        <v>2.06</v>
      </c>
      <c r="R19"/>
      <c r="S19"/>
      <c r="T19"/>
      <c r="U19"/>
      <c r="V19"/>
      <c r="W19"/>
      <c r="X19"/>
      <c r="Y19"/>
      <c r="Z19"/>
    </row>
    <row r="20" spans="1:26" s="1" customFormat="1" x14ac:dyDescent="0.25">
      <c r="A20" s="1" t="s">
        <v>26</v>
      </c>
      <c r="B20" s="1" t="s">
        <v>66</v>
      </c>
      <c r="C20" s="1" t="s">
        <v>49</v>
      </c>
      <c r="D20" s="1" t="s">
        <v>21</v>
      </c>
      <c r="E20" s="1" t="s">
        <v>2</v>
      </c>
      <c r="F20" s="1">
        <v>2.72</v>
      </c>
      <c r="G20" s="1">
        <v>2.65</v>
      </c>
      <c r="H20" s="1">
        <v>2.65</v>
      </c>
      <c r="J20" s="1">
        <v>2.8</v>
      </c>
      <c r="K20" s="1">
        <v>2.8</v>
      </c>
      <c r="L20" s="1">
        <v>2.65</v>
      </c>
      <c r="M20" s="1">
        <v>2.4500000000000002</v>
      </c>
      <c r="N20" s="1">
        <v>2.4700000000000002</v>
      </c>
      <c r="O20" s="1">
        <v>2.06</v>
      </c>
      <c r="R20"/>
      <c r="S20"/>
      <c r="T20"/>
      <c r="U20"/>
      <c r="V20"/>
      <c r="W20"/>
      <c r="X20"/>
      <c r="Y20"/>
      <c r="Z20"/>
    </row>
    <row r="21" spans="1:26" s="1" customFormat="1" x14ac:dyDescent="0.25">
      <c r="A21" s="1" t="s">
        <v>26</v>
      </c>
      <c r="B21" s="1" t="s">
        <v>66</v>
      </c>
      <c r="C21" s="1" t="s">
        <v>50</v>
      </c>
      <c r="D21" s="1" t="s">
        <v>21</v>
      </c>
      <c r="E21" s="1" t="s">
        <v>2</v>
      </c>
      <c r="F21" s="1">
        <v>2.72</v>
      </c>
      <c r="G21" s="1">
        <v>2.65</v>
      </c>
      <c r="H21" s="1">
        <v>2.65</v>
      </c>
      <c r="J21" s="1">
        <v>2.8</v>
      </c>
      <c r="K21" s="1">
        <v>2.8</v>
      </c>
      <c r="L21" s="1">
        <v>2.65</v>
      </c>
      <c r="M21" s="1">
        <v>2.4500000000000002</v>
      </c>
      <c r="N21" s="1">
        <v>2.4700000000000002</v>
      </c>
      <c r="O21" s="1">
        <v>2.06</v>
      </c>
      <c r="R21"/>
      <c r="S21"/>
      <c r="T21"/>
      <c r="U21"/>
      <c r="V21"/>
      <c r="W21"/>
      <c r="X21"/>
      <c r="Y21"/>
      <c r="Z21"/>
    </row>
    <row r="22" spans="1:26" s="1" customFormat="1" x14ac:dyDescent="0.25">
      <c r="A22" s="1" t="s">
        <v>26</v>
      </c>
      <c r="B22" s="1" t="s">
        <v>66</v>
      </c>
      <c r="C22" s="1" t="s">
        <v>51</v>
      </c>
      <c r="D22" s="1" t="s">
        <v>21</v>
      </c>
      <c r="E22" s="1" t="s">
        <v>2</v>
      </c>
      <c r="F22" s="1">
        <v>2.72</v>
      </c>
      <c r="G22" s="1">
        <v>2.65</v>
      </c>
      <c r="H22" s="1">
        <v>2.65</v>
      </c>
      <c r="I22" s="1">
        <v>2.8</v>
      </c>
      <c r="J22" s="1">
        <v>2.8</v>
      </c>
      <c r="K22" s="1">
        <v>2.8</v>
      </c>
      <c r="L22" s="1">
        <v>2.6</v>
      </c>
      <c r="M22" s="1">
        <v>2.2000000000000002</v>
      </c>
      <c r="N22" s="1">
        <v>2.19</v>
      </c>
      <c r="O22" s="1">
        <v>2.06</v>
      </c>
      <c r="R22"/>
      <c r="S22"/>
      <c r="T22"/>
      <c r="U22"/>
      <c r="V22"/>
      <c r="W22"/>
      <c r="X22"/>
      <c r="Y22"/>
      <c r="Z22"/>
    </row>
    <row r="23" spans="1:26" s="1" customFormat="1" x14ac:dyDescent="0.25">
      <c r="A23" s="1" t="s">
        <v>26</v>
      </c>
      <c r="B23" s="1" t="s">
        <v>66</v>
      </c>
      <c r="C23" s="1" t="s">
        <v>52</v>
      </c>
      <c r="D23" s="1" t="s">
        <v>21</v>
      </c>
      <c r="E23" s="1" t="s">
        <v>2</v>
      </c>
      <c r="F23" s="1">
        <v>2.72</v>
      </c>
      <c r="G23" s="1">
        <v>2.65</v>
      </c>
      <c r="H23" s="1">
        <v>2.65</v>
      </c>
      <c r="J23" s="1">
        <v>2.8</v>
      </c>
      <c r="K23" s="1">
        <v>2.8</v>
      </c>
      <c r="L23" s="1">
        <v>2.65</v>
      </c>
      <c r="M23" s="1">
        <v>2.65</v>
      </c>
      <c r="N23" s="1">
        <v>2.4700000000000002</v>
      </c>
      <c r="O23" s="1">
        <v>2.06</v>
      </c>
      <c r="R23"/>
      <c r="S23"/>
      <c r="T23"/>
      <c r="U23"/>
      <c r="V23"/>
      <c r="W23"/>
      <c r="X23"/>
      <c r="Y23"/>
      <c r="Z23"/>
    </row>
    <row r="24" spans="1:26" s="1" customFormat="1" x14ac:dyDescent="0.25">
      <c r="A24" s="1" t="s">
        <v>26</v>
      </c>
      <c r="B24" s="1" t="s">
        <v>66</v>
      </c>
      <c r="C24" s="1" t="s">
        <v>53</v>
      </c>
      <c r="D24" s="1" t="s">
        <v>21</v>
      </c>
      <c r="E24" s="1" t="s">
        <v>2</v>
      </c>
      <c r="F24" s="1">
        <v>2.72</v>
      </c>
      <c r="G24" s="1">
        <v>2.65</v>
      </c>
      <c r="H24" s="1">
        <v>2.65</v>
      </c>
      <c r="J24" s="1">
        <v>2.8</v>
      </c>
      <c r="K24" s="1">
        <v>2.8</v>
      </c>
      <c r="L24" s="1">
        <v>2.65</v>
      </c>
      <c r="M24" s="1">
        <v>2.4500000000000002</v>
      </c>
      <c r="N24" s="1">
        <v>2.4700000000000002</v>
      </c>
      <c r="O24" s="1">
        <v>2.06</v>
      </c>
      <c r="R24"/>
      <c r="S24"/>
      <c r="T24"/>
      <c r="U24"/>
      <c r="V24"/>
      <c r="W24"/>
      <c r="X24"/>
      <c r="Y24"/>
      <c r="Z24"/>
    </row>
    <row r="25" spans="1:26" s="1" customFormat="1" x14ac:dyDescent="0.25">
      <c r="A25" s="1" t="s">
        <v>26</v>
      </c>
      <c r="B25" s="1" t="s">
        <v>66</v>
      </c>
      <c r="C25" s="1" t="s">
        <v>54</v>
      </c>
      <c r="D25" s="1" t="s">
        <v>21</v>
      </c>
      <c r="E25" s="1" t="s">
        <v>2</v>
      </c>
      <c r="F25" s="1">
        <v>2.72</v>
      </c>
      <c r="G25" s="1">
        <v>2.65</v>
      </c>
      <c r="H25" s="1">
        <v>2.8</v>
      </c>
      <c r="I25" s="1">
        <v>2.8</v>
      </c>
      <c r="J25" s="1">
        <v>2.8</v>
      </c>
      <c r="K25" s="1">
        <v>2.8</v>
      </c>
      <c r="L25" s="1">
        <v>2.65</v>
      </c>
      <c r="M25" s="1">
        <v>2.4500000000000002</v>
      </c>
      <c r="N25" s="1">
        <v>2.4700000000000002</v>
      </c>
      <c r="O25" s="1">
        <v>2.06</v>
      </c>
      <c r="R25"/>
      <c r="S25"/>
      <c r="T25"/>
      <c r="U25"/>
      <c r="V25"/>
      <c r="W25"/>
      <c r="X25"/>
      <c r="Y25"/>
      <c r="Z25"/>
    </row>
    <row r="26" spans="1:26" s="1" customFormat="1" x14ac:dyDescent="0.25">
      <c r="A26" s="1" t="s">
        <v>26</v>
      </c>
      <c r="B26" s="1" t="s">
        <v>66</v>
      </c>
      <c r="C26" s="1" t="s">
        <v>55</v>
      </c>
      <c r="D26" s="1" t="s">
        <v>21</v>
      </c>
      <c r="E26" s="1" t="s">
        <v>2</v>
      </c>
      <c r="F26" s="1">
        <v>2.72</v>
      </c>
      <c r="G26" s="1">
        <v>2.65</v>
      </c>
      <c r="H26" s="1">
        <v>2.65</v>
      </c>
      <c r="J26" s="1">
        <v>2.8</v>
      </c>
      <c r="K26" s="1">
        <v>2.8</v>
      </c>
      <c r="L26" s="1">
        <v>2.65</v>
      </c>
      <c r="M26" s="1">
        <v>2.4500000000000002</v>
      </c>
      <c r="N26" s="1">
        <v>2.4700000000000002</v>
      </c>
      <c r="O26" s="1">
        <v>2.06</v>
      </c>
      <c r="R26"/>
      <c r="S26"/>
      <c r="T26"/>
      <c r="U26"/>
      <c r="V26"/>
      <c r="W26"/>
      <c r="X26"/>
      <c r="Y26"/>
      <c r="Z26"/>
    </row>
    <row r="27" spans="1:26" s="1" customFormat="1" x14ac:dyDescent="0.25">
      <c r="A27" s="1" t="s">
        <v>26</v>
      </c>
      <c r="B27" s="1" t="s">
        <v>66</v>
      </c>
      <c r="C27" s="1" t="s">
        <v>56</v>
      </c>
      <c r="D27" s="1" t="s">
        <v>21</v>
      </c>
      <c r="E27" s="1" t="s">
        <v>2</v>
      </c>
      <c r="F27" s="1">
        <v>2.72</v>
      </c>
      <c r="G27" s="1">
        <v>2.65</v>
      </c>
      <c r="H27" s="1">
        <v>2.65</v>
      </c>
      <c r="J27" s="1">
        <v>2.8</v>
      </c>
      <c r="K27" s="1">
        <v>2.8</v>
      </c>
      <c r="L27" s="1">
        <v>2.6</v>
      </c>
      <c r="M27" s="1">
        <v>2.2000000000000002</v>
      </c>
      <c r="N27" s="1">
        <v>2.19</v>
      </c>
      <c r="O27" s="1">
        <v>2.0499999999999998</v>
      </c>
      <c r="R27"/>
      <c r="S27"/>
      <c r="T27"/>
      <c r="U27"/>
      <c r="V27"/>
      <c r="W27"/>
      <c r="X27"/>
      <c r="Y27"/>
      <c r="Z27"/>
    </row>
    <row r="28" spans="1:26" s="1" customFormat="1" x14ac:dyDescent="0.25">
      <c r="A28" s="1" t="s">
        <v>26</v>
      </c>
      <c r="B28" s="1" t="s">
        <v>66</v>
      </c>
      <c r="C28" s="1" t="s">
        <v>57</v>
      </c>
      <c r="D28" s="1" t="s">
        <v>21</v>
      </c>
      <c r="E28" s="1" t="s">
        <v>2</v>
      </c>
      <c r="F28" s="1">
        <v>2.72</v>
      </c>
      <c r="G28" s="1">
        <v>2.65</v>
      </c>
      <c r="H28" s="1">
        <v>2.65</v>
      </c>
      <c r="I28" s="1">
        <v>2.8</v>
      </c>
      <c r="J28" s="1">
        <v>2.8</v>
      </c>
      <c r="K28" s="1">
        <v>2.8</v>
      </c>
      <c r="L28" s="1">
        <v>2.2000000000000002</v>
      </c>
      <c r="M28" s="1">
        <v>2.2000000000000002</v>
      </c>
      <c r="N28" s="1">
        <v>2.19</v>
      </c>
      <c r="O28" s="1">
        <v>2.0499999999999998</v>
      </c>
      <c r="R28"/>
      <c r="S28"/>
      <c r="T28"/>
      <c r="U28"/>
      <c r="V28"/>
      <c r="W28"/>
      <c r="X28"/>
      <c r="Y28"/>
      <c r="Z28"/>
    </row>
    <row r="29" spans="1:26" s="1" customFormat="1" x14ac:dyDescent="0.25">
      <c r="A29" s="1" t="s">
        <v>26</v>
      </c>
      <c r="B29" s="1" t="s">
        <v>66</v>
      </c>
      <c r="C29" s="1" t="s">
        <v>58</v>
      </c>
      <c r="D29" s="1" t="s">
        <v>21</v>
      </c>
      <c r="E29" s="1" t="s">
        <v>2</v>
      </c>
      <c r="F29" s="1">
        <v>2.72</v>
      </c>
      <c r="G29" s="1">
        <v>2.65</v>
      </c>
      <c r="H29" s="1">
        <v>2.65</v>
      </c>
      <c r="J29" s="1">
        <v>2.8</v>
      </c>
      <c r="K29" s="1">
        <v>2.8</v>
      </c>
      <c r="L29" s="1">
        <v>2.6</v>
      </c>
      <c r="M29" s="1">
        <v>2.2000000000000002</v>
      </c>
      <c r="N29" s="1">
        <v>2.19</v>
      </c>
      <c r="O29" s="1">
        <v>2.0499999999999998</v>
      </c>
      <c r="R29"/>
      <c r="S29"/>
      <c r="T29"/>
      <c r="U29"/>
      <c r="V29"/>
      <c r="W29"/>
      <c r="X29"/>
      <c r="Y29"/>
      <c r="Z29"/>
    </row>
    <row r="30" spans="1:26" s="1" customFormat="1" x14ac:dyDescent="0.25">
      <c r="A30" s="1" t="s">
        <v>26</v>
      </c>
      <c r="B30" s="1" t="s">
        <v>66</v>
      </c>
      <c r="C30" s="1" t="s">
        <v>59</v>
      </c>
      <c r="D30" s="1" t="s">
        <v>21</v>
      </c>
      <c r="E30" s="1" t="s">
        <v>2</v>
      </c>
      <c r="F30" s="1">
        <v>2.72</v>
      </c>
      <c r="G30" s="1">
        <v>2.65</v>
      </c>
      <c r="H30" s="1">
        <v>2.8</v>
      </c>
      <c r="I30" s="1">
        <v>2.8</v>
      </c>
      <c r="J30" s="1">
        <v>2.8</v>
      </c>
      <c r="K30" s="1">
        <v>2.8</v>
      </c>
      <c r="L30" s="1">
        <v>2.65</v>
      </c>
      <c r="M30" s="1">
        <v>2.4500000000000002</v>
      </c>
      <c r="N30" s="1">
        <v>2.4700000000000002</v>
      </c>
      <c r="O30" s="1">
        <v>2.4700000000000002</v>
      </c>
      <c r="R30"/>
      <c r="S30"/>
      <c r="T30"/>
      <c r="U30"/>
      <c r="V30"/>
      <c r="W30"/>
      <c r="X30"/>
      <c r="Y30"/>
      <c r="Z30"/>
    </row>
    <row r="31" spans="1:26" s="1" customFormat="1" x14ac:dyDescent="0.25">
      <c r="A31" s="1" t="s">
        <v>26</v>
      </c>
      <c r="B31" s="1" t="s">
        <v>66</v>
      </c>
      <c r="C31" s="1" t="s">
        <v>62</v>
      </c>
      <c r="D31" s="1" t="s">
        <v>21</v>
      </c>
      <c r="E31" s="1" t="s">
        <v>2</v>
      </c>
      <c r="F31" s="1">
        <v>2.72</v>
      </c>
      <c r="G31" s="1">
        <v>2.65</v>
      </c>
      <c r="H31" s="1">
        <v>2.8</v>
      </c>
      <c r="I31" s="1">
        <v>2.8</v>
      </c>
      <c r="J31" s="1">
        <v>2.8</v>
      </c>
      <c r="K31" s="1">
        <v>2.8</v>
      </c>
      <c r="L31" s="1">
        <v>2.65</v>
      </c>
      <c r="M31" s="1">
        <v>2.4500000000000002</v>
      </c>
      <c r="N31" s="1">
        <v>2.4700000000000002</v>
      </c>
      <c r="O31" s="1">
        <v>2.06</v>
      </c>
      <c r="R31"/>
      <c r="S31"/>
      <c r="T31"/>
      <c r="U31"/>
      <c r="V31"/>
      <c r="W31"/>
      <c r="X31"/>
      <c r="Y31"/>
      <c r="Z31"/>
    </row>
    <row r="32" spans="1:26" s="1" customFormat="1" x14ac:dyDescent="0.25">
      <c r="A32" s="1" t="s">
        <v>26</v>
      </c>
      <c r="B32" s="1" t="s">
        <v>66</v>
      </c>
      <c r="C32" s="1" t="s">
        <v>60</v>
      </c>
      <c r="D32" s="1" t="s">
        <v>21</v>
      </c>
      <c r="E32" s="1" t="s">
        <v>2</v>
      </c>
      <c r="F32" s="1">
        <v>2.72</v>
      </c>
      <c r="G32" s="1">
        <v>2.65</v>
      </c>
      <c r="H32" s="1">
        <v>2.65</v>
      </c>
      <c r="J32" s="1">
        <v>2.8</v>
      </c>
      <c r="K32" s="1">
        <v>2.8</v>
      </c>
      <c r="L32" s="1">
        <v>2.65</v>
      </c>
      <c r="M32" s="1">
        <v>2.4500000000000002</v>
      </c>
      <c r="N32" s="1">
        <v>2.4700000000000002</v>
      </c>
      <c r="O32" s="1">
        <v>2.06</v>
      </c>
      <c r="R32"/>
      <c r="S32"/>
      <c r="T32"/>
      <c r="U32"/>
      <c r="V32"/>
      <c r="W32"/>
      <c r="X32"/>
      <c r="Y32"/>
      <c r="Z32"/>
    </row>
    <row r="33" spans="1:26" s="1" customFormat="1" x14ac:dyDescent="0.25">
      <c r="A33" s="1" t="s">
        <v>26</v>
      </c>
      <c r="B33" s="1" t="s">
        <v>66</v>
      </c>
      <c r="C33" s="1" t="s">
        <v>61</v>
      </c>
      <c r="D33" s="1" t="s">
        <v>16</v>
      </c>
      <c r="E33" s="1" t="s">
        <v>2</v>
      </c>
      <c r="F33" s="1">
        <v>2.72</v>
      </c>
      <c r="G33" s="1">
        <v>2.65</v>
      </c>
      <c r="H33" s="1">
        <v>2.65</v>
      </c>
      <c r="J33" s="1">
        <v>2.8</v>
      </c>
      <c r="K33" s="1">
        <v>2.8</v>
      </c>
      <c r="L33" s="1">
        <v>2.65</v>
      </c>
      <c r="M33" s="1">
        <v>2.4500000000000002</v>
      </c>
      <c r="N33" s="1">
        <v>2.4700000000000002</v>
      </c>
      <c r="O33" s="1">
        <v>2.06</v>
      </c>
      <c r="R33"/>
      <c r="S33"/>
      <c r="T33"/>
      <c r="U33"/>
      <c r="V33"/>
      <c r="W33"/>
      <c r="X33"/>
      <c r="Y33"/>
      <c r="Z33"/>
    </row>
    <row r="34" spans="1:26" s="1" customFormat="1" x14ac:dyDescent="0.25">
      <c r="A34" s="1" t="s">
        <v>26</v>
      </c>
      <c r="B34" s="1" t="s">
        <v>66</v>
      </c>
      <c r="C34" s="1" t="s">
        <v>61</v>
      </c>
      <c r="D34" s="1" t="s">
        <v>21</v>
      </c>
      <c r="E34" s="1" t="s">
        <v>2</v>
      </c>
      <c r="F34" s="1">
        <v>2.72</v>
      </c>
      <c r="G34" s="1">
        <v>2.65</v>
      </c>
      <c r="H34" s="1">
        <v>2.65</v>
      </c>
      <c r="J34" s="1">
        <v>2.8</v>
      </c>
      <c r="K34" s="1">
        <v>2.8</v>
      </c>
      <c r="L34" s="1">
        <v>2.65</v>
      </c>
      <c r="M34" s="1">
        <v>2.4500000000000002</v>
      </c>
      <c r="N34" s="1">
        <v>2.4700000000000002</v>
      </c>
      <c r="O34" s="1">
        <v>2.06</v>
      </c>
      <c r="R34"/>
      <c r="S34"/>
      <c r="T34"/>
      <c r="U34"/>
      <c r="V34"/>
      <c r="W34"/>
      <c r="X34"/>
      <c r="Y34"/>
      <c r="Z34"/>
    </row>
    <row r="35" spans="1:26" s="1" customFormat="1" x14ac:dyDescent="0.25">
      <c r="A35" s="1" t="s">
        <v>26</v>
      </c>
      <c r="B35" s="1" t="s">
        <v>66</v>
      </c>
      <c r="C35" s="1" t="s">
        <v>63</v>
      </c>
      <c r="D35" s="1" t="s">
        <v>21</v>
      </c>
      <c r="E35" s="1" t="s">
        <v>2</v>
      </c>
      <c r="F35" s="1">
        <v>2.72</v>
      </c>
      <c r="G35" s="1">
        <v>2.65</v>
      </c>
      <c r="H35" s="1">
        <v>2.65</v>
      </c>
      <c r="J35" s="1">
        <v>2.8</v>
      </c>
      <c r="K35" s="1">
        <v>2.8</v>
      </c>
      <c r="L35" s="1">
        <v>2.65</v>
      </c>
      <c r="M35" s="1">
        <v>2.4500000000000002</v>
      </c>
      <c r="N35" s="1">
        <v>2.4700000000000002</v>
      </c>
      <c r="O35" s="1">
        <v>2.06</v>
      </c>
      <c r="R35"/>
      <c r="S35"/>
      <c r="T35"/>
      <c r="U35"/>
      <c r="V35"/>
      <c r="W35"/>
      <c r="X35"/>
      <c r="Y35"/>
      <c r="Z35"/>
    </row>
    <row r="36" spans="1:26" s="1" customFormat="1" x14ac:dyDescent="0.25">
      <c r="A36" s="1" t="s">
        <v>26</v>
      </c>
      <c r="B36" s="1" t="s">
        <v>66</v>
      </c>
      <c r="C36" s="1" t="s">
        <v>64</v>
      </c>
      <c r="D36" s="1" t="s">
        <v>21</v>
      </c>
      <c r="E36" s="1" t="s">
        <v>2</v>
      </c>
      <c r="F36" s="1">
        <v>2.72</v>
      </c>
      <c r="G36" s="1">
        <v>2.65</v>
      </c>
      <c r="H36" s="1">
        <v>2.65</v>
      </c>
      <c r="J36" s="1">
        <v>2.8</v>
      </c>
      <c r="K36" s="1">
        <v>2.8</v>
      </c>
      <c r="L36" s="1">
        <v>2.65</v>
      </c>
      <c r="M36" s="1">
        <v>2.4500000000000002</v>
      </c>
      <c r="N36" s="1">
        <v>2.4700000000000002</v>
      </c>
      <c r="O36" s="1">
        <v>2.06</v>
      </c>
      <c r="R36"/>
      <c r="S36"/>
      <c r="T36"/>
      <c r="U36"/>
      <c r="V36"/>
      <c r="W36"/>
      <c r="X36"/>
      <c r="Y36"/>
      <c r="Z36"/>
    </row>
    <row r="37" spans="1:26" s="1" customFormat="1" x14ac:dyDescent="0.25">
      <c r="A37" s="1" t="s">
        <v>26</v>
      </c>
      <c r="B37" s="1" t="s">
        <v>66</v>
      </c>
      <c r="C37" s="1" t="s">
        <v>65</v>
      </c>
      <c r="D37" s="1" t="s">
        <v>21</v>
      </c>
      <c r="E37" s="1" t="s">
        <v>2</v>
      </c>
      <c r="F37" s="1">
        <v>2.72</v>
      </c>
      <c r="G37" s="1">
        <v>2.65</v>
      </c>
      <c r="H37" s="1">
        <v>2.65</v>
      </c>
      <c r="J37" s="1">
        <v>2.8</v>
      </c>
      <c r="K37" s="1">
        <v>2.8</v>
      </c>
      <c r="L37" s="1">
        <v>2.65</v>
      </c>
      <c r="M37" s="1">
        <v>2.4500000000000002</v>
      </c>
      <c r="N37" s="1">
        <v>2.4700000000000002</v>
      </c>
      <c r="O37" s="1">
        <v>2.06</v>
      </c>
      <c r="R37"/>
      <c r="S37"/>
      <c r="T37"/>
      <c r="U37"/>
      <c r="V37"/>
      <c r="W37"/>
      <c r="X37"/>
      <c r="Y37"/>
      <c r="Z37"/>
    </row>
    <row r="38" spans="1:26" s="1" customFormat="1" x14ac:dyDescent="0.25">
      <c r="A38" s="2" t="s">
        <v>3</v>
      </c>
      <c r="B38" s="2" t="s">
        <v>4</v>
      </c>
      <c r="C38" s="2" t="s">
        <v>5</v>
      </c>
      <c r="D38" s="2" t="s">
        <v>6</v>
      </c>
      <c r="E38" s="2" t="s">
        <v>7</v>
      </c>
      <c r="F38" s="2">
        <v>2018</v>
      </c>
      <c r="G38" s="2">
        <v>2019</v>
      </c>
      <c r="H38" s="2">
        <v>2020</v>
      </c>
      <c r="I38" s="2">
        <v>2021</v>
      </c>
      <c r="J38" s="2">
        <v>2022</v>
      </c>
      <c r="K38" s="2">
        <v>2023</v>
      </c>
      <c r="L38" s="2">
        <v>2024</v>
      </c>
      <c r="M38" s="2">
        <v>2025</v>
      </c>
      <c r="N38" s="2">
        <v>2026</v>
      </c>
      <c r="O38" s="2">
        <v>2027</v>
      </c>
      <c r="R38"/>
      <c r="S38"/>
      <c r="T38"/>
      <c r="U38"/>
      <c r="V38"/>
      <c r="W38"/>
      <c r="X38"/>
      <c r="Y38"/>
      <c r="Z38"/>
    </row>
    <row r="39" spans="1:26" s="1" customFormat="1" x14ac:dyDescent="0.25">
      <c r="A39" s="1" t="s">
        <v>67</v>
      </c>
      <c r="B39" s="1" t="s">
        <v>66</v>
      </c>
      <c r="C39" s="1" t="s">
        <v>68</v>
      </c>
      <c r="D39" s="1" t="s">
        <v>21</v>
      </c>
      <c r="E39" s="1" t="s">
        <v>2</v>
      </c>
      <c r="F39" s="1">
        <v>2.72</v>
      </c>
      <c r="G39" s="1">
        <v>2.65</v>
      </c>
      <c r="H39" s="1">
        <v>2.8</v>
      </c>
      <c r="I39" s="1">
        <v>2.8</v>
      </c>
      <c r="J39" s="1">
        <v>2.8</v>
      </c>
      <c r="K39" s="1">
        <v>2.8</v>
      </c>
      <c r="L39" s="1">
        <v>2.65</v>
      </c>
      <c r="M39" s="1">
        <v>2.4500000000000002</v>
      </c>
      <c r="N39" s="1">
        <v>2.4700000000000002</v>
      </c>
      <c r="O39" s="1">
        <v>2.06</v>
      </c>
      <c r="R39"/>
      <c r="S39"/>
      <c r="T39"/>
      <c r="U39"/>
      <c r="V39"/>
      <c r="W39"/>
      <c r="X39"/>
      <c r="Y39"/>
      <c r="Z39"/>
    </row>
    <row r="40" spans="1:26" s="1" customFormat="1" x14ac:dyDescent="0.25">
      <c r="A40" s="1" t="s">
        <v>67</v>
      </c>
      <c r="B40" s="1" t="s">
        <v>66</v>
      </c>
      <c r="C40" s="1" t="s">
        <v>69</v>
      </c>
      <c r="D40" s="1" t="s">
        <v>21</v>
      </c>
      <c r="E40" s="1" t="s">
        <v>2</v>
      </c>
      <c r="F40" s="1">
        <v>2.5</v>
      </c>
      <c r="G40" s="1">
        <v>2.65</v>
      </c>
      <c r="H40" s="1">
        <v>2.65</v>
      </c>
      <c r="I40" s="1">
        <v>2.65</v>
      </c>
      <c r="J40" s="1">
        <v>2.8</v>
      </c>
      <c r="K40" s="1">
        <v>2.8</v>
      </c>
      <c r="L40" s="1">
        <v>2.65</v>
      </c>
      <c r="M40" s="1">
        <v>2.4500000000000002</v>
      </c>
      <c r="N40" s="1">
        <v>2.4700000000000002</v>
      </c>
      <c r="O40" s="1">
        <v>2.06</v>
      </c>
      <c r="R40"/>
      <c r="S40"/>
      <c r="T40"/>
      <c r="U40"/>
      <c r="V40"/>
      <c r="W40"/>
      <c r="X40"/>
      <c r="Y40"/>
      <c r="Z40"/>
    </row>
    <row r="41" spans="1:26" s="1" customFormat="1" x14ac:dyDescent="0.25">
      <c r="A41" s="1" t="s">
        <v>67</v>
      </c>
      <c r="B41" s="1" t="s">
        <v>66</v>
      </c>
      <c r="C41" s="1" t="s">
        <v>70</v>
      </c>
      <c r="D41" s="1" t="s">
        <v>21</v>
      </c>
      <c r="E41" s="1" t="s">
        <v>2</v>
      </c>
      <c r="F41" s="1">
        <v>2.5</v>
      </c>
      <c r="G41" s="1">
        <v>2.6</v>
      </c>
      <c r="H41" s="1">
        <v>2.6</v>
      </c>
      <c r="I41" s="1">
        <v>2.6</v>
      </c>
      <c r="J41" s="1">
        <v>2.8</v>
      </c>
      <c r="K41" s="1">
        <v>2.8</v>
      </c>
      <c r="L41" s="1">
        <v>2.65</v>
      </c>
      <c r="M41" s="1">
        <v>2.4500000000000002</v>
      </c>
      <c r="N41" s="1">
        <v>2.4700000000000002</v>
      </c>
      <c r="O41" s="1">
        <v>2.06</v>
      </c>
      <c r="R41"/>
      <c r="S41"/>
      <c r="T41"/>
      <c r="U41"/>
      <c r="V41"/>
      <c r="W41"/>
      <c r="X41"/>
      <c r="Y41"/>
      <c r="Z41"/>
    </row>
    <row r="42" spans="1:26" s="1" customFormat="1" x14ac:dyDescent="0.25">
      <c r="A42" s="1" t="s">
        <v>67</v>
      </c>
      <c r="B42" s="1" t="s">
        <v>66</v>
      </c>
      <c r="C42" s="1" t="s">
        <v>71</v>
      </c>
      <c r="D42" s="1" t="s">
        <v>21</v>
      </c>
      <c r="E42" s="1" t="s">
        <v>2</v>
      </c>
      <c r="F42" s="1">
        <v>2.5</v>
      </c>
      <c r="G42" s="1">
        <v>2.65</v>
      </c>
      <c r="H42" s="1">
        <v>2.65</v>
      </c>
      <c r="I42" s="1">
        <v>2.65</v>
      </c>
      <c r="J42" s="1">
        <v>2.8</v>
      </c>
      <c r="K42" s="1">
        <v>2.8</v>
      </c>
      <c r="L42" s="1">
        <v>2.65</v>
      </c>
      <c r="M42" s="1">
        <v>2.4500000000000002</v>
      </c>
      <c r="N42" s="1">
        <v>2.4700000000000002</v>
      </c>
      <c r="O42" s="1">
        <v>2.06</v>
      </c>
      <c r="R42"/>
      <c r="S42"/>
      <c r="T42"/>
      <c r="U42"/>
      <c r="V42"/>
      <c r="W42"/>
      <c r="X42"/>
      <c r="Y42"/>
      <c r="Z42"/>
    </row>
    <row r="43" spans="1:26" s="1" customFormat="1" x14ac:dyDescent="0.25">
      <c r="A43" s="2" t="s">
        <v>3</v>
      </c>
      <c r="B43" s="2" t="s">
        <v>4</v>
      </c>
      <c r="C43" s="2" t="s">
        <v>5</v>
      </c>
      <c r="D43" s="2" t="s">
        <v>6</v>
      </c>
      <c r="E43" s="2" t="s">
        <v>7</v>
      </c>
      <c r="F43" s="2">
        <v>2018</v>
      </c>
      <c r="G43" s="2">
        <v>2019</v>
      </c>
      <c r="H43" s="2">
        <v>2020</v>
      </c>
      <c r="I43" s="2">
        <v>2021</v>
      </c>
      <c r="J43" s="2">
        <v>2022</v>
      </c>
      <c r="K43" s="2">
        <v>2023</v>
      </c>
      <c r="L43" s="2">
        <v>2024</v>
      </c>
      <c r="M43" s="2">
        <v>2025</v>
      </c>
      <c r="N43" s="2">
        <v>2026</v>
      </c>
      <c r="O43" s="2">
        <v>2027</v>
      </c>
      <c r="R43"/>
      <c r="S43"/>
      <c r="T43"/>
      <c r="U43"/>
      <c r="V43"/>
      <c r="W43"/>
      <c r="X43"/>
      <c r="Y43"/>
      <c r="Z43"/>
    </row>
    <row r="44" spans="1:26" s="1" customFormat="1" x14ac:dyDescent="0.25">
      <c r="A44" s="1" t="s">
        <v>10</v>
      </c>
      <c r="B44" s="1" t="s">
        <v>66</v>
      </c>
      <c r="C44" s="1" t="s">
        <v>68</v>
      </c>
      <c r="D44" s="1" t="s">
        <v>21</v>
      </c>
      <c r="E44" s="1" t="s">
        <v>2</v>
      </c>
      <c r="J44" s="1">
        <v>2.8</v>
      </c>
      <c r="K44" s="1">
        <v>2.8</v>
      </c>
      <c r="L44" s="1">
        <v>2.4500000000000002</v>
      </c>
      <c r="M44" s="1">
        <v>2.4500000000000002</v>
      </c>
      <c r="N44" s="1">
        <v>2.4700000000000002</v>
      </c>
      <c r="O44" s="1">
        <v>2.06</v>
      </c>
      <c r="R44"/>
      <c r="S44"/>
      <c r="T44"/>
      <c r="U44"/>
      <c r="V44"/>
      <c r="W44"/>
      <c r="X44"/>
      <c r="Y44"/>
      <c r="Z44"/>
    </row>
    <row r="45" spans="1:26" s="1" customFormat="1" x14ac:dyDescent="0.25">
      <c r="A45" s="1" t="s">
        <v>10</v>
      </c>
      <c r="B45" s="1" t="s">
        <v>66</v>
      </c>
      <c r="C45" s="1" t="s">
        <v>43</v>
      </c>
      <c r="D45" s="1" t="s">
        <v>21</v>
      </c>
      <c r="E45" s="1" t="s">
        <v>2</v>
      </c>
      <c r="H45" s="1">
        <v>2.8</v>
      </c>
      <c r="I45" s="1">
        <v>2.8</v>
      </c>
      <c r="J45" s="1">
        <v>2.8</v>
      </c>
      <c r="K45" s="1">
        <v>2.8</v>
      </c>
      <c r="L45" s="1">
        <v>2.65</v>
      </c>
      <c r="M45" s="1">
        <v>2.4500000000000002</v>
      </c>
      <c r="N45" s="1">
        <v>2.4700000000000002</v>
      </c>
      <c r="O45" s="1">
        <v>2.06</v>
      </c>
      <c r="R45"/>
      <c r="S45"/>
      <c r="T45"/>
      <c r="U45"/>
      <c r="V45"/>
      <c r="W45"/>
      <c r="X45"/>
      <c r="Y45"/>
      <c r="Z45"/>
    </row>
    <row r="46" spans="1:26" s="1" customFormat="1" x14ac:dyDescent="0.25">
      <c r="A46" s="1" t="s">
        <v>10</v>
      </c>
      <c r="B46" s="1" t="s">
        <v>66</v>
      </c>
      <c r="C46" s="1" t="s">
        <v>72</v>
      </c>
      <c r="D46" s="1" t="s">
        <v>21</v>
      </c>
      <c r="E46" s="1" t="s">
        <v>2</v>
      </c>
      <c r="H46" s="1">
        <v>2.58</v>
      </c>
      <c r="I46" s="1">
        <v>2.58</v>
      </c>
      <c r="J46" s="1">
        <v>2.69</v>
      </c>
      <c r="K46" s="1">
        <v>2.69</v>
      </c>
      <c r="L46" s="1">
        <v>2.65</v>
      </c>
      <c r="M46" s="1">
        <v>2.5499999999999998</v>
      </c>
      <c r="N46" s="1">
        <v>2.4700000000000002</v>
      </c>
      <c r="O46" s="1">
        <v>2.06</v>
      </c>
      <c r="R46"/>
      <c r="S46"/>
      <c r="T46"/>
      <c r="U46"/>
      <c r="V46"/>
      <c r="W46"/>
      <c r="X46"/>
      <c r="Y46"/>
      <c r="Z46"/>
    </row>
    <row r="47" spans="1:26" s="1" customFormat="1" x14ac:dyDescent="0.25">
      <c r="A47" s="1" t="s">
        <v>10</v>
      </c>
      <c r="B47" s="1" t="s">
        <v>66</v>
      </c>
      <c r="C47" s="1" t="s">
        <v>73</v>
      </c>
      <c r="D47" s="1" t="s">
        <v>21</v>
      </c>
      <c r="E47" s="1" t="s">
        <v>2</v>
      </c>
      <c r="H47" s="1">
        <v>2.58</v>
      </c>
      <c r="I47" s="1">
        <v>2.58</v>
      </c>
      <c r="J47" s="1">
        <v>2.69</v>
      </c>
      <c r="K47" s="1">
        <v>2.69</v>
      </c>
      <c r="L47" s="1">
        <v>2.65</v>
      </c>
      <c r="M47" s="1">
        <v>2.5499999999999998</v>
      </c>
      <c r="N47" s="1">
        <v>2.4700000000000002</v>
      </c>
      <c r="O47" s="1">
        <v>2.06</v>
      </c>
      <c r="R47"/>
      <c r="S47"/>
      <c r="T47"/>
      <c r="U47"/>
      <c r="V47"/>
      <c r="W47"/>
      <c r="X47"/>
      <c r="Y47"/>
      <c r="Z47"/>
    </row>
    <row r="48" spans="1:26" s="1" customFormat="1" x14ac:dyDescent="0.25">
      <c r="A48" s="1" t="s">
        <v>10</v>
      </c>
      <c r="B48" s="1" t="s">
        <v>66</v>
      </c>
      <c r="C48" s="1" t="s">
        <v>59</v>
      </c>
      <c r="D48" s="1" t="s">
        <v>21</v>
      </c>
      <c r="E48" s="1" t="s">
        <v>2</v>
      </c>
      <c r="H48" s="1">
        <v>2.8</v>
      </c>
      <c r="I48" s="1">
        <v>2.8</v>
      </c>
      <c r="J48" s="1">
        <v>2.8</v>
      </c>
      <c r="K48" s="1">
        <v>2.8</v>
      </c>
      <c r="L48" s="1">
        <v>2.8</v>
      </c>
      <c r="M48" s="1">
        <v>1.3</v>
      </c>
      <c r="N48" s="1">
        <v>1.31</v>
      </c>
      <c r="O48" s="1">
        <v>1.31</v>
      </c>
      <c r="R48"/>
      <c r="S48"/>
      <c r="T48"/>
      <c r="U48"/>
      <c r="V48"/>
      <c r="W48"/>
      <c r="X48"/>
      <c r="Y48"/>
      <c r="Z48"/>
    </row>
    <row r="49" spans="1:26" s="1" customFormat="1" x14ac:dyDescent="0.25">
      <c r="A49" s="1" t="s">
        <v>10</v>
      </c>
      <c r="B49" s="1" t="s">
        <v>66</v>
      </c>
      <c r="C49" s="1" t="s">
        <v>74</v>
      </c>
      <c r="D49" s="1" t="s">
        <v>21</v>
      </c>
      <c r="E49" s="1" t="s">
        <v>2</v>
      </c>
      <c r="H49" s="1">
        <v>2.58</v>
      </c>
      <c r="I49" s="1">
        <v>2.58</v>
      </c>
      <c r="J49" s="1">
        <v>2.69</v>
      </c>
      <c r="K49" s="1">
        <v>2.69</v>
      </c>
      <c r="L49" s="1">
        <v>2.65</v>
      </c>
      <c r="M49" s="1">
        <v>2.5499999999999998</v>
      </c>
      <c r="N49" s="1">
        <v>2.5099999999999998</v>
      </c>
      <c r="O49" s="1">
        <v>2.09</v>
      </c>
      <c r="R49"/>
      <c r="S49"/>
      <c r="T49"/>
      <c r="U49"/>
      <c r="V49"/>
      <c r="W49"/>
      <c r="X49"/>
      <c r="Y49"/>
      <c r="Z49"/>
    </row>
    <row r="50" spans="1:26" s="1" customFormat="1" x14ac:dyDescent="0.25">
      <c r="A50" s="1" t="s">
        <v>10</v>
      </c>
      <c r="B50" s="1" t="s">
        <v>66</v>
      </c>
      <c r="C50" s="1" t="s">
        <v>64</v>
      </c>
      <c r="D50" s="1" t="s">
        <v>21</v>
      </c>
      <c r="E50" s="1" t="s">
        <v>2</v>
      </c>
      <c r="H50" s="1">
        <v>2.8</v>
      </c>
      <c r="I50" s="1">
        <v>2.8</v>
      </c>
      <c r="J50" s="1">
        <v>2.8</v>
      </c>
      <c r="K50" s="1">
        <v>2.8</v>
      </c>
      <c r="L50" s="1">
        <v>2.65</v>
      </c>
      <c r="M50" s="1">
        <v>2.4500000000000002</v>
      </c>
      <c r="N50" s="1">
        <v>2.4700000000000002</v>
      </c>
      <c r="O50" s="1">
        <v>2.06</v>
      </c>
      <c r="R50"/>
      <c r="S50"/>
      <c r="T50"/>
      <c r="U50"/>
      <c r="V50"/>
      <c r="W50"/>
      <c r="X50"/>
      <c r="Y50"/>
      <c r="Z50"/>
    </row>
    <row r="51" spans="1:26" s="1" customFormat="1" x14ac:dyDescent="0.25">
      <c r="A51" s="2" t="s">
        <v>3</v>
      </c>
      <c r="B51" s="2" t="s">
        <v>4</v>
      </c>
      <c r="C51" s="2" t="s">
        <v>5</v>
      </c>
      <c r="D51" s="2" t="s">
        <v>6</v>
      </c>
      <c r="E51" s="2" t="s">
        <v>7</v>
      </c>
      <c r="F51" s="2">
        <v>2018</v>
      </c>
      <c r="G51" s="2">
        <v>2019</v>
      </c>
      <c r="H51" s="2">
        <v>2020</v>
      </c>
      <c r="I51" s="2">
        <v>2021</v>
      </c>
      <c r="J51" s="2">
        <v>2022</v>
      </c>
      <c r="K51" s="2">
        <v>2023</v>
      </c>
      <c r="L51" s="2">
        <v>2024</v>
      </c>
      <c r="M51" s="2">
        <v>2025</v>
      </c>
      <c r="N51" s="2">
        <v>2026</v>
      </c>
      <c r="O51" s="2">
        <v>2027</v>
      </c>
      <c r="R51"/>
      <c r="S51"/>
      <c r="T51"/>
      <c r="U51"/>
      <c r="V51"/>
      <c r="W51"/>
      <c r="X51"/>
      <c r="Y51"/>
      <c r="Z51"/>
    </row>
    <row r="52" spans="1:26" s="1" customFormat="1" x14ac:dyDescent="0.25">
      <c r="A52" s="1" t="s">
        <v>30</v>
      </c>
      <c r="B52" s="1" t="s">
        <v>66</v>
      </c>
      <c r="C52" s="1" t="s">
        <v>75</v>
      </c>
      <c r="D52" s="1" t="s">
        <v>21</v>
      </c>
      <c r="E52" s="1" t="s">
        <v>2</v>
      </c>
      <c r="F52" s="1">
        <v>2.72</v>
      </c>
      <c r="G52" s="1">
        <v>2.65</v>
      </c>
      <c r="H52" s="1">
        <v>2.8</v>
      </c>
      <c r="I52" s="1">
        <v>2.8</v>
      </c>
      <c r="J52" s="1">
        <v>2.8</v>
      </c>
      <c r="K52" s="1">
        <v>2.8</v>
      </c>
      <c r="L52" s="1">
        <v>2.65</v>
      </c>
      <c r="M52" s="1">
        <v>2.4500000000000002</v>
      </c>
      <c r="N52" s="1">
        <v>2.4700000000000002</v>
      </c>
      <c r="O52" s="1">
        <v>2.06</v>
      </c>
      <c r="R52"/>
      <c r="S52"/>
      <c r="T52"/>
      <c r="U52"/>
      <c r="V52"/>
      <c r="W52"/>
      <c r="X52"/>
      <c r="Y52"/>
      <c r="Z52"/>
    </row>
    <row r="53" spans="1:26" s="1" customFormat="1" x14ac:dyDescent="0.25">
      <c r="A53" s="1" t="s">
        <v>30</v>
      </c>
      <c r="B53" s="1" t="s">
        <v>66</v>
      </c>
      <c r="C53" s="1" t="s">
        <v>68</v>
      </c>
      <c r="D53" s="1" t="s">
        <v>21</v>
      </c>
      <c r="E53" s="1" t="s">
        <v>2</v>
      </c>
      <c r="F53" s="1">
        <v>2.72</v>
      </c>
      <c r="G53" s="1">
        <v>2.65</v>
      </c>
      <c r="H53" s="1">
        <v>2.65</v>
      </c>
      <c r="J53" s="1">
        <v>2.8</v>
      </c>
      <c r="K53" s="1">
        <v>2.8</v>
      </c>
      <c r="L53" s="1">
        <v>2.65</v>
      </c>
      <c r="M53" s="1">
        <v>2.4500000000000002</v>
      </c>
      <c r="N53" s="1">
        <v>2.4700000000000002</v>
      </c>
      <c r="O53" s="1">
        <v>2.06</v>
      </c>
      <c r="R53"/>
      <c r="S53"/>
      <c r="T53"/>
      <c r="U53"/>
      <c r="V53"/>
      <c r="W53"/>
      <c r="X53"/>
      <c r="Y53"/>
      <c r="Z53"/>
    </row>
    <row r="54" spans="1:26" s="1" customFormat="1" x14ac:dyDescent="0.25">
      <c r="A54" s="1" t="s">
        <v>30</v>
      </c>
      <c r="B54" s="1" t="s">
        <v>66</v>
      </c>
      <c r="C54" s="1" t="s">
        <v>37</v>
      </c>
      <c r="D54" s="1" t="s">
        <v>21</v>
      </c>
      <c r="E54" s="1" t="s">
        <v>2</v>
      </c>
      <c r="F54" s="1">
        <v>2.72</v>
      </c>
      <c r="G54" s="1">
        <v>2.65</v>
      </c>
      <c r="H54" s="1">
        <v>2.8</v>
      </c>
      <c r="I54" s="1">
        <v>2.8</v>
      </c>
      <c r="J54" s="1">
        <v>2.8</v>
      </c>
      <c r="K54" s="1">
        <v>2.8</v>
      </c>
      <c r="L54" s="1">
        <v>2.6</v>
      </c>
      <c r="M54" s="1">
        <v>2.2000000000000002</v>
      </c>
      <c r="N54" s="1">
        <v>2.19</v>
      </c>
      <c r="O54" s="1">
        <v>2.0499999999999998</v>
      </c>
      <c r="R54"/>
      <c r="S54"/>
      <c r="T54"/>
      <c r="U54"/>
      <c r="V54"/>
      <c r="W54"/>
      <c r="X54"/>
      <c r="Y54"/>
      <c r="Z54"/>
    </row>
    <row r="55" spans="1:26" s="1" customFormat="1" x14ac:dyDescent="0.25">
      <c r="A55" s="1" t="s">
        <v>30</v>
      </c>
      <c r="B55" s="1" t="s">
        <v>66</v>
      </c>
      <c r="C55" s="1" t="s">
        <v>38</v>
      </c>
      <c r="D55" s="1" t="s">
        <v>21</v>
      </c>
      <c r="E55" s="1" t="s">
        <v>2</v>
      </c>
      <c r="F55" s="1">
        <v>2.72</v>
      </c>
      <c r="G55" s="1">
        <v>2.65</v>
      </c>
      <c r="H55" s="1">
        <v>2.8</v>
      </c>
      <c r="I55" s="1">
        <v>2.8</v>
      </c>
      <c r="J55" s="1">
        <v>2.8</v>
      </c>
      <c r="K55" s="1">
        <v>2.8</v>
      </c>
      <c r="L55" s="1">
        <v>2.6</v>
      </c>
      <c r="M55" s="1">
        <v>2.2000000000000002</v>
      </c>
      <c r="N55" s="1">
        <v>2.19</v>
      </c>
      <c r="O55" s="1">
        <v>2.0499999999999998</v>
      </c>
      <c r="R55"/>
      <c r="S55"/>
      <c r="T55"/>
      <c r="U55"/>
      <c r="V55"/>
      <c r="W55"/>
      <c r="X55"/>
      <c r="Y55"/>
      <c r="Z55"/>
    </row>
    <row r="56" spans="1:26" s="1" customFormat="1" x14ac:dyDescent="0.25">
      <c r="A56" s="1" t="s">
        <v>30</v>
      </c>
      <c r="B56" s="1" t="s">
        <v>66</v>
      </c>
      <c r="C56" s="1" t="s">
        <v>39</v>
      </c>
      <c r="D56" s="1" t="s">
        <v>21</v>
      </c>
      <c r="E56" s="1" t="s">
        <v>2</v>
      </c>
      <c r="F56" s="1">
        <v>2.72</v>
      </c>
      <c r="G56" s="1">
        <v>2.65</v>
      </c>
      <c r="H56" s="1">
        <v>2.8</v>
      </c>
      <c r="I56" s="1">
        <v>2.8</v>
      </c>
      <c r="J56" s="1">
        <v>2.8</v>
      </c>
      <c r="K56" s="1">
        <v>2.8</v>
      </c>
      <c r="L56" s="1">
        <v>2.6</v>
      </c>
      <c r="M56" s="1">
        <v>2.2000000000000002</v>
      </c>
      <c r="N56" s="1">
        <v>2.19</v>
      </c>
      <c r="O56" s="1">
        <v>2.0499999999999998</v>
      </c>
      <c r="R56"/>
      <c r="S56"/>
      <c r="T56"/>
      <c r="U56"/>
      <c r="V56"/>
      <c r="W56"/>
      <c r="X56"/>
      <c r="Y56"/>
      <c r="Z56"/>
    </row>
    <row r="57" spans="1:26" s="1" customFormat="1" x14ac:dyDescent="0.25">
      <c r="A57" s="1" t="s">
        <v>30</v>
      </c>
      <c r="B57" s="1" t="s">
        <v>66</v>
      </c>
      <c r="C57" s="1" t="s">
        <v>40</v>
      </c>
      <c r="D57" s="1" t="s">
        <v>21</v>
      </c>
      <c r="E57" s="1" t="s">
        <v>2</v>
      </c>
      <c r="F57" s="1">
        <v>2.72</v>
      </c>
      <c r="G57" s="1">
        <v>2.65</v>
      </c>
      <c r="H57" s="1">
        <v>2.65</v>
      </c>
      <c r="J57" s="1">
        <v>2.8</v>
      </c>
      <c r="K57" s="1">
        <v>2.8</v>
      </c>
      <c r="L57" s="1">
        <v>2.65</v>
      </c>
      <c r="M57" s="1">
        <v>2.4500000000000002</v>
      </c>
      <c r="N57" s="1">
        <v>2.4700000000000002</v>
      </c>
      <c r="O57" s="1">
        <v>2.06</v>
      </c>
      <c r="R57"/>
      <c r="S57"/>
      <c r="T57"/>
      <c r="U57"/>
      <c r="V57"/>
      <c r="W57"/>
      <c r="X57"/>
      <c r="Y57"/>
      <c r="Z57"/>
    </row>
    <row r="58" spans="1:26" s="1" customFormat="1" x14ac:dyDescent="0.25">
      <c r="A58" s="1" t="s">
        <v>30</v>
      </c>
      <c r="B58" s="1" t="s">
        <v>66</v>
      </c>
      <c r="C58" s="1" t="s">
        <v>41</v>
      </c>
      <c r="D58" s="1" t="s">
        <v>21</v>
      </c>
      <c r="E58" s="1" t="s">
        <v>2</v>
      </c>
      <c r="F58" s="1">
        <v>2.72</v>
      </c>
      <c r="G58" s="1">
        <v>2.65</v>
      </c>
      <c r="H58" s="1">
        <v>2.65</v>
      </c>
      <c r="J58" s="1">
        <v>2.8</v>
      </c>
      <c r="K58" s="1">
        <v>2.8</v>
      </c>
      <c r="L58" s="1">
        <v>2.65</v>
      </c>
      <c r="M58" s="1">
        <v>2.4500000000000002</v>
      </c>
      <c r="N58" s="1">
        <v>2.4700000000000002</v>
      </c>
      <c r="O58" s="1">
        <v>2.06</v>
      </c>
      <c r="R58"/>
      <c r="S58"/>
      <c r="T58"/>
      <c r="U58"/>
      <c r="V58"/>
      <c r="W58"/>
      <c r="X58"/>
      <c r="Y58"/>
      <c r="Z58"/>
    </row>
    <row r="59" spans="1:26" s="1" customFormat="1" x14ac:dyDescent="0.25">
      <c r="A59" s="1" t="s">
        <v>30</v>
      </c>
      <c r="B59" s="1" t="s">
        <v>66</v>
      </c>
      <c r="C59" s="1" t="s">
        <v>45</v>
      </c>
      <c r="D59" s="1" t="s">
        <v>16</v>
      </c>
      <c r="E59" s="1" t="s">
        <v>2</v>
      </c>
      <c r="J59" s="1">
        <v>2.8</v>
      </c>
      <c r="K59" s="1">
        <v>2.8</v>
      </c>
      <c r="L59" s="1">
        <v>2.65</v>
      </c>
      <c r="M59" s="1">
        <v>2.4500000000000002</v>
      </c>
      <c r="N59" s="1">
        <v>2.4700000000000002</v>
      </c>
      <c r="O59" s="1">
        <v>2.06</v>
      </c>
      <c r="R59"/>
      <c r="S59"/>
      <c r="T59"/>
      <c r="U59"/>
      <c r="V59"/>
      <c r="W59"/>
      <c r="X59"/>
      <c r="Y59"/>
      <c r="Z59"/>
    </row>
    <row r="60" spans="1:26" s="1" customFormat="1" x14ac:dyDescent="0.25">
      <c r="A60" s="1" t="s">
        <v>30</v>
      </c>
      <c r="B60" s="1" t="s">
        <v>66</v>
      </c>
      <c r="C60" s="1" t="s">
        <v>45</v>
      </c>
      <c r="D60" s="1" t="s">
        <v>21</v>
      </c>
      <c r="E60" s="1" t="s">
        <v>2</v>
      </c>
      <c r="J60" s="1">
        <v>2.8</v>
      </c>
      <c r="K60" s="1">
        <v>2.8</v>
      </c>
      <c r="L60" s="1">
        <v>2.65</v>
      </c>
      <c r="M60" s="1">
        <v>2.4500000000000002</v>
      </c>
      <c r="N60" s="1">
        <v>2.4700000000000002</v>
      </c>
      <c r="O60" s="1">
        <v>2.06</v>
      </c>
      <c r="R60"/>
      <c r="S60"/>
      <c r="T60"/>
      <c r="U60"/>
      <c r="V60"/>
      <c r="W60"/>
      <c r="X60"/>
      <c r="Y60"/>
      <c r="Z60"/>
    </row>
    <row r="61" spans="1:26" s="1" customFormat="1" x14ac:dyDescent="0.25">
      <c r="A61" s="1" t="s">
        <v>30</v>
      </c>
      <c r="B61" s="1" t="s">
        <v>66</v>
      </c>
      <c r="C61" s="1" t="s">
        <v>80</v>
      </c>
      <c r="D61" s="1" t="s">
        <v>16</v>
      </c>
      <c r="E61" s="1" t="s">
        <v>2</v>
      </c>
      <c r="J61" s="1">
        <v>2.8</v>
      </c>
      <c r="K61" s="1">
        <v>2.8</v>
      </c>
      <c r="L61" s="1">
        <v>2.65</v>
      </c>
      <c r="M61" s="1">
        <v>2.4500000000000002</v>
      </c>
      <c r="N61" s="1">
        <v>2.4700000000000002</v>
      </c>
      <c r="O61" s="1">
        <v>2.13</v>
      </c>
      <c r="R61"/>
      <c r="S61"/>
      <c r="T61"/>
      <c r="U61"/>
      <c r="V61"/>
      <c r="W61"/>
      <c r="X61"/>
      <c r="Y61"/>
      <c r="Z61"/>
    </row>
    <row r="62" spans="1:26" s="1" customFormat="1" x14ac:dyDescent="0.25">
      <c r="A62" s="1" t="s">
        <v>30</v>
      </c>
      <c r="B62" s="1" t="s">
        <v>66</v>
      </c>
      <c r="C62" s="1" t="s">
        <v>76</v>
      </c>
      <c r="D62" s="1" t="s">
        <v>16</v>
      </c>
      <c r="E62" s="1" t="s">
        <v>2</v>
      </c>
      <c r="J62" s="1">
        <v>2.8</v>
      </c>
      <c r="K62" s="1">
        <v>2.8</v>
      </c>
      <c r="L62" s="1">
        <v>2.65</v>
      </c>
      <c r="M62" s="1">
        <v>2.4500000000000002</v>
      </c>
      <c r="N62" s="1">
        <v>2.4700000000000002</v>
      </c>
      <c r="O62" s="1">
        <v>2.06</v>
      </c>
      <c r="R62"/>
      <c r="S62"/>
      <c r="T62"/>
      <c r="U62"/>
      <c r="V62"/>
      <c r="W62"/>
      <c r="X62"/>
      <c r="Y62"/>
      <c r="Z62"/>
    </row>
    <row r="63" spans="1:26" s="1" customFormat="1" x14ac:dyDescent="0.25">
      <c r="A63" s="1" t="s">
        <v>30</v>
      </c>
      <c r="B63" s="1" t="s">
        <v>66</v>
      </c>
      <c r="C63" s="1" t="s">
        <v>76</v>
      </c>
      <c r="D63" s="1" t="s">
        <v>21</v>
      </c>
      <c r="E63" s="1" t="s">
        <v>2</v>
      </c>
      <c r="J63" s="1">
        <v>2.8</v>
      </c>
      <c r="K63" s="1">
        <v>2.8</v>
      </c>
      <c r="L63" s="1">
        <v>2.65</v>
      </c>
      <c r="M63" s="1">
        <v>2.4500000000000002</v>
      </c>
      <c r="N63" s="1">
        <v>2.4700000000000002</v>
      </c>
      <c r="O63" s="1">
        <v>2.06</v>
      </c>
      <c r="R63"/>
      <c r="S63"/>
      <c r="T63"/>
      <c r="U63"/>
      <c r="V63"/>
      <c r="W63"/>
      <c r="X63"/>
      <c r="Y63"/>
      <c r="Z63"/>
    </row>
    <row r="64" spans="1:26" s="1" customFormat="1" x14ac:dyDescent="0.25">
      <c r="A64" s="1" t="s">
        <v>30</v>
      </c>
      <c r="B64" s="1" t="s">
        <v>66</v>
      </c>
      <c r="C64" s="1" t="s">
        <v>46</v>
      </c>
      <c r="D64" s="1" t="s">
        <v>21</v>
      </c>
      <c r="E64" s="1" t="s">
        <v>2</v>
      </c>
      <c r="F64" s="1">
        <v>2.72</v>
      </c>
      <c r="G64" s="1">
        <v>2.65</v>
      </c>
      <c r="H64" s="1">
        <v>2.65</v>
      </c>
      <c r="J64" s="1">
        <v>2.8</v>
      </c>
      <c r="K64" s="1">
        <v>2.8</v>
      </c>
      <c r="L64" s="1">
        <v>2.65</v>
      </c>
      <c r="M64" s="1">
        <v>2.4500000000000002</v>
      </c>
      <c r="N64" s="1">
        <v>2.4700000000000002</v>
      </c>
      <c r="O64" s="1">
        <v>2.06</v>
      </c>
      <c r="R64"/>
      <c r="S64"/>
      <c r="T64"/>
      <c r="U64"/>
      <c r="V64"/>
      <c r="W64"/>
      <c r="X64"/>
      <c r="Y64"/>
      <c r="Z64"/>
    </row>
    <row r="65" spans="1:26" s="1" customFormat="1" x14ac:dyDescent="0.25">
      <c r="A65" s="1" t="s">
        <v>30</v>
      </c>
      <c r="B65" s="1" t="s">
        <v>66</v>
      </c>
      <c r="C65" s="1" t="s">
        <v>47</v>
      </c>
      <c r="D65" s="1" t="s">
        <v>21</v>
      </c>
      <c r="E65" s="1" t="s">
        <v>2</v>
      </c>
      <c r="F65" s="1">
        <v>2.72</v>
      </c>
      <c r="G65" s="1">
        <v>2.65</v>
      </c>
      <c r="H65" s="1">
        <v>2.65</v>
      </c>
      <c r="I65" s="1">
        <v>2.8</v>
      </c>
      <c r="J65" s="1">
        <v>2.8</v>
      </c>
      <c r="K65" s="1">
        <v>2.8</v>
      </c>
      <c r="L65" s="1">
        <v>2.65</v>
      </c>
      <c r="M65" s="1">
        <v>2.4500000000000002</v>
      </c>
      <c r="N65" s="1">
        <v>2.4700000000000002</v>
      </c>
      <c r="O65" s="1">
        <v>2.06</v>
      </c>
      <c r="R65"/>
      <c r="S65"/>
      <c r="T65"/>
      <c r="U65"/>
      <c r="V65"/>
      <c r="W65"/>
      <c r="X65"/>
      <c r="Y65"/>
      <c r="Z65"/>
    </row>
    <row r="66" spans="1:26" s="1" customFormat="1" x14ac:dyDescent="0.25">
      <c r="A66" s="1" t="s">
        <v>30</v>
      </c>
      <c r="B66" s="1" t="s">
        <v>66</v>
      </c>
      <c r="C66" s="1" t="s">
        <v>77</v>
      </c>
      <c r="D66" s="1" t="s">
        <v>21</v>
      </c>
      <c r="E66" s="1" t="s">
        <v>2</v>
      </c>
      <c r="F66" s="1">
        <v>2.72</v>
      </c>
      <c r="G66" s="1">
        <v>2.65</v>
      </c>
      <c r="H66" s="1">
        <v>2.8</v>
      </c>
      <c r="I66" s="1">
        <v>2.8</v>
      </c>
      <c r="J66" s="1">
        <v>2.8</v>
      </c>
      <c r="K66" s="1">
        <v>2.8</v>
      </c>
      <c r="L66" s="1">
        <v>2.65</v>
      </c>
      <c r="M66" s="1">
        <v>2.4500000000000002</v>
      </c>
      <c r="N66" s="1">
        <v>2.4700000000000002</v>
      </c>
      <c r="O66" s="1">
        <v>2.06</v>
      </c>
      <c r="R66"/>
      <c r="S66"/>
      <c r="T66"/>
      <c r="U66"/>
      <c r="V66"/>
      <c r="W66"/>
      <c r="X66"/>
      <c r="Y66"/>
      <c r="Z66"/>
    </row>
    <row r="67" spans="1:26" s="1" customFormat="1" x14ac:dyDescent="0.25">
      <c r="A67" s="1" t="s">
        <v>30</v>
      </c>
      <c r="B67" s="1" t="s">
        <v>66</v>
      </c>
      <c r="C67" s="1" t="s">
        <v>78</v>
      </c>
      <c r="D67" s="1" t="s">
        <v>16</v>
      </c>
      <c r="E67" s="1" t="s">
        <v>2</v>
      </c>
      <c r="J67" s="1">
        <v>2.8</v>
      </c>
      <c r="K67" s="1">
        <v>2.8</v>
      </c>
      <c r="L67" s="1">
        <v>2.65</v>
      </c>
      <c r="M67" s="1">
        <v>2.4500000000000002</v>
      </c>
      <c r="N67" s="1">
        <v>2.4700000000000002</v>
      </c>
      <c r="O67" s="1">
        <v>2.06</v>
      </c>
      <c r="R67"/>
      <c r="S67"/>
      <c r="T67"/>
      <c r="U67"/>
      <c r="V67"/>
      <c r="W67"/>
      <c r="X67"/>
      <c r="Y67"/>
      <c r="Z67"/>
    </row>
    <row r="68" spans="1:26" s="1" customFormat="1" x14ac:dyDescent="0.25">
      <c r="A68" s="1" t="s">
        <v>30</v>
      </c>
      <c r="B68" s="1" t="s">
        <v>66</v>
      </c>
      <c r="C68" s="1" t="s">
        <v>78</v>
      </c>
      <c r="D68" s="1" t="s">
        <v>21</v>
      </c>
      <c r="E68" s="1" t="s">
        <v>2</v>
      </c>
      <c r="J68" s="1">
        <v>2.8</v>
      </c>
      <c r="K68" s="1">
        <v>2.8</v>
      </c>
      <c r="L68" s="1">
        <v>2.65</v>
      </c>
      <c r="M68" s="1">
        <v>2.4500000000000002</v>
      </c>
      <c r="N68" s="1">
        <v>2.4700000000000002</v>
      </c>
      <c r="O68" s="1">
        <v>2.06</v>
      </c>
      <c r="R68"/>
      <c r="S68"/>
      <c r="T68"/>
      <c r="U68"/>
      <c r="V68"/>
      <c r="W68"/>
      <c r="X68"/>
      <c r="Y68"/>
      <c r="Z68"/>
    </row>
    <row r="69" spans="1:26" s="1" customFormat="1" x14ac:dyDescent="0.25">
      <c r="A69" s="1" t="s">
        <v>30</v>
      </c>
      <c r="B69" s="1" t="s">
        <v>66</v>
      </c>
      <c r="C69" s="1" t="s">
        <v>79</v>
      </c>
      <c r="D69" s="1" t="s">
        <v>16</v>
      </c>
      <c r="E69" s="1" t="s">
        <v>2</v>
      </c>
      <c r="J69" s="1">
        <v>2.8</v>
      </c>
      <c r="K69" s="1">
        <v>2.8</v>
      </c>
      <c r="L69" s="1">
        <v>2.65</v>
      </c>
      <c r="M69" s="1">
        <v>2.4500000000000002</v>
      </c>
      <c r="N69" s="1">
        <v>2.4700000000000002</v>
      </c>
      <c r="O69" s="1">
        <v>2.12</v>
      </c>
      <c r="R69"/>
      <c r="S69"/>
      <c r="T69"/>
      <c r="U69"/>
      <c r="V69"/>
      <c r="W69"/>
      <c r="X69"/>
      <c r="Y69"/>
      <c r="Z69"/>
    </row>
    <row r="70" spans="1:26" s="1" customFormat="1" x14ac:dyDescent="0.25">
      <c r="A70" s="1" t="s">
        <v>30</v>
      </c>
      <c r="B70" s="1" t="s">
        <v>66</v>
      </c>
      <c r="C70" s="1" t="s">
        <v>79</v>
      </c>
      <c r="D70" s="1" t="s">
        <v>21</v>
      </c>
      <c r="E70" s="1" t="s">
        <v>2</v>
      </c>
      <c r="J70" s="1">
        <v>2.8</v>
      </c>
      <c r="K70" s="1">
        <v>2.8</v>
      </c>
      <c r="L70" s="1">
        <v>2.65</v>
      </c>
      <c r="M70" s="1">
        <v>2.4500000000000002</v>
      </c>
      <c r="N70" s="1">
        <v>2.4700000000000002</v>
      </c>
      <c r="O70" s="1">
        <v>2.12</v>
      </c>
      <c r="R70"/>
      <c r="S70"/>
      <c r="T70"/>
      <c r="U70"/>
      <c r="V70"/>
      <c r="W70"/>
      <c r="X70"/>
      <c r="Y70"/>
      <c r="Z70"/>
    </row>
    <row r="71" spans="1:26" s="1" customFormat="1" x14ac:dyDescent="0.25">
      <c r="A71" s="1" t="s">
        <v>30</v>
      </c>
      <c r="B71" s="1" t="s">
        <v>66</v>
      </c>
      <c r="C71" s="1" t="s">
        <v>51</v>
      </c>
      <c r="D71" s="1" t="s">
        <v>21</v>
      </c>
      <c r="E71" s="1" t="s">
        <v>2</v>
      </c>
      <c r="F71" s="1">
        <v>2.72</v>
      </c>
      <c r="G71" s="1">
        <v>2.65</v>
      </c>
      <c r="H71" s="1">
        <v>2.8</v>
      </c>
      <c r="I71" s="1">
        <v>2.8</v>
      </c>
      <c r="J71" s="1">
        <v>2.8</v>
      </c>
      <c r="K71" s="1">
        <v>2.8</v>
      </c>
      <c r="L71" s="1">
        <v>2.6</v>
      </c>
      <c r="M71" s="1">
        <v>2.2000000000000002</v>
      </c>
      <c r="N71" s="1">
        <v>2.19</v>
      </c>
      <c r="O71" s="1">
        <v>2.0499999999999998</v>
      </c>
      <c r="R71"/>
      <c r="S71"/>
      <c r="T71"/>
      <c r="U71"/>
      <c r="V71"/>
      <c r="W71"/>
      <c r="X71"/>
      <c r="Y71"/>
      <c r="Z71"/>
    </row>
    <row r="72" spans="1:26" s="1" customFormat="1" x14ac:dyDescent="0.25">
      <c r="A72" s="1" t="s">
        <v>30</v>
      </c>
      <c r="B72" s="1" t="s">
        <v>66</v>
      </c>
      <c r="C72" s="1" t="s">
        <v>53</v>
      </c>
      <c r="D72" s="1" t="s">
        <v>21</v>
      </c>
      <c r="E72" s="1" t="s">
        <v>2</v>
      </c>
      <c r="F72" s="1">
        <v>2.72</v>
      </c>
      <c r="G72" s="1">
        <v>2.65</v>
      </c>
      <c r="H72" s="1">
        <v>2.65</v>
      </c>
      <c r="I72" s="1">
        <v>2.8</v>
      </c>
      <c r="J72" s="1">
        <v>2.8</v>
      </c>
      <c r="K72" s="1">
        <v>2.8</v>
      </c>
      <c r="L72" s="1">
        <v>2.8</v>
      </c>
      <c r="M72" s="1">
        <v>2.65</v>
      </c>
      <c r="N72" s="1">
        <v>2.4700000000000002</v>
      </c>
      <c r="O72" s="1">
        <v>2.06</v>
      </c>
      <c r="R72"/>
      <c r="S72"/>
      <c r="T72"/>
      <c r="U72"/>
      <c r="V72"/>
      <c r="W72"/>
      <c r="X72"/>
      <c r="Y72"/>
      <c r="Z72"/>
    </row>
    <row r="73" spans="1:26" s="1" customFormat="1" x14ac:dyDescent="0.25">
      <c r="A73" s="1" t="s">
        <v>30</v>
      </c>
      <c r="B73" s="1" t="s">
        <v>66</v>
      </c>
      <c r="C73" s="1" t="s">
        <v>54</v>
      </c>
      <c r="D73" s="1" t="s">
        <v>16</v>
      </c>
      <c r="E73" s="1" t="s">
        <v>2</v>
      </c>
      <c r="J73" s="1">
        <v>2.8</v>
      </c>
      <c r="K73" s="1">
        <v>2.8</v>
      </c>
      <c r="L73" s="1">
        <v>2.65</v>
      </c>
      <c r="M73" s="1">
        <v>2.4500000000000002</v>
      </c>
      <c r="N73" s="1">
        <v>2.4700000000000002</v>
      </c>
      <c r="O73" s="1">
        <v>2.06</v>
      </c>
      <c r="R73"/>
      <c r="S73"/>
      <c r="T73"/>
      <c r="U73"/>
      <c r="V73"/>
      <c r="W73"/>
      <c r="X73"/>
      <c r="Y73"/>
      <c r="Z73"/>
    </row>
    <row r="74" spans="1:26" s="1" customFormat="1" x14ac:dyDescent="0.25">
      <c r="A74" s="1" t="s">
        <v>30</v>
      </c>
      <c r="B74" s="1" t="s">
        <v>66</v>
      </c>
      <c r="C74" s="1" t="s">
        <v>54</v>
      </c>
      <c r="D74" s="1" t="s">
        <v>21</v>
      </c>
      <c r="E74" s="1" t="s">
        <v>2</v>
      </c>
      <c r="F74" s="1">
        <v>2.72</v>
      </c>
      <c r="G74" s="1">
        <v>2.65</v>
      </c>
      <c r="H74" s="1">
        <v>2.65</v>
      </c>
      <c r="J74" s="1">
        <v>2.8</v>
      </c>
      <c r="K74" s="1">
        <v>2.8</v>
      </c>
      <c r="L74" s="1">
        <v>2.65</v>
      </c>
      <c r="M74" s="1">
        <v>2.4500000000000002</v>
      </c>
      <c r="N74" s="1">
        <v>2.4700000000000002</v>
      </c>
      <c r="O74" s="1">
        <v>2.06</v>
      </c>
      <c r="R74"/>
      <c r="S74"/>
      <c r="T74"/>
      <c r="U74"/>
      <c r="V74"/>
      <c r="W74"/>
      <c r="X74"/>
      <c r="Y74"/>
      <c r="Z74"/>
    </row>
    <row r="75" spans="1:26" s="1" customFormat="1" x14ac:dyDescent="0.25">
      <c r="A75" s="1" t="s">
        <v>30</v>
      </c>
      <c r="B75" s="1" t="s">
        <v>66</v>
      </c>
      <c r="C75" s="1" t="s">
        <v>56</v>
      </c>
      <c r="D75" s="1" t="s">
        <v>21</v>
      </c>
      <c r="E75" s="1" t="s">
        <v>2</v>
      </c>
      <c r="F75" s="1">
        <v>2.72</v>
      </c>
      <c r="G75" s="1">
        <v>2.65</v>
      </c>
      <c r="H75" s="1">
        <v>2.8</v>
      </c>
      <c r="I75" s="1">
        <v>2.8</v>
      </c>
      <c r="J75" s="1">
        <v>2.8</v>
      </c>
      <c r="K75" s="1">
        <v>2.8</v>
      </c>
      <c r="L75" s="1">
        <v>2.6</v>
      </c>
      <c r="M75" s="1">
        <v>2.2000000000000002</v>
      </c>
      <c r="N75" s="1">
        <v>2.19</v>
      </c>
      <c r="O75" s="1">
        <v>2.0499999999999998</v>
      </c>
      <c r="R75"/>
      <c r="S75"/>
      <c r="T75"/>
      <c r="U75"/>
      <c r="V75"/>
      <c r="W75"/>
      <c r="X75"/>
      <c r="Y75"/>
      <c r="Z75"/>
    </row>
    <row r="76" spans="1:26" s="1" customFormat="1" x14ac:dyDescent="0.25">
      <c r="A76" s="1" t="s">
        <v>30</v>
      </c>
      <c r="B76" s="1" t="s">
        <v>66</v>
      </c>
      <c r="C76" s="1" t="s">
        <v>57</v>
      </c>
      <c r="D76" s="1" t="s">
        <v>21</v>
      </c>
      <c r="E76" s="1" t="s">
        <v>2</v>
      </c>
      <c r="F76" s="1">
        <v>2.72</v>
      </c>
      <c r="G76" s="1">
        <v>2.65</v>
      </c>
      <c r="H76" s="1">
        <v>2.8</v>
      </c>
      <c r="I76" s="1">
        <v>2.8</v>
      </c>
      <c r="J76" s="1">
        <v>2.8</v>
      </c>
      <c r="K76" s="1">
        <v>2.8</v>
      </c>
      <c r="L76" s="1">
        <v>2.6</v>
      </c>
      <c r="M76" s="1">
        <v>2.2000000000000002</v>
      </c>
      <c r="N76" s="1">
        <v>2.19</v>
      </c>
      <c r="O76" s="1">
        <v>2.0499999999999998</v>
      </c>
      <c r="R76"/>
      <c r="S76"/>
      <c r="T76"/>
      <c r="U76"/>
      <c r="V76"/>
      <c r="W76"/>
      <c r="X76"/>
      <c r="Y76"/>
      <c r="Z76"/>
    </row>
    <row r="77" spans="1:26" s="1" customFormat="1" x14ac:dyDescent="0.25">
      <c r="A77" s="1" t="s">
        <v>30</v>
      </c>
      <c r="B77" s="1" t="s">
        <v>66</v>
      </c>
      <c r="C77" s="1" t="s">
        <v>58</v>
      </c>
      <c r="D77" s="1" t="s">
        <v>21</v>
      </c>
      <c r="E77" s="1" t="s">
        <v>2</v>
      </c>
      <c r="F77" s="1">
        <v>2.72</v>
      </c>
      <c r="G77" s="1">
        <v>2.65</v>
      </c>
      <c r="H77" s="1">
        <v>2.65</v>
      </c>
      <c r="J77" s="1">
        <v>2.8</v>
      </c>
      <c r="K77" s="1">
        <v>2.8</v>
      </c>
      <c r="L77" s="1">
        <v>2.6</v>
      </c>
      <c r="M77" s="1">
        <v>2.2000000000000002</v>
      </c>
      <c r="N77" s="1">
        <v>2.19</v>
      </c>
      <c r="O77" s="1">
        <v>2.0499999999999998</v>
      </c>
      <c r="R77"/>
      <c r="S77"/>
      <c r="T77"/>
      <c r="U77"/>
      <c r="V77"/>
      <c r="W77"/>
      <c r="X77"/>
      <c r="Y77"/>
      <c r="Z77"/>
    </row>
    <row r="78" spans="1:26" s="1" customFormat="1" x14ac:dyDescent="0.25">
      <c r="A78" s="1" t="s">
        <v>30</v>
      </c>
      <c r="B78" s="1" t="s">
        <v>66</v>
      </c>
      <c r="C78" s="1" t="s">
        <v>59</v>
      </c>
      <c r="D78" s="1" t="s">
        <v>21</v>
      </c>
      <c r="E78" s="1" t="s">
        <v>2</v>
      </c>
      <c r="F78" s="1">
        <v>2.72</v>
      </c>
      <c r="G78" s="1">
        <v>2.65</v>
      </c>
      <c r="H78" s="1">
        <v>2.8</v>
      </c>
      <c r="I78" s="1">
        <v>2.8</v>
      </c>
      <c r="J78" s="1">
        <v>2.8</v>
      </c>
      <c r="K78" s="1">
        <v>2.8</v>
      </c>
      <c r="L78" s="1">
        <v>2.65</v>
      </c>
      <c r="M78" s="1">
        <v>2.4500000000000002</v>
      </c>
      <c r="N78" s="1">
        <v>2.4700000000000002</v>
      </c>
      <c r="O78" s="1">
        <v>2.06</v>
      </c>
      <c r="R78"/>
      <c r="S78"/>
      <c r="T78"/>
      <c r="U78"/>
      <c r="V78"/>
      <c r="W78"/>
      <c r="X78"/>
      <c r="Y78"/>
      <c r="Z78"/>
    </row>
    <row r="79" spans="1:26" s="1" customFormat="1" x14ac:dyDescent="0.25">
      <c r="A79" s="1" t="s">
        <v>30</v>
      </c>
      <c r="B79" s="1" t="s">
        <v>66</v>
      </c>
      <c r="C79" s="1" t="s">
        <v>62</v>
      </c>
      <c r="D79" s="1" t="s">
        <v>21</v>
      </c>
      <c r="E79" s="1" t="s">
        <v>2</v>
      </c>
      <c r="F79" s="1">
        <v>2.72</v>
      </c>
      <c r="G79" s="1">
        <v>2.65</v>
      </c>
      <c r="H79" s="1">
        <v>2.65</v>
      </c>
      <c r="J79" s="1">
        <v>2.8</v>
      </c>
      <c r="K79" s="1">
        <v>2.8</v>
      </c>
      <c r="L79" s="1">
        <v>2.65</v>
      </c>
      <c r="M79" s="1">
        <v>2.4500000000000002</v>
      </c>
      <c r="N79" s="1">
        <v>2.4700000000000002</v>
      </c>
      <c r="O79" s="1">
        <v>2.06</v>
      </c>
      <c r="R79"/>
      <c r="S79"/>
      <c r="T79"/>
      <c r="U79"/>
      <c r="V79"/>
      <c r="W79"/>
      <c r="X79"/>
      <c r="Y79"/>
      <c r="Z79"/>
    </row>
    <row r="80" spans="1:26" s="1" customFormat="1" x14ac:dyDescent="0.25">
      <c r="A80" s="1" t="s">
        <v>30</v>
      </c>
      <c r="B80" s="1" t="s">
        <v>66</v>
      </c>
      <c r="C80" s="1" t="s">
        <v>60</v>
      </c>
      <c r="D80" s="1" t="s">
        <v>21</v>
      </c>
      <c r="E80" s="1" t="s">
        <v>2</v>
      </c>
      <c r="F80" s="1">
        <v>2.72</v>
      </c>
      <c r="G80" s="1">
        <v>2.65</v>
      </c>
      <c r="H80" s="1">
        <v>2.65</v>
      </c>
      <c r="J80" s="1">
        <v>2.8</v>
      </c>
      <c r="K80" s="1">
        <v>2.8</v>
      </c>
      <c r="L80" s="1">
        <v>2.65</v>
      </c>
      <c r="M80" s="1">
        <v>2.4500000000000002</v>
      </c>
      <c r="N80" s="1">
        <v>2.4700000000000002</v>
      </c>
      <c r="O80" s="1">
        <v>2.06</v>
      </c>
      <c r="R80"/>
      <c r="S80"/>
      <c r="T80"/>
      <c r="U80"/>
      <c r="V80"/>
      <c r="W80"/>
      <c r="X80"/>
      <c r="Y80"/>
      <c r="Z80"/>
    </row>
    <row r="81" spans="1:26" s="1" customFormat="1" x14ac:dyDescent="0.25">
      <c r="A81" s="1" t="s">
        <v>30</v>
      </c>
      <c r="B81" s="1" t="s">
        <v>66</v>
      </c>
      <c r="C81" s="1" t="s">
        <v>61</v>
      </c>
      <c r="D81" s="1" t="s">
        <v>21</v>
      </c>
      <c r="E81" s="1" t="s">
        <v>2</v>
      </c>
      <c r="F81" s="1">
        <v>2.72</v>
      </c>
      <c r="G81" s="1">
        <v>2.65</v>
      </c>
      <c r="H81" s="1">
        <v>2.65</v>
      </c>
      <c r="I81" s="1">
        <v>2.65</v>
      </c>
      <c r="J81" s="1">
        <v>2.8</v>
      </c>
      <c r="K81" s="1">
        <v>2.8</v>
      </c>
      <c r="L81" s="1">
        <v>2.65</v>
      </c>
      <c r="M81" s="1">
        <v>2.4500000000000002</v>
      </c>
      <c r="N81" s="1">
        <v>2.4700000000000002</v>
      </c>
      <c r="O81" s="1">
        <v>2.06</v>
      </c>
      <c r="R81"/>
      <c r="S81"/>
      <c r="T81"/>
      <c r="U81"/>
      <c r="V81"/>
      <c r="W81"/>
      <c r="X81"/>
      <c r="Y81"/>
      <c r="Z81"/>
    </row>
    <row r="82" spans="1:26" s="1" customFormat="1" x14ac:dyDescent="0.25">
      <c r="A82" s="1" t="s">
        <v>30</v>
      </c>
      <c r="B82" s="1" t="s">
        <v>66</v>
      </c>
      <c r="C82" s="1" t="s">
        <v>63</v>
      </c>
      <c r="D82" s="1" t="s">
        <v>21</v>
      </c>
      <c r="E82" s="1" t="s">
        <v>2</v>
      </c>
      <c r="F82" s="1">
        <v>2.72</v>
      </c>
      <c r="G82" s="1">
        <v>2.65</v>
      </c>
      <c r="H82" s="1">
        <v>2.65</v>
      </c>
      <c r="J82" s="1">
        <v>2.8</v>
      </c>
      <c r="K82" s="1">
        <v>2.8</v>
      </c>
      <c r="L82" s="1">
        <v>2.65</v>
      </c>
      <c r="M82" s="1">
        <v>2.4500000000000002</v>
      </c>
      <c r="N82" s="1">
        <v>2.4700000000000002</v>
      </c>
      <c r="O82" s="1">
        <v>2.06</v>
      </c>
      <c r="R82"/>
      <c r="S82"/>
      <c r="T82"/>
      <c r="U82"/>
      <c r="V82"/>
      <c r="W82"/>
      <c r="X82"/>
      <c r="Y82"/>
      <c r="Z82"/>
    </row>
    <row r="83" spans="1:26" s="1" customFormat="1" x14ac:dyDescent="0.25">
      <c r="A83" s="1" t="s">
        <v>30</v>
      </c>
      <c r="B83" s="1" t="s">
        <v>66</v>
      </c>
      <c r="C83" s="1" t="s">
        <v>64</v>
      </c>
      <c r="D83" s="1" t="s">
        <v>21</v>
      </c>
      <c r="E83" s="1" t="s">
        <v>2</v>
      </c>
      <c r="F83" s="1">
        <v>2.72</v>
      </c>
      <c r="G83" s="1">
        <v>2.65</v>
      </c>
      <c r="H83" s="1">
        <v>2.65</v>
      </c>
      <c r="J83" s="1">
        <v>2.8</v>
      </c>
      <c r="K83" s="1">
        <v>2.8</v>
      </c>
      <c r="L83" s="1">
        <v>2.65</v>
      </c>
      <c r="M83" s="1">
        <v>2.4500000000000002</v>
      </c>
      <c r="N83" s="1">
        <v>2.4700000000000002</v>
      </c>
      <c r="O83" s="1">
        <v>2.06</v>
      </c>
      <c r="R83"/>
      <c r="S83"/>
      <c r="T83"/>
      <c r="U83"/>
      <c r="V83"/>
      <c r="W83"/>
      <c r="X83"/>
      <c r="Y83"/>
      <c r="Z83"/>
    </row>
    <row r="84" spans="1:26" s="1" customFormat="1" x14ac:dyDescent="0.25">
      <c r="A84" s="1" t="s">
        <v>30</v>
      </c>
      <c r="B84" s="1" t="s">
        <v>66</v>
      </c>
      <c r="C84" s="1" t="s">
        <v>65</v>
      </c>
      <c r="D84" s="1" t="s">
        <v>21</v>
      </c>
      <c r="E84" s="1" t="s">
        <v>2</v>
      </c>
      <c r="F84" s="1">
        <v>2.72</v>
      </c>
      <c r="G84" s="1">
        <v>2.65</v>
      </c>
      <c r="H84" s="1">
        <v>2.65</v>
      </c>
      <c r="J84" s="1">
        <v>2.8</v>
      </c>
      <c r="K84" s="1">
        <v>2.8</v>
      </c>
      <c r="L84" s="1">
        <v>2.65</v>
      </c>
      <c r="M84" s="1">
        <v>2.4500000000000002</v>
      </c>
      <c r="N84" s="1">
        <v>2.4700000000000002</v>
      </c>
      <c r="O84" s="1">
        <v>2.06</v>
      </c>
      <c r="R84"/>
      <c r="S84"/>
      <c r="T84"/>
      <c r="U84"/>
      <c r="V84"/>
      <c r="W84"/>
      <c r="X84"/>
      <c r="Y84"/>
      <c r="Z84"/>
    </row>
    <row r="85" spans="1:26" s="1" customFormat="1" x14ac:dyDescent="0.25">
      <c r="A85" s="2" t="s">
        <v>3</v>
      </c>
      <c r="B85" s="2" t="s">
        <v>4</v>
      </c>
      <c r="C85" s="2" t="s">
        <v>5</v>
      </c>
      <c r="D85" s="2" t="s">
        <v>6</v>
      </c>
      <c r="E85" s="2" t="s">
        <v>7</v>
      </c>
      <c r="F85" s="2">
        <v>2018</v>
      </c>
      <c r="G85" s="2">
        <v>2019</v>
      </c>
      <c r="H85" s="2">
        <v>2020</v>
      </c>
      <c r="I85" s="2">
        <v>2021</v>
      </c>
      <c r="J85" s="2">
        <v>2022</v>
      </c>
      <c r="K85" s="2">
        <v>2023</v>
      </c>
      <c r="L85" s="2">
        <v>2024</v>
      </c>
      <c r="M85" s="2">
        <v>2025</v>
      </c>
      <c r="N85" s="2">
        <v>2026</v>
      </c>
      <c r="O85" s="2">
        <v>2027</v>
      </c>
      <c r="R85"/>
      <c r="S85"/>
      <c r="T85"/>
      <c r="U85"/>
      <c r="V85"/>
      <c r="W85"/>
      <c r="X85"/>
      <c r="Y85"/>
      <c r="Z85"/>
    </row>
    <row r="86" spans="1:26" s="1" customFormat="1" x14ac:dyDescent="0.25">
      <c r="A86" s="1" t="s">
        <v>24</v>
      </c>
      <c r="B86" s="1" t="s">
        <v>66</v>
      </c>
      <c r="C86" s="1" t="s">
        <v>68</v>
      </c>
      <c r="D86" s="1" t="s">
        <v>21</v>
      </c>
      <c r="E86" s="1" t="s">
        <v>2</v>
      </c>
      <c r="F86" s="1">
        <v>2.72</v>
      </c>
      <c r="G86" s="1">
        <v>2.65</v>
      </c>
      <c r="H86" s="1">
        <v>2.8</v>
      </c>
      <c r="I86" s="1">
        <v>2.8</v>
      </c>
      <c r="J86" s="1">
        <v>2.8</v>
      </c>
      <c r="K86" s="1">
        <v>2.8</v>
      </c>
      <c r="L86" s="1">
        <v>2.65</v>
      </c>
      <c r="M86" s="1">
        <v>2.4500000000000002</v>
      </c>
      <c r="N86" s="1">
        <v>2.4700000000000002</v>
      </c>
      <c r="O86" s="1">
        <v>2.06</v>
      </c>
      <c r="R86"/>
      <c r="S86"/>
      <c r="T86"/>
      <c r="U86"/>
      <c r="V86"/>
      <c r="W86"/>
      <c r="X86"/>
      <c r="Y86"/>
      <c r="Z86"/>
    </row>
    <row r="87" spans="1:26" s="1" customFormat="1" x14ac:dyDescent="0.25">
      <c r="R87"/>
      <c r="S87"/>
      <c r="T87"/>
      <c r="U87"/>
      <c r="V87"/>
      <c r="W87"/>
      <c r="X87"/>
      <c r="Y87"/>
      <c r="Z87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00E3C-C544-4122-AC4C-AC031DF012D7}">
  <dimension ref="A1:R12"/>
  <sheetViews>
    <sheetView topLeftCell="A3" workbookViewId="0">
      <selection sqref="A1:O1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s="1" customFormat="1" x14ac:dyDescent="0.25">
      <c r="A2" s="1" t="s">
        <v>81</v>
      </c>
      <c r="B2" s="1" t="s">
        <v>85</v>
      </c>
      <c r="D2" s="1" t="s">
        <v>86</v>
      </c>
      <c r="F2" s="1">
        <v>44</v>
      </c>
      <c r="G2" s="1">
        <v>42</v>
      </c>
      <c r="H2" s="1">
        <v>44</v>
      </c>
      <c r="I2" s="1">
        <v>44</v>
      </c>
      <c r="J2" s="1">
        <v>46</v>
      </c>
      <c r="K2" s="1">
        <v>43</v>
      </c>
      <c r="L2" s="1">
        <v>39</v>
      </c>
      <c r="M2" s="1">
        <v>34</v>
      </c>
      <c r="N2" s="1">
        <v>24</v>
      </c>
      <c r="O2" s="1">
        <v>19</v>
      </c>
      <c r="R2"/>
    </row>
    <row r="3" spans="1:18" s="1" customFormat="1" x14ac:dyDescent="0.25">
      <c r="A3" s="1" t="s">
        <v>26</v>
      </c>
      <c r="B3" s="1" t="s">
        <v>85</v>
      </c>
      <c r="D3" s="1" t="s">
        <v>86</v>
      </c>
      <c r="F3" s="1">
        <v>44</v>
      </c>
      <c r="G3" s="1">
        <v>42</v>
      </c>
      <c r="H3" s="1">
        <v>44</v>
      </c>
      <c r="I3" s="1">
        <v>44</v>
      </c>
      <c r="J3" s="1">
        <v>46</v>
      </c>
      <c r="K3" s="1">
        <v>43</v>
      </c>
      <c r="L3" s="1">
        <v>39</v>
      </c>
      <c r="M3" s="1">
        <v>34</v>
      </c>
      <c r="N3" s="1">
        <v>24</v>
      </c>
      <c r="O3" s="1">
        <v>24</v>
      </c>
      <c r="R3"/>
    </row>
    <row r="4" spans="1:18" s="1" customFormat="1" x14ac:dyDescent="0.25">
      <c r="A4" s="1" t="s">
        <v>9</v>
      </c>
      <c r="B4" s="1" t="s">
        <v>85</v>
      </c>
      <c r="D4" s="1" t="s">
        <v>86</v>
      </c>
      <c r="F4" s="1">
        <v>44</v>
      </c>
      <c r="G4" s="1">
        <v>42</v>
      </c>
      <c r="H4" s="1">
        <v>42</v>
      </c>
      <c r="J4" s="1">
        <v>46</v>
      </c>
      <c r="K4" s="1">
        <v>43</v>
      </c>
      <c r="M4" s="1">
        <v>34</v>
      </c>
      <c r="N4" s="1">
        <v>31</v>
      </c>
      <c r="O4" s="1">
        <v>23</v>
      </c>
      <c r="R4"/>
    </row>
    <row r="5" spans="1:18" s="1" customFormat="1" x14ac:dyDescent="0.25">
      <c r="A5" s="1" t="s">
        <v>33</v>
      </c>
      <c r="B5" s="1" t="s">
        <v>85</v>
      </c>
      <c r="D5" s="1" t="s">
        <v>86</v>
      </c>
      <c r="F5" s="1">
        <v>44</v>
      </c>
      <c r="G5" s="1">
        <v>42</v>
      </c>
      <c r="H5" s="1">
        <v>42</v>
      </c>
      <c r="J5" s="1">
        <v>46</v>
      </c>
      <c r="K5" s="1">
        <v>43</v>
      </c>
      <c r="M5" s="1">
        <v>34</v>
      </c>
      <c r="N5" s="1">
        <v>24</v>
      </c>
      <c r="O5" s="1">
        <v>24</v>
      </c>
      <c r="R5"/>
    </row>
    <row r="6" spans="1:18" s="1" customFormat="1" x14ac:dyDescent="0.25">
      <c r="A6" s="1" t="s">
        <v>82</v>
      </c>
      <c r="B6" s="1" t="s">
        <v>85</v>
      </c>
      <c r="D6" s="1" t="s">
        <v>86</v>
      </c>
      <c r="F6" s="1">
        <v>44</v>
      </c>
      <c r="G6" s="1">
        <v>42</v>
      </c>
      <c r="H6" s="1">
        <v>44</v>
      </c>
      <c r="I6" s="1">
        <v>44</v>
      </c>
      <c r="J6" s="1">
        <v>46</v>
      </c>
      <c r="K6" s="1">
        <v>43</v>
      </c>
      <c r="L6" s="1">
        <v>39</v>
      </c>
      <c r="M6" s="1">
        <v>34</v>
      </c>
      <c r="N6" s="1">
        <v>24</v>
      </c>
      <c r="O6" s="1">
        <v>19</v>
      </c>
      <c r="R6"/>
    </row>
    <row r="7" spans="1:18" s="1" customFormat="1" x14ac:dyDescent="0.25">
      <c r="A7" s="1" t="s">
        <v>27</v>
      </c>
      <c r="B7" s="1" t="s">
        <v>85</v>
      </c>
      <c r="D7" s="1" t="s">
        <v>86</v>
      </c>
      <c r="F7" s="1">
        <v>44</v>
      </c>
      <c r="G7" s="1">
        <v>42</v>
      </c>
      <c r="H7" s="1">
        <v>42</v>
      </c>
      <c r="J7" s="1">
        <v>46</v>
      </c>
      <c r="K7" s="1">
        <v>43</v>
      </c>
      <c r="L7" s="1">
        <v>39</v>
      </c>
      <c r="M7" s="1">
        <v>34</v>
      </c>
      <c r="N7" s="1">
        <v>24</v>
      </c>
      <c r="O7" s="1">
        <v>19</v>
      </c>
      <c r="R7"/>
    </row>
    <row r="8" spans="1:18" s="1" customFormat="1" x14ac:dyDescent="0.25">
      <c r="A8" s="1" t="s">
        <v>24</v>
      </c>
      <c r="B8" s="1" t="s">
        <v>85</v>
      </c>
      <c r="D8" s="1" t="s">
        <v>86</v>
      </c>
      <c r="F8" s="1">
        <v>44</v>
      </c>
      <c r="G8" s="1">
        <v>42</v>
      </c>
      <c r="H8" s="1">
        <v>42</v>
      </c>
      <c r="I8" s="1">
        <v>44</v>
      </c>
      <c r="J8" s="1">
        <v>46</v>
      </c>
      <c r="K8" s="1">
        <v>43</v>
      </c>
      <c r="L8" s="1">
        <v>39</v>
      </c>
      <c r="M8" s="1">
        <v>34</v>
      </c>
      <c r="N8" s="1">
        <v>24</v>
      </c>
      <c r="O8" s="1">
        <v>23</v>
      </c>
      <c r="R8"/>
    </row>
    <row r="9" spans="1:18" s="1" customFormat="1" x14ac:dyDescent="0.25">
      <c r="A9" s="1" t="s">
        <v>83</v>
      </c>
      <c r="B9" s="1" t="s">
        <v>85</v>
      </c>
      <c r="D9" s="1" t="s">
        <v>86</v>
      </c>
      <c r="F9" s="1">
        <v>44</v>
      </c>
      <c r="G9" s="1">
        <v>42</v>
      </c>
      <c r="H9" s="1">
        <v>44</v>
      </c>
      <c r="I9" s="1">
        <v>44</v>
      </c>
      <c r="J9" s="1">
        <v>46</v>
      </c>
      <c r="K9" s="1">
        <v>43</v>
      </c>
      <c r="L9" s="1">
        <v>39</v>
      </c>
      <c r="M9" s="1">
        <v>34</v>
      </c>
      <c r="N9" s="1">
        <v>25</v>
      </c>
      <c r="O9" s="1">
        <v>19</v>
      </c>
      <c r="R9"/>
    </row>
    <row r="10" spans="1:18" s="1" customFormat="1" x14ac:dyDescent="0.25">
      <c r="A10" s="1" t="s">
        <v>25</v>
      </c>
      <c r="B10" s="1" t="s">
        <v>85</v>
      </c>
      <c r="D10" s="1" t="s">
        <v>86</v>
      </c>
      <c r="F10" s="1">
        <v>44</v>
      </c>
      <c r="G10" s="1">
        <v>42</v>
      </c>
      <c r="H10" s="1">
        <v>42</v>
      </c>
      <c r="I10" s="1">
        <v>44</v>
      </c>
      <c r="J10" s="1">
        <v>46</v>
      </c>
      <c r="K10" s="1">
        <v>43</v>
      </c>
      <c r="L10" s="1">
        <v>39</v>
      </c>
      <c r="M10" s="1">
        <v>34</v>
      </c>
      <c r="N10" s="1">
        <v>24</v>
      </c>
      <c r="O10" s="1">
        <v>19</v>
      </c>
      <c r="R10"/>
    </row>
    <row r="11" spans="1:18" s="1" customFormat="1" x14ac:dyDescent="0.25">
      <c r="A11" s="1" t="s">
        <v>12</v>
      </c>
      <c r="B11" s="1" t="s">
        <v>85</v>
      </c>
      <c r="D11" s="1" t="s">
        <v>86</v>
      </c>
      <c r="F11" s="1">
        <v>44</v>
      </c>
      <c r="G11" s="1">
        <v>42</v>
      </c>
      <c r="H11" s="1">
        <v>42</v>
      </c>
      <c r="I11" s="1">
        <v>44</v>
      </c>
      <c r="J11" s="1">
        <v>46</v>
      </c>
      <c r="K11" s="1">
        <v>43</v>
      </c>
      <c r="L11" s="1">
        <v>39</v>
      </c>
      <c r="M11" s="1">
        <v>34</v>
      </c>
      <c r="N11" s="1">
        <v>25</v>
      </c>
      <c r="O11" s="1">
        <v>21</v>
      </c>
      <c r="R11"/>
    </row>
    <row r="12" spans="1:18" s="1" customFormat="1" x14ac:dyDescent="0.25">
      <c r="A12" s="1" t="s">
        <v>84</v>
      </c>
      <c r="B12" s="1" t="s">
        <v>85</v>
      </c>
      <c r="D12" s="1" t="s">
        <v>86</v>
      </c>
      <c r="F12" s="1">
        <v>44</v>
      </c>
      <c r="G12" s="1">
        <v>42</v>
      </c>
      <c r="H12" s="1">
        <v>44</v>
      </c>
      <c r="I12" s="1">
        <v>44</v>
      </c>
      <c r="J12" s="1">
        <v>46</v>
      </c>
      <c r="K12" s="1">
        <v>43</v>
      </c>
      <c r="L12" s="1">
        <v>39</v>
      </c>
      <c r="M12" s="1">
        <v>34</v>
      </c>
      <c r="N12" s="1">
        <v>24</v>
      </c>
      <c r="O12" s="1">
        <v>24</v>
      </c>
      <c r="R1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E22B6-F84B-4D5B-90D9-22404F11B363}">
  <dimension ref="A1:Q4"/>
  <sheetViews>
    <sheetView workbookViewId="0">
      <selection activeCell="A2" sqref="A2:O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186</v>
      </c>
      <c r="B2" s="1" t="s">
        <v>187</v>
      </c>
      <c r="D2" s="1" t="s">
        <v>16</v>
      </c>
      <c r="E2" s="1" t="s">
        <v>2</v>
      </c>
      <c r="F2" s="1">
        <v>1864</v>
      </c>
      <c r="G2" s="1">
        <v>1878</v>
      </c>
      <c r="H2" s="1">
        <v>1878</v>
      </c>
      <c r="I2" s="1">
        <v>1878</v>
      </c>
      <c r="J2" s="1">
        <v>1886</v>
      </c>
      <c r="K2" s="1">
        <v>1886</v>
      </c>
      <c r="L2" s="1">
        <v>1961</v>
      </c>
      <c r="M2" s="1">
        <v>1893</v>
      </c>
      <c r="N2" s="1">
        <v>1810</v>
      </c>
      <c r="O2" s="1">
        <v>1481</v>
      </c>
    </row>
    <row r="3" spans="1:15" x14ac:dyDescent="0.25">
      <c r="A3" s="1" t="s">
        <v>30</v>
      </c>
      <c r="B3" s="1" t="s">
        <v>187</v>
      </c>
      <c r="D3" s="1" t="s">
        <v>16</v>
      </c>
      <c r="E3" s="1" t="s">
        <v>2</v>
      </c>
      <c r="F3" s="1">
        <v>1864</v>
      </c>
      <c r="G3" s="1">
        <v>1878</v>
      </c>
      <c r="H3" s="1">
        <v>1878</v>
      </c>
      <c r="I3" s="1">
        <v>1878</v>
      </c>
      <c r="J3" s="1">
        <v>1886</v>
      </c>
      <c r="K3" s="1">
        <v>1886</v>
      </c>
      <c r="L3" s="1">
        <v>1961</v>
      </c>
      <c r="M3" s="1">
        <v>1893</v>
      </c>
      <c r="N3" s="1">
        <v>2482</v>
      </c>
      <c r="O3" s="1">
        <v>3662</v>
      </c>
    </row>
    <row r="4" spans="1:15" x14ac:dyDescent="0.25">
      <c r="A4" s="1" t="s">
        <v>84</v>
      </c>
      <c r="B4" s="1" t="s">
        <v>187</v>
      </c>
      <c r="D4" s="1" t="s">
        <v>16</v>
      </c>
      <c r="E4" s="1" t="s">
        <v>2</v>
      </c>
      <c r="F4" s="1">
        <v>1864</v>
      </c>
      <c r="G4" s="1">
        <v>1878</v>
      </c>
      <c r="H4" s="1">
        <v>1878</v>
      </c>
      <c r="I4" s="1">
        <v>1878</v>
      </c>
      <c r="J4" s="1">
        <v>1886</v>
      </c>
      <c r="K4" s="1">
        <v>1886</v>
      </c>
      <c r="L4" s="1">
        <v>1961</v>
      </c>
      <c r="M4" s="1">
        <v>1893</v>
      </c>
      <c r="N4" s="1">
        <v>1810</v>
      </c>
      <c r="O4" s="1">
        <v>1481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CD084-A95E-4A0B-B816-BCE729D1623D}">
  <dimension ref="A1:R4"/>
  <sheetViews>
    <sheetView workbookViewId="0">
      <selection sqref="A1:O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s="1" customFormat="1" x14ac:dyDescent="0.25">
      <c r="A2" s="1" t="s">
        <v>20</v>
      </c>
      <c r="B2" s="1" t="s">
        <v>87</v>
      </c>
      <c r="C2" s="1" t="s">
        <v>88</v>
      </c>
      <c r="D2" s="1" t="s">
        <v>16</v>
      </c>
      <c r="E2" s="1" t="s">
        <v>2</v>
      </c>
      <c r="F2" s="1">
        <v>204</v>
      </c>
      <c r="G2" s="1">
        <v>188</v>
      </c>
      <c r="H2" s="1">
        <v>188</v>
      </c>
      <c r="I2" s="1">
        <v>213</v>
      </c>
      <c r="J2" s="1">
        <v>213</v>
      </c>
      <c r="K2" s="1">
        <v>227</v>
      </c>
      <c r="L2" s="1">
        <v>229</v>
      </c>
      <c r="M2" s="1">
        <v>229</v>
      </c>
      <c r="N2" s="1">
        <v>188</v>
      </c>
      <c r="O2" s="1">
        <v>146</v>
      </c>
      <c r="R2"/>
    </row>
    <row r="3" spans="1:18" s="1" customFormat="1" x14ac:dyDescent="0.25">
      <c r="A3" s="1" t="s">
        <v>20</v>
      </c>
      <c r="B3" s="1" t="s">
        <v>87</v>
      </c>
      <c r="C3" s="1" t="s">
        <v>89</v>
      </c>
      <c r="D3" s="1" t="s">
        <v>16</v>
      </c>
      <c r="E3" s="1" t="s">
        <v>2</v>
      </c>
      <c r="K3" s="1">
        <v>229</v>
      </c>
      <c r="L3" s="1">
        <v>229</v>
      </c>
      <c r="M3" s="1">
        <v>229</v>
      </c>
      <c r="N3" s="1">
        <v>188</v>
      </c>
      <c r="O3" s="1">
        <v>146</v>
      </c>
      <c r="R3"/>
    </row>
    <row r="4" spans="1:18" s="1" customFormat="1" x14ac:dyDescent="0.25">
      <c r="A4" s="1" t="s">
        <v>25</v>
      </c>
      <c r="B4" s="1" t="s">
        <v>87</v>
      </c>
      <c r="C4" s="1" t="s">
        <v>89</v>
      </c>
      <c r="D4" s="1" t="s">
        <v>16</v>
      </c>
      <c r="E4" s="1" t="s">
        <v>2</v>
      </c>
      <c r="F4" s="1">
        <v>204</v>
      </c>
      <c r="G4" s="1">
        <v>188</v>
      </c>
      <c r="H4" s="1">
        <v>188</v>
      </c>
      <c r="J4" s="1">
        <v>213</v>
      </c>
      <c r="K4" s="1">
        <v>227</v>
      </c>
      <c r="L4" s="1">
        <v>229</v>
      </c>
      <c r="M4" s="1">
        <v>229</v>
      </c>
      <c r="N4" s="1">
        <v>188</v>
      </c>
      <c r="O4" s="1">
        <v>146</v>
      </c>
      <c r="R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024C-2A4B-449D-AEF6-123AA5E9E312}">
  <dimension ref="A1:R9"/>
  <sheetViews>
    <sheetView workbookViewId="0">
      <selection sqref="A1:O9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s="1" customFormat="1" x14ac:dyDescent="0.25">
      <c r="A2" s="1" t="s">
        <v>26</v>
      </c>
      <c r="B2" s="1" t="s">
        <v>90</v>
      </c>
      <c r="C2" s="1" t="s">
        <v>91</v>
      </c>
      <c r="D2" s="1" t="s">
        <v>16</v>
      </c>
      <c r="E2" s="1" t="s">
        <v>2</v>
      </c>
      <c r="F2" s="1">
        <v>16.57</v>
      </c>
      <c r="G2" s="1">
        <v>16.57</v>
      </c>
      <c r="H2" s="1">
        <v>16.57</v>
      </c>
      <c r="I2" s="1">
        <v>16.3</v>
      </c>
      <c r="J2" s="1">
        <v>16</v>
      </c>
      <c r="K2" s="1">
        <v>16</v>
      </c>
      <c r="L2" s="1">
        <v>15.8</v>
      </c>
      <c r="M2" s="1">
        <v>12.37</v>
      </c>
      <c r="N2" s="1">
        <v>10.52</v>
      </c>
      <c r="O2" s="1">
        <v>9.8800000000000008</v>
      </c>
      <c r="R2"/>
    </row>
    <row r="3" spans="1:18" s="1" customFormat="1" x14ac:dyDescent="0.25">
      <c r="A3" s="1" t="s">
        <v>26</v>
      </c>
      <c r="B3" s="1" t="s">
        <v>90</v>
      </c>
      <c r="C3" s="1" t="s">
        <v>92</v>
      </c>
      <c r="D3" s="1" t="s">
        <v>16</v>
      </c>
      <c r="E3" s="1" t="s">
        <v>2</v>
      </c>
      <c r="F3" s="1">
        <v>16.57</v>
      </c>
      <c r="G3" s="1">
        <v>16.57</v>
      </c>
      <c r="H3" s="1">
        <v>16.57</v>
      </c>
      <c r="I3" s="1">
        <v>16.3</v>
      </c>
      <c r="J3" s="1">
        <v>16</v>
      </c>
      <c r="K3" s="1">
        <v>16</v>
      </c>
      <c r="L3" s="1">
        <v>15.8</v>
      </c>
      <c r="M3" s="1">
        <v>12.37</v>
      </c>
      <c r="N3" s="1">
        <v>12.02</v>
      </c>
      <c r="O3" s="1">
        <v>9.32</v>
      </c>
      <c r="R3"/>
    </row>
    <row r="4" spans="1:18" s="1" customFormat="1" x14ac:dyDescent="0.25">
      <c r="A4" s="1" t="s">
        <v>26</v>
      </c>
      <c r="B4" s="1" t="s">
        <v>90</v>
      </c>
      <c r="C4" s="1" t="s">
        <v>93</v>
      </c>
      <c r="D4" s="1" t="s">
        <v>16</v>
      </c>
      <c r="E4" s="1" t="s">
        <v>2</v>
      </c>
      <c r="F4" s="1">
        <v>16.57</v>
      </c>
      <c r="G4" s="1">
        <v>16.57</v>
      </c>
      <c r="H4" s="1">
        <v>16.57</v>
      </c>
      <c r="I4" s="1">
        <v>16.3</v>
      </c>
      <c r="J4" s="1">
        <v>16</v>
      </c>
      <c r="K4" s="1">
        <v>16</v>
      </c>
      <c r="L4" s="1">
        <v>15.8</v>
      </c>
      <c r="M4" s="1">
        <v>12.37</v>
      </c>
      <c r="N4" s="1">
        <v>9.09</v>
      </c>
      <c r="O4" s="1">
        <v>5.83</v>
      </c>
      <c r="R4"/>
    </row>
    <row r="5" spans="1:18" s="1" customFormat="1" x14ac:dyDescent="0.25">
      <c r="A5" s="1" t="s">
        <v>26</v>
      </c>
      <c r="B5" s="1" t="s">
        <v>90</v>
      </c>
      <c r="C5" s="1" t="s">
        <v>22</v>
      </c>
      <c r="D5" s="1" t="s">
        <v>16</v>
      </c>
      <c r="E5" s="1" t="s">
        <v>2</v>
      </c>
      <c r="F5" s="1">
        <v>16.57</v>
      </c>
      <c r="G5" s="1">
        <v>16.57</v>
      </c>
      <c r="H5" s="1">
        <v>16.57</v>
      </c>
      <c r="I5" s="1">
        <v>16.23</v>
      </c>
      <c r="J5" s="1">
        <v>15.93</v>
      </c>
      <c r="K5" s="1">
        <v>15.93</v>
      </c>
      <c r="L5" s="1">
        <v>15.83</v>
      </c>
      <c r="M5" s="1">
        <v>15.57</v>
      </c>
      <c r="N5" s="1">
        <v>13.8</v>
      </c>
      <c r="O5" s="1">
        <v>11.42</v>
      </c>
      <c r="R5"/>
    </row>
    <row r="6" spans="1:18" s="1" customFormat="1" x14ac:dyDescent="0.25">
      <c r="A6" s="1" t="s">
        <v>20</v>
      </c>
      <c r="B6" s="1" t="s">
        <v>90</v>
      </c>
      <c r="C6" s="1" t="s">
        <v>93</v>
      </c>
      <c r="D6" s="1" t="s">
        <v>16</v>
      </c>
      <c r="E6" s="1" t="s">
        <v>2</v>
      </c>
      <c r="F6" s="1">
        <v>16.57</v>
      </c>
      <c r="G6" s="1">
        <v>16.57</v>
      </c>
      <c r="H6" s="1">
        <v>16.57</v>
      </c>
      <c r="I6" s="1">
        <v>16.3</v>
      </c>
      <c r="J6" s="1">
        <v>16</v>
      </c>
      <c r="K6" s="1">
        <v>16</v>
      </c>
      <c r="L6" s="1">
        <v>15.8</v>
      </c>
      <c r="M6" s="1">
        <v>11.86</v>
      </c>
      <c r="N6" s="1">
        <v>7.08</v>
      </c>
      <c r="O6" s="1">
        <v>2.2799999999999998</v>
      </c>
      <c r="R6"/>
    </row>
    <row r="7" spans="1:18" s="1" customFormat="1" x14ac:dyDescent="0.25">
      <c r="A7" s="1" t="s">
        <v>20</v>
      </c>
      <c r="B7" s="1" t="s">
        <v>90</v>
      </c>
      <c r="C7" s="1" t="s">
        <v>15</v>
      </c>
      <c r="D7" s="1" t="s">
        <v>16</v>
      </c>
      <c r="E7" s="1" t="s">
        <v>2</v>
      </c>
      <c r="F7" s="1">
        <v>16.57</v>
      </c>
      <c r="G7" s="1">
        <v>16.57</v>
      </c>
      <c r="H7" s="1">
        <v>16.57</v>
      </c>
      <c r="I7" s="1">
        <v>16.3</v>
      </c>
      <c r="J7" s="1">
        <v>16</v>
      </c>
      <c r="K7" s="1">
        <v>16</v>
      </c>
      <c r="L7" s="1">
        <v>16.07</v>
      </c>
      <c r="M7" s="1">
        <v>11.86</v>
      </c>
      <c r="N7" s="1">
        <v>7.08</v>
      </c>
      <c r="O7" s="1">
        <v>2.2799999999999998</v>
      </c>
      <c r="R7"/>
    </row>
    <row r="8" spans="1:18" s="1" customFormat="1" x14ac:dyDescent="0.25">
      <c r="A8" s="1" t="s">
        <v>27</v>
      </c>
      <c r="B8" s="1" t="s">
        <v>90</v>
      </c>
      <c r="C8" s="1" t="s">
        <v>93</v>
      </c>
      <c r="D8" s="1" t="s">
        <v>16</v>
      </c>
      <c r="E8" s="1" t="s">
        <v>2</v>
      </c>
      <c r="F8" s="1">
        <v>16.57</v>
      </c>
      <c r="G8" s="1">
        <v>16.57</v>
      </c>
      <c r="H8" s="1">
        <v>16.57</v>
      </c>
      <c r="I8" s="1">
        <v>16.3</v>
      </c>
      <c r="J8" s="1">
        <v>16</v>
      </c>
      <c r="K8" s="1">
        <v>16</v>
      </c>
      <c r="L8" s="1">
        <v>15.8</v>
      </c>
      <c r="M8" s="1">
        <v>13.64</v>
      </c>
      <c r="N8" s="1">
        <v>11.41</v>
      </c>
      <c r="O8" s="1">
        <v>9.42</v>
      </c>
      <c r="R8"/>
    </row>
    <row r="9" spans="1:18" s="1" customFormat="1" x14ac:dyDescent="0.25">
      <c r="A9" s="1" t="s">
        <v>30</v>
      </c>
      <c r="B9" s="1" t="s">
        <v>90</v>
      </c>
      <c r="C9" s="1" t="s">
        <v>93</v>
      </c>
      <c r="D9" s="1" t="s">
        <v>16</v>
      </c>
      <c r="E9" s="1" t="s">
        <v>2</v>
      </c>
      <c r="F9" s="1">
        <v>16.57</v>
      </c>
      <c r="G9" s="1">
        <v>16.57</v>
      </c>
      <c r="H9" s="1">
        <v>16.57</v>
      </c>
      <c r="I9" s="1">
        <v>16.3</v>
      </c>
      <c r="J9" s="1">
        <v>16</v>
      </c>
      <c r="K9" s="1">
        <v>16</v>
      </c>
      <c r="L9" s="1">
        <v>15.8</v>
      </c>
      <c r="M9" s="1">
        <v>12.37</v>
      </c>
      <c r="N9" s="1">
        <v>9.09</v>
      </c>
      <c r="O9" s="1">
        <v>5.83</v>
      </c>
      <c r="R9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7E05-892E-401F-AA1D-C454336C2CAA}">
  <dimension ref="A1:R97"/>
  <sheetViews>
    <sheetView workbookViewId="0">
      <selection activeCell="A90" sqref="A90:O97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8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8" s="1" customFormat="1" x14ac:dyDescent="0.25">
      <c r="A2" s="1" t="s">
        <v>95</v>
      </c>
      <c r="B2" s="1" t="s">
        <v>94</v>
      </c>
      <c r="D2" s="1" t="s">
        <v>118</v>
      </c>
      <c r="E2" s="1" t="s">
        <v>2</v>
      </c>
      <c r="F2" s="1">
        <v>1.77</v>
      </c>
      <c r="G2" s="1">
        <v>2.08</v>
      </c>
      <c r="H2" s="1">
        <v>2.4</v>
      </c>
      <c r="I2" s="1">
        <v>2.4</v>
      </c>
      <c r="J2" s="1">
        <v>2.2200000000000002</v>
      </c>
      <c r="K2" s="1">
        <v>2.2200000000000002</v>
      </c>
      <c r="L2" s="1">
        <v>1.87</v>
      </c>
      <c r="M2" s="1">
        <v>1.51</v>
      </c>
      <c r="N2" s="1">
        <v>1.3</v>
      </c>
      <c r="O2" s="1">
        <v>1.3</v>
      </c>
      <c r="R2"/>
    </row>
    <row r="3" spans="1:18" s="1" customFormat="1" x14ac:dyDescent="0.25">
      <c r="A3" s="1" t="s">
        <v>97</v>
      </c>
      <c r="B3" s="1" t="s">
        <v>94</v>
      </c>
      <c r="D3" s="1" t="s">
        <v>118</v>
      </c>
      <c r="E3" s="1" t="s">
        <v>2</v>
      </c>
      <c r="F3" s="1">
        <v>2.0099999999999998</v>
      </c>
      <c r="G3" s="1">
        <v>2.06</v>
      </c>
      <c r="H3" s="1">
        <v>1.19</v>
      </c>
      <c r="I3" s="1">
        <v>1.19</v>
      </c>
      <c r="J3" s="1">
        <v>1.27</v>
      </c>
      <c r="K3" s="1">
        <v>1.27</v>
      </c>
      <c r="L3" s="1">
        <v>1.23</v>
      </c>
      <c r="M3" s="1">
        <v>1.27</v>
      </c>
      <c r="N3" s="1">
        <v>1.51</v>
      </c>
      <c r="O3" s="1">
        <v>1.63</v>
      </c>
      <c r="R3"/>
    </row>
    <row r="4" spans="1:18" s="1" customFormat="1" x14ac:dyDescent="0.25">
      <c r="A4" s="1" t="s">
        <v>81</v>
      </c>
      <c r="B4" s="1" t="s">
        <v>94</v>
      </c>
      <c r="D4" s="1" t="s">
        <v>118</v>
      </c>
      <c r="E4" s="1" t="s">
        <v>2</v>
      </c>
      <c r="F4" s="1">
        <v>2.2000000000000002</v>
      </c>
      <c r="G4" s="1">
        <v>2.2200000000000002</v>
      </c>
      <c r="H4" s="1">
        <v>1.33</v>
      </c>
      <c r="I4" s="1">
        <v>1.6</v>
      </c>
      <c r="J4" s="1">
        <v>1.53</v>
      </c>
      <c r="K4" s="1">
        <v>1.53</v>
      </c>
      <c r="L4" s="1">
        <v>1.32</v>
      </c>
      <c r="M4" s="1">
        <v>1.31</v>
      </c>
      <c r="N4" s="1">
        <v>1.3</v>
      </c>
      <c r="O4" s="1">
        <v>1.3</v>
      </c>
      <c r="R4"/>
    </row>
    <row r="5" spans="1:18" s="1" customFormat="1" x14ac:dyDescent="0.25">
      <c r="A5" s="1" t="s">
        <v>98</v>
      </c>
      <c r="B5" s="1" t="s">
        <v>94</v>
      </c>
      <c r="D5" s="1" t="s">
        <v>118</v>
      </c>
      <c r="E5" s="1" t="s">
        <v>2</v>
      </c>
      <c r="F5" s="1">
        <v>1.77</v>
      </c>
      <c r="G5" s="1">
        <v>1.44</v>
      </c>
      <c r="I5" s="1">
        <v>1.33</v>
      </c>
      <c r="J5" s="1">
        <v>1.3</v>
      </c>
      <c r="K5" s="1">
        <v>1.3</v>
      </c>
      <c r="L5" s="1">
        <v>1.3</v>
      </c>
      <c r="M5" s="1">
        <v>1.32</v>
      </c>
      <c r="N5" s="1">
        <v>1.3</v>
      </c>
      <c r="O5" s="1">
        <v>1.3</v>
      </c>
      <c r="R5"/>
    </row>
    <row r="6" spans="1:18" s="1" customFormat="1" x14ac:dyDescent="0.25">
      <c r="A6" s="1" t="s">
        <v>99</v>
      </c>
      <c r="B6" s="1" t="s">
        <v>94</v>
      </c>
      <c r="D6" s="1" t="s">
        <v>118</v>
      </c>
      <c r="E6" s="1" t="s">
        <v>2</v>
      </c>
      <c r="H6" s="1">
        <v>1.33</v>
      </c>
      <c r="I6" s="1">
        <v>1.33</v>
      </c>
      <c r="J6" s="1">
        <v>1.35</v>
      </c>
      <c r="K6" s="1">
        <v>1.35</v>
      </c>
      <c r="L6" s="1">
        <v>1.35</v>
      </c>
      <c r="M6" s="1">
        <v>1.37</v>
      </c>
      <c r="N6" s="1">
        <v>1.3</v>
      </c>
      <c r="O6" s="1">
        <v>1.3</v>
      </c>
      <c r="R6"/>
    </row>
    <row r="7" spans="1:18" s="1" customFormat="1" x14ac:dyDescent="0.25">
      <c r="A7" s="1" t="s">
        <v>100</v>
      </c>
      <c r="B7" s="1" t="s">
        <v>94</v>
      </c>
      <c r="D7" s="1" t="s">
        <v>118</v>
      </c>
      <c r="E7" s="1" t="s">
        <v>2</v>
      </c>
      <c r="F7" s="1">
        <v>1.74</v>
      </c>
      <c r="G7" s="1">
        <v>1.76</v>
      </c>
      <c r="H7" s="1">
        <v>2.58</v>
      </c>
      <c r="I7" s="1">
        <v>2.58</v>
      </c>
      <c r="J7" s="1">
        <v>2.31</v>
      </c>
      <c r="K7" s="1">
        <v>2.31</v>
      </c>
      <c r="L7" s="1">
        <v>1.91</v>
      </c>
      <c r="M7" s="1">
        <v>1.56</v>
      </c>
      <c r="N7" s="1">
        <v>1.39</v>
      </c>
      <c r="O7" s="1">
        <v>1.39</v>
      </c>
      <c r="R7"/>
    </row>
    <row r="8" spans="1:18" s="1" customFormat="1" x14ac:dyDescent="0.25">
      <c r="A8" s="1" t="s">
        <v>101</v>
      </c>
      <c r="B8" s="1" t="s">
        <v>94</v>
      </c>
      <c r="D8" s="1" t="s">
        <v>118</v>
      </c>
      <c r="E8" s="1" t="s">
        <v>2</v>
      </c>
      <c r="F8" s="1">
        <v>2.11</v>
      </c>
      <c r="G8" s="1">
        <v>2.34</v>
      </c>
      <c r="H8" s="1">
        <v>2.4700000000000002</v>
      </c>
      <c r="I8" s="1">
        <v>2.4700000000000002</v>
      </c>
      <c r="J8" s="1">
        <v>2.2400000000000002</v>
      </c>
      <c r="K8" s="1">
        <v>2.2400000000000002</v>
      </c>
      <c r="L8" s="1">
        <v>1.84</v>
      </c>
      <c r="M8" s="1">
        <v>1.51</v>
      </c>
      <c r="N8" s="1">
        <v>1.3</v>
      </c>
      <c r="O8" s="1">
        <v>1.3</v>
      </c>
      <c r="R8"/>
    </row>
    <row r="9" spans="1:18" s="1" customFormat="1" x14ac:dyDescent="0.25">
      <c r="A9" s="1" t="s">
        <v>102</v>
      </c>
      <c r="B9" s="1" t="s">
        <v>94</v>
      </c>
      <c r="D9" s="1" t="s">
        <v>118</v>
      </c>
      <c r="E9" s="1" t="s">
        <v>2</v>
      </c>
      <c r="F9" s="1">
        <v>2.12</v>
      </c>
      <c r="G9" s="1">
        <v>1.98</v>
      </c>
      <c r="H9" s="1">
        <v>1.17</v>
      </c>
      <c r="I9" s="1">
        <v>1.66</v>
      </c>
      <c r="J9" s="1">
        <v>1.62</v>
      </c>
      <c r="K9" s="1">
        <v>1.62</v>
      </c>
      <c r="L9" s="1">
        <v>1.58</v>
      </c>
      <c r="M9" s="1">
        <v>1.41</v>
      </c>
      <c r="N9" s="1">
        <v>1.41</v>
      </c>
      <c r="O9" s="1">
        <v>1.41</v>
      </c>
      <c r="R9"/>
    </row>
    <row r="10" spans="1:18" s="1" customFormat="1" x14ac:dyDescent="0.25">
      <c r="A10" s="1" t="s">
        <v>8</v>
      </c>
      <c r="B10" s="1" t="s">
        <v>94</v>
      </c>
      <c r="D10" s="1" t="s">
        <v>118</v>
      </c>
      <c r="E10" s="1" t="s">
        <v>2</v>
      </c>
      <c r="F10" s="1">
        <v>2.0299999999999998</v>
      </c>
      <c r="G10" s="1">
        <v>2.17</v>
      </c>
      <c r="H10" s="1">
        <v>1.51</v>
      </c>
      <c r="I10" s="1">
        <v>1.67</v>
      </c>
      <c r="J10" s="1">
        <v>1.61</v>
      </c>
      <c r="K10" s="1">
        <v>1.61</v>
      </c>
      <c r="L10" s="1">
        <v>1.44</v>
      </c>
      <c r="M10" s="1">
        <v>1.37</v>
      </c>
      <c r="N10" s="1">
        <v>1.37</v>
      </c>
      <c r="O10" s="1">
        <v>1.37</v>
      </c>
      <c r="R10"/>
    </row>
    <row r="11" spans="1:18" s="1" customFormat="1" x14ac:dyDescent="0.25">
      <c r="A11" s="1" t="s">
        <v>103</v>
      </c>
      <c r="B11" s="1" t="s">
        <v>94</v>
      </c>
      <c r="D11" s="1" t="s">
        <v>118</v>
      </c>
      <c r="E11" s="1" t="s">
        <v>2</v>
      </c>
      <c r="F11" s="1">
        <v>1.28</v>
      </c>
      <c r="G11" s="1">
        <v>1.3</v>
      </c>
      <c r="H11" s="1">
        <v>1.35</v>
      </c>
      <c r="I11" s="1">
        <v>1.35</v>
      </c>
      <c r="J11" s="1">
        <v>1.37</v>
      </c>
      <c r="K11" s="1">
        <v>1.37</v>
      </c>
      <c r="L11" s="1">
        <v>1.37</v>
      </c>
      <c r="M11" s="1">
        <v>1.39</v>
      </c>
      <c r="N11" s="1">
        <v>1.3</v>
      </c>
      <c r="O11" s="1">
        <v>1.3</v>
      </c>
      <c r="R11"/>
    </row>
    <row r="12" spans="1:18" s="1" customFormat="1" x14ac:dyDescent="0.25">
      <c r="A12" s="1" t="s">
        <v>104</v>
      </c>
      <c r="B12" s="1" t="s">
        <v>94</v>
      </c>
      <c r="D12" s="1" t="s">
        <v>118</v>
      </c>
      <c r="E12" s="1" t="s">
        <v>2</v>
      </c>
      <c r="F12" s="1">
        <v>1.27</v>
      </c>
      <c r="G12" s="1">
        <v>1.37</v>
      </c>
      <c r="H12" s="1">
        <v>1.39</v>
      </c>
      <c r="I12" s="1">
        <v>1.39</v>
      </c>
      <c r="J12" s="1">
        <v>1.41</v>
      </c>
      <c r="K12" s="1">
        <v>1.41</v>
      </c>
      <c r="L12" s="1">
        <v>1.36</v>
      </c>
      <c r="M12" s="1">
        <v>1.33</v>
      </c>
      <c r="N12" s="1">
        <v>1.3</v>
      </c>
      <c r="O12" s="1">
        <v>1.3</v>
      </c>
      <c r="R12"/>
    </row>
    <row r="13" spans="1:18" s="1" customFormat="1" x14ac:dyDescent="0.25">
      <c r="A13" s="1" t="s">
        <v>33</v>
      </c>
      <c r="B13" s="1" t="s">
        <v>94</v>
      </c>
      <c r="D13" s="1" t="s">
        <v>118</v>
      </c>
      <c r="E13" s="1" t="s">
        <v>2</v>
      </c>
      <c r="M13" s="1">
        <v>1.49</v>
      </c>
      <c r="N13" s="1">
        <v>1.3</v>
      </c>
      <c r="O13" s="1">
        <v>1.3</v>
      </c>
      <c r="R13"/>
    </row>
    <row r="14" spans="1:18" s="1" customFormat="1" x14ac:dyDescent="0.25">
      <c r="A14" s="1" t="s">
        <v>105</v>
      </c>
      <c r="B14" s="1" t="s">
        <v>94</v>
      </c>
      <c r="D14" s="1" t="s">
        <v>118</v>
      </c>
      <c r="E14" s="1" t="s">
        <v>2</v>
      </c>
      <c r="F14" s="1">
        <v>1.71</v>
      </c>
      <c r="G14" s="1">
        <v>1.83</v>
      </c>
      <c r="H14" s="1">
        <v>0.72</v>
      </c>
      <c r="I14" s="1">
        <v>0.72</v>
      </c>
      <c r="J14" s="1">
        <v>0.94</v>
      </c>
      <c r="K14" s="1">
        <v>0.94</v>
      </c>
      <c r="L14" s="1">
        <v>1.05</v>
      </c>
      <c r="M14" s="1">
        <v>1.24</v>
      </c>
      <c r="N14" s="1">
        <v>1.3</v>
      </c>
      <c r="O14" s="1">
        <v>1.3</v>
      </c>
      <c r="R14"/>
    </row>
    <row r="15" spans="1:18" s="1" customFormat="1" x14ac:dyDescent="0.25">
      <c r="A15" s="1" t="s">
        <v>10</v>
      </c>
      <c r="B15" s="1" t="s">
        <v>94</v>
      </c>
      <c r="D15" s="1" t="s">
        <v>118</v>
      </c>
      <c r="E15" s="1" t="s">
        <v>2</v>
      </c>
      <c r="F15" s="1">
        <v>2.19</v>
      </c>
      <c r="G15" s="1">
        <v>2.33</v>
      </c>
      <c r="H15" s="1">
        <v>1.51</v>
      </c>
      <c r="I15" s="1">
        <v>1.51</v>
      </c>
      <c r="J15" s="1">
        <v>1.51</v>
      </c>
      <c r="K15" s="1">
        <v>1.51</v>
      </c>
      <c r="L15" s="1">
        <v>1.44</v>
      </c>
      <c r="M15" s="1">
        <v>1.37</v>
      </c>
      <c r="N15" s="1">
        <v>1.3</v>
      </c>
      <c r="O15" s="1">
        <v>1.2</v>
      </c>
      <c r="R15"/>
    </row>
    <row r="16" spans="1:18" s="1" customFormat="1" x14ac:dyDescent="0.25">
      <c r="A16" s="1" t="s">
        <v>107</v>
      </c>
      <c r="B16" s="1" t="s">
        <v>94</v>
      </c>
      <c r="D16" s="1" t="s">
        <v>118</v>
      </c>
      <c r="E16" s="1" t="s">
        <v>2</v>
      </c>
      <c r="F16" s="1">
        <v>1.9</v>
      </c>
      <c r="G16" s="1">
        <v>1.55</v>
      </c>
      <c r="H16" s="1">
        <v>1.19</v>
      </c>
      <c r="I16" s="1">
        <v>1.19</v>
      </c>
      <c r="J16" s="1">
        <v>1.27</v>
      </c>
      <c r="K16" s="1">
        <v>1.27</v>
      </c>
      <c r="L16" s="1">
        <v>1.23</v>
      </c>
      <c r="M16" s="1">
        <v>1.27</v>
      </c>
      <c r="N16" s="1">
        <v>1.3</v>
      </c>
      <c r="O16" s="1">
        <v>1.3</v>
      </c>
      <c r="R16"/>
    </row>
    <row r="17" spans="1:18" s="1" customFormat="1" x14ac:dyDescent="0.25">
      <c r="A17" s="1" t="s">
        <v>82</v>
      </c>
      <c r="B17" s="1" t="s">
        <v>94</v>
      </c>
      <c r="D17" s="1" t="s">
        <v>118</v>
      </c>
      <c r="E17" s="1" t="s">
        <v>2</v>
      </c>
      <c r="F17" s="1">
        <v>1.91</v>
      </c>
      <c r="G17" s="1">
        <v>1.97</v>
      </c>
      <c r="H17" s="1">
        <v>1.61</v>
      </c>
      <c r="I17" s="1">
        <v>1.61</v>
      </c>
      <c r="J17" s="1">
        <v>1.61</v>
      </c>
      <c r="K17" s="1">
        <v>1.61</v>
      </c>
      <c r="L17" s="1">
        <v>1.54</v>
      </c>
      <c r="M17" s="1">
        <v>1.47</v>
      </c>
      <c r="N17" s="1">
        <v>1.31</v>
      </c>
      <c r="O17" s="1">
        <v>1.31</v>
      </c>
      <c r="R17"/>
    </row>
    <row r="18" spans="1:18" s="1" customFormat="1" x14ac:dyDescent="0.25">
      <c r="A18" s="1" t="s">
        <v>27</v>
      </c>
      <c r="B18" s="1" t="s">
        <v>94</v>
      </c>
      <c r="D18" s="1" t="s">
        <v>118</v>
      </c>
      <c r="E18" s="1" t="s">
        <v>2</v>
      </c>
      <c r="F18" s="1">
        <v>2.38</v>
      </c>
      <c r="G18" s="1">
        <v>2.4500000000000002</v>
      </c>
      <c r="H18" s="1">
        <v>2.48</v>
      </c>
      <c r="I18" s="1">
        <v>2.48</v>
      </c>
      <c r="J18" s="1">
        <v>2.2200000000000002</v>
      </c>
      <c r="K18" s="1">
        <v>2.2200000000000002</v>
      </c>
      <c r="L18" s="1">
        <v>1.87</v>
      </c>
      <c r="M18" s="1">
        <v>1.51</v>
      </c>
      <c r="N18" s="1">
        <v>1.3</v>
      </c>
      <c r="O18" s="1">
        <v>1.3</v>
      </c>
      <c r="R18"/>
    </row>
    <row r="19" spans="1:18" s="1" customFormat="1" x14ac:dyDescent="0.25">
      <c r="A19" s="1" t="s">
        <v>109</v>
      </c>
      <c r="B19" s="1" t="s">
        <v>94</v>
      </c>
      <c r="D19" s="1" t="s">
        <v>118</v>
      </c>
      <c r="E19" s="1" t="s">
        <v>2</v>
      </c>
      <c r="G19" s="1">
        <v>2.27</v>
      </c>
      <c r="H19" s="1">
        <v>0.74</v>
      </c>
      <c r="I19" s="1">
        <v>0.74</v>
      </c>
      <c r="J19" s="1">
        <v>0.95</v>
      </c>
      <c r="K19" s="1">
        <v>0.95</v>
      </c>
      <c r="L19" s="1">
        <v>1.05</v>
      </c>
      <c r="M19" s="1">
        <v>1.24</v>
      </c>
      <c r="N19" s="1">
        <v>1.3</v>
      </c>
      <c r="O19" s="1">
        <v>1.3</v>
      </c>
      <c r="R19"/>
    </row>
    <row r="20" spans="1:18" s="1" customFormat="1" x14ac:dyDescent="0.25">
      <c r="A20" s="1" t="s">
        <v>23</v>
      </c>
      <c r="B20" s="1" t="s">
        <v>94</v>
      </c>
      <c r="D20" s="1" t="s">
        <v>118</v>
      </c>
      <c r="E20" s="1" t="s">
        <v>2</v>
      </c>
      <c r="F20" s="1">
        <v>2.41</v>
      </c>
      <c r="G20" s="1">
        <v>2.46</v>
      </c>
      <c r="H20" s="1">
        <v>2.08</v>
      </c>
      <c r="I20" s="1">
        <v>2.3199999999999998</v>
      </c>
      <c r="J20" s="1">
        <v>2.02</v>
      </c>
      <c r="K20" s="1">
        <v>2.02</v>
      </c>
      <c r="L20" s="1">
        <v>1.74</v>
      </c>
      <c r="M20" s="1">
        <v>1.51</v>
      </c>
      <c r="N20" s="1">
        <v>1.3</v>
      </c>
      <c r="O20" s="1">
        <v>1.3</v>
      </c>
      <c r="R20"/>
    </row>
    <row r="21" spans="1:18" s="1" customFormat="1" x14ac:dyDescent="0.25">
      <c r="A21" s="1" t="s">
        <v>110</v>
      </c>
      <c r="B21" s="1" t="s">
        <v>94</v>
      </c>
      <c r="D21" s="1" t="s">
        <v>118</v>
      </c>
      <c r="E21" s="1" t="s">
        <v>2</v>
      </c>
      <c r="F21" s="1">
        <v>2.39</v>
      </c>
      <c r="G21" s="1">
        <v>2.3199999999999998</v>
      </c>
      <c r="H21" s="1">
        <v>1.18</v>
      </c>
      <c r="I21" s="1">
        <v>1.18</v>
      </c>
      <c r="J21" s="1">
        <v>1.25</v>
      </c>
      <c r="K21" s="1">
        <v>1.25</v>
      </c>
      <c r="L21" s="1">
        <v>1.25</v>
      </c>
      <c r="M21" s="1">
        <v>1.32</v>
      </c>
      <c r="N21" s="1">
        <v>1.3</v>
      </c>
      <c r="O21" s="1">
        <v>1.2</v>
      </c>
      <c r="R21"/>
    </row>
    <row r="22" spans="1:18" s="1" customFormat="1" x14ac:dyDescent="0.25">
      <c r="A22" s="1" t="s">
        <v>24</v>
      </c>
      <c r="B22" s="1" t="s">
        <v>94</v>
      </c>
      <c r="D22" s="1" t="s">
        <v>118</v>
      </c>
      <c r="E22" s="1" t="s">
        <v>2</v>
      </c>
      <c r="F22" s="1">
        <v>2.54</v>
      </c>
      <c r="G22" s="1">
        <v>2.57</v>
      </c>
      <c r="H22" s="1">
        <v>1.64</v>
      </c>
      <c r="I22" s="1">
        <v>1.64</v>
      </c>
      <c r="J22" s="1">
        <v>1.64</v>
      </c>
      <c r="K22" s="1">
        <v>1.64</v>
      </c>
      <c r="L22" s="1">
        <v>1.53</v>
      </c>
      <c r="M22" s="1">
        <v>1.42</v>
      </c>
      <c r="N22" s="1">
        <v>1.48</v>
      </c>
      <c r="O22" s="1">
        <v>1.42</v>
      </c>
      <c r="R22"/>
    </row>
    <row r="23" spans="1:18" s="1" customFormat="1" x14ac:dyDescent="0.25">
      <c r="A23" s="1" t="s">
        <v>111</v>
      </c>
      <c r="B23" s="1" t="s">
        <v>94</v>
      </c>
      <c r="D23" s="1" t="s">
        <v>118</v>
      </c>
      <c r="E23" s="1" t="s">
        <v>2</v>
      </c>
      <c r="F23" s="1">
        <v>2.12</v>
      </c>
      <c r="G23" s="1">
        <v>2.17</v>
      </c>
      <c r="H23" s="1">
        <v>0.81</v>
      </c>
      <c r="I23" s="1">
        <v>1.26</v>
      </c>
      <c r="J23" s="1">
        <v>1.35</v>
      </c>
      <c r="K23" s="1">
        <v>1.35</v>
      </c>
      <c r="L23" s="1">
        <v>1.07</v>
      </c>
      <c r="M23" s="1">
        <v>1.24</v>
      </c>
      <c r="N23" s="1">
        <v>1.3</v>
      </c>
      <c r="O23" s="1">
        <v>1.2</v>
      </c>
      <c r="R23"/>
    </row>
    <row r="24" spans="1:18" s="1" customFormat="1" x14ac:dyDescent="0.25">
      <c r="A24" s="1" t="s">
        <v>25</v>
      </c>
      <c r="B24" s="1" t="s">
        <v>94</v>
      </c>
      <c r="D24" s="1" t="s">
        <v>118</v>
      </c>
      <c r="E24" s="1" t="s">
        <v>2</v>
      </c>
      <c r="F24" s="1">
        <v>2.12</v>
      </c>
      <c r="G24" s="1">
        <v>2.17</v>
      </c>
      <c r="H24" s="1">
        <v>1.55</v>
      </c>
      <c r="I24" s="1">
        <v>1.55</v>
      </c>
      <c r="J24" s="1">
        <v>1.55</v>
      </c>
      <c r="K24" s="1">
        <v>1.55</v>
      </c>
      <c r="L24" s="1">
        <v>1.5</v>
      </c>
      <c r="M24" s="1">
        <v>1.45</v>
      </c>
      <c r="N24" s="1">
        <v>1.34</v>
      </c>
      <c r="O24" s="1">
        <v>1.34</v>
      </c>
      <c r="R24"/>
    </row>
    <row r="25" spans="1:18" s="1" customFormat="1" x14ac:dyDescent="0.25">
      <c r="A25" s="1" t="s">
        <v>113</v>
      </c>
      <c r="B25" s="1" t="s">
        <v>94</v>
      </c>
      <c r="D25" s="1" t="s">
        <v>118</v>
      </c>
      <c r="E25" s="1" t="s">
        <v>2</v>
      </c>
      <c r="F25" s="1">
        <v>2.78</v>
      </c>
      <c r="G25" s="1">
        <v>2.52</v>
      </c>
      <c r="H25" s="1">
        <v>3.06</v>
      </c>
      <c r="I25" s="1">
        <v>3.06</v>
      </c>
      <c r="J25" s="1">
        <v>2.6</v>
      </c>
      <c r="K25" s="1">
        <v>2.6</v>
      </c>
      <c r="L25" s="1">
        <v>2.06</v>
      </c>
      <c r="M25" s="1">
        <v>1.51</v>
      </c>
      <c r="N25" s="1">
        <v>1.3</v>
      </c>
      <c r="O25" s="1">
        <v>1.3</v>
      </c>
      <c r="R25"/>
    </row>
    <row r="26" spans="1:18" s="1" customFormat="1" x14ac:dyDescent="0.25">
      <c r="A26" s="1" t="s">
        <v>114</v>
      </c>
      <c r="B26" s="1" t="s">
        <v>94</v>
      </c>
      <c r="D26" s="1" t="s">
        <v>118</v>
      </c>
      <c r="E26" s="1" t="s">
        <v>2</v>
      </c>
      <c r="F26" s="1">
        <v>1.91</v>
      </c>
      <c r="G26" s="1">
        <v>1.92</v>
      </c>
      <c r="H26" s="1">
        <v>0.78</v>
      </c>
      <c r="I26" s="1">
        <v>0.78</v>
      </c>
      <c r="J26" s="1">
        <v>0.98</v>
      </c>
      <c r="K26" s="1">
        <v>0.98</v>
      </c>
      <c r="L26" s="1">
        <v>1.07</v>
      </c>
      <c r="M26" s="1">
        <v>1.24</v>
      </c>
      <c r="N26" s="1">
        <v>1.3</v>
      </c>
      <c r="O26" s="1">
        <v>1.3</v>
      </c>
      <c r="R26"/>
    </row>
    <row r="27" spans="1:18" s="1" customFormat="1" x14ac:dyDescent="0.25">
      <c r="A27" s="1" t="s">
        <v>115</v>
      </c>
      <c r="B27" s="1" t="s">
        <v>94</v>
      </c>
      <c r="D27" s="1" t="s">
        <v>118</v>
      </c>
      <c r="E27" s="1" t="s">
        <v>2</v>
      </c>
      <c r="F27" s="1">
        <v>1.47</v>
      </c>
      <c r="G27" s="1">
        <v>1.75</v>
      </c>
      <c r="H27" s="1">
        <v>2.4300000000000002</v>
      </c>
      <c r="I27" s="1">
        <v>2.4300000000000002</v>
      </c>
      <c r="J27" s="1">
        <v>2.2400000000000002</v>
      </c>
      <c r="K27" s="1">
        <v>2.2400000000000002</v>
      </c>
      <c r="L27" s="1">
        <v>1.88</v>
      </c>
      <c r="M27" s="1">
        <v>1.51</v>
      </c>
      <c r="N27" s="1">
        <v>1.3</v>
      </c>
      <c r="O27" s="1">
        <v>1.3</v>
      </c>
      <c r="R27"/>
    </row>
    <row r="28" spans="1:18" s="1" customFormat="1" x14ac:dyDescent="0.25">
      <c r="A28" s="1" t="s">
        <v>11</v>
      </c>
      <c r="B28" s="1" t="s">
        <v>94</v>
      </c>
      <c r="D28" s="1" t="s">
        <v>118</v>
      </c>
      <c r="E28" s="1" t="s">
        <v>2</v>
      </c>
      <c r="F28" s="1">
        <v>1.53</v>
      </c>
      <c r="G28" s="1">
        <v>1.29</v>
      </c>
      <c r="H28" s="1">
        <v>1.86</v>
      </c>
      <c r="I28" s="1">
        <v>1.92</v>
      </c>
      <c r="J28" s="1">
        <v>1.88</v>
      </c>
      <c r="K28" s="1">
        <v>1.88</v>
      </c>
      <c r="L28" s="1">
        <v>1.67</v>
      </c>
      <c r="M28" s="1">
        <v>1.51</v>
      </c>
      <c r="N28" s="1">
        <v>1.3</v>
      </c>
      <c r="O28" s="1">
        <v>1.3</v>
      </c>
      <c r="R28"/>
    </row>
    <row r="29" spans="1:18" s="1" customFormat="1" x14ac:dyDescent="0.25">
      <c r="A29" s="1" t="s">
        <v>116</v>
      </c>
      <c r="B29" s="1" t="s">
        <v>94</v>
      </c>
      <c r="D29" s="1" t="s">
        <v>118</v>
      </c>
      <c r="E29" s="1" t="s">
        <v>2</v>
      </c>
      <c r="F29" s="1">
        <v>1.97</v>
      </c>
      <c r="G29" s="1">
        <v>2.21</v>
      </c>
      <c r="H29" s="1">
        <v>1.1100000000000001</v>
      </c>
      <c r="I29" s="1">
        <v>2.0499999999999998</v>
      </c>
      <c r="J29" s="1">
        <v>1.98</v>
      </c>
      <c r="K29" s="1">
        <v>1.98</v>
      </c>
      <c r="L29" s="1">
        <v>1.75</v>
      </c>
      <c r="M29" s="1">
        <v>1.51</v>
      </c>
      <c r="N29" s="1">
        <v>1.3</v>
      </c>
      <c r="O29" s="1">
        <v>1.3</v>
      </c>
      <c r="R29"/>
    </row>
    <row r="30" spans="1:18" s="1" customFormat="1" x14ac:dyDescent="0.25">
      <c r="A30" s="1" t="s">
        <v>12</v>
      </c>
      <c r="B30" s="1" t="s">
        <v>94</v>
      </c>
      <c r="D30" s="1" t="s">
        <v>118</v>
      </c>
      <c r="E30" s="1" t="s">
        <v>2</v>
      </c>
      <c r="F30" s="1">
        <v>2.04</v>
      </c>
      <c r="G30" s="1">
        <v>2.11</v>
      </c>
      <c r="H30" s="1">
        <v>1.61</v>
      </c>
      <c r="I30" s="1">
        <v>1.61</v>
      </c>
      <c r="J30" s="1">
        <v>1.61</v>
      </c>
      <c r="K30" s="1">
        <v>1.61</v>
      </c>
      <c r="L30" s="1">
        <v>1.54</v>
      </c>
      <c r="M30" s="1">
        <v>1.47</v>
      </c>
      <c r="N30" s="1">
        <v>1.3</v>
      </c>
      <c r="O30" s="1">
        <v>1.3</v>
      </c>
      <c r="R30"/>
    </row>
    <row r="31" spans="1:18" s="1" customFormat="1" x14ac:dyDescent="0.25">
      <c r="A31" s="1" t="s">
        <v>84</v>
      </c>
      <c r="B31" s="1" t="s">
        <v>94</v>
      </c>
      <c r="D31" s="1" t="s">
        <v>118</v>
      </c>
      <c r="E31" s="1" t="s">
        <v>2</v>
      </c>
      <c r="F31" s="1">
        <v>2.66</v>
      </c>
      <c r="G31" s="1">
        <v>2.64</v>
      </c>
      <c r="H31" s="1">
        <v>1.74</v>
      </c>
      <c r="I31" s="1">
        <v>1.74</v>
      </c>
      <c r="J31" s="1">
        <v>1.74</v>
      </c>
      <c r="K31" s="1">
        <v>1.74</v>
      </c>
      <c r="L31" s="1">
        <v>1.63</v>
      </c>
      <c r="M31" s="1">
        <v>1.51</v>
      </c>
      <c r="N31" s="1">
        <v>1.3</v>
      </c>
      <c r="O31" s="1">
        <v>1.3</v>
      </c>
      <c r="R31"/>
    </row>
    <row r="32" spans="1:18" s="1" customFormat="1" x14ac:dyDescent="0.25">
      <c r="A32" s="1" t="s">
        <v>117</v>
      </c>
      <c r="B32" s="1" t="s">
        <v>94</v>
      </c>
      <c r="D32" s="1" t="s">
        <v>118</v>
      </c>
      <c r="E32" s="1" t="s">
        <v>2</v>
      </c>
      <c r="F32" s="1">
        <v>2.44</v>
      </c>
      <c r="G32" s="1">
        <v>2.06</v>
      </c>
      <c r="H32" s="1">
        <v>2.02</v>
      </c>
      <c r="I32" s="1">
        <v>2.02</v>
      </c>
      <c r="J32" s="1">
        <v>1.92</v>
      </c>
      <c r="K32" s="1">
        <v>1.92</v>
      </c>
      <c r="L32" s="1">
        <v>1.72</v>
      </c>
      <c r="M32" s="1">
        <v>1.51</v>
      </c>
      <c r="N32" s="1">
        <v>1.3</v>
      </c>
      <c r="O32" s="1">
        <v>1.3</v>
      </c>
      <c r="R32"/>
    </row>
    <row r="33" spans="1:18" s="1" customFormat="1" x14ac:dyDescent="0.25">
      <c r="A33" s="2" t="s">
        <v>3</v>
      </c>
      <c r="B33" s="2" t="s">
        <v>4</v>
      </c>
      <c r="C33" s="2" t="s">
        <v>5</v>
      </c>
      <c r="D33" s="2" t="s">
        <v>6</v>
      </c>
      <c r="E33" s="2" t="s">
        <v>7</v>
      </c>
      <c r="F33" s="2">
        <v>2018</v>
      </c>
      <c r="G33" s="2">
        <v>2019</v>
      </c>
      <c r="H33" s="2">
        <v>2020</v>
      </c>
      <c r="I33" s="2">
        <v>2021</v>
      </c>
      <c r="J33" s="2">
        <v>2022</v>
      </c>
      <c r="K33" s="2">
        <v>2023</v>
      </c>
      <c r="L33" s="2">
        <v>2024</v>
      </c>
      <c r="M33" s="2">
        <v>2025</v>
      </c>
      <c r="N33" s="2">
        <v>2026</v>
      </c>
      <c r="O33" s="2">
        <v>2027</v>
      </c>
      <c r="R33"/>
    </row>
    <row r="34" spans="1:18" s="1" customFormat="1" x14ac:dyDescent="0.25">
      <c r="A34" s="1" t="s">
        <v>0</v>
      </c>
      <c r="B34" s="1" t="s">
        <v>94</v>
      </c>
      <c r="D34" s="1" t="s">
        <v>118</v>
      </c>
      <c r="E34" s="1" t="s">
        <v>120</v>
      </c>
      <c r="F34" s="1">
        <v>0.87</v>
      </c>
      <c r="G34" s="1">
        <v>0.98</v>
      </c>
      <c r="H34" s="1">
        <v>0.95</v>
      </c>
      <c r="I34" s="1">
        <v>0.95</v>
      </c>
      <c r="J34" s="1">
        <v>0.95</v>
      </c>
      <c r="K34" s="1">
        <v>0.98</v>
      </c>
      <c r="L34" s="1">
        <v>0.98</v>
      </c>
      <c r="M34" s="1">
        <v>0.86</v>
      </c>
      <c r="N34" s="1">
        <v>0.64</v>
      </c>
      <c r="O34" s="1">
        <v>0.49</v>
      </c>
      <c r="R34"/>
    </row>
    <row r="35" spans="1:18" s="1" customFormat="1" x14ac:dyDescent="0.25">
      <c r="A35" s="1" t="s">
        <v>96</v>
      </c>
      <c r="B35" s="1" t="s">
        <v>94</v>
      </c>
      <c r="D35" s="1" t="s">
        <v>118</v>
      </c>
      <c r="E35" s="1" t="s">
        <v>120</v>
      </c>
      <c r="F35" s="1">
        <v>0.56000000000000005</v>
      </c>
      <c r="G35" s="1">
        <v>0.67</v>
      </c>
      <c r="H35" s="1">
        <v>0.93</v>
      </c>
      <c r="I35" s="1">
        <v>0.93</v>
      </c>
      <c r="J35" s="1">
        <v>0.93</v>
      </c>
      <c r="K35" s="1">
        <v>0.97</v>
      </c>
      <c r="L35" s="1">
        <v>0.97</v>
      </c>
      <c r="M35" s="1">
        <v>0.86</v>
      </c>
      <c r="N35" s="1">
        <v>0.64</v>
      </c>
      <c r="O35" s="1">
        <v>0.49</v>
      </c>
      <c r="R35"/>
    </row>
    <row r="36" spans="1:18" s="1" customFormat="1" x14ac:dyDescent="0.25">
      <c r="A36" s="1" t="s">
        <v>97</v>
      </c>
      <c r="B36" s="1" t="s">
        <v>94</v>
      </c>
      <c r="D36" s="1" t="s">
        <v>118</v>
      </c>
      <c r="E36" s="1" t="s">
        <v>120</v>
      </c>
      <c r="F36" s="1">
        <v>1.0900000000000001</v>
      </c>
      <c r="G36" s="1">
        <v>1.1299999999999999</v>
      </c>
      <c r="H36" s="1">
        <v>0.56000000000000005</v>
      </c>
      <c r="I36" s="1">
        <v>0.56000000000000005</v>
      </c>
      <c r="J36" s="1">
        <v>0.56999999999999995</v>
      </c>
      <c r="K36" s="1">
        <v>0.72</v>
      </c>
      <c r="L36" s="1">
        <v>0.71</v>
      </c>
      <c r="M36" s="1">
        <v>0.65</v>
      </c>
      <c r="N36" s="1">
        <v>0.57999999999999996</v>
      </c>
      <c r="O36" s="1">
        <v>0.31</v>
      </c>
      <c r="R36"/>
    </row>
    <row r="37" spans="1:18" s="1" customFormat="1" x14ac:dyDescent="0.25">
      <c r="A37" s="1" t="s">
        <v>81</v>
      </c>
      <c r="B37" s="1" t="s">
        <v>94</v>
      </c>
      <c r="D37" s="1" t="s">
        <v>118</v>
      </c>
      <c r="E37" s="1" t="s">
        <v>120</v>
      </c>
      <c r="F37" s="1">
        <v>1.18</v>
      </c>
      <c r="G37" s="1">
        <v>1.2</v>
      </c>
      <c r="H37" s="1">
        <v>0.45</v>
      </c>
      <c r="I37" s="1">
        <v>0.68</v>
      </c>
      <c r="J37" s="1">
        <v>0.96</v>
      </c>
      <c r="K37" s="1">
        <v>0.92</v>
      </c>
      <c r="L37" s="1">
        <v>0.64</v>
      </c>
      <c r="M37" s="1">
        <v>0.68</v>
      </c>
      <c r="N37" s="1">
        <v>0.64</v>
      </c>
      <c r="O37" s="1">
        <v>0.49</v>
      </c>
      <c r="R37"/>
    </row>
    <row r="38" spans="1:18" s="1" customFormat="1" x14ac:dyDescent="0.25">
      <c r="A38" s="1" t="s">
        <v>99</v>
      </c>
      <c r="B38" s="1" t="s">
        <v>94</v>
      </c>
      <c r="D38" s="1" t="s">
        <v>118</v>
      </c>
      <c r="E38" s="1" t="s">
        <v>120</v>
      </c>
      <c r="H38" s="1">
        <v>0.71</v>
      </c>
      <c r="I38" s="1">
        <v>0.71</v>
      </c>
      <c r="J38" s="1">
        <v>0.71</v>
      </c>
      <c r="K38" s="1">
        <v>0.82</v>
      </c>
      <c r="L38" s="1">
        <v>0.82</v>
      </c>
      <c r="M38" s="1">
        <v>0.78</v>
      </c>
      <c r="N38" s="1">
        <v>0.64</v>
      </c>
      <c r="O38" s="1">
        <v>0.49</v>
      </c>
      <c r="R38"/>
    </row>
    <row r="39" spans="1:18" s="1" customFormat="1" x14ac:dyDescent="0.25">
      <c r="A39" s="1" t="s">
        <v>102</v>
      </c>
      <c r="B39" s="1" t="s">
        <v>94</v>
      </c>
      <c r="D39" s="1" t="s">
        <v>118</v>
      </c>
      <c r="E39" s="1" t="s">
        <v>120</v>
      </c>
      <c r="K39" s="1">
        <v>0.64</v>
      </c>
      <c r="L39" s="1">
        <v>0.63</v>
      </c>
      <c r="M39" s="1">
        <v>0.63</v>
      </c>
      <c r="N39" s="1">
        <v>0.59</v>
      </c>
      <c r="O39" s="1">
        <v>0.63</v>
      </c>
      <c r="R39"/>
    </row>
    <row r="40" spans="1:18" s="1" customFormat="1" x14ac:dyDescent="0.25">
      <c r="A40" s="1" t="s">
        <v>8</v>
      </c>
      <c r="B40" s="1" t="s">
        <v>94</v>
      </c>
      <c r="D40" s="1" t="s">
        <v>118</v>
      </c>
      <c r="E40" s="1" t="s">
        <v>120</v>
      </c>
      <c r="L40" s="1">
        <v>0.61</v>
      </c>
      <c r="M40" s="1">
        <v>0.66</v>
      </c>
      <c r="N40" s="1">
        <v>0.64</v>
      </c>
      <c r="O40" s="1">
        <v>0.41</v>
      </c>
      <c r="R40"/>
    </row>
    <row r="41" spans="1:18" s="1" customFormat="1" x14ac:dyDescent="0.25">
      <c r="A41" s="1" t="s">
        <v>103</v>
      </c>
      <c r="B41" s="1" t="s">
        <v>94</v>
      </c>
      <c r="D41" s="1" t="s">
        <v>118</v>
      </c>
      <c r="E41" s="1" t="s">
        <v>120</v>
      </c>
      <c r="F41" s="1">
        <v>0.66</v>
      </c>
      <c r="G41" s="1">
        <v>0.68</v>
      </c>
      <c r="H41" s="1">
        <v>0.7</v>
      </c>
      <c r="I41" s="1">
        <v>0.7</v>
      </c>
      <c r="J41" s="1">
        <v>0.7</v>
      </c>
      <c r="K41" s="1">
        <v>0.81</v>
      </c>
      <c r="L41" s="1">
        <v>0.81</v>
      </c>
      <c r="M41" s="1">
        <v>0.77</v>
      </c>
      <c r="N41" s="1">
        <v>0.64</v>
      </c>
      <c r="O41" s="1">
        <v>0.64</v>
      </c>
      <c r="R41"/>
    </row>
    <row r="42" spans="1:18" s="1" customFormat="1" x14ac:dyDescent="0.25">
      <c r="A42" s="1" t="s">
        <v>104</v>
      </c>
      <c r="B42" s="1" t="s">
        <v>94</v>
      </c>
      <c r="D42" s="1" t="s">
        <v>118</v>
      </c>
      <c r="E42" s="1" t="s">
        <v>120</v>
      </c>
      <c r="F42" s="1">
        <v>0.69</v>
      </c>
      <c r="G42" s="1">
        <v>0.79</v>
      </c>
      <c r="H42" s="1">
        <v>0.47</v>
      </c>
      <c r="I42" s="1">
        <v>0.47</v>
      </c>
      <c r="J42" s="1">
        <v>0.47</v>
      </c>
      <c r="K42" s="1">
        <v>0.66</v>
      </c>
      <c r="L42" s="1">
        <v>0.66</v>
      </c>
      <c r="M42" s="1">
        <v>0.7</v>
      </c>
      <c r="N42" s="1">
        <v>0.64</v>
      </c>
      <c r="O42" s="1">
        <v>0.49</v>
      </c>
      <c r="R42"/>
    </row>
    <row r="43" spans="1:18" s="1" customFormat="1" x14ac:dyDescent="0.25">
      <c r="A43" s="1" t="s">
        <v>105</v>
      </c>
      <c r="B43" s="1" t="s">
        <v>94</v>
      </c>
      <c r="D43" s="1" t="s">
        <v>118</v>
      </c>
      <c r="E43" s="1" t="s">
        <v>120</v>
      </c>
      <c r="F43" s="1">
        <v>0.82</v>
      </c>
      <c r="G43" s="1">
        <v>0.88</v>
      </c>
      <c r="H43" s="1">
        <v>0.62</v>
      </c>
      <c r="I43" s="1">
        <v>0.62</v>
      </c>
      <c r="J43" s="1">
        <v>0.63</v>
      </c>
      <c r="K43" s="1">
        <v>0.76</v>
      </c>
      <c r="L43" s="1">
        <v>0.75</v>
      </c>
      <c r="M43" s="1">
        <v>0.73</v>
      </c>
      <c r="N43" s="1">
        <v>0.64</v>
      </c>
      <c r="O43" s="1">
        <v>0.37</v>
      </c>
      <c r="R43"/>
    </row>
    <row r="44" spans="1:18" s="1" customFormat="1" x14ac:dyDescent="0.25">
      <c r="A44" s="1" t="s">
        <v>10</v>
      </c>
      <c r="B44" s="1" t="s">
        <v>94</v>
      </c>
      <c r="D44" s="1" t="s">
        <v>118</v>
      </c>
      <c r="E44" s="1" t="s">
        <v>120</v>
      </c>
      <c r="F44" s="1">
        <v>1.1599999999999999</v>
      </c>
      <c r="G44" s="1">
        <v>1.23</v>
      </c>
      <c r="H44" s="1">
        <v>0.4</v>
      </c>
      <c r="I44" s="1">
        <v>0.4</v>
      </c>
      <c r="J44" s="1">
        <v>0.41</v>
      </c>
      <c r="K44" s="1">
        <v>0.61</v>
      </c>
      <c r="L44" s="1">
        <v>0.61</v>
      </c>
      <c r="M44" s="1">
        <v>0.57999999999999996</v>
      </c>
      <c r="N44" s="1">
        <v>0.48</v>
      </c>
      <c r="O44" s="1">
        <v>0.25</v>
      </c>
      <c r="R44"/>
    </row>
    <row r="45" spans="1:18" s="1" customFormat="1" x14ac:dyDescent="0.25">
      <c r="A45" s="1" t="s">
        <v>106</v>
      </c>
      <c r="B45" s="1" t="s">
        <v>94</v>
      </c>
      <c r="D45" s="1" t="s">
        <v>118</v>
      </c>
      <c r="E45" s="1" t="s">
        <v>120</v>
      </c>
      <c r="H45" s="1">
        <v>0.74</v>
      </c>
      <c r="I45" s="1">
        <v>0.74</v>
      </c>
      <c r="J45" s="1">
        <v>0.74</v>
      </c>
      <c r="K45" s="1">
        <v>0.84</v>
      </c>
      <c r="L45" s="1">
        <v>0.84</v>
      </c>
      <c r="M45" s="1">
        <v>0.79</v>
      </c>
      <c r="N45" s="1">
        <v>0.64</v>
      </c>
      <c r="O45" s="1">
        <v>0.49</v>
      </c>
      <c r="R45"/>
    </row>
    <row r="46" spans="1:18" s="1" customFormat="1" x14ac:dyDescent="0.25">
      <c r="A46" s="1" t="s">
        <v>107</v>
      </c>
      <c r="B46" s="1" t="s">
        <v>94</v>
      </c>
      <c r="D46" s="1" t="s">
        <v>118</v>
      </c>
      <c r="E46" s="1" t="s">
        <v>120</v>
      </c>
      <c r="F46" s="1">
        <v>1.07</v>
      </c>
      <c r="G46" s="1">
        <v>0.9</v>
      </c>
      <c r="H46" s="1">
        <v>0.9</v>
      </c>
      <c r="I46" s="1">
        <v>0.9</v>
      </c>
      <c r="J46" s="1">
        <v>0.94</v>
      </c>
      <c r="K46" s="1">
        <v>0.92</v>
      </c>
      <c r="L46" s="1">
        <v>0.92</v>
      </c>
      <c r="M46" s="1">
        <v>0.71</v>
      </c>
      <c r="N46" s="1">
        <v>0.64</v>
      </c>
      <c r="O46" s="1">
        <v>0.51</v>
      </c>
      <c r="R46"/>
    </row>
    <row r="47" spans="1:18" s="1" customFormat="1" x14ac:dyDescent="0.25">
      <c r="A47" s="1" t="s">
        <v>108</v>
      </c>
      <c r="B47" s="1" t="s">
        <v>94</v>
      </c>
      <c r="D47" s="1" t="s">
        <v>118</v>
      </c>
      <c r="E47" s="1" t="s">
        <v>120</v>
      </c>
      <c r="F47" s="1">
        <v>0.86</v>
      </c>
      <c r="G47" s="1">
        <v>0.86</v>
      </c>
      <c r="H47" s="1">
        <v>0.79</v>
      </c>
      <c r="I47" s="1">
        <v>0.79</v>
      </c>
      <c r="J47" s="1">
        <v>0.79</v>
      </c>
      <c r="K47" s="1">
        <v>0.87</v>
      </c>
      <c r="L47" s="1">
        <v>0.87</v>
      </c>
      <c r="M47" s="1">
        <v>0.8</v>
      </c>
      <c r="N47" s="1">
        <v>0.64</v>
      </c>
      <c r="O47" s="1">
        <v>0.49</v>
      </c>
      <c r="R47"/>
    </row>
    <row r="48" spans="1:18" s="1" customFormat="1" x14ac:dyDescent="0.25">
      <c r="A48" s="1" t="s">
        <v>82</v>
      </c>
      <c r="B48" s="1" t="s">
        <v>94</v>
      </c>
      <c r="D48" s="1" t="s">
        <v>118</v>
      </c>
      <c r="E48" s="1" t="s">
        <v>120</v>
      </c>
      <c r="F48" s="1">
        <v>0.98</v>
      </c>
      <c r="G48" s="1">
        <v>1.05</v>
      </c>
      <c r="H48" s="1">
        <v>0.9</v>
      </c>
      <c r="I48" s="1">
        <v>0.9</v>
      </c>
      <c r="J48" s="1">
        <v>0.9</v>
      </c>
      <c r="K48" s="1">
        <v>0.95</v>
      </c>
      <c r="L48" s="1">
        <v>0.95</v>
      </c>
      <c r="M48" s="1">
        <v>0.85</v>
      </c>
      <c r="N48" s="1">
        <v>0.64</v>
      </c>
      <c r="O48" s="1">
        <v>1.49</v>
      </c>
      <c r="R48"/>
    </row>
    <row r="49" spans="1:18" s="1" customFormat="1" x14ac:dyDescent="0.25">
      <c r="A49" s="1" t="s">
        <v>109</v>
      </c>
      <c r="B49" s="1" t="s">
        <v>94</v>
      </c>
      <c r="D49" s="1" t="s">
        <v>118</v>
      </c>
      <c r="E49" s="1" t="s">
        <v>120</v>
      </c>
      <c r="G49" s="1">
        <v>1.04</v>
      </c>
      <c r="H49" s="1">
        <v>0.74</v>
      </c>
      <c r="I49" s="1">
        <v>0.74</v>
      </c>
      <c r="J49" s="1">
        <v>0.74</v>
      </c>
      <c r="K49" s="1">
        <v>0.84</v>
      </c>
      <c r="L49" s="1">
        <v>0.84</v>
      </c>
      <c r="M49" s="1">
        <v>0.79</v>
      </c>
      <c r="N49" s="1">
        <v>0.64</v>
      </c>
      <c r="O49" s="1">
        <v>0.49</v>
      </c>
      <c r="R49"/>
    </row>
    <row r="50" spans="1:18" s="1" customFormat="1" x14ac:dyDescent="0.25">
      <c r="A50" s="1" t="s">
        <v>23</v>
      </c>
      <c r="B50" s="1" t="s">
        <v>94</v>
      </c>
      <c r="D50" s="1" t="s">
        <v>118</v>
      </c>
      <c r="E50" s="1" t="s">
        <v>120</v>
      </c>
      <c r="L50" s="1">
        <v>0.61</v>
      </c>
      <c r="M50" s="1">
        <v>0.66</v>
      </c>
      <c r="N50" s="1">
        <v>0.64</v>
      </c>
      <c r="O50" s="1">
        <v>0.49</v>
      </c>
      <c r="R50"/>
    </row>
    <row r="51" spans="1:18" s="1" customFormat="1" x14ac:dyDescent="0.25">
      <c r="A51" s="1" t="s">
        <v>110</v>
      </c>
      <c r="B51" s="1" t="s">
        <v>94</v>
      </c>
      <c r="D51" s="1" t="s">
        <v>118</v>
      </c>
      <c r="E51" s="1" t="s">
        <v>120</v>
      </c>
      <c r="F51" s="1">
        <v>1.33</v>
      </c>
      <c r="G51" s="1">
        <v>1.26</v>
      </c>
      <c r="H51" s="1">
        <v>0.93</v>
      </c>
      <c r="I51" s="1">
        <v>0.93</v>
      </c>
      <c r="J51" s="1">
        <v>0.93</v>
      </c>
      <c r="K51" s="1">
        <v>0.97</v>
      </c>
      <c r="L51" s="1">
        <v>0.97</v>
      </c>
      <c r="M51" s="1">
        <v>0.86</v>
      </c>
      <c r="N51" s="1">
        <v>0.64</v>
      </c>
      <c r="O51" s="1">
        <v>0.49</v>
      </c>
      <c r="R51"/>
    </row>
    <row r="52" spans="1:18" s="1" customFormat="1" x14ac:dyDescent="0.25">
      <c r="A52" s="1" t="s">
        <v>24</v>
      </c>
      <c r="B52" s="1" t="s">
        <v>94</v>
      </c>
      <c r="D52" s="1" t="s">
        <v>118</v>
      </c>
      <c r="E52" s="1" t="s">
        <v>120</v>
      </c>
      <c r="K52" s="1">
        <v>0.64</v>
      </c>
      <c r="L52" s="1">
        <v>0.63</v>
      </c>
      <c r="M52" s="1">
        <v>0.68</v>
      </c>
      <c r="N52" s="1">
        <v>0.67</v>
      </c>
      <c r="O52" s="1">
        <v>0.71</v>
      </c>
      <c r="R52"/>
    </row>
    <row r="53" spans="1:18" s="1" customFormat="1" x14ac:dyDescent="0.25">
      <c r="A53" s="1" t="s">
        <v>111</v>
      </c>
      <c r="B53" s="1" t="s">
        <v>94</v>
      </c>
      <c r="D53" s="1" t="s">
        <v>118</v>
      </c>
      <c r="E53" s="1" t="s">
        <v>120</v>
      </c>
      <c r="F53" s="1">
        <v>1.0900000000000001</v>
      </c>
      <c r="G53" s="1">
        <v>1.1299999999999999</v>
      </c>
      <c r="H53" s="1">
        <v>0.56000000000000005</v>
      </c>
      <c r="I53" s="1">
        <v>0.78</v>
      </c>
      <c r="J53" s="1">
        <v>0.99</v>
      </c>
      <c r="K53" s="1">
        <v>0.95</v>
      </c>
      <c r="L53" s="1">
        <v>0.72</v>
      </c>
      <c r="M53" s="1">
        <v>0.73</v>
      </c>
      <c r="N53" s="1">
        <v>0.64</v>
      </c>
      <c r="O53" s="1">
        <v>0.37</v>
      </c>
      <c r="R53"/>
    </row>
    <row r="54" spans="1:18" s="1" customFormat="1" x14ac:dyDescent="0.25">
      <c r="A54" s="1" t="s">
        <v>25</v>
      </c>
      <c r="B54" s="1" t="s">
        <v>94</v>
      </c>
      <c r="D54" s="1" t="s">
        <v>118</v>
      </c>
      <c r="E54" s="1" t="s">
        <v>120</v>
      </c>
      <c r="F54" s="1">
        <v>1.0900000000000001</v>
      </c>
      <c r="G54" s="1">
        <v>1.1299999999999999</v>
      </c>
      <c r="H54" s="1">
        <v>0.44</v>
      </c>
      <c r="I54" s="1">
        <v>0.44</v>
      </c>
      <c r="J54" s="1">
        <v>0.45</v>
      </c>
      <c r="K54" s="1">
        <v>0.64</v>
      </c>
      <c r="L54" s="1">
        <v>0.63</v>
      </c>
      <c r="M54" s="1">
        <v>0.67</v>
      </c>
      <c r="N54" s="1">
        <v>0.64</v>
      </c>
      <c r="O54" s="1">
        <v>0.49</v>
      </c>
      <c r="R54"/>
    </row>
    <row r="55" spans="1:18" s="1" customFormat="1" x14ac:dyDescent="0.25">
      <c r="A55" s="1" t="s">
        <v>112</v>
      </c>
      <c r="B55" s="1" t="s">
        <v>94</v>
      </c>
      <c r="D55" s="1" t="s">
        <v>118</v>
      </c>
      <c r="E55" s="1" t="s">
        <v>120</v>
      </c>
      <c r="G55" s="1">
        <v>1.05</v>
      </c>
      <c r="H55" s="1">
        <v>0.69</v>
      </c>
      <c r="I55" s="1">
        <v>0.69</v>
      </c>
      <c r="J55" s="1">
        <v>0.69</v>
      </c>
      <c r="K55" s="1">
        <v>0.8</v>
      </c>
      <c r="L55" s="1">
        <v>0.8</v>
      </c>
      <c r="M55" s="1">
        <v>0.76</v>
      </c>
      <c r="N55" s="1">
        <v>0.64</v>
      </c>
      <c r="O55" s="1">
        <v>0.37</v>
      </c>
      <c r="R55"/>
    </row>
    <row r="56" spans="1:18" s="1" customFormat="1" x14ac:dyDescent="0.25">
      <c r="A56" s="1" t="s">
        <v>114</v>
      </c>
      <c r="B56" s="1" t="s">
        <v>94</v>
      </c>
      <c r="D56" s="1" t="s">
        <v>118</v>
      </c>
      <c r="E56" s="1" t="s">
        <v>120</v>
      </c>
      <c r="F56" s="1">
        <v>1.05</v>
      </c>
      <c r="G56" s="1">
        <v>1.05</v>
      </c>
      <c r="H56" s="1">
        <v>0.69</v>
      </c>
      <c r="I56" s="1">
        <v>0.69</v>
      </c>
      <c r="J56" s="1">
        <v>0.69</v>
      </c>
      <c r="K56" s="1">
        <v>0.8</v>
      </c>
      <c r="L56" s="1">
        <v>0.8</v>
      </c>
      <c r="M56" s="1">
        <v>0.76</v>
      </c>
      <c r="N56" s="1">
        <v>0.64</v>
      </c>
      <c r="O56" s="1">
        <v>0.49</v>
      </c>
      <c r="R56"/>
    </row>
    <row r="57" spans="1:18" s="1" customFormat="1" x14ac:dyDescent="0.25">
      <c r="A57" s="1" t="s">
        <v>11</v>
      </c>
      <c r="B57" s="1" t="s">
        <v>94</v>
      </c>
      <c r="D57" s="1" t="s">
        <v>118</v>
      </c>
      <c r="E57" s="1" t="s">
        <v>120</v>
      </c>
      <c r="M57" s="1">
        <v>0.69</v>
      </c>
      <c r="N57" s="1">
        <v>0.67</v>
      </c>
      <c r="O57" s="1">
        <v>0.49</v>
      </c>
      <c r="R57"/>
    </row>
    <row r="58" spans="1:18" s="1" customFormat="1" x14ac:dyDescent="0.25">
      <c r="A58" s="1" t="s">
        <v>116</v>
      </c>
      <c r="B58" s="1" t="s">
        <v>94</v>
      </c>
      <c r="D58" s="1" t="s">
        <v>118</v>
      </c>
      <c r="E58" s="1" t="s">
        <v>120</v>
      </c>
      <c r="F58" s="1">
        <v>1.07</v>
      </c>
      <c r="G58" s="1">
        <v>1.22</v>
      </c>
      <c r="H58" s="1">
        <v>1.1100000000000001</v>
      </c>
      <c r="J58" s="1">
        <v>1.1100000000000001</v>
      </c>
      <c r="K58" s="1">
        <v>1.1100000000000001</v>
      </c>
      <c r="L58" s="1">
        <v>1.0900000000000001</v>
      </c>
      <c r="M58" s="1">
        <v>0.92</v>
      </c>
      <c r="N58" s="1">
        <v>0.64</v>
      </c>
      <c r="O58" s="1">
        <v>0.49</v>
      </c>
      <c r="R58"/>
    </row>
    <row r="59" spans="1:18" s="1" customFormat="1" x14ac:dyDescent="0.25">
      <c r="A59" s="1" t="s">
        <v>12</v>
      </c>
      <c r="B59" s="1" t="s">
        <v>94</v>
      </c>
      <c r="D59" s="1" t="s">
        <v>118</v>
      </c>
      <c r="E59" s="1" t="s">
        <v>120</v>
      </c>
      <c r="F59" s="1">
        <v>1.02</v>
      </c>
      <c r="G59" s="1">
        <v>1.04</v>
      </c>
      <c r="H59" s="1">
        <v>0.93</v>
      </c>
      <c r="I59" s="1">
        <v>0.93</v>
      </c>
      <c r="J59" s="1">
        <v>0.93</v>
      </c>
      <c r="K59" s="1">
        <v>0.97</v>
      </c>
      <c r="L59" s="1">
        <v>0.97</v>
      </c>
      <c r="M59" s="1">
        <v>0.86</v>
      </c>
      <c r="N59" s="1">
        <v>0.64</v>
      </c>
      <c r="O59" s="1">
        <v>0.64</v>
      </c>
      <c r="R59"/>
    </row>
    <row r="60" spans="1:18" s="1" customFormat="1" x14ac:dyDescent="0.25">
      <c r="A60" s="1" t="s">
        <v>84</v>
      </c>
      <c r="B60" s="1" t="s">
        <v>94</v>
      </c>
      <c r="D60" s="1" t="s">
        <v>118</v>
      </c>
      <c r="E60" s="1" t="s">
        <v>120</v>
      </c>
      <c r="F60" s="1">
        <v>1.38</v>
      </c>
      <c r="G60" s="1">
        <v>1.37</v>
      </c>
      <c r="H60" s="1">
        <v>0.74</v>
      </c>
      <c r="I60" s="1">
        <v>0.74</v>
      </c>
      <c r="J60" s="1">
        <v>0.74</v>
      </c>
      <c r="K60" s="1">
        <v>0.84</v>
      </c>
      <c r="L60" s="1">
        <v>0.84</v>
      </c>
      <c r="M60" s="1">
        <v>0.84</v>
      </c>
      <c r="N60" s="1">
        <v>0.72</v>
      </c>
      <c r="O60" s="1">
        <v>0.44</v>
      </c>
      <c r="R60"/>
    </row>
    <row r="61" spans="1:18" s="1" customFormat="1" x14ac:dyDescent="0.25">
      <c r="A61" s="1" t="s">
        <v>117</v>
      </c>
      <c r="B61" s="1" t="s">
        <v>94</v>
      </c>
      <c r="D61" s="1" t="s">
        <v>118</v>
      </c>
      <c r="E61" s="1" t="s">
        <v>120</v>
      </c>
      <c r="F61" s="1">
        <v>1.26</v>
      </c>
      <c r="G61" s="1">
        <v>1.06</v>
      </c>
      <c r="H61" s="1">
        <v>1.0900000000000001</v>
      </c>
      <c r="I61" s="1">
        <v>1.0900000000000001</v>
      </c>
      <c r="J61" s="1">
        <v>1.0900000000000001</v>
      </c>
      <c r="K61" s="1">
        <v>1.0900000000000001</v>
      </c>
      <c r="L61" s="1">
        <v>1.08</v>
      </c>
      <c r="M61" s="1">
        <v>0.92</v>
      </c>
      <c r="N61" s="1">
        <v>0.64</v>
      </c>
      <c r="O61" s="1">
        <v>0.49</v>
      </c>
      <c r="R61"/>
    </row>
    <row r="62" spans="1:18" s="1" customFormat="1" x14ac:dyDescent="0.25">
      <c r="A62" s="2" t="s">
        <v>3</v>
      </c>
      <c r="B62" s="2" t="s">
        <v>4</v>
      </c>
      <c r="C62" s="2" t="s">
        <v>5</v>
      </c>
      <c r="D62" s="2" t="s">
        <v>6</v>
      </c>
      <c r="E62" s="2" t="s">
        <v>7</v>
      </c>
      <c r="F62" s="2">
        <v>2018</v>
      </c>
      <c r="G62" s="2">
        <v>2019</v>
      </c>
      <c r="H62" s="2">
        <v>2020</v>
      </c>
      <c r="I62" s="2">
        <v>2021</v>
      </c>
      <c r="J62" s="2">
        <v>2022</v>
      </c>
      <c r="K62" s="2">
        <v>2023</v>
      </c>
      <c r="L62" s="2">
        <v>2024</v>
      </c>
      <c r="M62" s="2">
        <v>2025</v>
      </c>
      <c r="N62" s="2">
        <v>2026</v>
      </c>
      <c r="O62" s="2">
        <v>2027</v>
      </c>
      <c r="R62"/>
    </row>
    <row r="63" spans="1:18" s="1" customFormat="1" x14ac:dyDescent="0.25">
      <c r="A63" s="1" t="s">
        <v>96</v>
      </c>
      <c r="B63" s="1" t="s">
        <v>94</v>
      </c>
      <c r="D63" s="1" t="s">
        <v>1</v>
      </c>
      <c r="E63" s="1" t="s">
        <v>2</v>
      </c>
      <c r="F63" s="1">
        <v>41</v>
      </c>
      <c r="G63" s="1">
        <v>44</v>
      </c>
      <c r="H63" s="1">
        <v>48</v>
      </c>
      <c r="I63" s="1">
        <v>48</v>
      </c>
      <c r="J63" s="1">
        <v>46</v>
      </c>
      <c r="K63" s="1">
        <v>46</v>
      </c>
      <c r="L63" s="1">
        <v>46</v>
      </c>
      <c r="M63" s="1">
        <v>36</v>
      </c>
      <c r="N63" s="1">
        <v>36</v>
      </c>
      <c r="O63" s="1">
        <v>37</v>
      </c>
      <c r="R63"/>
    </row>
    <row r="64" spans="1:18" s="1" customFormat="1" x14ac:dyDescent="0.25">
      <c r="A64" s="1" t="s">
        <v>97</v>
      </c>
      <c r="B64" s="1" t="s">
        <v>94</v>
      </c>
      <c r="D64" s="1" t="s">
        <v>1</v>
      </c>
      <c r="E64" s="1" t="s">
        <v>2</v>
      </c>
      <c r="F64" s="1">
        <v>30</v>
      </c>
      <c r="G64" s="1">
        <v>32</v>
      </c>
      <c r="H64" s="1">
        <v>40</v>
      </c>
      <c r="I64" s="1">
        <v>40</v>
      </c>
      <c r="J64" s="1">
        <v>41</v>
      </c>
      <c r="K64" s="1">
        <v>42</v>
      </c>
      <c r="L64" s="1">
        <v>41</v>
      </c>
      <c r="M64" s="1">
        <v>35</v>
      </c>
      <c r="N64" s="1">
        <v>29</v>
      </c>
      <c r="O64" s="1">
        <v>21</v>
      </c>
      <c r="R64"/>
    </row>
    <row r="65" spans="1:18" s="1" customFormat="1" x14ac:dyDescent="0.25">
      <c r="A65" s="1" t="s">
        <v>81</v>
      </c>
      <c r="B65" s="1" t="s">
        <v>94</v>
      </c>
      <c r="D65" s="1" t="s">
        <v>1</v>
      </c>
      <c r="E65" s="1" t="s">
        <v>2</v>
      </c>
      <c r="F65" s="1">
        <v>43</v>
      </c>
      <c r="G65" s="1">
        <v>46</v>
      </c>
      <c r="H65" s="1">
        <v>44</v>
      </c>
      <c r="I65" s="1">
        <v>44</v>
      </c>
      <c r="J65" s="1">
        <v>46</v>
      </c>
      <c r="K65" s="1">
        <v>46</v>
      </c>
      <c r="L65" s="1">
        <v>46</v>
      </c>
      <c r="M65" s="1">
        <v>44</v>
      </c>
      <c r="N65" s="1">
        <v>37</v>
      </c>
      <c r="O65" s="1">
        <v>28</v>
      </c>
      <c r="R65"/>
    </row>
    <row r="66" spans="1:18" s="1" customFormat="1" x14ac:dyDescent="0.25">
      <c r="A66" s="1" t="s">
        <v>8</v>
      </c>
      <c r="B66" s="1" t="s">
        <v>94</v>
      </c>
      <c r="D66" s="1" t="s">
        <v>1</v>
      </c>
      <c r="E66" s="1" t="s">
        <v>2</v>
      </c>
      <c r="F66" s="1">
        <v>33</v>
      </c>
      <c r="G66" s="1">
        <v>37</v>
      </c>
      <c r="H66" s="1">
        <v>49</v>
      </c>
      <c r="I66" s="1">
        <v>45</v>
      </c>
      <c r="J66" s="1">
        <v>45</v>
      </c>
      <c r="K66" s="1">
        <v>46</v>
      </c>
      <c r="L66" s="1">
        <v>47</v>
      </c>
      <c r="M66" s="1">
        <v>46</v>
      </c>
      <c r="N66" s="1">
        <v>38</v>
      </c>
      <c r="O66" s="1">
        <v>30</v>
      </c>
      <c r="R66"/>
    </row>
    <row r="67" spans="1:18" s="1" customFormat="1" x14ac:dyDescent="0.25">
      <c r="A67" s="1" t="s">
        <v>107</v>
      </c>
      <c r="B67" s="1" t="s">
        <v>94</v>
      </c>
      <c r="D67" s="1" t="s">
        <v>1</v>
      </c>
      <c r="E67" s="1" t="s">
        <v>2</v>
      </c>
      <c r="F67" s="1">
        <v>34</v>
      </c>
      <c r="G67" s="1">
        <v>36</v>
      </c>
      <c r="H67" s="1">
        <v>40</v>
      </c>
      <c r="I67" s="1">
        <v>40</v>
      </c>
      <c r="J67" s="1">
        <v>41</v>
      </c>
      <c r="K67" s="1">
        <v>42</v>
      </c>
      <c r="L67" s="1">
        <v>44</v>
      </c>
      <c r="M67" s="1">
        <v>43</v>
      </c>
      <c r="N67" s="1">
        <v>37</v>
      </c>
      <c r="O67" s="1">
        <v>28</v>
      </c>
      <c r="R67"/>
    </row>
    <row r="68" spans="1:18" s="1" customFormat="1" x14ac:dyDescent="0.25">
      <c r="A68" s="1" t="s">
        <v>108</v>
      </c>
      <c r="B68" s="1" t="s">
        <v>94</v>
      </c>
      <c r="D68" s="1" t="s">
        <v>1</v>
      </c>
      <c r="E68" s="1" t="s">
        <v>2</v>
      </c>
      <c r="F68" s="1">
        <v>37</v>
      </c>
      <c r="G68" s="1">
        <v>37</v>
      </c>
      <c r="H68" s="1">
        <v>41</v>
      </c>
      <c r="I68" s="1">
        <v>41</v>
      </c>
      <c r="J68" s="1">
        <v>41</v>
      </c>
      <c r="K68" s="1">
        <v>43</v>
      </c>
      <c r="L68" s="1">
        <v>45</v>
      </c>
      <c r="M68" s="1">
        <v>45</v>
      </c>
      <c r="N68" s="1">
        <v>44</v>
      </c>
      <c r="O68" s="1">
        <v>43</v>
      </c>
      <c r="R68"/>
    </row>
    <row r="69" spans="1:18" s="1" customFormat="1" x14ac:dyDescent="0.25">
      <c r="A69" s="1" t="s">
        <v>23</v>
      </c>
      <c r="B69" s="1" t="s">
        <v>94</v>
      </c>
      <c r="D69" s="1" t="s">
        <v>1</v>
      </c>
      <c r="E69" s="1" t="s">
        <v>2</v>
      </c>
      <c r="F69" s="1">
        <v>34</v>
      </c>
      <c r="G69" s="1">
        <v>41</v>
      </c>
      <c r="H69" s="1">
        <v>69</v>
      </c>
      <c r="I69" s="1">
        <v>64</v>
      </c>
      <c r="J69" s="1">
        <v>54</v>
      </c>
      <c r="K69" s="1">
        <v>53</v>
      </c>
      <c r="L69" s="1">
        <v>54</v>
      </c>
      <c r="M69" s="1">
        <v>46</v>
      </c>
      <c r="N69" s="1">
        <v>38</v>
      </c>
      <c r="O69" s="1">
        <v>30</v>
      </c>
      <c r="R69"/>
    </row>
    <row r="70" spans="1:18" s="1" customFormat="1" x14ac:dyDescent="0.25">
      <c r="A70" s="1" t="s">
        <v>111</v>
      </c>
      <c r="B70" s="1" t="s">
        <v>94</v>
      </c>
      <c r="D70" s="1" t="s">
        <v>1</v>
      </c>
      <c r="E70" s="1" t="s">
        <v>2</v>
      </c>
      <c r="F70" s="1">
        <v>34</v>
      </c>
      <c r="G70" s="1">
        <v>33</v>
      </c>
      <c r="H70" s="1">
        <v>37</v>
      </c>
      <c r="I70" s="1">
        <v>37</v>
      </c>
      <c r="J70" s="1">
        <v>38</v>
      </c>
      <c r="K70" s="1">
        <v>40</v>
      </c>
      <c r="L70" s="1">
        <v>43</v>
      </c>
      <c r="M70" s="1">
        <v>42</v>
      </c>
      <c r="N70" s="1">
        <v>37</v>
      </c>
      <c r="O70" s="1">
        <v>28</v>
      </c>
      <c r="R70"/>
    </row>
    <row r="71" spans="1:18" s="1" customFormat="1" x14ac:dyDescent="0.25">
      <c r="A71" s="1" t="s">
        <v>113</v>
      </c>
      <c r="B71" s="1" t="s">
        <v>94</v>
      </c>
      <c r="D71" s="1" t="s">
        <v>1</v>
      </c>
      <c r="E71" s="1" t="s">
        <v>2</v>
      </c>
      <c r="F71" s="1">
        <v>98</v>
      </c>
      <c r="G71" s="1">
        <v>90</v>
      </c>
      <c r="H71" s="1">
        <v>69</v>
      </c>
      <c r="I71" s="1">
        <v>102</v>
      </c>
      <c r="J71" s="1">
        <v>99</v>
      </c>
      <c r="K71" s="1">
        <v>102</v>
      </c>
      <c r="L71" s="1">
        <v>85</v>
      </c>
      <c r="M71" s="1">
        <v>67</v>
      </c>
      <c r="O71" s="1">
        <v>21</v>
      </c>
      <c r="R71"/>
    </row>
    <row r="72" spans="1:18" s="1" customFormat="1" x14ac:dyDescent="0.25">
      <c r="A72" s="1" t="s">
        <v>115</v>
      </c>
      <c r="B72" s="1" t="s">
        <v>94</v>
      </c>
      <c r="D72" s="1" t="s">
        <v>1</v>
      </c>
      <c r="E72" s="1" t="s">
        <v>2</v>
      </c>
      <c r="F72" s="1">
        <v>98</v>
      </c>
      <c r="G72" s="1">
        <v>90</v>
      </c>
      <c r="H72" s="1">
        <v>81</v>
      </c>
      <c r="I72" s="1">
        <v>81</v>
      </c>
      <c r="J72" s="1">
        <v>81</v>
      </c>
      <c r="K72" s="1">
        <v>70</v>
      </c>
      <c r="L72" s="1">
        <v>58</v>
      </c>
      <c r="M72" s="1">
        <v>46</v>
      </c>
      <c r="N72" s="1">
        <v>38</v>
      </c>
      <c r="O72" s="1">
        <v>30</v>
      </c>
      <c r="R72"/>
    </row>
    <row r="73" spans="1:18" s="1" customFormat="1" x14ac:dyDescent="0.25">
      <c r="A73" s="1" t="s">
        <v>11</v>
      </c>
      <c r="B73" s="1" t="s">
        <v>94</v>
      </c>
      <c r="D73" s="1" t="s">
        <v>1</v>
      </c>
      <c r="E73" s="1" t="s">
        <v>2</v>
      </c>
      <c r="F73" s="1">
        <v>37</v>
      </c>
      <c r="G73" s="1">
        <v>42</v>
      </c>
      <c r="H73" s="1">
        <v>62</v>
      </c>
      <c r="I73" s="1">
        <v>55</v>
      </c>
      <c r="J73" s="1">
        <v>48</v>
      </c>
      <c r="K73" s="1">
        <v>51</v>
      </c>
      <c r="L73" s="1">
        <v>51</v>
      </c>
      <c r="M73" s="1">
        <v>46</v>
      </c>
      <c r="N73" s="1">
        <v>38</v>
      </c>
      <c r="O73" s="1">
        <v>30</v>
      </c>
      <c r="R73"/>
    </row>
    <row r="74" spans="1:18" s="1" customFormat="1" x14ac:dyDescent="0.25">
      <c r="A74" s="1" t="s">
        <v>12</v>
      </c>
      <c r="B74" s="1" t="s">
        <v>94</v>
      </c>
      <c r="D74" s="1" t="s">
        <v>1</v>
      </c>
      <c r="E74" s="1" t="s">
        <v>2</v>
      </c>
      <c r="F74" s="1">
        <v>44</v>
      </c>
      <c r="G74" s="1">
        <v>44</v>
      </c>
      <c r="H74" s="1">
        <v>54</v>
      </c>
      <c r="I74" s="1">
        <v>54</v>
      </c>
      <c r="J74" s="1">
        <v>52</v>
      </c>
      <c r="K74" s="1">
        <v>57</v>
      </c>
      <c r="L74" s="1">
        <v>49</v>
      </c>
      <c r="M74" s="1">
        <v>46</v>
      </c>
      <c r="N74" s="1">
        <v>46</v>
      </c>
      <c r="O74" s="1">
        <v>47</v>
      </c>
      <c r="R74"/>
    </row>
    <row r="75" spans="1:18" s="1" customFormat="1" x14ac:dyDescent="0.25">
      <c r="A75" s="1" t="s">
        <v>84</v>
      </c>
      <c r="B75" s="1" t="s">
        <v>94</v>
      </c>
      <c r="D75" s="1" t="s">
        <v>1</v>
      </c>
      <c r="E75" s="1" t="s">
        <v>2</v>
      </c>
      <c r="F75" s="1">
        <v>52</v>
      </c>
      <c r="G75" s="1">
        <v>52</v>
      </c>
      <c r="H75" s="1">
        <v>58</v>
      </c>
      <c r="I75" s="1">
        <v>58</v>
      </c>
      <c r="J75" s="1">
        <v>56</v>
      </c>
      <c r="K75" s="1">
        <v>53</v>
      </c>
      <c r="L75" s="1">
        <v>50</v>
      </c>
      <c r="M75" s="1">
        <v>46</v>
      </c>
      <c r="N75" s="1">
        <v>46</v>
      </c>
      <c r="O75" s="1">
        <v>47</v>
      </c>
      <c r="R75"/>
    </row>
    <row r="76" spans="1:18" s="1" customFormat="1" x14ac:dyDescent="0.25">
      <c r="A76" s="1" t="s">
        <v>117</v>
      </c>
      <c r="B76" s="1" t="s">
        <v>94</v>
      </c>
      <c r="D76" s="1" t="s">
        <v>1</v>
      </c>
      <c r="E76" s="1" t="s">
        <v>2</v>
      </c>
      <c r="F76" s="1">
        <v>55</v>
      </c>
      <c r="G76" s="1">
        <v>59</v>
      </c>
      <c r="H76" s="1">
        <v>67</v>
      </c>
      <c r="I76" s="1">
        <v>67</v>
      </c>
      <c r="J76" s="1">
        <v>65</v>
      </c>
      <c r="K76" s="1">
        <v>59</v>
      </c>
      <c r="L76" s="1">
        <v>53</v>
      </c>
      <c r="M76" s="1">
        <v>46</v>
      </c>
      <c r="N76" s="1">
        <v>46</v>
      </c>
      <c r="O76" s="1">
        <v>49</v>
      </c>
      <c r="R76"/>
    </row>
    <row r="77" spans="1:18" s="1" customFormat="1" x14ac:dyDescent="0.25">
      <c r="A77" s="2" t="s">
        <v>3</v>
      </c>
      <c r="B77" s="2" t="s">
        <v>4</v>
      </c>
      <c r="C77" s="2" t="s">
        <v>5</v>
      </c>
      <c r="D77" s="2" t="s">
        <v>6</v>
      </c>
      <c r="E77" s="2" t="s">
        <v>7</v>
      </c>
      <c r="F77" s="2">
        <v>2018</v>
      </c>
      <c r="G77" s="2">
        <v>2019</v>
      </c>
      <c r="H77" s="2">
        <v>2020</v>
      </c>
      <c r="I77" s="2">
        <v>2021</v>
      </c>
      <c r="J77" s="2">
        <v>2022</v>
      </c>
      <c r="K77" s="2">
        <v>2023</v>
      </c>
      <c r="L77" s="2">
        <v>2024</v>
      </c>
      <c r="M77" s="2">
        <v>2025</v>
      </c>
      <c r="N77" s="2">
        <v>2026</v>
      </c>
      <c r="O77" s="2">
        <v>2027</v>
      </c>
      <c r="R77"/>
    </row>
    <row r="78" spans="1:18" s="1" customFormat="1" x14ac:dyDescent="0.25">
      <c r="A78" s="1" t="s">
        <v>96</v>
      </c>
      <c r="B78" s="1" t="s">
        <v>94</v>
      </c>
      <c r="D78" s="1" t="s">
        <v>1</v>
      </c>
      <c r="E78" s="1" t="s">
        <v>120</v>
      </c>
      <c r="F78" s="1">
        <v>24</v>
      </c>
      <c r="G78" s="1">
        <v>24</v>
      </c>
      <c r="H78" s="1">
        <v>31</v>
      </c>
      <c r="I78" s="1">
        <v>31</v>
      </c>
      <c r="J78" s="1">
        <v>30</v>
      </c>
      <c r="K78" s="1">
        <v>30</v>
      </c>
      <c r="L78" s="1">
        <v>30</v>
      </c>
      <c r="M78" s="1">
        <v>29</v>
      </c>
      <c r="N78" s="1">
        <v>27</v>
      </c>
      <c r="O78" s="1">
        <v>26</v>
      </c>
      <c r="R78"/>
    </row>
    <row r="79" spans="1:18" s="1" customFormat="1" x14ac:dyDescent="0.25">
      <c r="A79" s="1" t="s">
        <v>97</v>
      </c>
      <c r="B79" s="1" t="s">
        <v>94</v>
      </c>
      <c r="D79" s="1" t="s">
        <v>1</v>
      </c>
      <c r="E79" s="1" t="s">
        <v>120</v>
      </c>
      <c r="F79" s="1">
        <v>20</v>
      </c>
      <c r="G79" s="1">
        <v>20</v>
      </c>
      <c r="H79" s="1">
        <v>19</v>
      </c>
      <c r="I79" s="1">
        <v>31</v>
      </c>
      <c r="J79" s="1">
        <v>19</v>
      </c>
      <c r="K79" s="1">
        <v>22</v>
      </c>
      <c r="L79" s="1">
        <v>26</v>
      </c>
      <c r="M79" s="1">
        <v>29</v>
      </c>
      <c r="N79" s="1">
        <v>24</v>
      </c>
      <c r="O79" s="1">
        <v>19</v>
      </c>
      <c r="R79"/>
    </row>
    <row r="80" spans="1:18" s="1" customFormat="1" x14ac:dyDescent="0.25">
      <c r="A80" s="1" t="s">
        <v>81</v>
      </c>
      <c r="B80" s="1" t="s">
        <v>94</v>
      </c>
      <c r="D80" s="1" t="s">
        <v>1</v>
      </c>
      <c r="E80" s="1" t="s">
        <v>120</v>
      </c>
      <c r="F80" s="1">
        <v>22</v>
      </c>
      <c r="G80" s="1">
        <v>21</v>
      </c>
      <c r="H80" s="1">
        <v>15</v>
      </c>
      <c r="I80" s="1">
        <v>15</v>
      </c>
      <c r="J80" s="1">
        <v>15</v>
      </c>
      <c r="K80" s="1">
        <v>19</v>
      </c>
      <c r="L80" s="1">
        <v>24</v>
      </c>
      <c r="M80" s="1">
        <v>29</v>
      </c>
      <c r="N80" s="1">
        <v>24</v>
      </c>
      <c r="O80" s="1">
        <v>18</v>
      </c>
      <c r="R80"/>
    </row>
    <row r="81" spans="1:18" s="1" customFormat="1" x14ac:dyDescent="0.25">
      <c r="A81" s="1" t="s">
        <v>99</v>
      </c>
      <c r="B81" s="1" t="s">
        <v>94</v>
      </c>
      <c r="D81" s="1" t="s">
        <v>1</v>
      </c>
      <c r="E81" s="1" t="s">
        <v>120</v>
      </c>
      <c r="H81" s="1">
        <v>24</v>
      </c>
      <c r="J81" s="1">
        <v>24</v>
      </c>
      <c r="K81" s="1">
        <v>25</v>
      </c>
      <c r="L81" s="1">
        <v>28</v>
      </c>
      <c r="M81" s="1">
        <v>29</v>
      </c>
      <c r="N81" s="1">
        <v>24</v>
      </c>
      <c r="O81" s="1">
        <v>20</v>
      </c>
      <c r="R81"/>
    </row>
    <row r="82" spans="1:18" s="1" customFormat="1" x14ac:dyDescent="0.25">
      <c r="A82" s="1" t="s">
        <v>8</v>
      </c>
      <c r="B82" s="1" t="s">
        <v>94</v>
      </c>
      <c r="D82" s="1" t="s">
        <v>1</v>
      </c>
      <c r="E82" s="1" t="s">
        <v>120</v>
      </c>
      <c r="F82" s="1">
        <v>19</v>
      </c>
      <c r="G82" s="1">
        <v>16</v>
      </c>
      <c r="H82" s="1">
        <v>14</v>
      </c>
      <c r="I82" s="1">
        <v>15</v>
      </c>
      <c r="J82" s="1">
        <v>18</v>
      </c>
      <c r="K82" s="1">
        <v>19</v>
      </c>
      <c r="L82" s="1">
        <v>24</v>
      </c>
      <c r="M82" s="1">
        <v>29</v>
      </c>
      <c r="N82" s="1">
        <v>24</v>
      </c>
      <c r="O82" s="1">
        <v>18</v>
      </c>
      <c r="R82"/>
    </row>
    <row r="83" spans="1:18" s="1" customFormat="1" x14ac:dyDescent="0.25">
      <c r="A83" s="1" t="s">
        <v>107</v>
      </c>
      <c r="B83" s="1" t="s">
        <v>94</v>
      </c>
      <c r="D83" s="1" t="s">
        <v>1</v>
      </c>
      <c r="E83" s="1" t="s">
        <v>120</v>
      </c>
      <c r="F83" s="1">
        <v>17</v>
      </c>
      <c r="G83" s="1">
        <v>16</v>
      </c>
      <c r="H83" s="1">
        <v>16</v>
      </c>
      <c r="I83" s="1">
        <v>16</v>
      </c>
      <c r="J83" s="1">
        <v>16</v>
      </c>
      <c r="K83" s="1">
        <v>20</v>
      </c>
      <c r="L83" s="1">
        <v>25</v>
      </c>
      <c r="M83" s="1">
        <v>29</v>
      </c>
      <c r="N83" s="1">
        <v>24</v>
      </c>
      <c r="O83" s="1">
        <v>18</v>
      </c>
      <c r="R83"/>
    </row>
    <row r="84" spans="1:18" s="1" customFormat="1" x14ac:dyDescent="0.25">
      <c r="A84" s="1" t="s">
        <v>108</v>
      </c>
      <c r="B84" s="1" t="s">
        <v>94</v>
      </c>
      <c r="D84" s="1" t="s">
        <v>1</v>
      </c>
      <c r="E84" s="1" t="s">
        <v>120</v>
      </c>
      <c r="F84" s="1">
        <v>23</v>
      </c>
      <c r="G84" s="1">
        <v>23</v>
      </c>
      <c r="H84" s="1">
        <v>26</v>
      </c>
      <c r="I84" s="1">
        <v>26</v>
      </c>
      <c r="J84" s="1">
        <v>26</v>
      </c>
      <c r="K84" s="1">
        <v>27</v>
      </c>
      <c r="L84" s="1">
        <v>28</v>
      </c>
      <c r="M84" s="1">
        <v>29</v>
      </c>
      <c r="N84" s="1">
        <v>26</v>
      </c>
      <c r="O84" s="1">
        <v>22</v>
      </c>
      <c r="R84"/>
    </row>
    <row r="85" spans="1:18" s="1" customFormat="1" x14ac:dyDescent="0.25">
      <c r="A85" s="1" t="s">
        <v>110</v>
      </c>
      <c r="B85" s="1" t="s">
        <v>94</v>
      </c>
      <c r="D85" s="1" t="s">
        <v>1</v>
      </c>
      <c r="E85" s="1" t="s">
        <v>120</v>
      </c>
      <c r="F85" s="1">
        <v>44</v>
      </c>
      <c r="G85" s="1">
        <v>40</v>
      </c>
      <c r="H85" s="1">
        <v>31</v>
      </c>
      <c r="I85" s="1">
        <v>31</v>
      </c>
      <c r="J85" s="1">
        <v>20</v>
      </c>
      <c r="K85" s="1">
        <v>30</v>
      </c>
      <c r="L85" s="1">
        <v>30</v>
      </c>
      <c r="M85" s="1">
        <v>29</v>
      </c>
      <c r="N85" s="1">
        <v>27</v>
      </c>
      <c r="O85" s="1">
        <v>26</v>
      </c>
      <c r="R85"/>
    </row>
    <row r="86" spans="1:18" s="1" customFormat="1" x14ac:dyDescent="0.25">
      <c r="A86" s="1" t="s">
        <v>111</v>
      </c>
      <c r="B86" s="1" t="s">
        <v>94</v>
      </c>
      <c r="D86" s="1" t="s">
        <v>1</v>
      </c>
      <c r="E86" s="1" t="s">
        <v>120</v>
      </c>
      <c r="F86" s="1">
        <v>25</v>
      </c>
      <c r="G86" s="1">
        <v>22</v>
      </c>
      <c r="H86" s="1">
        <v>19</v>
      </c>
      <c r="I86" s="1">
        <v>19</v>
      </c>
      <c r="J86" s="1">
        <v>19</v>
      </c>
      <c r="K86" s="1">
        <v>22</v>
      </c>
      <c r="L86" s="1">
        <v>26</v>
      </c>
      <c r="M86" s="1">
        <v>29</v>
      </c>
      <c r="N86" s="1">
        <v>24</v>
      </c>
      <c r="O86" s="1">
        <v>18</v>
      </c>
      <c r="R86"/>
    </row>
    <row r="87" spans="1:18" s="1" customFormat="1" x14ac:dyDescent="0.25">
      <c r="A87" s="1" t="s">
        <v>11</v>
      </c>
      <c r="B87" s="1" t="s">
        <v>94</v>
      </c>
      <c r="D87" s="1" t="s">
        <v>1</v>
      </c>
      <c r="E87" s="1" t="s">
        <v>120</v>
      </c>
      <c r="F87" s="1">
        <v>20</v>
      </c>
      <c r="G87" s="1">
        <v>19</v>
      </c>
      <c r="H87" s="1">
        <v>14</v>
      </c>
      <c r="I87" s="1">
        <v>62</v>
      </c>
      <c r="J87" s="1">
        <v>37</v>
      </c>
      <c r="K87" s="1">
        <v>62</v>
      </c>
      <c r="L87" s="1">
        <v>52</v>
      </c>
      <c r="M87" s="1">
        <v>29</v>
      </c>
      <c r="N87" s="1">
        <v>24</v>
      </c>
      <c r="O87" s="1">
        <v>18</v>
      </c>
      <c r="R87"/>
    </row>
    <row r="88" spans="1:18" s="1" customFormat="1" x14ac:dyDescent="0.25">
      <c r="A88" s="1" t="s">
        <v>12</v>
      </c>
      <c r="B88" s="1" t="s">
        <v>94</v>
      </c>
      <c r="D88" s="1" t="s">
        <v>1</v>
      </c>
      <c r="E88" s="1" t="s">
        <v>120</v>
      </c>
      <c r="F88" s="1">
        <v>29</v>
      </c>
      <c r="G88" s="1">
        <v>29</v>
      </c>
      <c r="H88" s="1">
        <v>31</v>
      </c>
      <c r="I88" s="1">
        <v>31</v>
      </c>
      <c r="J88" s="1">
        <v>30</v>
      </c>
      <c r="K88" s="1">
        <v>34</v>
      </c>
      <c r="L88" s="1">
        <v>30</v>
      </c>
      <c r="M88" s="1">
        <v>29</v>
      </c>
      <c r="N88" s="1">
        <v>27</v>
      </c>
      <c r="O88" s="1">
        <v>26</v>
      </c>
      <c r="R88"/>
    </row>
    <row r="89" spans="1:18" s="1" customFormat="1" x14ac:dyDescent="0.25">
      <c r="A89" s="1" t="s">
        <v>84</v>
      </c>
      <c r="B89" s="1" t="s">
        <v>94</v>
      </c>
      <c r="D89" s="1" t="s">
        <v>1</v>
      </c>
      <c r="E89" s="1" t="s">
        <v>120</v>
      </c>
      <c r="F89" s="1">
        <v>34</v>
      </c>
      <c r="G89" s="1">
        <v>32</v>
      </c>
      <c r="H89" s="1">
        <v>25</v>
      </c>
      <c r="I89" s="1">
        <v>25</v>
      </c>
      <c r="J89" s="1">
        <v>25</v>
      </c>
      <c r="K89" s="1">
        <v>26</v>
      </c>
      <c r="L89" s="1">
        <v>28</v>
      </c>
      <c r="M89" s="1">
        <v>29</v>
      </c>
      <c r="N89" s="1">
        <v>27</v>
      </c>
      <c r="O89" s="1">
        <v>26</v>
      </c>
      <c r="R89"/>
    </row>
    <row r="90" spans="1:18" s="1" customFormat="1" x14ac:dyDescent="0.25">
      <c r="A90" s="2" t="s">
        <v>3</v>
      </c>
      <c r="B90" s="2" t="s">
        <v>4</v>
      </c>
      <c r="C90" s="2" t="s">
        <v>5</v>
      </c>
      <c r="D90" s="2" t="s">
        <v>6</v>
      </c>
      <c r="E90" s="2" t="s">
        <v>7</v>
      </c>
      <c r="F90" s="2">
        <v>2018</v>
      </c>
      <c r="G90" s="2">
        <v>2019</v>
      </c>
      <c r="H90" s="2">
        <v>2020</v>
      </c>
      <c r="I90" s="2">
        <v>2021</v>
      </c>
      <c r="J90" s="2">
        <v>2022</v>
      </c>
      <c r="K90" s="2">
        <v>2023</v>
      </c>
      <c r="L90" s="2">
        <v>2024</v>
      </c>
      <c r="M90" s="2">
        <v>2025</v>
      </c>
      <c r="N90" s="2">
        <v>2026</v>
      </c>
      <c r="O90" s="2">
        <v>2027</v>
      </c>
      <c r="R90"/>
    </row>
    <row r="91" spans="1:18" s="1" customFormat="1" x14ac:dyDescent="0.25">
      <c r="A91" s="1" t="s">
        <v>96</v>
      </c>
      <c r="B91" s="1" t="s">
        <v>94</v>
      </c>
      <c r="D91" s="1" t="s">
        <v>119</v>
      </c>
      <c r="E91" s="1" t="s">
        <v>120</v>
      </c>
      <c r="F91" s="1">
        <v>39</v>
      </c>
      <c r="G91" s="1">
        <v>40</v>
      </c>
      <c r="J91" s="1">
        <v>34</v>
      </c>
      <c r="L91" s="1">
        <v>24</v>
      </c>
      <c r="M91" s="1">
        <v>24</v>
      </c>
      <c r="N91" s="1">
        <v>24</v>
      </c>
      <c r="O91" s="1">
        <v>22</v>
      </c>
      <c r="R91"/>
    </row>
    <row r="92" spans="1:18" s="1" customFormat="1" x14ac:dyDescent="0.25">
      <c r="A92" s="1" t="s">
        <v>103</v>
      </c>
      <c r="B92" s="1" t="s">
        <v>94</v>
      </c>
      <c r="D92" s="1" t="s">
        <v>119</v>
      </c>
      <c r="E92" s="1" t="s">
        <v>120</v>
      </c>
      <c r="F92" s="1">
        <v>39</v>
      </c>
      <c r="G92" s="1">
        <v>40</v>
      </c>
      <c r="J92" s="1">
        <v>34</v>
      </c>
      <c r="L92" s="1">
        <v>24</v>
      </c>
      <c r="M92" s="1">
        <v>24</v>
      </c>
      <c r="N92" s="1">
        <v>24</v>
      </c>
      <c r="O92" s="1">
        <v>22</v>
      </c>
      <c r="R92"/>
    </row>
    <row r="93" spans="1:18" s="1" customFormat="1" x14ac:dyDescent="0.25">
      <c r="A93" s="1" t="s">
        <v>108</v>
      </c>
      <c r="B93" s="1" t="s">
        <v>94</v>
      </c>
      <c r="D93" s="1" t="s">
        <v>119</v>
      </c>
      <c r="E93" s="1" t="s">
        <v>120</v>
      </c>
      <c r="F93" s="1">
        <v>39</v>
      </c>
      <c r="G93" s="1">
        <v>40</v>
      </c>
      <c r="H93" s="1">
        <v>24</v>
      </c>
      <c r="I93" s="1">
        <v>24</v>
      </c>
      <c r="J93" s="1">
        <v>24</v>
      </c>
      <c r="K93" s="1">
        <v>50</v>
      </c>
      <c r="L93" s="1">
        <v>50</v>
      </c>
      <c r="M93" s="1">
        <v>50</v>
      </c>
      <c r="N93" s="1">
        <v>50</v>
      </c>
      <c r="O93" s="1">
        <v>40</v>
      </c>
      <c r="R93"/>
    </row>
    <row r="94" spans="1:18" s="1" customFormat="1" x14ac:dyDescent="0.25">
      <c r="A94" s="1" t="s">
        <v>110</v>
      </c>
      <c r="B94" s="1" t="s">
        <v>94</v>
      </c>
      <c r="D94" s="1" t="s">
        <v>119</v>
      </c>
      <c r="E94" s="1" t="s">
        <v>120</v>
      </c>
      <c r="F94" s="1">
        <v>39</v>
      </c>
      <c r="G94" s="1">
        <v>40</v>
      </c>
      <c r="H94" s="1">
        <v>24</v>
      </c>
      <c r="I94" s="1">
        <v>24</v>
      </c>
      <c r="J94" s="1">
        <v>24</v>
      </c>
      <c r="K94" s="1">
        <v>24</v>
      </c>
      <c r="L94" s="1">
        <v>24</v>
      </c>
      <c r="M94" s="1">
        <v>24</v>
      </c>
      <c r="N94" s="1">
        <v>24</v>
      </c>
      <c r="O94" s="1">
        <v>25</v>
      </c>
      <c r="R94"/>
    </row>
    <row r="95" spans="1:18" s="1" customFormat="1" x14ac:dyDescent="0.25">
      <c r="A95" s="1" t="s">
        <v>116</v>
      </c>
      <c r="B95" s="1" t="s">
        <v>94</v>
      </c>
      <c r="D95" s="1" t="s">
        <v>119</v>
      </c>
      <c r="E95" s="1" t="s">
        <v>120</v>
      </c>
      <c r="F95" s="1">
        <v>39</v>
      </c>
      <c r="G95" s="1">
        <v>40</v>
      </c>
      <c r="J95" s="1">
        <v>34</v>
      </c>
      <c r="L95" s="1">
        <v>24</v>
      </c>
      <c r="M95" s="1">
        <v>24</v>
      </c>
      <c r="N95" s="1">
        <v>24</v>
      </c>
      <c r="O95" s="1">
        <v>22</v>
      </c>
      <c r="R95"/>
    </row>
    <row r="96" spans="1:18" s="1" customFormat="1" x14ac:dyDescent="0.25">
      <c r="A96" s="1" t="s">
        <v>84</v>
      </c>
      <c r="B96" s="1" t="s">
        <v>94</v>
      </c>
      <c r="D96" s="1" t="s">
        <v>119</v>
      </c>
      <c r="E96" s="1" t="s">
        <v>120</v>
      </c>
      <c r="G96" s="1">
        <v>40</v>
      </c>
      <c r="H96" s="1">
        <v>24</v>
      </c>
      <c r="I96" s="1">
        <v>24</v>
      </c>
      <c r="J96" s="1">
        <v>24</v>
      </c>
      <c r="L96" s="1">
        <v>24</v>
      </c>
      <c r="M96" s="1">
        <v>24</v>
      </c>
      <c r="N96" s="1">
        <v>24</v>
      </c>
      <c r="O96" s="1">
        <v>22</v>
      </c>
      <c r="R96"/>
    </row>
    <row r="97" spans="1:18" s="1" customFormat="1" x14ac:dyDescent="0.25">
      <c r="A97" s="1" t="s">
        <v>117</v>
      </c>
      <c r="B97" s="1" t="s">
        <v>94</v>
      </c>
      <c r="D97" s="1" t="s">
        <v>119</v>
      </c>
      <c r="E97" s="1" t="s">
        <v>120</v>
      </c>
      <c r="F97" s="1">
        <v>39</v>
      </c>
      <c r="G97" s="1">
        <v>40</v>
      </c>
      <c r="J97" s="1">
        <v>34</v>
      </c>
      <c r="L97" s="1">
        <v>50</v>
      </c>
      <c r="M97" s="1">
        <v>24</v>
      </c>
      <c r="N97" s="1">
        <v>24</v>
      </c>
      <c r="O97" s="1">
        <v>22</v>
      </c>
      <c r="R97"/>
    </row>
  </sheetData>
  <sortState xmlns:xlrd2="http://schemas.microsoft.com/office/spreadsheetml/2017/richdata2" ref="A2:O97">
    <sortCondition ref="D8:D97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E480-2176-4008-AC67-FD48A3871725}">
  <dimension ref="A1:Q4"/>
  <sheetViews>
    <sheetView workbookViewId="0">
      <selection activeCell="A2" sqref="A2:O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20</v>
      </c>
      <c r="B2" s="1" t="s">
        <v>121</v>
      </c>
      <c r="D2" s="1" t="s">
        <v>16</v>
      </c>
      <c r="E2" s="1" t="s">
        <v>2</v>
      </c>
      <c r="K2" s="1">
        <v>31</v>
      </c>
      <c r="L2" s="1">
        <v>31</v>
      </c>
      <c r="M2" s="1">
        <v>34.03</v>
      </c>
      <c r="N2" s="1">
        <v>37.97</v>
      </c>
      <c r="O2" s="1">
        <v>38</v>
      </c>
    </row>
    <row r="3" spans="1:15" x14ac:dyDescent="0.25">
      <c r="A3" s="1" t="s">
        <v>24</v>
      </c>
      <c r="B3" s="1" t="s">
        <v>121</v>
      </c>
      <c r="D3" s="1" t="s">
        <v>16</v>
      </c>
      <c r="E3" s="1" t="s">
        <v>2</v>
      </c>
      <c r="F3" s="1">
        <v>24</v>
      </c>
      <c r="G3" s="1">
        <v>25</v>
      </c>
      <c r="H3" s="1">
        <v>26</v>
      </c>
      <c r="I3" s="1">
        <v>27</v>
      </c>
      <c r="J3" s="1">
        <v>32.630000000000003</v>
      </c>
      <c r="K3" s="1">
        <v>29.22</v>
      </c>
      <c r="L3" s="1">
        <v>31</v>
      </c>
      <c r="M3" s="1">
        <v>34.03</v>
      </c>
      <c r="N3" s="1">
        <v>37.97</v>
      </c>
      <c r="O3" s="1">
        <v>60.14</v>
      </c>
    </row>
    <row r="4" spans="1:15" x14ac:dyDescent="0.25">
      <c r="A4" s="1" t="s">
        <v>25</v>
      </c>
      <c r="B4" s="1" t="s">
        <v>121</v>
      </c>
      <c r="D4" s="1" t="s">
        <v>16</v>
      </c>
      <c r="E4" s="1" t="s">
        <v>2</v>
      </c>
      <c r="F4" s="1">
        <v>24</v>
      </c>
      <c r="G4" s="1">
        <v>25</v>
      </c>
      <c r="H4" s="1">
        <v>26</v>
      </c>
      <c r="I4" s="1">
        <v>27</v>
      </c>
      <c r="J4" s="1">
        <v>32.53</v>
      </c>
      <c r="K4" s="1">
        <v>29.22</v>
      </c>
      <c r="L4" s="1">
        <v>31</v>
      </c>
      <c r="M4" s="1">
        <v>34.03</v>
      </c>
      <c r="N4" s="1">
        <v>37.97</v>
      </c>
      <c r="O4" s="1">
        <v>38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05BC-EED9-447D-8C9B-51AFB06BA1C2}">
  <dimension ref="A1:Q10"/>
  <sheetViews>
    <sheetView workbookViewId="0">
      <selection activeCell="A2" sqref="A2:O10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95</v>
      </c>
      <c r="B2" s="1" t="s">
        <v>123</v>
      </c>
      <c r="C2" s="1" t="s">
        <v>122</v>
      </c>
      <c r="D2" s="1" t="s">
        <v>119</v>
      </c>
      <c r="E2" s="1" t="s">
        <v>2</v>
      </c>
      <c r="F2" s="1">
        <v>1491</v>
      </c>
      <c r="G2" s="1">
        <v>1491</v>
      </c>
      <c r="H2" s="1">
        <v>1360</v>
      </c>
      <c r="I2" s="1">
        <v>1347</v>
      </c>
      <c r="J2" s="1">
        <v>1353</v>
      </c>
      <c r="K2" s="1">
        <v>1353</v>
      </c>
      <c r="L2" s="1">
        <v>1264</v>
      </c>
      <c r="M2" s="1">
        <v>1264</v>
      </c>
      <c r="N2" s="1">
        <v>1227</v>
      </c>
      <c r="O2" s="1">
        <v>1013</v>
      </c>
    </row>
    <row r="3" spans="1:15" x14ac:dyDescent="0.25">
      <c r="A3" s="1" t="s">
        <v>100</v>
      </c>
      <c r="B3" s="1" t="s">
        <v>123</v>
      </c>
      <c r="C3" s="1" t="s">
        <v>122</v>
      </c>
      <c r="D3" s="1" t="s">
        <v>119</v>
      </c>
      <c r="E3" s="1" t="s">
        <v>2</v>
      </c>
      <c r="F3" s="1">
        <v>1491</v>
      </c>
      <c r="G3" s="1">
        <v>1491</v>
      </c>
      <c r="H3" s="1">
        <v>1177</v>
      </c>
      <c r="I3" s="1">
        <v>1235</v>
      </c>
      <c r="J3" s="1">
        <v>1353</v>
      </c>
      <c r="K3" s="1">
        <v>1353</v>
      </c>
      <c r="L3" s="1">
        <v>1264</v>
      </c>
      <c r="M3" s="1">
        <v>1264</v>
      </c>
      <c r="N3" s="1">
        <v>1227</v>
      </c>
      <c r="O3" s="1">
        <v>1013</v>
      </c>
    </row>
    <row r="4" spans="1:15" x14ac:dyDescent="0.25">
      <c r="A4" s="1" t="s">
        <v>10</v>
      </c>
      <c r="B4" s="1" t="s">
        <v>123</v>
      </c>
      <c r="C4" s="1" t="s">
        <v>122</v>
      </c>
      <c r="D4" s="1" t="s">
        <v>119</v>
      </c>
      <c r="E4" s="1" t="s">
        <v>120</v>
      </c>
      <c r="F4" s="1">
        <v>1044</v>
      </c>
      <c r="G4" s="1">
        <v>976</v>
      </c>
      <c r="J4" s="1">
        <v>912</v>
      </c>
      <c r="K4" s="1">
        <v>912</v>
      </c>
      <c r="L4" s="1">
        <v>846</v>
      </c>
      <c r="M4" s="1">
        <v>921</v>
      </c>
      <c r="N4" s="1">
        <v>879</v>
      </c>
      <c r="O4" s="1">
        <v>704</v>
      </c>
    </row>
    <row r="5" spans="1:15" x14ac:dyDescent="0.25">
      <c r="A5" s="1" t="s">
        <v>113</v>
      </c>
      <c r="B5" s="1" t="s">
        <v>123</v>
      </c>
      <c r="C5" s="1" t="s">
        <v>122</v>
      </c>
      <c r="D5" s="1" t="s">
        <v>119</v>
      </c>
      <c r="E5" s="1" t="s">
        <v>2</v>
      </c>
      <c r="F5" s="1">
        <v>1491</v>
      </c>
      <c r="G5" s="1">
        <v>1491</v>
      </c>
      <c r="H5" s="1">
        <v>1177</v>
      </c>
      <c r="I5" s="1">
        <v>1347</v>
      </c>
      <c r="J5" s="1">
        <v>1347</v>
      </c>
      <c r="K5" s="1">
        <v>1347</v>
      </c>
      <c r="L5" s="1">
        <v>1264</v>
      </c>
      <c r="M5" s="1">
        <v>1264</v>
      </c>
      <c r="N5" s="1">
        <v>1227</v>
      </c>
      <c r="O5" s="1">
        <v>1310</v>
      </c>
    </row>
    <row r="6" spans="1:15" x14ac:dyDescent="0.25">
      <c r="A6" s="1" t="s">
        <v>115</v>
      </c>
      <c r="B6" s="1" t="s">
        <v>123</v>
      </c>
      <c r="C6" s="1" t="s">
        <v>122</v>
      </c>
      <c r="D6" s="1" t="s">
        <v>119</v>
      </c>
      <c r="E6" s="1" t="s">
        <v>2</v>
      </c>
      <c r="F6" s="1">
        <v>1491</v>
      </c>
      <c r="G6" s="1">
        <v>1491</v>
      </c>
      <c r="H6" s="1">
        <v>1177</v>
      </c>
      <c r="I6" s="1">
        <v>1347</v>
      </c>
      <c r="J6" s="1">
        <v>1347</v>
      </c>
      <c r="K6" s="1">
        <v>1347</v>
      </c>
      <c r="L6" s="1">
        <v>1264</v>
      </c>
      <c r="M6" s="1">
        <v>1261</v>
      </c>
      <c r="N6" s="1">
        <v>1227</v>
      </c>
      <c r="O6" s="1">
        <v>1310</v>
      </c>
    </row>
    <row r="7" spans="1:15" x14ac:dyDescent="0.25">
      <c r="A7" s="1" t="s">
        <v>117</v>
      </c>
      <c r="B7" s="1" t="s">
        <v>123</v>
      </c>
      <c r="C7" s="1" t="s">
        <v>124</v>
      </c>
      <c r="D7" s="1" t="s">
        <v>119</v>
      </c>
      <c r="E7" s="1" t="s">
        <v>2</v>
      </c>
      <c r="F7" s="1">
        <v>1491</v>
      </c>
      <c r="G7" s="1">
        <v>1491</v>
      </c>
      <c r="H7" s="1">
        <v>1177</v>
      </c>
      <c r="I7" s="1">
        <v>1235</v>
      </c>
      <c r="J7" s="1">
        <v>1353</v>
      </c>
      <c r="K7" s="1">
        <v>1353</v>
      </c>
      <c r="M7" s="1">
        <v>1264</v>
      </c>
      <c r="N7" s="1">
        <v>1198</v>
      </c>
      <c r="O7" s="1">
        <v>959</v>
      </c>
    </row>
    <row r="8" spans="1:15" x14ac:dyDescent="0.25">
      <c r="A8" s="1" t="s">
        <v>117</v>
      </c>
      <c r="B8" s="1" t="s">
        <v>123</v>
      </c>
      <c r="C8" s="1" t="s">
        <v>124</v>
      </c>
      <c r="D8" s="1" t="s">
        <v>119</v>
      </c>
      <c r="E8" s="1" t="s">
        <v>120</v>
      </c>
      <c r="F8" s="1">
        <v>1044</v>
      </c>
      <c r="G8" s="1">
        <v>976</v>
      </c>
      <c r="H8" s="1">
        <v>883</v>
      </c>
      <c r="I8" s="1">
        <v>927</v>
      </c>
      <c r="J8" s="1">
        <v>1015</v>
      </c>
      <c r="K8" s="1">
        <v>1015</v>
      </c>
      <c r="L8" s="1">
        <v>921</v>
      </c>
      <c r="M8" s="1">
        <v>921</v>
      </c>
      <c r="N8" s="1">
        <v>862</v>
      </c>
      <c r="O8" s="1">
        <v>670</v>
      </c>
    </row>
    <row r="9" spans="1:15" x14ac:dyDescent="0.25">
      <c r="A9" s="1" t="s">
        <v>117</v>
      </c>
      <c r="B9" s="1" t="s">
        <v>123</v>
      </c>
      <c r="C9" s="1" t="s">
        <v>122</v>
      </c>
      <c r="D9" s="1" t="s">
        <v>119</v>
      </c>
      <c r="E9" s="1" t="s">
        <v>2</v>
      </c>
      <c r="F9" s="1">
        <v>1491</v>
      </c>
      <c r="G9" s="1">
        <v>1491</v>
      </c>
      <c r="H9" s="1">
        <v>1177</v>
      </c>
      <c r="I9" s="1">
        <v>1235</v>
      </c>
      <c r="J9" s="1">
        <v>1353</v>
      </c>
      <c r="K9" s="1">
        <v>1353</v>
      </c>
      <c r="L9" s="1">
        <v>1264</v>
      </c>
      <c r="M9" s="1">
        <v>1264</v>
      </c>
      <c r="N9" s="1">
        <v>1227</v>
      </c>
      <c r="O9" s="1">
        <v>1013</v>
      </c>
    </row>
    <row r="10" spans="1:15" x14ac:dyDescent="0.25">
      <c r="A10" s="1" t="s">
        <v>117</v>
      </c>
      <c r="B10" s="1" t="s">
        <v>123</v>
      </c>
      <c r="C10" s="1" t="s">
        <v>122</v>
      </c>
      <c r="D10" s="1" t="s">
        <v>119</v>
      </c>
      <c r="E10" s="1" t="s">
        <v>120</v>
      </c>
      <c r="F10" s="1">
        <v>1044</v>
      </c>
      <c r="G10" s="1">
        <v>976</v>
      </c>
      <c r="H10" s="1">
        <v>883</v>
      </c>
      <c r="I10" s="1">
        <v>927</v>
      </c>
      <c r="J10" s="1">
        <v>1015</v>
      </c>
      <c r="K10" s="1">
        <v>1015</v>
      </c>
      <c r="L10" s="1">
        <v>921</v>
      </c>
      <c r="M10" s="1">
        <v>921</v>
      </c>
      <c r="N10" s="1">
        <v>879</v>
      </c>
      <c r="O10" s="1">
        <v>704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65830-1730-4447-9CE8-788BF9F66AB2}">
  <dimension ref="A1:Q11"/>
  <sheetViews>
    <sheetView workbookViewId="0">
      <selection activeCell="A2" sqref="A2:O11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125</v>
      </c>
      <c r="C2" s="1" t="s">
        <v>126</v>
      </c>
      <c r="D2" s="1" t="s">
        <v>16</v>
      </c>
      <c r="E2" s="1" t="s">
        <v>2</v>
      </c>
      <c r="F2" s="1">
        <v>9.33</v>
      </c>
      <c r="G2" s="1">
        <v>8.7200000000000006</v>
      </c>
      <c r="H2" s="1">
        <v>4.45</v>
      </c>
      <c r="I2" s="1">
        <v>4.45</v>
      </c>
      <c r="J2" s="1">
        <v>5.73</v>
      </c>
      <c r="K2" s="1">
        <v>5.76</v>
      </c>
      <c r="L2" s="1">
        <v>7.28</v>
      </c>
      <c r="M2" s="1">
        <v>7.36</v>
      </c>
      <c r="N2" s="1">
        <v>8.6300000000000008</v>
      </c>
      <c r="O2" s="1">
        <v>11.73</v>
      </c>
    </row>
    <row r="3" spans="1:15" x14ac:dyDescent="0.25">
      <c r="A3" s="1" t="s">
        <v>20</v>
      </c>
      <c r="B3" s="1" t="s">
        <v>125</v>
      </c>
      <c r="C3" s="1" t="s">
        <v>15</v>
      </c>
      <c r="D3" s="1" t="s">
        <v>16</v>
      </c>
      <c r="E3" s="1" t="s">
        <v>2</v>
      </c>
      <c r="F3" s="1">
        <v>9.33</v>
      </c>
      <c r="G3" s="1">
        <v>8.7200000000000006</v>
      </c>
      <c r="H3" s="1">
        <v>4.45</v>
      </c>
      <c r="I3" s="1">
        <v>4.45</v>
      </c>
      <c r="J3" s="1">
        <v>5.73</v>
      </c>
      <c r="K3" s="1">
        <v>5.9</v>
      </c>
      <c r="L3" s="1">
        <v>6.54</v>
      </c>
      <c r="M3" s="1">
        <v>5.16</v>
      </c>
      <c r="N3" s="1">
        <v>5.26</v>
      </c>
      <c r="O3" s="1">
        <v>4.72</v>
      </c>
    </row>
    <row r="4" spans="1:15" x14ac:dyDescent="0.25">
      <c r="A4" s="1" t="s">
        <v>24</v>
      </c>
      <c r="B4" s="1" t="s">
        <v>125</v>
      </c>
      <c r="C4" s="1" t="s">
        <v>126</v>
      </c>
      <c r="D4" s="1" t="s">
        <v>16</v>
      </c>
      <c r="E4" s="1" t="s">
        <v>2</v>
      </c>
      <c r="F4" s="1">
        <v>9.33</v>
      </c>
      <c r="G4" s="1">
        <v>8.7200000000000006</v>
      </c>
      <c r="H4" s="1">
        <v>4.45</v>
      </c>
      <c r="I4" s="1">
        <v>7.11</v>
      </c>
      <c r="J4" s="1">
        <v>6.91</v>
      </c>
      <c r="K4" s="1">
        <v>6.09</v>
      </c>
      <c r="L4" s="1">
        <v>7.28</v>
      </c>
      <c r="M4" s="1">
        <v>7.36</v>
      </c>
      <c r="N4" s="1">
        <v>6.8</v>
      </c>
      <c r="O4" s="1">
        <v>6.66</v>
      </c>
    </row>
    <row r="5" spans="1:15" x14ac:dyDescent="0.25">
      <c r="A5" s="1" t="s">
        <v>24</v>
      </c>
      <c r="B5" s="1" t="s">
        <v>125</v>
      </c>
      <c r="C5" s="1" t="s">
        <v>127</v>
      </c>
      <c r="D5" s="1" t="s">
        <v>16</v>
      </c>
      <c r="E5" s="1" t="s">
        <v>2</v>
      </c>
      <c r="F5" s="1">
        <v>9.33</v>
      </c>
      <c r="G5" s="1">
        <v>8.7200000000000006</v>
      </c>
      <c r="H5" s="1">
        <v>4.45</v>
      </c>
      <c r="I5" s="1">
        <v>7.11</v>
      </c>
      <c r="J5" s="1">
        <v>6.91</v>
      </c>
      <c r="K5" s="1">
        <v>5.74</v>
      </c>
      <c r="L5" s="1">
        <v>7.53</v>
      </c>
      <c r="M5" s="1">
        <v>6.76</v>
      </c>
      <c r="N5" s="1">
        <v>6.36</v>
      </c>
      <c r="O5" s="1">
        <v>5.97</v>
      </c>
    </row>
    <row r="6" spans="1:15" x14ac:dyDescent="0.25">
      <c r="A6" s="1" t="s">
        <v>25</v>
      </c>
      <c r="B6" s="1" t="s">
        <v>125</v>
      </c>
      <c r="C6" s="1" t="s">
        <v>15</v>
      </c>
      <c r="D6" s="1" t="s">
        <v>16</v>
      </c>
      <c r="E6" s="1" t="s">
        <v>2</v>
      </c>
      <c r="F6" s="1">
        <v>9.33</v>
      </c>
      <c r="G6" s="1">
        <v>8.7200000000000006</v>
      </c>
      <c r="H6" s="1">
        <v>4.45</v>
      </c>
      <c r="I6" s="1">
        <v>8.14</v>
      </c>
      <c r="J6" s="1">
        <v>7.96</v>
      </c>
      <c r="K6" s="1">
        <v>7.3</v>
      </c>
      <c r="L6" s="1">
        <v>6.54</v>
      </c>
      <c r="M6" s="1">
        <v>5.8</v>
      </c>
      <c r="N6" s="1">
        <v>5.8</v>
      </c>
      <c r="O6" s="1">
        <v>5.4</v>
      </c>
    </row>
    <row r="7" spans="1:15" x14ac:dyDescent="0.25">
      <c r="A7" s="1" t="s">
        <v>25</v>
      </c>
      <c r="B7" s="1" t="s">
        <v>125</v>
      </c>
      <c r="C7" s="1" t="s">
        <v>126</v>
      </c>
      <c r="D7" s="1" t="s">
        <v>16</v>
      </c>
      <c r="E7" s="1" t="s">
        <v>2</v>
      </c>
      <c r="F7" s="1">
        <v>9.33</v>
      </c>
      <c r="G7" s="1">
        <v>8.7200000000000006</v>
      </c>
      <c r="H7" s="1">
        <v>4.45</v>
      </c>
      <c r="I7" s="1">
        <v>4.45</v>
      </c>
      <c r="J7" s="1">
        <v>5.73</v>
      </c>
      <c r="K7" s="1">
        <v>5.76</v>
      </c>
      <c r="L7" s="1">
        <v>7.28</v>
      </c>
      <c r="M7" s="1">
        <v>6.54</v>
      </c>
      <c r="N7" s="1">
        <v>6.71</v>
      </c>
      <c r="O7" s="1">
        <v>6.22</v>
      </c>
    </row>
    <row r="8" spans="1:15" x14ac:dyDescent="0.25">
      <c r="A8" s="1" t="s">
        <v>25</v>
      </c>
      <c r="B8" s="1" t="s">
        <v>125</v>
      </c>
      <c r="C8" s="1" t="s">
        <v>127</v>
      </c>
      <c r="D8" s="1" t="s">
        <v>16</v>
      </c>
      <c r="E8" s="1" t="s">
        <v>2</v>
      </c>
      <c r="F8" s="1">
        <v>9.33</v>
      </c>
      <c r="G8" s="1">
        <v>8.7200000000000006</v>
      </c>
      <c r="H8" s="1">
        <v>4.45</v>
      </c>
      <c r="I8" s="1">
        <v>8.14</v>
      </c>
      <c r="J8" s="1">
        <v>7.94</v>
      </c>
      <c r="K8" s="1">
        <v>6.76</v>
      </c>
      <c r="L8" s="1">
        <v>7.53</v>
      </c>
      <c r="M8" s="1">
        <v>6.61</v>
      </c>
      <c r="N8" s="1">
        <v>5.74</v>
      </c>
      <c r="O8" s="1">
        <v>5.5</v>
      </c>
    </row>
    <row r="9" spans="1:15" x14ac:dyDescent="0.25">
      <c r="A9" s="1" t="s">
        <v>84</v>
      </c>
      <c r="B9" s="1" t="s">
        <v>125</v>
      </c>
      <c r="C9" s="1" t="s">
        <v>15</v>
      </c>
      <c r="D9" s="1" t="s">
        <v>16</v>
      </c>
      <c r="E9" s="1" t="s">
        <v>2</v>
      </c>
      <c r="F9" s="1">
        <v>9.33</v>
      </c>
      <c r="G9" s="1">
        <v>8.7200000000000006</v>
      </c>
      <c r="H9" s="1">
        <v>4.45</v>
      </c>
      <c r="I9" s="1">
        <v>4.45</v>
      </c>
      <c r="J9" s="1">
        <v>5.73</v>
      </c>
      <c r="K9" s="1">
        <v>5.9</v>
      </c>
      <c r="L9" s="1">
        <v>5.52</v>
      </c>
      <c r="M9" s="1">
        <v>5.16</v>
      </c>
      <c r="N9" s="1">
        <v>6.62</v>
      </c>
      <c r="O9" s="1">
        <v>6.11</v>
      </c>
    </row>
    <row r="10" spans="1:15" x14ac:dyDescent="0.25">
      <c r="A10" s="1" t="s">
        <v>84</v>
      </c>
      <c r="B10" s="1" t="s">
        <v>125</v>
      </c>
      <c r="C10" s="1" t="s">
        <v>126</v>
      </c>
      <c r="D10" s="1" t="s">
        <v>16</v>
      </c>
      <c r="E10" s="1" t="s">
        <v>2</v>
      </c>
      <c r="F10" s="1">
        <v>9.33</v>
      </c>
      <c r="G10" s="1">
        <v>8.7200000000000006</v>
      </c>
      <c r="H10" s="1">
        <v>4.45</v>
      </c>
      <c r="I10" s="1">
        <v>4.45</v>
      </c>
      <c r="J10" s="1">
        <v>5.73</v>
      </c>
      <c r="K10" s="1">
        <v>5.76</v>
      </c>
      <c r="L10" s="1">
        <v>7.28</v>
      </c>
      <c r="M10" s="1">
        <v>6.54</v>
      </c>
      <c r="N10" s="1">
        <v>4.97</v>
      </c>
      <c r="O10" s="1">
        <v>4.49</v>
      </c>
    </row>
    <row r="11" spans="1:15" x14ac:dyDescent="0.25">
      <c r="A11" s="1" t="s">
        <v>84</v>
      </c>
      <c r="B11" s="1" t="s">
        <v>125</v>
      </c>
      <c r="C11" s="1" t="s">
        <v>127</v>
      </c>
      <c r="D11" s="1" t="s">
        <v>16</v>
      </c>
      <c r="E11" s="1" t="s">
        <v>2</v>
      </c>
      <c r="F11" s="1">
        <v>9.33</v>
      </c>
      <c r="G11" s="1">
        <v>8.7200000000000006</v>
      </c>
      <c r="H11" s="1">
        <v>4.45</v>
      </c>
      <c r="I11" s="1">
        <v>4.45</v>
      </c>
      <c r="J11" s="1">
        <v>5.73</v>
      </c>
      <c r="K11" s="1">
        <v>5.5</v>
      </c>
      <c r="L11" s="1">
        <v>7.53</v>
      </c>
      <c r="M11" s="1">
        <v>6.43</v>
      </c>
      <c r="N11" s="1">
        <v>5.18</v>
      </c>
      <c r="O11" s="1">
        <v>4.8899999999999997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8965-3C4A-4690-BF81-2BA2B2C105E9}">
  <dimension ref="A1:Q33"/>
  <sheetViews>
    <sheetView topLeftCell="E20" workbookViewId="0">
      <selection activeCell="A32" sqref="A32:O33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128</v>
      </c>
      <c r="B2" s="1" t="s">
        <v>129</v>
      </c>
      <c r="C2" s="1" t="s">
        <v>131</v>
      </c>
      <c r="D2" s="1" t="s">
        <v>136</v>
      </c>
      <c r="E2" s="1" t="s">
        <v>2</v>
      </c>
      <c r="F2" s="1">
        <v>1641</v>
      </c>
      <c r="G2" s="1">
        <v>1603</v>
      </c>
      <c r="H2" s="1">
        <v>1603</v>
      </c>
      <c r="I2" s="1">
        <v>1688</v>
      </c>
      <c r="J2" s="1">
        <v>1847</v>
      </c>
      <c r="K2" s="1">
        <v>1847</v>
      </c>
      <c r="L2" s="1">
        <v>1938</v>
      </c>
      <c r="M2" s="1">
        <v>1986</v>
      </c>
      <c r="N2" s="1">
        <v>1961</v>
      </c>
      <c r="O2" s="1">
        <v>1986</v>
      </c>
    </row>
    <row r="3" spans="1:15" x14ac:dyDescent="0.25">
      <c r="A3" s="1" t="s">
        <v>128</v>
      </c>
      <c r="B3" s="1" t="s">
        <v>129</v>
      </c>
      <c r="C3" s="1" t="s">
        <v>132</v>
      </c>
      <c r="D3" s="1" t="s">
        <v>136</v>
      </c>
      <c r="E3" s="1" t="s">
        <v>2</v>
      </c>
      <c r="F3" s="1">
        <v>1641</v>
      </c>
      <c r="G3" s="1">
        <v>1603</v>
      </c>
      <c r="H3" s="1">
        <v>1603</v>
      </c>
      <c r="I3" s="1">
        <v>1688</v>
      </c>
      <c r="J3" s="1">
        <v>1847</v>
      </c>
      <c r="K3" s="1">
        <v>1847</v>
      </c>
      <c r="L3" s="1">
        <v>1927</v>
      </c>
      <c r="M3" s="1">
        <v>1972</v>
      </c>
      <c r="N3" s="1">
        <v>1943</v>
      </c>
      <c r="O3" s="1">
        <v>1973</v>
      </c>
    </row>
    <row r="4" spans="1:15" x14ac:dyDescent="0.25">
      <c r="A4" s="1" t="s">
        <v>128</v>
      </c>
      <c r="B4" s="1" t="s">
        <v>129</v>
      </c>
      <c r="C4" s="1" t="s">
        <v>133</v>
      </c>
      <c r="D4" s="1" t="s">
        <v>136</v>
      </c>
      <c r="E4" s="1" t="s">
        <v>2</v>
      </c>
      <c r="F4" s="1">
        <v>1641</v>
      </c>
      <c r="G4" s="1">
        <v>1603</v>
      </c>
      <c r="H4" s="1">
        <v>1603</v>
      </c>
      <c r="I4" s="1">
        <v>1688</v>
      </c>
      <c r="J4" s="1">
        <v>1847</v>
      </c>
      <c r="K4" s="1">
        <v>1847</v>
      </c>
      <c r="L4" s="1">
        <v>1938</v>
      </c>
      <c r="M4" s="1">
        <v>1986</v>
      </c>
      <c r="N4" s="1">
        <v>1961</v>
      </c>
      <c r="O4" s="1">
        <v>1986</v>
      </c>
    </row>
    <row r="5" spans="1:15" x14ac:dyDescent="0.25">
      <c r="A5" s="1" t="s">
        <v>67</v>
      </c>
      <c r="B5" s="1" t="s">
        <v>129</v>
      </c>
      <c r="C5" s="1" t="s">
        <v>134</v>
      </c>
      <c r="D5" s="1" t="s">
        <v>136</v>
      </c>
      <c r="E5" s="1" t="s">
        <v>2</v>
      </c>
      <c r="F5" s="1">
        <v>1900</v>
      </c>
      <c r="G5" s="1">
        <v>1850</v>
      </c>
      <c r="H5" s="1">
        <v>1850</v>
      </c>
      <c r="I5" s="1">
        <v>1810</v>
      </c>
      <c r="J5" s="1">
        <v>1720</v>
      </c>
      <c r="K5" s="1">
        <v>1720</v>
      </c>
      <c r="L5" s="1">
        <v>1685</v>
      </c>
      <c r="M5" s="1">
        <v>1662</v>
      </c>
      <c r="N5" s="1">
        <v>1716</v>
      </c>
      <c r="O5" s="1">
        <v>1802</v>
      </c>
    </row>
    <row r="6" spans="1:15" x14ac:dyDescent="0.25">
      <c r="A6" s="1" t="s">
        <v>67</v>
      </c>
      <c r="B6" s="1" t="s">
        <v>129</v>
      </c>
      <c r="C6" s="1" t="s">
        <v>134</v>
      </c>
      <c r="D6" s="1" t="s">
        <v>136</v>
      </c>
      <c r="E6" s="1" t="s">
        <v>120</v>
      </c>
      <c r="F6" s="1">
        <v>948</v>
      </c>
      <c r="G6" s="1">
        <v>936</v>
      </c>
      <c r="H6" s="1">
        <v>936</v>
      </c>
      <c r="I6" s="1">
        <v>919</v>
      </c>
      <c r="J6" s="1">
        <v>891</v>
      </c>
      <c r="K6" s="1">
        <v>891</v>
      </c>
      <c r="L6" s="1">
        <v>877</v>
      </c>
      <c r="M6" s="1">
        <v>860</v>
      </c>
      <c r="N6" s="1">
        <v>860</v>
      </c>
      <c r="O6" s="1">
        <v>713</v>
      </c>
    </row>
    <row r="7" spans="1:15" x14ac:dyDescent="0.25">
      <c r="A7" s="1" t="s">
        <v>10</v>
      </c>
      <c r="B7" s="1" t="s">
        <v>129</v>
      </c>
      <c r="C7" s="1" t="s">
        <v>134</v>
      </c>
      <c r="D7" s="1" t="s">
        <v>136</v>
      </c>
      <c r="E7" s="1" t="s">
        <v>120</v>
      </c>
      <c r="H7" s="1">
        <v>936</v>
      </c>
      <c r="I7" s="1">
        <v>919</v>
      </c>
      <c r="J7" s="1">
        <v>891</v>
      </c>
      <c r="K7" s="1">
        <v>891</v>
      </c>
      <c r="L7" s="1">
        <v>877</v>
      </c>
      <c r="M7" s="1">
        <v>860</v>
      </c>
      <c r="N7" s="1">
        <v>860</v>
      </c>
      <c r="O7" s="1">
        <v>825</v>
      </c>
    </row>
    <row r="8" spans="1:15" x14ac:dyDescent="0.25">
      <c r="A8" s="1" t="s">
        <v>107</v>
      </c>
      <c r="B8" s="1" t="s">
        <v>129</v>
      </c>
      <c r="C8" s="1" t="s">
        <v>135</v>
      </c>
      <c r="D8" s="1" t="s">
        <v>136</v>
      </c>
      <c r="E8" s="1" t="s">
        <v>2</v>
      </c>
      <c r="N8" s="1">
        <v>1112</v>
      </c>
      <c r="O8" s="1">
        <v>1112</v>
      </c>
    </row>
    <row r="9" spans="1:15" x14ac:dyDescent="0.25">
      <c r="A9" s="1" t="s">
        <v>23</v>
      </c>
      <c r="B9" s="1" t="s">
        <v>129</v>
      </c>
      <c r="C9" s="1" t="s">
        <v>132</v>
      </c>
      <c r="D9" s="1" t="s">
        <v>136</v>
      </c>
      <c r="E9" s="1" t="s">
        <v>120</v>
      </c>
      <c r="F9" s="1">
        <v>542</v>
      </c>
      <c r="G9" s="1">
        <v>500</v>
      </c>
      <c r="H9" s="1">
        <v>500</v>
      </c>
      <c r="I9" s="1">
        <v>465</v>
      </c>
      <c r="J9" s="1">
        <v>458</v>
      </c>
      <c r="K9" s="1">
        <v>458</v>
      </c>
      <c r="L9" s="1">
        <v>467</v>
      </c>
      <c r="M9" s="1">
        <v>481</v>
      </c>
      <c r="N9" s="1">
        <v>485</v>
      </c>
      <c r="O9" s="1">
        <v>481</v>
      </c>
    </row>
    <row r="10" spans="1:15" x14ac:dyDescent="0.25">
      <c r="A10" s="1" t="s">
        <v>23</v>
      </c>
      <c r="B10" s="1" t="s">
        <v>129</v>
      </c>
      <c r="C10" s="1" t="s">
        <v>134</v>
      </c>
      <c r="D10" s="1" t="s">
        <v>136</v>
      </c>
      <c r="E10" s="1" t="s">
        <v>120</v>
      </c>
      <c r="F10" s="1">
        <v>948</v>
      </c>
      <c r="G10" s="1">
        <v>936</v>
      </c>
      <c r="H10" s="1">
        <v>936</v>
      </c>
      <c r="I10" s="1">
        <v>919</v>
      </c>
      <c r="J10" s="1">
        <v>891</v>
      </c>
      <c r="K10" s="1">
        <v>891</v>
      </c>
      <c r="L10" s="1">
        <v>877</v>
      </c>
      <c r="M10" s="1">
        <v>860</v>
      </c>
      <c r="N10" s="1">
        <v>860</v>
      </c>
      <c r="O10" s="1">
        <v>825</v>
      </c>
    </row>
    <row r="11" spans="1:15" x14ac:dyDescent="0.25">
      <c r="A11" s="1" t="s">
        <v>24</v>
      </c>
      <c r="B11" s="1" t="s">
        <v>129</v>
      </c>
      <c r="C11" s="1" t="s">
        <v>133</v>
      </c>
      <c r="D11" s="1" t="s">
        <v>136</v>
      </c>
      <c r="E11" s="1" t="s">
        <v>2</v>
      </c>
      <c r="F11" s="1">
        <v>1641</v>
      </c>
      <c r="G11" s="1">
        <v>1603</v>
      </c>
      <c r="H11" s="1">
        <v>1603</v>
      </c>
      <c r="I11" s="1">
        <v>1688</v>
      </c>
      <c r="J11" s="1">
        <v>1847</v>
      </c>
      <c r="K11" s="1">
        <v>1847</v>
      </c>
      <c r="L11" s="1">
        <v>1938</v>
      </c>
      <c r="M11" s="1">
        <v>1986</v>
      </c>
      <c r="N11" s="1">
        <v>1961</v>
      </c>
      <c r="O11" s="1">
        <v>1986</v>
      </c>
    </row>
    <row r="12" spans="1:15" x14ac:dyDescent="0.25">
      <c r="A12" s="1" t="s">
        <v>11</v>
      </c>
      <c r="B12" s="1" t="s">
        <v>129</v>
      </c>
      <c r="C12" s="1" t="s">
        <v>131</v>
      </c>
      <c r="D12" s="1" t="s">
        <v>136</v>
      </c>
      <c r="E12" s="1" t="s">
        <v>120</v>
      </c>
      <c r="F12" s="1">
        <v>438</v>
      </c>
      <c r="G12" s="1">
        <v>434</v>
      </c>
      <c r="H12" s="1">
        <v>434</v>
      </c>
      <c r="J12" s="1">
        <v>429</v>
      </c>
      <c r="K12" s="1">
        <v>365</v>
      </c>
      <c r="L12" s="1">
        <v>375</v>
      </c>
      <c r="M12" s="1">
        <v>867</v>
      </c>
      <c r="N12" s="1">
        <v>1052</v>
      </c>
      <c r="O12" s="1">
        <v>1285</v>
      </c>
    </row>
    <row r="13" spans="1:15" x14ac:dyDescent="0.25">
      <c r="A13" s="1" t="s">
        <v>116</v>
      </c>
      <c r="B13" s="1" t="s">
        <v>129</v>
      </c>
      <c r="C13" s="1" t="s">
        <v>134</v>
      </c>
      <c r="D13" s="1" t="s">
        <v>136</v>
      </c>
      <c r="E13" s="1" t="s">
        <v>120</v>
      </c>
      <c r="F13" s="1">
        <v>948</v>
      </c>
      <c r="G13" s="1">
        <v>936</v>
      </c>
      <c r="H13" s="1">
        <v>936</v>
      </c>
      <c r="I13" s="1">
        <v>919</v>
      </c>
      <c r="J13" s="1">
        <v>891</v>
      </c>
      <c r="K13" s="1">
        <v>891</v>
      </c>
      <c r="L13" s="1">
        <v>877</v>
      </c>
      <c r="M13" s="1">
        <v>927</v>
      </c>
      <c r="N13" s="1">
        <v>927</v>
      </c>
      <c r="O13" s="1">
        <v>958</v>
      </c>
    </row>
    <row r="14" spans="1:15" x14ac:dyDescent="0.25">
      <c r="A14" s="1" t="s">
        <v>117</v>
      </c>
      <c r="B14" s="1" t="s">
        <v>129</v>
      </c>
      <c r="C14" s="1" t="s">
        <v>134</v>
      </c>
      <c r="D14" s="1" t="s">
        <v>136</v>
      </c>
      <c r="E14" s="1" t="s">
        <v>2</v>
      </c>
      <c r="M14" s="1">
        <v>1662</v>
      </c>
      <c r="N14" s="1">
        <v>1716</v>
      </c>
      <c r="O14" s="1">
        <v>1802</v>
      </c>
    </row>
    <row r="15" spans="1:15" x14ac:dyDescent="0.25">
      <c r="A15" s="1" t="s">
        <v>117</v>
      </c>
      <c r="B15" s="1" t="s">
        <v>129</v>
      </c>
      <c r="C15" s="1" t="s">
        <v>134</v>
      </c>
      <c r="D15" s="1" t="s">
        <v>136</v>
      </c>
      <c r="E15" s="1" t="s">
        <v>120</v>
      </c>
      <c r="M15" s="1">
        <v>860</v>
      </c>
      <c r="N15" s="1">
        <v>860</v>
      </c>
      <c r="O15" s="1">
        <v>825</v>
      </c>
    </row>
    <row r="16" spans="1:15" x14ac:dyDescent="0.25">
      <c r="A16" s="1" t="s">
        <v>117</v>
      </c>
      <c r="B16" s="1" t="s">
        <v>129</v>
      </c>
      <c r="C16" s="1" t="s">
        <v>142</v>
      </c>
      <c r="D16" s="1" t="s">
        <v>136</v>
      </c>
      <c r="E16" s="1" t="s">
        <v>2</v>
      </c>
      <c r="K16" s="1">
        <v>2362</v>
      </c>
      <c r="L16" s="1">
        <v>2362</v>
      </c>
      <c r="M16" s="1">
        <v>2214</v>
      </c>
      <c r="N16" s="1">
        <v>1922</v>
      </c>
      <c r="O16" s="1">
        <v>1887</v>
      </c>
    </row>
    <row r="17" spans="1:15" x14ac:dyDescent="0.25">
      <c r="A17" s="2" t="s">
        <v>3</v>
      </c>
      <c r="B17" s="2" t="s">
        <v>4</v>
      </c>
      <c r="C17" s="2" t="s">
        <v>5</v>
      </c>
      <c r="D17" s="2" t="s">
        <v>6</v>
      </c>
      <c r="E17" s="2" t="s">
        <v>7</v>
      </c>
      <c r="F17" s="2">
        <v>2018</v>
      </c>
      <c r="G17" s="2">
        <v>2019</v>
      </c>
      <c r="H17" s="2">
        <v>2020</v>
      </c>
      <c r="I17" s="2">
        <v>2021</v>
      </c>
      <c r="J17" s="2">
        <v>2022</v>
      </c>
      <c r="K17" s="2">
        <v>2023</v>
      </c>
      <c r="L17" s="2">
        <v>2024</v>
      </c>
      <c r="M17" s="2">
        <v>2025</v>
      </c>
      <c r="N17" s="2">
        <v>2026</v>
      </c>
      <c r="O17" s="2">
        <v>2027</v>
      </c>
    </row>
    <row r="18" spans="1:15" x14ac:dyDescent="0.25">
      <c r="A18" s="1" t="s">
        <v>0</v>
      </c>
      <c r="B18" s="1" t="s">
        <v>129</v>
      </c>
      <c r="C18" s="1" t="s">
        <v>130</v>
      </c>
      <c r="D18" s="1" t="s">
        <v>16</v>
      </c>
      <c r="E18" s="1" t="s">
        <v>2</v>
      </c>
      <c r="F18" s="1">
        <v>4233</v>
      </c>
      <c r="G18" s="1">
        <v>3933</v>
      </c>
      <c r="H18" s="1">
        <v>3933</v>
      </c>
      <c r="I18" s="1">
        <v>3767</v>
      </c>
      <c r="J18" s="1">
        <v>3767</v>
      </c>
      <c r="K18" s="1">
        <v>3767</v>
      </c>
      <c r="L18" s="1">
        <v>3627</v>
      </c>
      <c r="M18" s="1">
        <v>3473</v>
      </c>
      <c r="N18" s="1">
        <v>2988</v>
      </c>
      <c r="O18" s="1">
        <v>2510</v>
      </c>
    </row>
    <row r="19" spans="1:15" x14ac:dyDescent="0.25">
      <c r="A19" s="1" t="s">
        <v>128</v>
      </c>
      <c r="B19" s="1" t="s">
        <v>129</v>
      </c>
      <c r="C19" s="1" t="s">
        <v>130</v>
      </c>
      <c r="D19" s="1" t="s">
        <v>16</v>
      </c>
      <c r="E19" s="1" t="s">
        <v>2</v>
      </c>
      <c r="F19" s="1">
        <v>4233</v>
      </c>
      <c r="G19" s="1">
        <v>3933</v>
      </c>
      <c r="H19" s="1">
        <v>3933</v>
      </c>
      <c r="I19" s="1">
        <v>3767</v>
      </c>
      <c r="J19" s="1">
        <v>3600</v>
      </c>
      <c r="K19" s="1">
        <v>3335</v>
      </c>
      <c r="L19" s="1">
        <v>3262</v>
      </c>
      <c r="M19" s="1">
        <v>2778</v>
      </c>
      <c r="N19" s="1">
        <v>1713</v>
      </c>
      <c r="O19" s="1">
        <v>1540</v>
      </c>
    </row>
    <row r="20" spans="1:15" x14ac:dyDescent="0.25">
      <c r="A20" s="1" t="s">
        <v>9</v>
      </c>
      <c r="B20" s="1" t="s">
        <v>129</v>
      </c>
      <c r="C20" s="1" t="s">
        <v>130</v>
      </c>
      <c r="D20" s="1" t="s">
        <v>16</v>
      </c>
      <c r="E20" s="1" t="s">
        <v>2</v>
      </c>
      <c r="F20" s="1">
        <v>4233</v>
      </c>
      <c r="G20" s="1">
        <v>3933</v>
      </c>
      <c r="J20" s="1">
        <v>3667</v>
      </c>
      <c r="K20" s="1">
        <v>3584</v>
      </c>
      <c r="L20" s="1">
        <v>3444</v>
      </c>
      <c r="M20" s="1">
        <v>3444</v>
      </c>
      <c r="N20" s="1">
        <v>3644</v>
      </c>
      <c r="O20" s="1">
        <v>3807</v>
      </c>
    </row>
    <row r="21" spans="1:15" x14ac:dyDescent="0.25">
      <c r="A21" s="1" t="s">
        <v>24</v>
      </c>
      <c r="B21" s="1" t="s">
        <v>129</v>
      </c>
      <c r="C21" s="1" t="s">
        <v>137</v>
      </c>
      <c r="D21" s="1" t="s">
        <v>16</v>
      </c>
      <c r="E21" s="1" t="s">
        <v>2</v>
      </c>
      <c r="F21" s="1">
        <v>4233</v>
      </c>
      <c r="G21" s="1">
        <v>3933</v>
      </c>
      <c r="H21" s="1">
        <v>3933</v>
      </c>
      <c r="I21" s="1">
        <v>3767</v>
      </c>
      <c r="J21" s="1">
        <v>3753</v>
      </c>
      <c r="K21" s="1">
        <v>3753</v>
      </c>
      <c r="L21" s="1">
        <v>3285</v>
      </c>
      <c r="M21" s="1">
        <v>2703</v>
      </c>
      <c r="N21" s="1">
        <v>2042</v>
      </c>
      <c r="O21" s="1">
        <v>1544</v>
      </c>
    </row>
    <row r="22" spans="1:15" x14ac:dyDescent="0.25">
      <c r="A22" s="1" t="s">
        <v>24</v>
      </c>
      <c r="B22" s="1" t="s">
        <v>129</v>
      </c>
      <c r="C22" s="1" t="s">
        <v>130</v>
      </c>
      <c r="D22" s="1" t="s">
        <v>16</v>
      </c>
      <c r="E22" s="1" t="s">
        <v>2</v>
      </c>
      <c r="F22" s="1">
        <v>4233</v>
      </c>
      <c r="G22" s="1">
        <v>3933</v>
      </c>
      <c r="H22" s="1">
        <v>3933</v>
      </c>
      <c r="I22" s="1">
        <v>3767</v>
      </c>
      <c r="J22" s="1">
        <v>3600</v>
      </c>
      <c r="K22" s="1">
        <v>3335</v>
      </c>
      <c r="L22" s="1">
        <v>3262</v>
      </c>
      <c r="M22" s="1">
        <v>3262</v>
      </c>
      <c r="N22" s="1">
        <v>2778</v>
      </c>
      <c r="O22" s="1">
        <v>2561</v>
      </c>
    </row>
    <row r="23" spans="1:15" x14ac:dyDescent="0.25">
      <c r="A23" s="1" t="s">
        <v>24</v>
      </c>
      <c r="B23" s="1" t="s">
        <v>129</v>
      </c>
      <c r="C23" s="1" t="s">
        <v>140</v>
      </c>
      <c r="D23" s="1" t="s">
        <v>16</v>
      </c>
      <c r="E23" s="1" t="s">
        <v>2</v>
      </c>
      <c r="F23" s="1">
        <v>4233</v>
      </c>
      <c r="G23" s="1">
        <v>3933</v>
      </c>
      <c r="H23" s="1">
        <v>3933</v>
      </c>
      <c r="I23" s="1">
        <v>3767</v>
      </c>
      <c r="J23" s="1">
        <v>3753</v>
      </c>
      <c r="K23" s="1">
        <v>3753</v>
      </c>
      <c r="L23" s="1">
        <v>3641</v>
      </c>
      <c r="M23" s="1">
        <v>3226</v>
      </c>
      <c r="N23" s="1">
        <v>2565</v>
      </c>
      <c r="O23" s="1">
        <v>1937</v>
      </c>
    </row>
    <row r="24" spans="1:15" x14ac:dyDescent="0.25">
      <c r="A24" s="1" t="s">
        <v>24</v>
      </c>
      <c r="B24" s="1" t="s">
        <v>129</v>
      </c>
      <c r="C24" s="1" t="s">
        <v>138</v>
      </c>
      <c r="D24" s="1" t="s">
        <v>16</v>
      </c>
      <c r="E24" s="1" t="s">
        <v>2</v>
      </c>
      <c r="F24" s="1">
        <v>4233</v>
      </c>
      <c r="G24" s="1">
        <v>3933</v>
      </c>
      <c r="H24" s="1">
        <v>3933</v>
      </c>
      <c r="I24" s="1">
        <v>3767</v>
      </c>
      <c r="K24" s="1">
        <v>3753</v>
      </c>
      <c r="L24" s="1">
        <v>3641</v>
      </c>
      <c r="M24" s="1">
        <v>3226</v>
      </c>
      <c r="N24" s="1">
        <v>2565</v>
      </c>
      <c r="O24" s="1">
        <v>1937</v>
      </c>
    </row>
    <row r="25" spans="1:15" x14ac:dyDescent="0.25">
      <c r="A25" s="1" t="s">
        <v>25</v>
      </c>
      <c r="B25" s="1" t="s">
        <v>129</v>
      </c>
      <c r="C25" s="1" t="s">
        <v>137</v>
      </c>
      <c r="D25" s="1" t="s">
        <v>16</v>
      </c>
      <c r="E25" s="1" t="s">
        <v>2</v>
      </c>
      <c r="F25" s="1">
        <v>4233</v>
      </c>
      <c r="G25" s="1">
        <v>3933</v>
      </c>
      <c r="H25" s="1">
        <v>3933</v>
      </c>
      <c r="I25" s="1">
        <v>3767</v>
      </c>
      <c r="J25" s="1">
        <v>3753</v>
      </c>
      <c r="K25" s="1">
        <v>3753</v>
      </c>
      <c r="L25" s="1">
        <v>3285</v>
      </c>
      <c r="M25" s="1">
        <v>2703</v>
      </c>
      <c r="N25" s="1">
        <v>2047</v>
      </c>
      <c r="O25" s="1">
        <v>1965</v>
      </c>
    </row>
    <row r="26" spans="1:15" x14ac:dyDescent="0.25">
      <c r="A26" s="1" t="s">
        <v>25</v>
      </c>
      <c r="B26" s="1" t="s">
        <v>129</v>
      </c>
      <c r="C26" s="1" t="s">
        <v>130</v>
      </c>
      <c r="D26" s="1" t="s">
        <v>16</v>
      </c>
      <c r="E26" s="1" t="s">
        <v>2</v>
      </c>
      <c r="F26" s="1">
        <v>4233</v>
      </c>
      <c r="G26" s="1">
        <v>3933</v>
      </c>
      <c r="H26" s="1">
        <v>3933</v>
      </c>
      <c r="I26" s="1">
        <v>3767</v>
      </c>
      <c r="J26" s="1">
        <v>3600</v>
      </c>
      <c r="K26" s="1">
        <v>3517</v>
      </c>
      <c r="L26" s="1">
        <v>3444</v>
      </c>
      <c r="M26" s="1">
        <v>3444</v>
      </c>
      <c r="N26" s="1">
        <v>3930</v>
      </c>
      <c r="O26" s="1">
        <v>4021</v>
      </c>
    </row>
    <row r="27" spans="1:15" x14ac:dyDescent="0.25">
      <c r="A27" s="1" t="s">
        <v>25</v>
      </c>
      <c r="B27" s="1" t="s">
        <v>129</v>
      </c>
      <c r="C27" s="1" t="s">
        <v>138</v>
      </c>
      <c r="D27" s="1" t="s">
        <v>16</v>
      </c>
      <c r="E27" s="1" t="s">
        <v>2</v>
      </c>
      <c r="F27" s="1">
        <v>4233</v>
      </c>
      <c r="G27" s="1">
        <v>3933</v>
      </c>
      <c r="H27" s="1">
        <v>3933</v>
      </c>
      <c r="I27" s="1">
        <v>3767</v>
      </c>
      <c r="K27" s="1">
        <v>3753</v>
      </c>
      <c r="L27" s="1">
        <v>3641</v>
      </c>
      <c r="M27" s="1">
        <v>3226</v>
      </c>
      <c r="N27" s="1">
        <v>2571</v>
      </c>
      <c r="O27" s="1">
        <v>2357</v>
      </c>
    </row>
    <row r="28" spans="1:15" x14ac:dyDescent="0.25">
      <c r="A28" s="1" t="s">
        <v>84</v>
      </c>
      <c r="B28" s="1" t="s">
        <v>129</v>
      </c>
      <c r="C28" s="1" t="s">
        <v>130</v>
      </c>
      <c r="D28" s="1" t="s">
        <v>16</v>
      </c>
      <c r="E28" s="1" t="s">
        <v>2</v>
      </c>
      <c r="F28" s="1">
        <v>4233</v>
      </c>
      <c r="G28" s="1">
        <v>3933</v>
      </c>
      <c r="H28" s="1">
        <v>3933</v>
      </c>
      <c r="I28" s="1">
        <v>3767</v>
      </c>
      <c r="J28" s="1">
        <v>3767</v>
      </c>
      <c r="K28" s="1">
        <v>3767</v>
      </c>
      <c r="L28" s="1">
        <v>3627</v>
      </c>
      <c r="M28" s="1">
        <v>3473</v>
      </c>
      <c r="N28" s="1">
        <v>2988</v>
      </c>
      <c r="O28" s="1">
        <v>2510</v>
      </c>
    </row>
    <row r="29" spans="1:15" x14ac:dyDescent="0.25">
      <c r="A29" s="1" t="s">
        <v>84</v>
      </c>
      <c r="B29" s="1" t="s">
        <v>129</v>
      </c>
      <c r="C29" s="1" t="s">
        <v>139</v>
      </c>
      <c r="D29" s="1" t="s">
        <v>16</v>
      </c>
      <c r="E29" s="1" t="s">
        <v>2</v>
      </c>
      <c r="H29" s="1">
        <v>1607</v>
      </c>
      <c r="I29" s="1">
        <v>1573</v>
      </c>
      <c r="L29" s="1">
        <v>1517</v>
      </c>
      <c r="M29" s="1">
        <v>1517</v>
      </c>
      <c r="N29" s="1">
        <v>1517</v>
      </c>
      <c r="O29" s="1">
        <v>1330</v>
      </c>
    </row>
    <row r="30" spans="1:15" x14ac:dyDescent="0.25">
      <c r="A30" s="1" t="s">
        <v>84</v>
      </c>
      <c r="B30" s="1" t="s">
        <v>129</v>
      </c>
      <c r="C30" s="1" t="s">
        <v>140</v>
      </c>
      <c r="D30" s="1" t="s">
        <v>16</v>
      </c>
      <c r="E30" s="1" t="s">
        <v>2</v>
      </c>
      <c r="F30" s="1">
        <v>4233</v>
      </c>
      <c r="G30" s="1">
        <v>3933</v>
      </c>
      <c r="H30" s="1">
        <v>3933</v>
      </c>
      <c r="I30" s="1">
        <v>3767</v>
      </c>
      <c r="K30" s="1">
        <v>3753</v>
      </c>
      <c r="L30" s="1">
        <v>3641</v>
      </c>
      <c r="M30" s="1">
        <v>3694</v>
      </c>
      <c r="N30" s="1">
        <v>3452</v>
      </c>
      <c r="O30" s="1">
        <v>4490</v>
      </c>
    </row>
    <row r="31" spans="1:15" x14ac:dyDescent="0.25">
      <c r="A31" s="1" t="s">
        <v>84</v>
      </c>
      <c r="B31" s="1" t="s">
        <v>129</v>
      </c>
      <c r="C31" s="1" t="s">
        <v>141</v>
      </c>
      <c r="D31" s="1" t="s">
        <v>16</v>
      </c>
      <c r="E31" s="1" t="s">
        <v>2</v>
      </c>
      <c r="M31" s="1">
        <v>3226</v>
      </c>
      <c r="N31" s="1">
        <v>2565</v>
      </c>
      <c r="O31" s="1">
        <v>2066</v>
      </c>
    </row>
    <row r="32" spans="1:15" x14ac:dyDescent="0.25">
      <c r="A32" s="2" t="s">
        <v>3</v>
      </c>
      <c r="B32" s="2" t="s">
        <v>4</v>
      </c>
      <c r="C32" s="2" t="s">
        <v>5</v>
      </c>
      <c r="D32" s="2" t="s">
        <v>6</v>
      </c>
      <c r="E32" s="2" t="s">
        <v>7</v>
      </c>
      <c r="F32" s="2">
        <v>2018</v>
      </c>
      <c r="G32" s="2">
        <v>2019</v>
      </c>
      <c r="H32" s="2">
        <v>2020</v>
      </c>
      <c r="I32" s="2">
        <v>2021</v>
      </c>
      <c r="J32" s="2">
        <v>2022</v>
      </c>
      <c r="K32" s="2">
        <v>2023</v>
      </c>
      <c r="L32" s="2">
        <v>2024</v>
      </c>
      <c r="M32" s="2">
        <v>2025</v>
      </c>
      <c r="N32" s="2">
        <v>2026</v>
      </c>
      <c r="O32" s="2">
        <v>2027</v>
      </c>
    </row>
    <row r="33" spans="1:15" x14ac:dyDescent="0.25">
      <c r="A33" s="1" t="s">
        <v>67</v>
      </c>
      <c r="B33" s="1" t="s">
        <v>129</v>
      </c>
      <c r="C33" s="1" t="s">
        <v>135</v>
      </c>
      <c r="D33" s="1" t="s">
        <v>119</v>
      </c>
      <c r="E33" s="1" t="s">
        <v>120</v>
      </c>
      <c r="F33" s="1">
        <v>556</v>
      </c>
      <c r="G33" s="1">
        <v>561</v>
      </c>
      <c r="H33" s="1">
        <v>561</v>
      </c>
      <c r="I33" s="1">
        <v>555</v>
      </c>
      <c r="J33" s="1">
        <v>558</v>
      </c>
      <c r="K33" s="1">
        <v>558</v>
      </c>
      <c r="L33" s="1">
        <v>558</v>
      </c>
      <c r="M33" s="1">
        <v>558</v>
      </c>
      <c r="N33" s="1">
        <v>558</v>
      </c>
      <c r="O33" s="1">
        <v>558</v>
      </c>
    </row>
  </sheetData>
  <sortState xmlns:xlrd2="http://schemas.microsoft.com/office/spreadsheetml/2017/richdata2" ref="A2:O33">
    <sortCondition ref="D5:D33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2CF4-72A9-4907-8696-925C141AD96E}">
  <dimension ref="A1:Q2"/>
  <sheetViews>
    <sheetView topLeftCell="E1" workbookViewId="0">
      <selection sqref="A1:O2"/>
    </sheetView>
  </sheetViews>
  <sheetFormatPr defaultRowHeight="15" x14ac:dyDescent="0.25"/>
  <cols>
    <col min="1" max="1" width="13.5703125" style="1" customWidth="1"/>
    <col min="2" max="2" width="18.5703125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84</v>
      </c>
      <c r="B2" s="1" t="s">
        <v>143</v>
      </c>
      <c r="D2" s="1" t="s">
        <v>16</v>
      </c>
      <c r="E2" s="1" t="s">
        <v>2</v>
      </c>
      <c r="F2" s="1">
        <v>129.68</v>
      </c>
      <c r="G2" s="1">
        <v>129.99</v>
      </c>
      <c r="H2" s="1">
        <v>129.99</v>
      </c>
      <c r="I2" s="1">
        <v>130.24</v>
      </c>
      <c r="J2" s="1">
        <v>130.24</v>
      </c>
      <c r="K2" s="1">
        <v>139.37</v>
      </c>
      <c r="L2" s="1">
        <v>139.37</v>
      </c>
      <c r="M2" s="1">
        <v>133.38999999999999</v>
      </c>
      <c r="N2" s="1">
        <v>104.58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D35E-6B22-4D90-A4C2-12279711204E}">
  <dimension ref="A1:Q2"/>
  <sheetViews>
    <sheetView workbookViewId="0">
      <selection sqref="A1:O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84</v>
      </c>
      <c r="B2" s="1" t="s">
        <v>144</v>
      </c>
      <c r="D2" s="1" t="s">
        <v>16</v>
      </c>
      <c r="E2" s="1" t="s">
        <v>2</v>
      </c>
      <c r="F2" s="1">
        <v>216.67</v>
      </c>
      <c r="G2" s="1">
        <v>220.67</v>
      </c>
      <c r="H2" s="1">
        <v>220.67</v>
      </c>
      <c r="I2" s="1">
        <v>233</v>
      </c>
      <c r="J2" s="1">
        <v>237.93</v>
      </c>
      <c r="K2" s="1">
        <v>233.87</v>
      </c>
      <c r="L2" s="1">
        <v>233.87</v>
      </c>
      <c r="M2" s="1">
        <v>217.57</v>
      </c>
      <c r="N2" s="1">
        <v>166.47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7B51-1FD0-435A-95CD-7FE181753DE4}">
  <dimension ref="A1:Q2"/>
  <sheetViews>
    <sheetView topLeftCell="C1" workbookViewId="0">
      <selection activeCell="P30" sqref="P30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84</v>
      </c>
      <c r="B2" s="1" t="s">
        <v>145</v>
      </c>
      <c r="D2" s="1" t="s">
        <v>16</v>
      </c>
      <c r="E2" s="1" t="s">
        <v>2</v>
      </c>
      <c r="F2" s="1">
        <v>620</v>
      </c>
      <c r="G2" s="1">
        <v>615.66999999999996</v>
      </c>
      <c r="H2" s="1">
        <v>615.66999999999996</v>
      </c>
      <c r="I2" s="1">
        <v>604</v>
      </c>
      <c r="J2" s="1">
        <v>589.66999999999996</v>
      </c>
      <c r="K2" s="1">
        <v>567.66999999999996</v>
      </c>
      <c r="L2" s="1">
        <v>531.29999999999995</v>
      </c>
      <c r="M2" s="1">
        <v>355.88</v>
      </c>
      <c r="N2" s="1">
        <v>187.12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CD38-EE3D-42AE-8F88-B463E1C91CE7}">
  <dimension ref="A1:Q79"/>
  <sheetViews>
    <sheetView workbookViewId="0">
      <selection activeCell="A67" sqref="A67:O79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0</v>
      </c>
      <c r="B2" s="1" t="s">
        <v>146</v>
      </c>
      <c r="D2" s="1" t="s">
        <v>147</v>
      </c>
      <c r="E2" s="1" t="s">
        <v>120</v>
      </c>
      <c r="H2" s="1">
        <v>288</v>
      </c>
      <c r="I2" s="1">
        <v>288</v>
      </c>
      <c r="J2" s="1">
        <v>288</v>
      </c>
      <c r="K2" s="1">
        <v>190</v>
      </c>
      <c r="L2" s="1">
        <v>191</v>
      </c>
      <c r="M2" s="1">
        <v>190</v>
      </c>
      <c r="N2" s="1">
        <v>135</v>
      </c>
    </row>
    <row r="3" spans="1:15" x14ac:dyDescent="0.25">
      <c r="A3" s="1" t="s">
        <v>95</v>
      </c>
      <c r="B3" s="1" t="s">
        <v>146</v>
      </c>
      <c r="D3" s="1" t="s">
        <v>147</v>
      </c>
      <c r="E3" s="1" t="s">
        <v>2</v>
      </c>
      <c r="H3" s="1">
        <v>828</v>
      </c>
      <c r="I3" s="1">
        <v>828</v>
      </c>
      <c r="J3" s="1">
        <v>828</v>
      </c>
      <c r="K3" s="1">
        <v>299</v>
      </c>
      <c r="L3" s="1">
        <v>299</v>
      </c>
      <c r="M3" s="1">
        <v>359</v>
      </c>
      <c r="N3" s="1">
        <v>365</v>
      </c>
    </row>
    <row r="4" spans="1:15" x14ac:dyDescent="0.25">
      <c r="A4" s="1" t="s">
        <v>95</v>
      </c>
      <c r="B4" s="1" t="s">
        <v>146</v>
      </c>
      <c r="D4" s="1" t="s">
        <v>147</v>
      </c>
      <c r="E4" s="1" t="s">
        <v>120</v>
      </c>
      <c r="H4" s="1">
        <v>275</v>
      </c>
      <c r="I4" s="1">
        <v>275</v>
      </c>
      <c r="J4" s="1">
        <v>329</v>
      </c>
      <c r="K4" s="1">
        <v>329</v>
      </c>
      <c r="L4" s="1">
        <v>329</v>
      </c>
      <c r="M4" s="1">
        <v>329</v>
      </c>
      <c r="N4" s="1">
        <v>109</v>
      </c>
    </row>
    <row r="5" spans="1:15" x14ac:dyDescent="0.25">
      <c r="A5" s="1" t="s">
        <v>96</v>
      </c>
      <c r="B5" s="1" t="s">
        <v>146</v>
      </c>
      <c r="D5" s="1" t="s">
        <v>147</v>
      </c>
      <c r="E5" s="1" t="s">
        <v>120</v>
      </c>
      <c r="H5" s="1">
        <v>254</v>
      </c>
      <c r="I5" s="1">
        <v>254</v>
      </c>
      <c r="J5" s="1">
        <v>254</v>
      </c>
      <c r="K5" s="1">
        <v>159</v>
      </c>
      <c r="L5" s="1">
        <v>159</v>
      </c>
      <c r="M5" s="1">
        <v>159</v>
      </c>
      <c r="N5" s="1">
        <v>113</v>
      </c>
    </row>
    <row r="6" spans="1:15" x14ac:dyDescent="0.25">
      <c r="A6" s="1" t="s">
        <v>101</v>
      </c>
      <c r="B6" s="1" t="s">
        <v>146</v>
      </c>
      <c r="D6" s="1" t="s">
        <v>147</v>
      </c>
      <c r="E6" s="1" t="s">
        <v>120</v>
      </c>
      <c r="H6" s="1">
        <v>275</v>
      </c>
      <c r="I6" s="1">
        <v>275</v>
      </c>
      <c r="J6" s="1">
        <v>306</v>
      </c>
      <c r="K6" s="1">
        <v>306</v>
      </c>
      <c r="L6" s="1">
        <v>306</v>
      </c>
      <c r="M6" s="1">
        <v>306</v>
      </c>
      <c r="N6" s="1">
        <v>115</v>
      </c>
    </row>
    <row r="7" spans="1:15" x14ac:dyDescent="0.25">
      <c r="A7" s="1" t="s">
        <v>102</v>
      </c>
      <c r="B7" s="1" t="s">
        <v>146</v>
      </c>
      <c r="D7" s="1" t="s">
        <v>147</v>
      </c>
      <c r="E7" s="1" t="s">
        <v>2</v>
      </c>
      <c r="H7" s="1">
        <v>671</v>
      </c>
      <c r="I7" s="1">
        <v>671</v>
      </c>
      <c r="J7" s="1">
        <v>671</v>
      </c>
      <c r="K7" s="1">
        <v>299</v>
      </c>
      <c r="L7" s="1">
        <v>299</v>
      </c>
      <c r="M7" s="1">
        <v>359</v>
      </c>
      <c r="N7" s="1">
        <v>362</v>
      </c>
    </row>
    <row r="8" spans="1:15" x14ac:dyDescent="0.25">
      <c r="A8" s="1" t="s">
        <v>102</v>
      </c>
      <c r="B8" s="1" t="s">
        <v>146</v>
      </c>
      <c r="D8" s="1" t="s">
        <v>147</v>
      </c>
      <c r="E8" s="1" t="s">
        <v>120</v>
      </c>
      <c r="H8" s="1">
        <v>275</v>
      </c>
      <c r="I8" s="1">
        <v>275</v>
      </c>
      <c r="J8" s="1">
        <v>266</v>
      </c>
      <c r="K8" s="1">
        <v>266</v>
      </c>
      <c r="L8" s="1">
        <v>266</v>
      </c>
      <c r="M8" s="1">
        <v>266</v>
      </c>
      <c r="N8" s="1">
        <v>115</v>
      </c>
    </row>
    <row r="9" spans="1:15" x14ac:dyDescent="0.25">
      <c r="A9" s="1" t="s">
        <v>8</v>
      </c>
      <c r="B9" s="1" t="s">
        <v>146</v>
      </c>
      <c r="D9" s="1" t="s">
        <v>147</v>
      </c>
      <c r="E9" s="1" t="s">
        <v>2</v>
      </c>
      <c r="H9" s="1">
        <v>389</v>
      </c>
      <c r="I9" s="1">
        <v>389</v>
      </c>
      <c r="J9" s="1">
        <v>389</v>
      </c>
      <c r="K9" s="1">
        <v>299</v>
      </c>
      <c r="L9" s="1">
        <v>299</v>
      </c>
      <c r="M9" s="1">
        <v>359</v>
      </c>
      <c r="N9" s="1">
        <v>362</v>
      </c>
    </row>
    <row r="10" spans="1:15" x14ac:dyDescent="0.25">
      <c r="A10" s="1" t="s">
        <v>8</v>
      </c>
      <c r="B10" s="1" t="s">
        <v>146</v>
      </c>
      <c r="D10" s="1" t="s">
        <v>147</v>
      </c>
      <c r="E10" s="1" t="s">
        <v>120</v>
      </c>
      <c r="H10" s="1">
        <v>275</v>
      </c>
      <c r="I10" s="1">
        <v>275</v>
      </c>
      <c r="J10" s="1">
        <v>154</v>
      </c>
      <c r="K10" s="1">
        <v>154</v>
      </c>
      <c r="L10" s="1">
        <v>154</v>
      </c>
      <c r="M10" s="1">
        <v>154</v>
      </c>
      <c r="N10" s="1">
        <v>115</v>
      </c>
    </row>
    <row r="11" spans="1:15" x14ac:dyDescent="0.25">
      <c r="A11" s="1" t="s">
        <v>23</v>
      </c>
      <c r="B11" s="1" t="s">
        <v>146</v>
      </c>
      <c r="D11" s="1" t="s">
        <v>147</v>
      </c>
      <c r="E11" s="1" t="s">
        <v>2</v>
      </c>
      <c r="H11" s="1">
        <v>391</v>
      </c>
      <c r="I11" s="1">
        <v>391</v>
      </c>
      <c r="J11" s="1">
        <v>391</v>
      </c>
      <c r="K11" s="1">
        <v>299</v>
      </c>
      <c r="L11" s="1">
        <v>299</v>
      </c>
      <c r="M11" s="1">
        <v>359</v>
      </c>
      <c r="N11" s="1">
        <v>362</v>
      </c>
    </row>
    <row r="12" spans="1:15" x14ac:dyDescent="0.25">
      <c r="A12" s="1" t="s">
        <v>23</v>
      </c>
      <c r="B12" s="1" t="s">
        <v>146</v>
      </c>
      <c r="D12" s="1" t="s">
        <v>147</v>
      </c>
      <c r="E12" s="1" t="s">
        <v>120</v>
      </c>
      <c r="H12" s="1">
        <v>275</v>
      </c>
      <c r="I12" s="1">
        <v>275</v>
      </c>
      <c r="J12" s="1">
        <v>155</v>
      </c>
      <c r="K12" s="1">
        <v>155</v>
      </c>
      <c r="L12" s="1">
        <v>155</v>
      </c>
      <c r="M12" s="1">
        <v>155</v>
      </c>
      <c r="N12" s="1">
        <v>115</v>
      </c>
    </row>
    <row r="13" spans="1:15" x14ac:dyDescent="0.25">
      <c r="A13" s="1" t="s">
        <v>30</v>
      </c>
      <c r="B13" s="1" t="s">
        <v>146</v>
      </c>
      <c r="D13" s="1" t="s">
        <v>147</v>
      </c>
      <c r="E13" s="1" t="s">
        <v>2</v>
      </c>
      <c r="H13" s="1">
        <v>243</v>
      </c>
      <c r="I13" s="1">
        <v>243</v>
      </c>
      <c r="J13" s="1">
        <v>243</v>
      </c>
      <c r="K13" s="1">
        <v>167</v>
      </c>
      <c r="L13" s="1">
        <v>152</v>
      </c>
      <c r="M13" s="1">
        <v>96</v>
      </c>
      <c r="N13" s="1">
        <v>184</v>
      </c>
    </row>
    <row r="14" spans="1:15" x14ac:dyDescent="0.25">
      <c r="A14" s="1" t="s">
        <v>30</v>
      </c>
      <c r="B14" s="1" t="s">
        <v>146</v>
      </c>
      <c r="D14" s="1" t="s">
        <v>147</v>
      </c>
      <c r="E14" s="1" t="s">
        <v>120</v>
      </c>
      <c r="H14" s="1">
        <v>275</v>
      </c>
      <c r="I14" s="1">
        <v>275</v>
      </c>
      <c r="J14" s="1">
        <v>96</v>
      </c>
      <c r="K14" s="1">
        <v>96</v>
      </c>
      <c r="L14" s="1">
        <v>96</v>
      </c>
      <c r="M14" s="1">
        <v>349</v>
      </c>
      <c r="N14" s="1">
        <v>63</v>
      </c>
    </row>
    <row r="15" spans="1:15" x14ac:dyDescent="0.25">
      <c r="A15" s="1" t="s">
        <v>24</v>
      </c>
      <c r="B15" s="1" t="s">
        <v>146</v>
      </c>
      <c r="D15" s="1" t="s">
        <v>147</v>
      </c>
      <c r="E15" s="1" t="s">
        <v>2</v>
      </c>
      <c r="H15" s="1">
        <v>923</v>
      </c>
      <c r="I15" s="1">
        <v>923</v>
      </c>
      <c r="J15" s="1">
        <v>923</v>
      </c>
      <c r="K15" s="1">
        <v>299</v>
      </c>
      <c r="L15" s="1">
        <v>299</v>
      </c>
      <c r="M15" s="1">
        <v>359</v>
      </c>
      <c r="N15" s="1">
        <v>362</v>
      </c>
    </row>
    <row r="16" spans="1:15" x14ac:dyDescent="0.25">
      <c r="A16" s="1" t="s">
        <v>24</v>
      </c>
      <c r="B16" s="1" t="s">
        <v>146</v>
      </c>
      <c r="D16" s="1" t="s">
        <v>147</v>
      </c>
      <c r="E16" s="1" t="s">
        <v>120</v>
      </c>
      <c r="H16" s="1">
        <v>275</v>
      </c>
      <c r="I16" s="1">
        <v>275</v>
      </c>
      <c r="J16" s="1">
        <v>366</v>
      </c>
      <c r="K16" s="1">
        <v>366</v>
      </c>
      <c r="L16" s="1">
        <v>366</v>
      </c>
      <c r="M16" s="1">
        <v>366</v>
      </c>
      <c r="N16" s="1">
        <v>115</v>
      </c>
    </row>
    <row r="17" spans="1:15" x14ac:dyDescent="0.25">
      <c r="A17" s="1" t="s">
        <v>111</v>
      </c>
      <c r="B17" s="1" t="s">
        <v>146</v>
      </c>
      <c r="D17" s="1" t="s">
        <v>147</v>
      </c>
      <c r="E17" s="1" t="s">
        <v>2</v>
      </c>
      <c r="H17" s="1">
        <v>925</v>
      </c>
      <c r="I17" s="1">
        <v>925</v>
      </c>
      <c r="J17" s="1">
        <v>925</v>
      </c>
      <c r="K17" s="1">
        <v>299</v>
      </c>
      <c r="L17" s="1">
        <v>299</v>
      </c>
      <c r="M17" s="1">
        <v>359</v>
      </c>
      <c r="N17" s="1">
        <v>362</v>
      </c>
    </row>
    <row r="18" spans="1:15" x14ac:dyDescent="0.25">
      <c r="A18" s="1" t="s">
        <v>111</v>
      </c>
      <c r="B18" s="1" t="s">
        <v>146</v>
      </c>
      <c r="D18" s="1" t="s">
        <v>147</v>
      </c>
      <c r="E18" s="1" t="s">
        <v>120</v>
      </c>
      <c r="H18" s="1">
        <v>275</v>
      </c>
      <c r="I18" s="1">
        <v>275</v>
      </c>
      <c r="J18" s="1">
        <v>367</v>
      </c>
      <c r="K18" s="1">
        <v>367</v>
      </c>
      <c r="L18" s="1">
        <v>367</v>
      </c>
      <c r="M18" s="1">
        <v>367</v>
      </c>
      <c r="N18" s="1">
        <v>115</v>
      </c>
    </row>
    <row r="19" spans="1:15" x14ac:dyDescent="0.25">
      <c r="A19" s="1" t="s">
        <v>25</v>
      </c>
      <c r="B19" s="1" t="s">
        <v>146</v>
      </c>
      <c r="D19" s="1" t="s">
        <v>147</v>
      </c>
      <c r="E19" s="1" t="s">
        <v>2</v>
      </c>
      <c r="H19" s="1">
        <v>882</v>
      </c>
      <c r="I19" s="1">
        <v>882</v>
      </c>
      <c r="J19" s="1">
        <v>882</v>
      </c>
      <c r="K19" s="1">
        <v>299</v>
      </c>
      <c r="L19" s="1">
        <v>299</v>
      </c>
      <c r="M19" s="1">
        <v>359</v>
      </c>
      <c r="N19" s="1">
        <v>362</v>
      </c>
    </row>
    <row r="20" spans="1:15" x14ac:dyDescent="0.25">
      <c r="A20" s="1" t="s">
        <v>25</v>
      </c>
      <c r="B20" s="1" t="s">
        <v>146</v>
      </c>
      <c r="D20" s="1" t="s">
        <v>147</v>
      </c>
      <c r="E20" s="1" t="s">
        <v>120</v>
      </c>
      <c r="H20" s="1">
        <v>275</v>
      </c>
      <c r="I20" s="1">
        <v>275</v>
      </c>
      <c r="J20" s="1">
        <v>350</v>
      </c>
      <c r="K20" s="1">
        <v>350</v>
      </c>
      <c r="M20" s="1">
        <v>350</v>
      </c>
      <c r="N20" s="1">
        <v>115</v>
      </c>
    </row>
    <row r="21" spans="1:15" x14ac:dyDescent="0.25">
      <c r="A21" s="2" t="s">
        <v>3</v>
      </c>
      <c r="B21" s="2" t="s">
        <v>4</v>
      </c>
      <c r="C21" s="2" t="s">
        <v>5</v>
      </c>
      <c r="D21" s="2" t="s">
        <v>6</v>
      </c>
      <c r="E21" s="2" t="s">
        <v>7</v>
      </c>
      <c r="F21" s="2">
        <v>2018</v>
      </c>
      <c r="G21" s="2">
        <v>2019</v>
      </c>
      <c r="H21" s="2">
        <v>2020</v>
      </c>
      <c r="I21" s="2">
        <v>2021</v>
      </c>
      <c r="J21" s="2">
        <v>2022</v>
      </c>
      <c r="K21" s="2">
        <v>2023</v>
      </c>
      <c r="L21" s="2">
        <v>2024</v>
      </c>
      <c r="M21" s="2">
        <v>2025</v>
      </c>
      <c r="N21" s="2">
        <v>2026</v>
      </c>
      <c r="O21" s="2">
        <v>2027</v>
      </c>
    </row>
    <row r="22" spans="1:15" x14ac:dyDescent="0.25">
      <c r="A22" s="1" t="s">
        <v>0</v>
      </c>
      <c r="B22" s="1" t="s">
        <v>146</v>
      </c>
      <c r="D22" s="1" t="s">
        <v>148</v>
      </c>
      <c r="E22" s="1" t="s">
        <v>2</v>
      </c>
      <c r="H22" s="1">
        <v>2388</v>
      </c>
      <c r="I22" s="1">
        <v>2388</v>
      </c>
      <c r="J22" s="1">
        <v>2388</v>
      </c>
      <c r="K22" s="1">
        <v>2534</v>
      </c>
      <c r="L22" s="1">
        <v>2271</v>
      </c>
      <c r="M22" s="1">
        <v>2271</v>
      </c>
      <c r="N22" s="1">
        <v>1476</v>
      </c>
    </row>
    <row r="23" spans="1:15" x14ac:dyDescent="0.25">
      <c r="A23" s="1" t="s">
        <v>0</v>
      </c>
      <c r="B23" s="1" t="s">
        <v>146</v>
      </c>
      <c r="D23" s="1" t="s">
        <v>148</v>
      </c>
      <c r="E23" s="1" t="s">
        <v>120</v>
      </c>
      <c r="H23" s="1">
        <v>759</v>
      </c>
      <c r="I23" s="1">
        <v>759</v>
      </c>
      <c r="J23" s="1">
        <v>759</v>
      </c>
      <c r="K23" s="1">
        <v>601</v>
      </c>
      <c r="L23" s="1">
        <v>601</v>
      </c>
      <c r="M23" s="1">
        <v>601</v>
      </c>
      <c r="N23" s="1">
        <v>432</v>
      </c>
    </row>
    <row r="24" spans="1:15" x14ac:dyDescent="0.25">
      <c r="A24" s="1" t="s">
        <v>95</v>
      </c>
      <c r="B24" s="1" t="s">
        <v>146</v>
      </c>
      <c r="D24" s="1" t="s">
        <v>148</v>
      </c>
      <c r="E24" s="1" t="s">
        <v>2</v>
      </c>
      <c r="H24" s="1">
        <v>2147</v>
      </c>
      <c r="I24" s="1">
        <v>2147</v>
      </c>
      <c r="J24" s="1">
        <v>2147</v>
      </c>
      <c r="K24" s="1">
        <v>2345</v>
      </c>
      <c r="L24" s="1">
        <v>1921</v>
      </c>
      <c r="M24" s="1">
        <v>1921</v>
      </c>
      <c r="N24" s="1">
        <v>1249</v>
      </c>
    </row>
    <row r="25" spans="1:15" x14ac:dyDescent="0.25">
      <c r="A25" s="1" t="s">
        <v>95</v>
      </c>
      <c r="B25" s="1" t="s">
        <v>146</v>
      </c>
      <c r="D25" s="1" t="s">
        <v>148</v>
      </c>
      <c r="E25" s="1" t="s">
        <v>120</v>
      </c>
      <c r="H25" s="1">
        <v>709</v>
      </c>
      <c r="I25" s="1">
        <v>709</v>
      </c>
      <c r="J25" s="1">
        <v>852</v>
      </c>
      <c r="K25" s="1">
        <v>852</v>
      </c>
      <c r="L25" s="1">
        <v>852</v>
      </c>
      <c r="M25" s="1">
        <v>852</v>
      </c>
      <c r="N25" s="1">
        <v>361</v>
      </c>
    </row>
    <row r="26" spans="1:15" x14ac:dyDescent="0.25">
      <c r="A26" s="1" t="s">
        <v>96</v>
      </c>
      <c r="B26" s="1" t="s">
        <v>146</v>
      </c>
      <c r="D26" s="1" t="s">
        <v>148</v>
      </c>
      <c r="E26" s="1" t="s">
        <v>2</v>
      </c>
      <c r="H26" s="1">
        <v>1549</v>
      </c>
      <c r="I26" s="1">
        <v>1549</v>
      </c>
      <c r="J26" s="1">
        <v>1549</v>
      </c>
      <c r="K26" s="1">
        <v>1605</v>
      </c>
      <c r="L26" s="1">
        <v>1034</v>
      </c>
      <c r="M26" s="1">
        <v>1034</v>
      </c>
      <c r="N26" s="1">
        <v>672</v>
      </c>
    </row>
    <row r="27" spans="1:15" x14ac:dyDescent="0.25">
      <c r="A27" s="1" t="s">
        <v>96</v>
      </c>
      <c r="B27" s="1" t="s">
        <v>146</v>
      </c>
      <c r="D27" s="1" t="s">
        <v>148</v>
      </c>
      <c r="E27" s="1" t="s">
        <v>120</v>
      </c>
      <c r="H27" s="1">
        <v>674</v>
      </c>
      <c r="I27" s="1">
        <v>674</v>
      </c>
      <c r="J27" s="1">
        <v>674</v>
      </c>
      <c r="K27" s="1">
        <v>502</v>
      </c>
      <c r="L27" s="1">
        <v>502</v>
      </c>
      <c r="M27" s="1">
        <v>502</v>
      </c>
      <c r="N27" s="1">
        <v>361</v>
      </c>
    </row>
    <row r="28" spans="1:15" x14ac:dyDescent="0.25">
      <c r="A28" s="1" t="s">
        <v>100</v>
      </c>
      <c r="B28" s="1" t="s">
        <v>146</v>
      </c>
      <c r="D28" s="1" t="s">
        <v>148</v>
      </c>
      <c r="E28" s="1" t="s">
        <v>120</v>
      </c>
      <c r="H28" s="1">
        <v>709</v>
      </c>
      <c r="I28" s="1">
        <v>709</v>
      </c>
      <c r="J28" s="1">
        <v>815</v>
      </c>
      <c r="K28" s="1">
        <v>815</v>
      </c>
      <c r="N28" s="1">
        <v>115</v>
      </c>
    </row>
    <row r="29" spans="1:15" x14ac:dyDescent="0.25">
      <c r="A29" s="1" t="s">
        <v>102</v>
      </c>
      <c r="B29" s="1" t="s">
        <v>146</v>
      </c>
      <c r="D29" s="1" t="s">
        <v>148</v>
      </c>
      <c r="E29" s="1" t="s">
        <v>2</v>
      </c>
      <c r="H29" s="1">
        <v>1715</v>
      </c>
      <c r="I29" s="1">
        <v>1715</v>
      </c>
      <c r="J29" s="1">
        <v>1715</v>
      </c>
      <c r="K29" s="1">
        <v>1739</v>
      </c>
      <c r="L29" s="1">
        <v>1715</v>
      </c>
      <c r="M29" s="1">
        <v>1715</v>
      </c>
      <c r="N29" s="1">
        <v>1115</v>
      </c>
    </row>
    <row r="30" spans="1:15" x14ac:dyDescent="0.25">
      <c r="A30" s="1" t="s">
        <v>102</v>
      </c>
      <c r="B30" s="1" t="s">
        <v>146</v>
      </c>
      <c r="D30" s="1" t="s">
        <v>148</v>
      </c>
      <c r="E30" s="1" t="s">
        <v>120</v>
      </c>
      <c r="H30" s="1">
        <v>709</v>
      </c>
      <c r="I30" s="1">
        <v>709</v>
      </c>
      <c r="J30" s="1">
        <v>681</v>
      </c>
      <c r="K30" s="1">
        <v>681</v>
      </c>
      <c r="L30" s="1">
        <v>681</v>
      </c>
      <c r="M30" s="1">
        <v>681</v>
      </c>
      <c r="N30" s="1">
        <v>361</v>
      </c>
    </row>
    <row r="31" spans="1:15" x14ac:dyDescent="0.25">
      <c r="A31" s="1" t="s">
        <v>8</v>
      </c>
      <c r="B31" s="1" t="s">
        <v>146</v>
      </c>
      <c r="D31" s="1" t="s">
        <v>148</v>
      </c>
      <c r="E31" s="1" t="s">
        <v>2</v>
      </c>
      <c r="H31" s="1">
        <v>981</v>
      </c>
      <c r="I31" s="1">
        <v>981</v>
      </c>
      <c r="J31" s="1">
        <v>981</v>
      </c>
      <c r="K31" s="1">
        <v>1063</v>
      </c>
      <c r="L31" s="1">
        <v>981</v>
      </c>
      <c r="M31" s="1">
        <v>981</v>
      </c>
      <c r="N31" s="1">
        <v>638</v>
      </c>
    </row>
    <row r="32" spans="1:15" x14ac:dyDescent="0.25">
      <c r="A32" s="1" t="s">
        <v>8</v>
      </c>
      <c r="B32" s="1" t="s">
        <v>146</v>
      </c>
      <c r="D32" s="1" t="s">
        <v>148</v>
      </c>
      <c r="E32" s="1" t="s">
        <v>120</v>
      </c>
      <c r="H32" s="1">
        <v>709</v>
      </c>
      <c r="I32" s="1">
        <v>709</v>
      </c>
      <c r="J32" s="1">
        <v>389</v>
      </c>
      <c r="K32" s="1">
        <v>389</v>
      </c>
      <c r="L32" s="1">
        <v>389</v>
      </c>
      <c r="M32" s="1">
        <v>389</v>
      </c>
      <c r="N32" s="1">
        <v>261</v>
      </c>
    </row>
    <row r="33" spans="1:15" x14ac:dyDescent="0.25">
      <c r="A33" s="1" t="s">
        <v>104</v>
      </c>
      <c r="B33" s="1" t="s">
        <v>146</v>
      </c>
      <c r="D33" s="1" t="s">
        <v>148</v>
      </c>
      <c r="E33" s="1" t="s">
        <v>2</v>
      </c>
      <c r="H33" s="1">
        <v>881</v>
      </c>
      <c r="I33" s="1">
        <v>881</v>
      </c>
      <c r="J33" s="1">
        <v>1803</v>
      </c>
      <c r="K33" s="1">
        <v>1803</v>
      </c>
      <c r="L33" s="1">
        <v>1803</v>
      </c>
      <c r="M33" s="1">
        <v>1803</v>
      </c>
      <c r="N33" s="1">
        <v>1030</v>
      </c>
    </row>
    <row r="34" spans="1:15" x14ac:dyDescent="0.25">
      <c r="A34" s="1" t="s">
        <v>23</v>
      </c>
      <c r="B34" s="1" t="s">
        <v>146</v>
      </c>
      <c r="D34" s="1" t="s">
        <v>148</v>
      </c>
      <c r="E34" s="1" t="s">
        <v>2</v>
      </c>
      <c r="H34" s="1">
        <v>989</v>
      </c>
      <c r="I34" s="1">
        <v>989</v>
      </c>
      <c r="J34" s="1">
        <v>989</v>
      </c>
      <c r="K34" s="1">
        <v>985</v>
      </c>
      <c r="L34" s="1">
        <v>941</v>
      </c>
      <c r="M34" s="1">
        <v>941</v>
      </c>
      <c r="N34" s="1">
        <v>612</v>
      </c>
    </row>
    <row r="35" spans="1:15" x14ac:dyDescent="0.25">
      <c r="A35" s="1" t="s">
        <v>23</v>
      </c>
      <c r="B35" s="1" t="s">
        <v>146</v>
      </c>
      <c r="D35" s="1" t="s">
        <v>148</v>
      </c>
      <c r="E35" s="1" t="s">
        <v>120</v>
      </c>
      <c r="H35" s="1">
        <v>709</v>
      </c>
      <c r="I35" s="1">
        <v>709</v>
      </c>
      <c r="J35" s="1">
        <v>392</v>
      </c>
      <c r="K35" s="1">
        <v>392</v>
      </c>
      <c r="L35" s="1">
        <v>392</v>
      </c>
      <c r="M35" s="1">
        <v>392</v>
      </c>
      <c r="N35" s="1">
        <v>251</v>
      </c>
    </row>
    <row r="36" spans="1:15" x14ac:dyDescent="0.25">
      <c r="A36" s="1" t="s">
        <v>30</v>
      </c>
      <c r="B36" s="1" t="s">
        <v>146</v>
      </c>
      <c r="D36" s="1" t="s">
        <v>148</v>
      </c>
      <c r="E36" s="1" t="s">
        <v>2</v>
      </c>
      <c r="H36" s="1">
        <v>620</v>
      </c>
      <c r="I36" s="1">
        <v>620</v>
      </c>
      <c r="J36" s="1">
        <v>620</v>
      </c>
      <c r="K36" s="1">
        <v>349</v>
      </c>
      <c r="L36" s="1">
        <v>349</v>
      </c>
      <c r="M36" s="1">
        <v>246</v>
      </c>
      <c r="N36" s="1">
        <v>227</v>
      </c>
    </row>
    <row r="37" spans="1:15" x14ac:dyDescent="0.25">
      <c r="A37" s="1" t="s">
        <v>30</v>
      </c>
      <c r="B37" s="1" t="s">
        <v>146</v>
      </c>
      <c r="D37" s="1" t="s">
        <v>148</v>
      </c>
      <c r="E37" s="1" t="s">
        <v>120</v>
      </c>
      <c r="H37" s="1">
        <v>709</v>
      </c>
      <c r="I37" s="1">
        <v>709</v>
      </c>
      <c r="J37" s="1">
        <v>246</v>
      </c>
      <c r="K37" s="1">
        <v>246</v>
      </c>
      <c r="L37" s="1">
        <v>246</v>
      </c>
      <c r="M37" s="1">
        <v>171</v>
      </c>
      <c r="N37" s="1">
        <v>93</v>
      </c>
    </row>
    <row r="38" spans="1:15" x14ac:dyDescent="0.25">
      <c r="A38" s="1" t="s">
        <v>24</v>
      </c>
      <c r="B38" s="1" t="s">
        <v>146</v>
      </c>
      <c r="D38" s="1" t="s">
        <v>148</v>
      </c>
      <c r="E38" s="1" t="s">
        <v>2</v>
      </c>
      <c r="H38" s="1">
        <v>2350</v>
      </c>
      <c r="I38" s="1">
        <v>2350</v>
      </c>
      <c r="J38" s="1">
        <v>2350</v>
      </c>
      <c r="K38" s="1">
        <v>1725</v>
      </c>
      <c r="L38" s="1">
        <v>1725</v>
      </c>
      <c r="M38" s="1">
        <v>1725</v>
      </c>
      <c r="N38" s="1">
        <v>1414</v>
      </c>
    </row>
    <row r="39" spans="1:15" x14ac:dyDescent="0.25">
      <c r="A39" s="1" t="s">
        <v>24</v>
      </c>
      <c r="B39" s="1" t="s">
        <v>146</v>
      </c>
      <c r="D39" s="1" t="s">
        <v>148</v>
      </c>
      <c r="E39" s="1" t="s">
        <v>120</v>
      </c>
      <c r="H39" s="1">
        <v>709</v>
      </c>
      <c r="I39" s="1">
        <v>709</v>
      </c>
      <c r="J39" s="1">
        <v>933</v>
      </c>
      <c r="K39" s="1">
        <v>933</v>
      </c>
      <c r="L39" s="1">
        <v>933</v>
      </c>
      <c r="M39" s="1">
        <v>933</v>
      </c>
      <c r="N39" s="1">
        <v>361</v>
      </c>
    </row>
    <row r="40" spans="1:15" x14ac:dyDescent="0.25">
      <c r="A40" s="1" t="s">
        <v>111</v>
      </c>
      <c r="B40" s="1" t="s">
        <v>146</v>
      </c>
      <c r="D40" s="1" t="s">
        <v>148</v>
      </c>
      <c r="E40" s="1" t="s">
        <v>2</v>
      </c>
      <c r="H40" s="1">
        <v>2352</v>
      </c>
      <c r="I40" s="1">
        <v>2352</v>
      </c>
      <c r="J40" s="1">
        <v>2352</v>
      </c>
      <c r="K40" s="1">
        <v>2335</v>
      </c>
      <c r="L40" s="1">
        <v>2312</v>
      </c>
      <c r="M40" s="1">
        <v>2312</v>
      </c>
      <c r="N40" s="1">
        <v>1503</v>
      </c>
    </row>
    <row r="41" spans="1:15" x14ac:dyDescent="0.25">
      <c r="A41" s="1" t="s">
        <v>111</v>
      </c>
      <c r="B41" s="1" t="s">
        <v>146</v>
      </c>
      <c r="D41" s="1" t="s">
        <v>148</v>
      </c>
      <c r="E41" s="1" t="s">
        <v>120</v>
      </c>
      <c r="H41" s="1">
        <v>709</v>
      </c>
      <c r="I41" s="1">
        <v>709</v>
      </c>
      <c r="J41" s="1">
        <v>933</v>
      </c>
      <c r="K41" s="1">
        <v>933</v>
      </c>
      <c r="L41" s="1">
        <v>933</v>
      </c>
      <c r="M41" s="1">
        <v>933</v>
      </c>
      <c r="N41" s="1">
        <v>361</v>
      </c>
    </row>
    <row r="42" spans="1:15" x14ac:dyDescent="0.25">
      <c r="A42" s="1" t="s">
        <v>25</v>
      </c>
      <c r="B42" s="1" t="s">
        <v>146</v>
      </c>
      <c r="D42" s="1" t="s">
        <v>148</v>
      </c>
      <c r="E42" s="1" t="s">
        <v>2</v>
      </c>
      <c r="H42" s="1">
        <v>2261</v>
      </c>
      <c r="I42" s="1">
        <v>2261</v>
      </c>
      <c r="J42" s="1">
        <v>2261</v>
      </c>
      <c r="K42" s="1">
        <v>2315</v>
      </c>
      <c r="L42" s="1">
        <v>2261</v>
      </c>
      <c r="M42" s="1">
        <v>2261</v>
      </c>
      <c r="N42" s="1">
        <v>1470</v>
      </c>
    </row>
    <row r="43" spans="1:15" x14ac:dyDescent="0.25">
      <c r="A43" s="1" t="s">
        <v>25</v>
      </c>
      <c r="B43" s="1" t="s">
        <v>146</v>
      </c>
      <c r="D43" s="1" t="s">
        <v>148</v>
      </c>
      <c r="E43" s="1" t="s">
        <v>120</v>
      </c>
      <c r="H43" s="1">
        <v>709</v>
      </c>
      <c r="I43" s="1">
        <v>709</v>
      </c>
      <c r="J43" s="1">
        <v>897</v>
      </c>
      <c r="K43" s="1">
        <v>897</v>
      </c>
      <c r="L43" s="1">
        <v>897</v>
      </c>
      <c r="M43" s="1">
        <v>897</v>
      </c>
      <c r="N43" s="1">
        <v>361</v>
      </c>
    </row>
    <row r="44" spans="1:15" x14ac:dyDescent="0.25">
      <c r="A44" s="2" t="s">
        <v>3</v>
      </c>
      <c r="B44" s="2" t="s">
        <v>4</v>
      </c>
      <c r="C44" s="2" t="s">
        <v>5</v>
      </c>
      <c r="D44" s="2" t="s">
        <v>6</v>
      </c>
      <c r="E44" s="2" t="s">
        <v>7</v>
      </c>
      <c r="F44" s="2">
        <v>2018</v>
      </c>
      <c r="G44" s="2">
        <v>2019</v>
      </c>
      <c r="H44" s="2">
        <v>2020</v>
      </c>
      <c r="I44" s="2">
        <v>2021</v>
      </c>
      <c r="J44" s="2">
        <v>2022</v>
      </c>
      <c r="K44" s="2">
        <v>2023</v>
      </c>
      <c r="L44" s="2">
        <v>2024</v>
      </c>
      <c r="M44" s="2">
        <v>2025</v>
      </c>
      <c r="N44" s="2">
        <v>2026</v>
      </c>
      <c r="O44" s="2">
        <v>2027</v>
      </c>
    </row>
    <row r="45" spans="1:15" x14ac:dyDescent="0.25">
      <c r="A45" s="1" t="s">
        <v>0</v>
      </c>
      <c r="B45" s="1" t="s">
        <v>146</v>
      </c>
      <c r="D45" s="1" t="s">
        <v>1</v>
      </c>
      <c r="E45" s="1" t="s">
        <v>2</v>
      </c>
      <c r="H45" s="1">
        <v>961</v>
      </c>
      <c r="I45" s="1">
        <v>961</v>
      </c>
      <c r="J45" s="1">
        <v>961</v>
      </c>
      <c r="K45" s="1">
        <v>463</v>
      </c>
      <c r="L45" s="1">
        <v>463</v>
      </c>
      <c r="M45" s="1">
        <v>463</v>
      </c>
      <c r="N45" s="1">
        <v>328</v>
      </c>
    </row>
    <row r="46" spans="1:15" x14ac:dyDescent="0.25">
      <c r="A46" s="1" t="s">
        <v>95</v>
      </c>
      <c r="B46" s="1" t="s">
        <v>146</v>
      </c>
      <c r="D46" s="1" t="s">
        <v>1</v>
      </c>
      <c r="E46" s="1" t="s">
        <v>2</v>
      </c>
      <c r="H46" s="1">
        <v>857</v>
      </c>
      <c r="I46" s="1">
        <v>857</v>
      </c>
      <c r="J46" s="1">
        <v>857</v>
      </c>
      <c r="K46" s="1">
        <v>463</v>
      </c>
      <c r="L46" s="1">
        <v>463</v>
      </c>
      <c r="M46" s="1">
        <v>463</v>
      </c>
      <c r="N46" s="1">
        <v>328</v>
      </c>
    </row>
    <row r="47" spans="1:15" x14ac:dyDescent="0.25">
      <c r="A47" s="1" t="s">
        <v>95</v>
      </c>
      <c r="B47" s="1" t="s">
        <v>146</v>
      </c>
      <c r="D47" s="1" t="s">
        <v>1</v>
      </c>
      <c r="E47" s="1" t="s">
        <v>120</v>
      </c>
      <c r="H47" s="1">
        <v>281</v>
      </c>
      <c r="I47" s="1">
        <v>281</v>
      </c>
      <c r="J47" s="1">
        <v>340</v>
      </c>
      <c r="K47" s="1">
        <v>340</v>
      </c>
      <c r="L47" s="1">
        <v>340</v>
      </c>
      <c r="M47" s="1">
        <v>340</v>
      </c>
      <c r="N47" s="1">
        <v>340</v>
      </c>
    </row>
    <row r="48" spans="1:15" x14ac:dyDescent="0.25">
      <c r="A48" s="1" t="s">
        <v>96</v>
      </c>
      <c r="B48" s="1" t="s">
        <v>146</v>
      </c>
      <c r="D48" s="1" t="s">
        <v>1</v>
      </c>
      <c r="E48" s="1" t="s">
        <v>2</v>
      </c>
      <c r="H48" s="1">
        <v>622</v>
      </c>
      <c r="I48" s="1">
        <v>622</v>
      </c>
      <c r="J48" s="1">
        <v>622</v>
      </c>
      <c r="K48" s="1">
        <v>463</v>
      </c>
      <c r="L48" s="1">
        <v>315</v>
      </c>
      <c r="M48" s="1">
        <v>315</v>
      </c>
      <c r="N48" s="1">
        <v>223</v>
      </c>
    </row>
    <row r="49" spans="1:14" x14ac:dyDescent="0.25">
      <c r="A49" s="1" t="s">
        <v>100</v>
      </c>
      <c r="B49" s="1" t="s">
        <v>146</v>
      </c>
      <c r="D49" s="1" t="s">
        <v>1</v>
      </c>
      <c r="E49" s="1" t="s">
        <v>2</v>
      </c>
      <c r="H49" s="1">
        <v>358</v>
      </c>
      <c r="I49" s="1">
        <v>358</v>
      </c>
      <c r="J49" s="1">
        <v>829</v>
      </c>
      <c r="K49" s="1">
        <v>463</v>
      </c>
      <c r="L49" s="1">
        <v>463</v>
      </c>
      <c r="M49" s="1">
        <v>463</v>
      </c>
      <c r="N49" s="1">
        <v>328</v>
      </c>
    </row>
    <row r="50" spans="1:14" x14ac:dyDescent="0.25">
      <c r="A50" s="1" t="s">
        <v>100</v>
      </c>
      <c r="B50" s="1" t="s">
        <v>146</v>
      </c>
      <c r="D50" s="1" t="s">
        <v>1</v>
      </c>
      <c r="E50" s="1" t="s">
        <v>120</v>
      </c>
      <c r="H50" s="1">
        <v>281</v>
      </c>
      <c r="I50" s="1">
        <v>281</v>
      </c>
      <c r="J50" s="1">
        <v>329</v>
      </c>
      <c r="K50" s="1">
        <v>329</v>
      </c>
      <c r="L50" s="1">
        <v>329</v>
      </c>
      <c r="M50" s="1">
        <v>329</v>
      </c>
      <c r="N50" s="1">
        <v>329</v>
      </c>
    </row>
    <row r="51" spans="1:14" x14ac:dyDescent="0.25">
      <c r="A51" s="1" t="s">
        <v>101</v>
      </c>
      <c r="B51" s="1" t="s">
        <v>146</v>
      </c>
      <c r="D51" s="1" t="s">
        <v>1</v>
      </c>
      <c r="E51" s="1" t="s">
        <v>2</v>
      </c>
      <c r="H51" s="1">
        <v>793</v>
      </c>
      <c r="I51" s="1">
        <v>793</v>
      </c>
      <c r="J51" s="1">
        <v>793</v>
      </c>
      <c r="K51" s="1">
        <v>463</v>
      </c>
      <c r="L51" s="1">
        <v>463</v>
      </c>
      <c r="M51" s="1">
        <v>463</v>
      </c>
      <c r="N51" s="1">
        <v>328</v>
      </c>
    </row>
    <row r="52" spans="1:14" x14ac:dyDescent="0.25">
      <c r="A52" s="1" t="s">
        <v>101</v>
      </c>
      <c r="B52" s="1" t="s">
        <v>146</v>
      </c>
      <c r="D52" s="1" t="s">
        <v>1</v>
      </c>
      <c r="E52" s="1" t="s">
        <v>120</v>
      </c>
      <c r="H52" s="1">
        <v>281</v>
      </c>
      <c r="I52" s="1">
        <v>281</v>
      </c>
      <c r="J52" s="1">
        <v>315</v>
      </c>
      <c r="K52" s="1">
        <v>315</v>
      </c>
      <c r="L52" s="1">
        <v>315</v>
      </c>
      <c r="M52" s="1">
        <v>315</v>
      </c>
      <c r="N52" s="1">
        <v>315</v>
      </c>
    </row>
    <row r="53" spans="1:14" x14ac:dyDescent="0.25">
      <c r="A53" s="1" t="s">
        <v>102</v>
      </c>
      <c r="B53" s="1" t="s">
        <v>146</v>
      </c>
      <c r="D53" s="1" t="s">
        <v>1</v>
      </c>
      <c r="E53" s="1" t="s">
        <v>2</v>
      </c>
      <c r="H53" s="1">
        <v>692</v>
      </c>
      <c r="I53" s="1">
        <v>692</v>
      </c>
      <c r="J53" s="1">
        <v>692</v>
      </c>
      <c r="K53" s="1">
        <v>463</v>
      </c>
      <c r="L53" s="1">
        <v>463</v>
      </c>
      <c r="M53" s="1">
        <v>463</v>
      </c>
      <c r="N53" s="1">
        <v>328</v>
      </c>
    </row>
    <row r="54" spans="1:14" x14ac:dyDescent="0.25">
      <c r="A54" s="1" t="s">
        <v>102</v>
      </c>
      <c r="B54" s="1" t="s">
        <v>146</v>
      </c>
      <c r="D54" s="1" t="s">
        <v>1</v>
      </c>
      <c r="E54" s="1" t="s">
        <v>120</v>
      </c>
      <c r="H54" s="1">
        <v>281</v>
      </c>
      <c r="I54" s="1">
        <v>281</v>
      </c>
      <c r="J54" s="1">
        <v>275</v>
      </c>
      <c r="K54" s="1">
        <v>275</v>
      </c>
      <c r="L54" s="1">
        <v>275</v>
      </c>
      <c r="M54" s="1">
        <v>275</v>
      </c>
      <c r="N54" s="1">
        <v>275</v>
      </c>
    </row>
    <row r="55" spans="1:14" x14ac:dyDescent="0.25">
      <c r="A55" s="1" t="s">
        <v>8</v>
      </c>
      <c r="B55" s="1" t="s">
        <v>146</v>
      </c>
      <c r="D55" s="1" t="s">
        <v>1</v>
      </c>
      <c r="E55" s="1" t="s">
        <v>2</v>
      </c>
      <c r="H55" s="1">
        <v>400</v>
      </c>
      <c r="I55" s="1">
        <v>400</v>
      </c>
      <c r="J55" s="1">
        <v>400</v>
      </c>
      <c r="K55" s="1">
        <v>463</v>
      </c>
      <c r="L55" s="1">
        <v>352</v>
      </c>
      <c r="M55" s="1">
        <v>352</v>
      </c>
      <c r="N55" s="1">
        <v>250</v>
      </c>
    </row>
    <row r="56" spans="1:14" x14ac:dyDescent="0.25">
      <c r="A56" s="1" t="s">
        <v>8</v>
      </c>
      <c r="B56" s="1" t="s">
        <v>146</v>
      </c>
      <c r="D56" s="1" t="s">
        <v>1</v>
      </c>
      <c r="E56" s="1" t="s">
        <v>120</v>
      </c>
      <c r="H56" s="1">
        <v>281</v>
      </c>
      <c r="I56" s="1">
        <v>281</v>
      </c>
      <c r="J56" s="1">
        <v>159</v>
      </c>
      <c r="K56" s="1">
        <v>159</v>
      </c>
      <c r="L56" s="1">
        <v>159</v>
      </c>
      <c r="M56" s="1">
        <v>159</v>
      </c>
      <c r="N56" s="1">
        <v>159</v>
      </c>
    </row>
    <row r="57" spans="1:14" x14ac:dyDescent="0.25">
      <c r="A57" s="1" t="s">
        <v>23</v>
      </c>
      <c r="B57" s="1" t="s">
        <v>146</v>
      </c>
      <c r="D57" s="1" t="s">
        <v>1</v>
      </c>
      <c r="E57" s="1" t="s">
        <v>2</v>
      </c>
      <c r="H57" s="1">
        <v>402</v>
      </c>
      <c r="I57" s="1">
        <v>402</v>
      </c>
      <c r="J57" s="1">
        <v>402</v>
      </c>
      <c r="K57" s="1">
        <v>463</v>
      </c>
      <c r="L57" s="1">
        <v>320</v>
      </c>
      <c r="M57" s="1">
        <v>322</v>
      </c>
      <c r="N57" s="1">
        <v>228</v>
      </c>
    </row>
    <row r="58" spans="1:14" x14ac:dyDescent="0.25">
      <c r="A58" s="1" t="s">
        <v>23</v>
      </c>
      <c r="B58" s="1" t="s">
        <v>146</v>
      </c>
      <c r="D58" s="1" t="s">
        <v>1</v>
      </c>
      <c r="E58" s="1" t="s">
        <v>120</v>
      </c>
      <c r="H58" s="1">
        <v>281</v>
      </c>
      <c r="I58" s="1">
        <v>281</v>
      </c>
      <c r="J58" s="1">
        <v>160</v>
      </c>
      <c r="K58" s="1">
        <v>160</v>
      </c>
      <c r="L58" s="1">
        <v>160</v>
      </c>
      <c r="M58" s="1">
        <v>160</v>
      </c>
      <c r="N58" s="1">
        <v>160</v>
      </c>
    </row>
    <row r="59" spans="1:14" x14ac:dyDescent="0.25">
      <c r="A59" s="1" t="s">
        <v>30</v>
      </c>
      <c r="B59" s="1" t="s">
        <v>146</v>
      </c>
      <c r="D59" s="1" t="s">
        <v>1</v>
      </c>
      <c r="E59" s="1" t="s">
        <v>2</v>
      </c>
      <c r="H59" s="1">
        <v>250</v>
      </c>
      <c r="I59" s="1">
        <v>250</v>
      </c>
      <c r="J59" s="1">
        <v>250</v>
      </c>
      <c r="K59" s="1">
        <v>171</v>
      </c>
      <c r="L59" s="1">
        <v>171</v>
      </c>
      <c r="M59" s="1">
        <v>99</v>
      </c>
      <c r="N59" s="1">
        <v>121</v>
      </c>
    </row>
    <row r="60" spans="1:14" x14ac:dyDescent="0.25">
      <c r="A60" s="1" t="s">
        <v>30</v>
      </c>
      <c r="B60" s="1" t="s">
        <v>146</v>
      </c>
      <c r="D60" s="1" t="s">
        <v>1</v>
      </c>
      <c r="E60" s="1" t="s">
        <v>120</v>
      </c>
      <c r="H60" s="1">
        <v>281</v>
      </c>
      <c r="I60" s="1">
        <v>281</v>
      </c>
      <c r="J60" s="1">
        <v>99</v>
      </c>
      <c r="K60" s="1">
        <v>99</v>
      </c>
      <c r="L60" s="1">
        <v>99</v>
      </c>
      <c r="M60" s="1">
        <v>171</v>
      </c>
      <c r="N60" s="1">
        <v>99</v>
      </c>
    </row>
    <row r="61" spans="1:14" x14ac:dyDescent="0.25">
      <c r="A61" s="1" t="s">
        <v>24</v>
      </c>
      <c r="B61" s="1" t="s">
        <v>146</v>
      </c>
      <c r="D61" s="1" t="s">
        <v>1</v>
      </c>
      <c r="E61" s="1" t="s">
        <v>2</v>
      </c>
      <c r="H61" s="1">
        <v>951</v>
      </c>
      <c r="I61" s="1">
        <v>951</v>
      </c>
      <c r="J61" s="1">
        <v>951</v>
      </c>
      <c r="K61" s="1">
        <v>463</v>
      </c>
      <c r="L61" s="1">
        <v>463</v>
      </c>
      <c r="M61" s="1">
        <v>463</v>
      </c>
      <c r="N61" s="1">
        <v>328</v>
      </c>
    </row>
    <row r="62" spans="1:14" x14ac:dyDescent="0.25">
      <c r="A62" s="1" t="s">
        <v>24</v>
      </c>
      <c r="B62" s="1" t="s">
        <v>146</v>
      </c>
      <c r="D62" s="1" t="s">
        <v>1</v>
      </c>
      <c r="E62" s="1" t="s">
        <v>120</v>
      </c>
      <c r="H62" s="1">
        <v>281</v>
      </c>
      <c r="I62" s="1">
        <v>281</v>
      </c>
      <c r="J62" s="1">
        <v>377</v>
      </c>
      <c r="K62" s="1">
        <v>377</v>
      </c>
      <c r="L62" s="1">
        <v>377</v>
      </c>
      <c r="M62" s="1">
        <v>377</v>
      </c>
      <c r="N62" s="1">
        <v>377</v>
      </c>
    </row>
    <row r="63" spans="1:14" x14ac:dyDescent="0.25">
      <c r="A63" s="1" t="s">
        <v>111</v>
      </c>
      <c r="B63" s="1" t="s">
        <v>146</v>
      </c>
      <c r="D63" s="1" t="s">
        <v>1</v>
      </c>
      <c r="E63" s="1" t="s">
        <v>2</v>
      </c>
      <c r="H63" s="1">
        <v>955</v>
      </c>
      <c r="I63" s="1">
        <v>955</v>
      </c>
      <c r="J63" s="1">
        <v>955</v>
      </c>
      <c r="K63" s="1">
        <v>463</v>
      </c>
      <c r="L63" s="1">
        <v>463</v>
      </c>
      <c r="M63" s="1">
        <v>463</v>
      </c>
      <c r="N63" s="1">
        <v>328</v>
      </c>
    </row>
    <row r="64" spans="1:14" x14ac:dyDescent="0.25">
      <c r="A64" s="1" t="s">
        <v>111</v>
      </c>
      <c r="B64" s="1" t="s">
        <v>146</v>
      </c>
      <c r="D64" s="1" t="s">
        <v>1</v>
      </c>
      <c r="E64" s="1" t="s">
        <v>120</v>
      </c>
      <c r="H64" s="1">
        <v>281</v>
      </c>
      <c r="I64" s="1">
        <v>281</v>
      </c>
      <c r="J64" s="1">
        <v>379</v>
      </c>
      <c r="K64" s="1">
        <v>379</v>
      </c>
      <c r="L64" s="1">
        <v>379</v>
      </c>
      <c r="M64" s="1">
        <v>379</v>
      </c>
      <c r="N64" s="1">
        <v>379</v>
      </c>
    </row>
    <row r="65" spans="1:15" x14ac:dyDescent="0.25">
      <c r="A65" s="1" t="s">
        <v>25</v>
      </c>
      <c r="B65" s="1" t="s">
        <v>146</v>
      </c>
      <c r="D65" s="1" t="s">
        <v>1</v>
      </c>
      <c r="E65" s="1" t="s">
        <v>2</v>
      </c>
      <c r="H65" s="1">
        <v>910</v>
      </c>
      <c r="I65" s="1">
        <v>910</v>
      </c>
      <c r="J65" s="1">
        <v>910</v>
      </c>
      <c r="K65" s="1">
        <v>463</v>
      </c>
      <c r="L65" s="1">
        <v>463</v>
      </c>
      <c r="M65" s="1">
        <v>463</v>
      </c>
      <c r="N65" s="1">
        <v>328</v>
      </c>
    </row>
    <row r="66" spans="1:15" x14ac:dyDescent="0.25">
      <c r="A66" s="1" t="s">
        <v>25</v>
      </c>
      <c r="B66" s="1" t="s">
        <v>146</v>
      </c>
      <c r="D66" s="1" t="s">
        <v>1</v>
      </c>
      <c r="E66" s="1" t="s">
        <v>120</v>
      </c>
      <c r="H66" s="1">
        <v>281</v>
      </c>
      <c r="I66" s="1">
        <v>281</v>
      </c>
      <c r="J66" s="1">
        <v>361</v>
      </c>
      <c r="K66" s="1">
        <v>361</v>
      </c>
      <c r="L66" s="1">
        <v>361</v>
      </c>
      <c r="M66" s="1">
        <v>361</v>
      </c>
      <c r="N66" s="1">
        <v>361</v>
      </c>
    </row>
    <row r="67" spans="1:15" x14ac:dyDescent="0.25">
      <c r="A67" s="2" t="s">
        <v>3</v>
      </c>
      <c r="B67" s="2" t="s">
        <v>4</v>
      </c>
      <c r="C67" s="2" t="s">
        <v>5</v>
      </c>
      <c r="D67" s="2" t="s">
        <v>6</v>
      </c>
      <c r="E67" s="2" t="s">
        <v>7</v>
      </c>
      <c r="F67" s="2">
        <v>2018</v>
      </c>
      <c r="G67" s="2">
        <v>2019</v>
      </c>
      <c r="H67" s="2">
        <v>2020</v>
      </c>
      <c r="I67" s="2">
        <v>2021</v>
      </c>
      <c r="J67" s="2">
        <v>2022</v>
      </c>
      <c r="K67" s="2">
        <v>2023</v>
      </c>
      <c r="L67" s="2">
        <v>2024</v>
      </c>
      <c r="M67" s="2">
        <v>2025</v>
      </c>
      <c r="N67" s="2">
        <v>2026</v>
      </c>
      <c r="O67" s="2">
        <v>2027</v>
      </c>
    </row>
    <row r="68" spans="1:15" x14ac:dyDescent="0.25">
      <c r="A68" s="1" t="s">
        <v>0</v>
      </c>
      <c r="B68" s="1" t="s">
        <v>146</v>
      </c>
      <c r="D68" s="1" t="s">
        <v>119</v>
      </c>
      <c r="E68" s="1" t="s">
        <v>2</v>
      </c>
      <c r="H68" s="1">
        <v>961</v>
      </c>
      <c r="I68" s="1">
        <v>961</v>
      </c>
      <c r="J68" s="1">
        <v>961</v>
      </c>
      <c r="K68" s="1">
        <v>463</v>
      </c>
      <c r="L68" s="1">
        <v>463</v>
      </c>
      <c r="M68" s="1">
        <v>463</v>
      </c>
      <c r="N68" s="1">
        <v>328</v>
      </c>
    </row>
    <row r="69" spans="1:15" x14ac:dyDescent="0.25">
      <c r="A69" s="1" t="s">
        <v>95</v>
      </c>
      <c r="B69" s="1" t="s">
        <v>146</v>
      </c>
      <c r="D69" s="1" t="s">
        <v>119</v>
      </c>
      <c r="E69" s="1" t="s">
        <v>2</v>
      </c>
      <c r="H69" s="1">
        <v>857</v>
      </c>
      <c r="I69" s="1">
        <v>857</v>
      </c>
      <c r="J69" s="1">
        <v>857</v>
      </c>
      <c r="K69" s="1">
        <v>463</v>
      </c>
      <c r="L69" s="1">
        <v>463</v>
      </c>
      <c r="M69" s="1">
        <v>463</v>
      </c>
      <c r="N69" s="1">
        <v>328</v>
      </c>
    </row>
    <row r="70" spans="1:15" x14ac:dyDescent="0.25">
      <c r="A70" s="1" t="s">
        <v>96</v>
      </c>
      <c r="B70" s="1" t="s">
        <v>146</v>
      </c>
      <c r="D70" s="1" t="s">
        <v>119</v>
      </c>
      <c r="E70" s="1" t="s">
        <v>2</v>
      </c>
      <c r="H70" s="1">
        <v>622</v>
      </c>
      <c r="I70" s="1">
        <v>622</v>
      </c>
      <c r="J70" s="1">
        <v>622</v>
      </c>
      <c r="K70" s="1">
        <v>463</v>
      </c>
      <c r="L70" s="1">
        <v>315</v>
      </c>
      <c r="M70" s="1">
        <v>315</v>
      </c>
      <c r="N70" s="1">
        <v>223</v>
      </c>
    </row>
    <row r="71" spans="1:15" x14ac:dyDescent="0.25">
      <c r="A71" s="1" t="s">
        <v>100</v>
      </c>
      <c r="B71" s="1" t="s">
        <v>146</v>
      </c>
      <c r="D71" s="1" t="s">
        <v>119</v>
      </c>
      <c r="E71" s="1" t="s">
        <v>2</v>
      </c>
      <c r="H71" s="1">
        <v>358</v>
      </c>
      <c r="I71" s="1">
        <v>358</v>
      </c>
      <c r="J71" s="1">
        <v>829</v>
      </c>
      <c r="K71" s="1">
        <v>463</v>
      </c>
      <c r="L71" s="1">
        <v>463</v>
      </c>
      <c r="M71" s="1">
        <v>463</v>
      </c>
      <c r="N71" s="1">
        <v>328</v>
      </c>
    </row>
    <row r="72" spans="1:15" x14ac:dyDescent="0.25">
      <c r="A72" s="1" t="s">
        <v>101</v>
      </c>
      <c r="B72" s="1" t="s">
        <v>146</v>
      </c>
      <c r="D72" s="1" t="s">
        <v>119</v>
      </c>
      <c r="E72" s="1" t="s">
        <v>2</v>
      </c>
      <c r="H72" s="1">
        <v>793</v>
      </c>
      <c r="I72" s="1">
        <v>793</v>
      </c>
      <c r="J72" s="1">
        <v>793</v>
      </c>
      <c r="K72" s="1">
        <v>463</v>
      </c>
      <c r="L72" s="1">
        <v>463</v>
      </c>
      <c r="M72" s="1">
        <v>463</v>
      </c>
      <c r="N72" s="1">
        <v>328</v>
      </c>
    </row>
    <row r="73" spans="1:15" x14ac:dyDescent="0.25">
      <c r="A73" s="1" t="s">
        <v>102</v>
      </c>
      <c r="B73" s="1" t="s">
        <v>146</v>
      </c>
      <c r="D73" s="1" t="s">
        <v>119</v>
      </c>
      <c r="E73" s="1" t="s">
        <v>2</v>
      </c>
      <c r="H73" s="1">
        <v>692</v>
      </c>
      <c r="I73" s="1">
        <v>692</v>
      </c>
      <c r="J73" s="1">
        <v>692</v>
      </c>
      <c r="K73" s="1">
        <v>463</v>
      </c>
      <c r="L73" s="1">
        <v>463</v>
      </c>
      <c r="M73" s="1">
        <v>463</v>
      </c>
      <c r="N73" s="1">
        <v>328</v>
      </c>
    </row>
    <row r="74" spans="1:15" x14ac:dyDescent="0.25">
      <c r="A74" s="1" t="s">
        <v>8</v>
      </c>
      <c r="B74" s="1" t="s">
        <v>146</v>
      </c>
      <c r="D74" s="1" t="s">
        <v>119</v>
      </c>
      <c r="E74" s="1" t="s">
        <v>2</v>
      </c>
      <c r="H74" s="1">
        <v>400</v>
      </c>
      <c r="I74" s="1">
        <v>400</v>
      </c>
      <c r="J74" s="1">
        <v>400</v>
      </c>
      <c r="K74" s="1">
        <v>463</v>
      </c>
      <c r="L74" s="1">
        <v>352</v>
      </c>
      <c r="M74" s="1">
        <v>352</v>
      </c>
      <c r="N74" s="1">
        <v>250</v>
      </c>
    </row>
    <row r="75" spans="1:15" x14ac:dyDescent="0.25">
      <c r="A75" s="1" t="s">
        <v>23</v>
      </c>
      <c r="B75" s="1" t="s">
        <v>146</v>
      </c>
      <c r="D75" s="1" t="s">
        <v>119</v>
      </c>
      <c r="E75" s="1" t="s">
        <v>2</v>
      </c>
      <c r="H75" s="1">
        <v>402</v>
      </c>
      <c r="I75" s="1">
        <v>402</v>
      </c>
      <c r="J75" s="1">
        <v>402</v>
      </c>
      <c r="K75" s="1">
        <v>463</v>
      </c>
      <c r="L75" s="1">
        <v>320</v>
      </c>
      <c r="M75" s="1">
        <v>322</v>
      </c>
      <c r="N75" s="1">
        <v>228</v>
      </c>
    </row>
    <row r="76" spans="1:15" x14ac:dyDescent="0.25">
      <c r="A76" s="1" t="s">
        <v>30</v>
      </c>
      <c r="B76" s="1" t="s">
        <v>146</v>
      </c>
      <c r="D76" s="1" t="s">
        <v>119</v>
      </c>
      <c r="E76" s="1" t="s">
        <v>2</v>
      </c>
      <c r="H76" s="1">
        <v>250</v>
      </c>
      <c r="I76" s="1">
        <v>250</v>
      </c>
      <c r="J76" s="1">
        <v>250</v>
      </c>
      <c r="K76" s="1">
        <v>171</v>
      </c>
      <c r="L76" s="1">
        <v>171</v>
      </c>
      <c r="M76" s="1">
        <v>171</v>
      </c>
      <c r="N76" s="1">
        <v>121</v>
      </c>
    </row>
    <row r="77" spans="1:15" x14ac:dyDescent="0.25">
      <c r="A77" s="1" t="s">
        <v>24</v>
      </c>
      <c r="B77" s="1" t="s">
        <v>146</v>
      </c>
      <c r="D77" s="1" t="s">
        <v>119</v>
      </c>
      <c r="E77" s="1" t="s">
        <v>2</v>
      </c>
      <c r="H77" s="1">
        <v>951</v>
      </c>
      <c r="I77" s="1">
        <v>951</v>
      </c>
      <c r="J77" s="1">
        <v>951</v>
      </c>
      <c r="K77" s="1">
        <v>463</v>
      </c>
      <c r="L77" s="1">
        <v>463</v>
      </c>
      <c r="M77" s="1">
        <v>463</v>
      </c>
      <c r="N77" s="1">
        <v>328</v>
      </c>
    </row>
    <row r="78" spans="1:15" x14ac:dyDescent="0.25">
      <c r="A78" s="1" t="s">
        <v>111</v>
      </c>
      <c r="B78" s="1" t="s">
        <v>146</v>
      </c>
      <c r="D78" s="1" t="s">
        <v>119</v>
      </c>
      <c r="E78" s="1" t="s">
        <v>2</v>
      </c>
      <c r="H78" s="1">
        <v>955</v>
      </c>
      <c r="I78" s="1">
        <v>955</v>
      </c>
      <c r="J78" s="1">
        <v>955</v>
      </c>
      <c r="K78" s="1">
        <v>463</v>
      </c>
      <c r="L78" s="1">
        <v>463</v>
      </c>
      <c r="M78" s="1">
        <v>463</v>
      </c>
      <c r="N78" s="1">
        <v>328</v>
      </c>
    </row>
    <row r="79" spans="1:15" x14ac:dyDescent="0.25">
      <c r="A79" s="1" t="s">
        <v>25</v>
      </c>
      <c r="B79" s="1" t="s">
        <v>146</v>
      </c>
      <c r="D79" s="1" t="s">
        <v>119</v>
      </c>
      <c r="E79" s="1" t="s">
        <v>2</v>
      </c>
      <c r="H79" s="1">
        <v>910</v>
      </c>
      <c r="I79" s="1">
        <v>910</v>
      </c>
      <c r="J79" s="1">
        <v>910</v>
      </c>
      <c r="K79" s="1">
        <v>463</v>
      </c>
      <c r="L79" s="1">
        <v>463</v>
      </c>
      <c r="M79" s="1">
        <v>463</v>
      </c>
      <c r="N79" s="1">
        <v>328</v>
      </c>
    </row>
  </sheetData>
  <sortState xmlns:xlrd2="http://schemas.microsoft.com/office/spreadsheetml/2017/richdata2" ref="A2:O79">
    <sortCondition ref="D7:D79"/>
  </sortState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0037-7744-42A3-BCA2-1F3788302C48}">
  <dimension ref="A1:Q2"/>
  <sheetViews>
    <sheetView topLeftCell="B1" workbookViewId="0">
      <selection sqref="A1:O2"/>
    </sheetView>
  </sheetViews>
  <sheetFormatPr defaultRowHeight="15" x14ac:dyDescent="0.25"/>
  <cols>
    <col min="1" max="1" width="13.5703125" style="1" customWidth="1"/>
    <col min="2" max="2" width="23.140625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25</v>
      </c>
      <c r="B2" s="1" t="s">
        <v>149</v>
      </c>
      <c r="D2" s="1" t="s">
        <v>16</v>
      </c>
      <c r="E2" s="1" t="s">
        <v>2</v>
      </c>
      <c r="F2" s="1">
        <v>216.67</v>
      </c>
      <c r="G2" s="1">
        <v>215.77</v>
      </c>
      <c r="H2" s="1">
        <v>215.77</v>
      </c>
      <c r="I2" s="1">
        <v>229.87</v>
      </c>
      <c r="J2" s="1">
        <v>235.84</v>
      </c>
      <c r="K2" s="1">
        <v>215.07</v>
      </c>
      <c r="L2" s="1">
        <v>193.58</v>
      </c>
      <c r="M2" s="1">
        <v>149.24</v>
      </c>
      <c r="N2" s="1">
        <v>84.71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3523-664E-4F8F-B832-2BE9BD5AE768}">
  <dimension ref="A1:Q2"/>
  <sheetViews>
    <sheetView workbookViewId="0">
      <selection sqref="A1:O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84</v>
      </c>
      <c r="B2" s="1" t="s">
        <v>150</v>
      </c>
      <c r="D2" s="1" t="s">
        <v>16</v>
      </c>
      <c r="E2" s="1" t="s">
        <v>2</v>
      </c>
      <c r="F2" s="1">
        <v>51.47</v>
      </c>
      <c r="G2" s="1">
        <v>51.47</v>
      </c>
      <c r="H2" s="1">
        <v>51.47</v>
      </c>
      <c r="I2" s="1">
        <v>51.46</v>
      </c>
      <c r="J2" s="1">
        <v>51.46</v>
      </c>
      <c r="K2" s="1">
        <v>51.46</v>
      </c>
      <c r="L2" s="1">
        <v>51.46</v>
      </c>
      <c r="M2" s="1">
        <v>51.46</v>
      </c>
      <c r="N2" s="1">
        <v>42.66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C731-0E8E-46FA-BE07-46E1608B836B}">
  <dimension ref="A1:Q22"/>
  <sheetViews>
    <sheetView topLeftCell="A10" workbookViewId="0">
      <selection activeCell="E7" sqref="A2:O2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0</v>
      </c>
      <c r="B2" s="1" t="s">
        <v>151</v>
      </c>
      <c r="C2" s="1" t="s">
        <v>152</v>
      </c>
      <c r="D2" s="1" t="s">
        <v>136</v>
      </c>
      <c r="E2" s="1" t="s">
        <v>120</v>
      </c>
      <c r="F2" s="1">
        <v>1100</v>
      </c>
      <c r="G2" s="1">
        <v>1017</v>
      </c>
      <c r="H2" s="1">
        <v>1017</v>
      </c>
      <c r="J2" s="1">
        <v>1013</v>
      </c>
      <c r="L2" s="1">
        <v>995</v>
      </c>
      <c r="M2" s="1">
        <v>1004</v>
      </c>
      <c r="N2" s="1">
        <v>1103</v>
      </c>
      <c r="O2" s="1">
        <v>1151</v>
      </c>
    </row>
    <row r="3" spans="1:15" x14ac:dyDescent="0.25">
      <c r="A3" s="1" t="s">
        <v>100</v>
      </c>
      <c r="B3" s="1" t="s">
        <v>151</v>
      </c>
      <c r="C3" s="1" t="s">
        <v>153</v>
      </c>
      <c r="D3" s="1" t="s">
        <v>136</v>
      </c>
      <c r="E3" s="1" t="s">
        <v>2</v>
      </c>
      <c r="F3" s="1">
        <v>1117</v>
      </c>
      <c r="G3" s="1">
        <v>1117</v>
      </c>
      <c r="H3" s="1">
        <v>1117</v>
      </c>
      <c r="I3" s="1">
        <v>1015</v>
      </c>
      <c r="J3" s="1">
        <v>1013</v>
      </c>
      <c r="L3" s="1">
        <v>994</v>
      </c>
      <c r="M3" s="1">
        <v>996</v>
      </c>
      <c r="N3" s="1">
        <v>998</v>
      </c>
      <c r="O3" s="1">
        <v>1004</v>
      </c>
    </row>
    <row r="4" spans="1:15" x14ac:dyDescent="0.25">
      <c r="A4" s="1" t="s">
        <v>101</v>
      </c>
      <c r="B4" s="1" t="s">
        <v>151</v>
      </c>
      <c r="C4" s="1" t="s">
        <v>126</v>
      </c>
      <c r="D4" s="1" t="s">
        <v>16</v>
      </c>
      <c r="E4" s="1" t="s">
        <v>2</v>
      </c>
      <c r="F4" s="1">
        <v>4313</v>
      </c>
      <c r="G4" s="1">
        <v>4427</v>
      </c>
      <c r="J4" s="1">
        <v>4557</v>
      </c>
      <c r="K4" s="1">
        <v>4352</v>
      </c>
      <c r="L4" s="1">
        <v>4149</v>
      </c>
      <c r="M4" s="1">
        <v>3865</v>
      </c>
      <c r="N4" s="1">
        <v>3583</v>
      </c>
      <c r="O4" s="1">
        <v>3068</v>
      </c>
    </row>
    <row r="5" spans="1:15" x14ac:dyDescent="0.25">
      <c r="A5" s="1" t="s">
        <v>102</v>
      </c>
      <c r="B5" s="1" t="s">
        <v>151</v>
      </c>
      <c r="C5" s="1" t="s">
        <v>154</v>
      </c>
      <c r="D5" s="1" t="s">
        <v>16</v>
      </c>
      <c r="E5" s="1" t="s">
        <v>2</v>
      </c>
      <c r="F5" s="1">
        <v>4313</v>
      </c>
      <c r="G5" s="1">
        <v>4427</v>
      </c>
      <c r="H5" s="1">
        <v>1140</v>
      </c>
      <c r="I5" s="1">
        <v>1140</v>
      </c>
      <c r="J5" s="1">
        <v>1140</v>
      </c>
      <c r="K5" s="1">
        <v>4247</v>
      </c>
      <c r="L5" s="1">
        <v>4073</v>
      </c>
      <c r="M5" s="1">
        <v>3363</v>
      </c>
      <c r="N5" s="1">
        <v>2779</v>
      </c>
      <c r="O5" s="1">
        <v>2359</v>
      </c>
    </row>
    <row r="6" spans="1:15" x14ac:dyDescent="0.25">
      <c r="A6" s="1" t="s">
        <v>102</v>
      </c>
      <c r="B6" s="1" t="s">
        <v>151</v>
      </c>
      <c r="C6" s="1" t="s">
        <v>155</v>
      </c>
      <c r="D6" s="1" t="s">
        <v>16</v>
      </c>
      <c r="E6" s="1" t="s">
        <v>2</v>
      </c>
      <c r="F6" s="1">
        <v>4313</v>
      </c>
      <c r="G6" s="1">
        <v>4427</v>
      </c>
      <c r="H6" s="1">
        <v>4383</v>
      </c>
      <c r="I6" s="1">
        <v>2583</v>
      </c>
      <c r="J6" s="1">
        <v>4557</v>
      </c>
      <c r="K6" s="1">
        <v>4247</v>
      </c>
      <c r="L6" s="1">
        <v>4337</v>
      </c>
      <c r="M6" s="1">
        <v>4055</v>
      </c>
      <c r="N6" s="1">
        <v>3373</v>
      </c>
      <c r="O6" s="1">
        <v>3060</v>
      </c>
    </row>
    <row r="7" spans="1:15" x14ac:dyDescent="0.25">
      <c r="A7" s="1" t="s">
        <v>102</v>
      </c>
      <c r="B7" s="1" t="s">
        <v>151</v>
      </c>
      <c r="C7" s="1" t="s">
        <v>156</v>
      </c>
      <c r="D7" s="1" t="s">
        <v>16</v>
      </c>
      <c r="E7" s="1" t="s">
        <v>2</v>
      </c>
      <c r="F7" s="1">
        <v>4313</v>
      </c>
      <c r="G7" s="1">
        <v>4427</v>
      </c>
      <c r="H7" s="1">
        <v>4383</v>
      </c>
      <c r="I7" s="1">
        <v>1889</v>
      </c>
      <c r="J7" s="1">
        <v>4557</v>
      </c>
      <c r="K7" s="1">
        <v>4247</v>
      </c>
      <c r="L7" s="1">
        <v>3694</v>
      </c>
      <c r="M7" s="1">
        <v>3156</v>
      </c>
      <c r="N7" s="1">
        <v>2576</v>
      </c>
      <c r="O7" s="1">
        <v>2462</v>
      </c>
    </row>
    <row r="8" spans="1:15" x14ac:dyDescent="0.25">
      <c r="A8" s="1" t="s">
        <v>20</v>
      </c>
      <c r="B8" s="1" t="s">
        <v>151</v>
      </c>
      <c r="C8" s="1" t="s">
        <v>156</v>
      </c>
      <c r="D8" s="1" t="s">
        <v>16</v>
      </c>
      <c r="E8" s="1" t="s">
        <v>2</v>
      </c>
      <c r="K8" s="1">
        <v>3694</v>
      </c>
      <c r="L8" s="1">
        <v>3694</v>
      </c>
      <c r="M8" s="1">
        <v>3156</v>
      </c>
      <c r="N8" s="1">
        <v>2576</v>
      </c>
      <c r="O8" s="1">
        <v>2462</v>
      </c>
    </row>
    <row r="9" spans="1:15" x14ac:dyDescent="0.25">
      <c r="A9" s="1" t="s">
        <v>157</v>
      </c>
      <c r="B9" s="1" t="s">
        <v>151</v>
      </c>
      <c r="C9" s="1" t="s">
        <v>152</v>
      </c>
      <c r="D9" s="1" t="s">
        <v>136</v>
      </c>
      <c r="E9" s="1" t="s">
        <v>120</v>
      </c>
      <c r="F9" s="1">
        <v>1100</v>
      </c>
      <c r="G9" s="1">
        <v>1017</v>
      </c>
      <c r="H9" s="1">
        <v>1017</v>
      </c>
      <c r="I9" s="1">
        <v>1015</v>
      </c>
      <c r="J9" s="1">
        <v>1013</v>
      </c>
      <c r="L9" s="1">
        <v>995</v>
      </c>
      <c r="M9" s="1">
        <v>1004</v>
      </c>
      <c r="N9" s="1">
        <v>1103</v>
      </c>
      <c r="O9" s="1">
        <v>1151</v>
      </c>
    </row>
    <row r="10" spans="1:15" x14ac:dyDescent="0.25">
      <c r="A10" s="1" t="s">
        <v>82</v>
      </c>
      <c r="B10" s="1" t="s">
        <v>151</v>
      </c>
      <c r="C10" s="1" t="s">
        <v>152</v>
      </c>
      <c r="D10" s="1" t="s">
        <v>136</v>
      </c>
      <c r="E10" s="1" t="s">
        <v>120</v>
      </c>
      <c r="F10" s="1">
        <v>1100</v>
      </c>
      <c r="G10" s="1">
        <v>1017</v>
      </c>
      <c r="H10" s="1">
        <v>1017</v>
      </c>
      <c r="J10" s="1">
        <v>1013</v>
      </c>
      <c r="L10" s="1">
        <v>995</v>
      </c>
      <c r="M10" s="1">
        <v>1004</v>
      </c>
      <c r="N10" s="1">
        <v>1103</v>
      </c>
      <c r="O10" s="1">
        <v>1151</v>
      </c>
    </row>
    <row r="11" spans="1:15" x14ac:dyDescent="0.25">
      <c r="A11" s="1" t="s">
        <v>24</v>
      </c>
      <c r="B11" s="1" t="s">
        <v>151</v>
      </c>
      <c r="C11" s="1" t="s">
        <v>154</v>
      </c>
      <c r="D11" s="1" t="s">
        <v>16</v>
      </c>
      <c r="E11" s="1" t="s">
        <v>2</v>
      </c>
      <c r="F11" s="1">
        <v>4313</v>
      </c>
      <c r="G11" s="1">
        <v>4427</v>
      </c>
      <c r="H11" s="1">
        <v>1140</v>
      </c>
      <c r="I11" s="1">
        <v>1140</v>
      </c>
      <c r="J11" s="1">
        <v>1140</v>
      </c>
      <c r="K11" s="1">
        <v>4247</v>
      </c>
      <c r="L11" s="1">
        <v>4073</v>
      </c>
      <c r="M11" s="1">
        <v>4073</v>
      </c>
      <c r="N11" s="1">
        <v>4196</v>
      </c>
      <c r="O11" s="1">
        <v>3948</v>
      </c>
    </row>
    <row r="12" spans="1:15" x14ac:dyDescent="0.25">
      <c r="A12" s="1" t="s">
        <v>25</v>
      </c>
      <c r="B12" s="1" t="s">
        <v>151</v>
      </c>
      <c r="C12" s="1" t="s">
        <v>126</v>
      </c>
      <c r="D12" s="1" t="s">
        <v>16</v>
      </c>
      <c r="E12" s="1" t="s">
        <v>2</v>
      </c>
      <c r="F12" s="1">
        <v>4313</v>
      </c>
      <c r="G12" s="1">
        <v>4427</v>
      </c>
      <c r="H12" s="1">
        <v>4383</v>
      </c>
      <c r="I12" s="1">
        <v>4383</v>
      </c>
      <c r="J12" s="1">
        <v>4557</v>
      </c>
      <c r="K12" s="1">
        <v>4352</v>
      </c>
      <c r="L12" s="1">
        <v>4149</v>
      </c>
      <c r="M12" s="1">
        <v>3645</v>
      </c>
      <c r="N12" s="1">
        <v>3585</v>
      </c>
      <c r="O12" s="1">
        <v>3115</v>
      </c>
    </row>
    <row r="13" spans="1:15" x14ac:dyDescent="0.25">
      <c r="A13" s="1" t="s">
        <v>25</v>
      </c>
      <c r="B13" s="1" t="s">
        <v>151</v>
      </c>
      <c r="C13" s="1" t="s">
        <v>158</v>
      </c>
      <c r="D13" s="1" t="s">
        <v>16</v>
      </c>
      <c r="E13" s="1" t="s">
        <v>2</v>
      </c>
      <c r="F13" s="1">
        <v>4313</v>
      </c>
      <c r="G13" s="1">
        <v>4427</v>
      </c>
      <c r="H13" s="1">
        <v>1889</v>
      </c>
      <c r="I13" s="1">
        <v>1889</v>
      </c>
      <c r="J13" s="1">
        <v>4597</v>
      </c>
      <c r="K13" s="1">
        <v>4491</v>
      </c>
      <c r="L13" s="1">
        <v>3727</v>
      </c>
      <c r="M13" s="1">
        <v>2312</v>
      </c>
      <c r="N13" s="1">
        <v>897</v>
      </c>
      <c r="O13" s="1">
        <v>731</v>
      </c>
    </row>
    <row r="14" spans="1:15" x14ac:dyDescent="0.25">
      <c r="A14" s="1" t="s">
        <v>116</v>
      </c>
      <c r="B14" s="1" t="s">
        <v>151</v>
      </c>
      <c r="C14" s="1" t="s">
        <v>154</v>
      </c>
      <c r="D14" s="1" t="s">
        <v>136</v>
      </c>
      <c r="E14" s="1" t="s">
        <v>2</v>
      </c>
      <c r="F14" s="1">
        <v>902</v>
      </c>
      <c r="G14" s="1">
        <v>902</v>
      </c>
      <c r="H14" s="1">
        <v>902</v>
      </c>
      <c r="I14" s="1">
        <v>902</v>
      </c>
      <c r="L14" s="1">
        <v>902</v>
      </c>
      <c r="M14" s="1">
        <v>902</v>
      </c>
      <c r="N14" s="1">
        <v>902</v>
      </c>
      <c r="O14" s="1">
        <v>902</v>
      </c>
    </row>
    <row r="15" spans="1:15" x14ac:dyDescent="0.25">
      <c r="A15" s="1" t="s">
        <v>116</v>
      </c>
      <c r="B15" s="1" t="s">
        <v>151</v>
      </c>
      <c r="C15" s="1" t="s">
        <v>154</v>
      </c>
      <c r="D15" s="1" t="s">
        <v>136</v>
      </c>
      <c r="E15" s="1" t="s">
        <v>120</v>
      </c>
      <c r="F15" s="1">
        <v>556</v>
      </c>
      <c r="G15" s="1">
        <v>556</v>
      </c>
      <c r="H15" s="1">
        <v>556</v>
      </c>
      <c r="I15" s="1">
        <v>556</v>
      </c>
      <c r="L15" s="1">
        <v>556</v>
      </c>
      <c r="M15" s="1">
        <v>556</v>
      </c>
      <c r="N15" s="1">
        <v>556</v>
      </c>
      <c r="O15" s="1">
        <v>575</v>
      </c>
    </row>
    <row r="16" spans="1:15" x14ac:dyDescent="0.25">
      <c r="A16" s="1" t="s">
        <v>116</v>
      </c>
      <c r="B16" s="1" t="s">
        <v>151</v>
      </c>
      <c r="C16" s="1" t="s">
        <v>152</v>
      </c>
      <c r="D16" s="1" t="s">
        <v>136</v>
      </c>
      <c r="E16" s="1" t="s">
        <v>120</v>
      </c>
      <c r="F16" s="1">
        <v>1100</v>
      </c>
      <c r="G16" s="1">
        <v>1017</v>
      </c>
      <c r="H16" s="1">
        <v>1017</v>
      </c>
      <c r="I16" s="1">
        <v>1015</v>
      </c>
      <c r="J16" s="1">
        <v>1013</v>
      </c>
      <c r="L16" s="1">
        <v>995</v>
      </c>
      <c r="M16" s="1">
        <v>1004</v>
      </c>
      <c r="N16" s="1">
        <v>1103</v>
      </c>
      <c r="O16" s="1">
        <v>1151</v>
      </c>
    </row>
    <row r="17" spans="1:15" x14ac:dyDescent="0.25">
      <c r="A17" s="1" t="s">
        <v>84</v>
      </c>
      <c r="B17" s="1" t="s">
        <v>151</v>
      </c>
      <c r="C17" s="1" t="s">
        <v>126</v>
      </c>
      <c r="D17" s="1" t="s">
        <v>16</v>
      </c>
      <c r="E17" s="1" t="s">
        <v>2</v>
      </c>
      <c r="F17" s="1">
        <v>4313</v>
      </c>
      <c r="G17" s="1">
        <v>4427</v>
      </c>
      <c r="J17" s="1">
        <v>4557</v>
      </c>
      <c r="K17" s="1">
        <v>4352</v>
      </c>
      <c r="L17" s="1">
        <v>4149</v>
      </c>
      <c r="M17" s="1">
        <v>3865</v>
      </c>
      <c r="N17" s="1">
        <v>3583</v>
      </c>
      <c r="O17" s="1">
        <v>3068</v>
      </c>
    </row>
    <row r="18" spans="1:15" x14ac:dyDescent="0.25">
      <c r="A18" s="1" t="s">
        <v>84</v>
      </c>
      <c r="B18" s="1" t="s">
        <v>151</v>
      </c>
      <c r="C18" s="1" t="s">
        <v>155</v>
      </c>
      <c r="D18" s="1" t="s">
        <v>16</v>
      </c>
      <c r="E18" s="1" t="s">
        <v>2</v>
      </c>
      <c r="F18" s="1">
        <v>4313</v>
      </c>
      <c r="G18" s="1">
        <v>4427</v>
      </c>
      <c r="H18" s="1">
        <v>4383</v>
      </c>
      <c r="I18" s="1">
        <v>2583</v>
      </c>
      <c r="J18" s="1">
        <v>4557</v>
      </c>
      <c r="K18" s="1">
        <v>4247</v>
      </c>
      <c r="L18" s="1">
        <v>4123</v>
      </c>
      <c r="M18" s="1">
        <v>3441</v>
      </c>
      <c r="N18" s="1">
        <v>2908</v>
      </c>
      <c r="O18" s="1">
        <v>2562</v>
      </c>
    </row>
    <row r="19" spans="1:15" x14ac:dyDescent="0.25">
      <c r="A19" s="1" t="s">
        <v>84</v>
      </c>
      <c r="B19" s="1" t="s">
        <v>151</v>
      </c>
      <c r="C19" s="1" t="s">
        <v>156</v>
      </c>
      <c r="D19" s="1" t="s">
        <v>16</v>
      </c>
      <c r="E19" s="1" t="s">
        <v>2</v>
      </c>
      <c r="F19" s="1">
        <v>4313</v>
      </c>
      <c r="G19" s="1">
        <v>4427</v>
      </c>
      <c r="H19" s="1">
        <v>4383</v>
      </c>
      <c r="I19" s="1">
        <v>1889</v>
      </c>
      <c r="J19" s="1">
        <v>4557</v>
      </c>
      <c r="K19" s="1">
        <v>4247</v>
      </c>
      <c r="L19" s="1">
        <v>3694</v>
      </c>
      <c r="M19" s="1">
        <v>3156</v>
      </c>
      <c r="N19" s="1">
        <v>2576</v>
      </c>
      <c r="O19" s="1">
        <v>2313</v>
      </c>
    </row>
    <row r="20" spans="1:15" x14ac:dyDescent="0.25">
      <c r="A20" s="1" t="s">
        <v>84</v>
      </c>
      <c r="B20" s="1" t="s">
        <v>151</v>
      </c>
      <c r="C20" s="1" t="s">
        <v>152</v>
      </c>
      <c r="D20" s="1" t="s">
        <v>136</v>
      </c>
      <c r="E20" s="1" t="s">
        <v>120</v>
      </c>
      <c r="F20" s="1">
        <v>1100</v>
      </c>
      <c r="G20" s="1">
        <v>1017</v>
      </c>
      <c r="H20" s="1">
        <v>1017</v>
      </c>
      <c r="J20" s="1">
        <v>1013</v>
      </c>
      <c r="L20" s="1">
        <v>995</v>
      </c>
      <c r="M20" s="1">
        <v>1004</v>
      </c>
      <c r="N20" s="1">
        <v>1103</v>
      </c>
      <c r="O20" s="1">
        <v>1151</v>
      </c>
    </row>
    <row r="21" spans="1:15" x14ac:dyDescent="0.25">
      <c r="A21" s="1" t="s">
        <v>117</v>
      </c>
      <c r="B21" s="1" t="s">
        <v>151</v>
      </c>
      <c r="C21" s="1" t="s">
        <v>154</v>
      </c>
      <c r="D21" s="1" t="s">
        <v>136</v>
      </c>
      <c r="E21" s="1" t="s">
        <v>2</v>
      </c>
      <c r="K21" s="1">
        <v>902</v>
      </c>
      <c r="L21" s="1">
        <v>902</v>
      </c>
      <c r="M21" s="1">
        <v>902</v>
      </c>
      <c r="N21" s="1">
        <v>902</v>
      </c>
      <c r="O21" s="1">
        <v>902</v>
      </c>
    </row>
    <row r="22" spans="1:15" x14ac:dyDescent="0.25">
      <c r="A22" s="1" t="s">
        <v>117</v>
      </c>
      <c r="B22" s="1" t="s">
        <v>151</v>
      </c>
      <c r="C22" s="1" t="s">
        <v>154</v>
      </c>
      <c r="D22" s="1" t="s">
        <v>136</v>
      </c>
      <c r="E22" s="1" t="s">
        <v>120</v>
      </c>
      <c r="K22" s="1">
        <v>556</v>
      </c>
      <c r="L22" s="1">
        <v>556</v>
      </c>
      <c r="M22" s="1">
        <v>556</v>
      </c>
      <c r="N22" s="1">
        <v>556</v>
      </c>
      <c r="O22" s="1">
        <v>575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C917-1FA8-436B-9FC1-563388826DE3}">
  <dimension ref="A1:Q2"/>
  <sheetViews>
    <sheetView workbookViewId="0">
      <selection sqref="A1:O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84</v>
      </c>
      <c r="B2" s="1" t="s">
        <v>159</v>
      </c>
      <c r="C2" s="1" t="s">
        <v>160</v>
      </c>
      <c r="D2" s="1" t="s">
        <v>16</v>
      </c>
      <c r="E2" s="1" t="s">
        <v>2</v>
      </c>
      <c r="F2" s="1">
        <v>142.99</v>
      </c>
      <c r="G2" s="1">
        <v>148.99</v>
      </c>
      <c r="J2" s="1">
        <v>182.67</v>
      </c>
      <c r="K2" s="1">
        <v>180.2</v>
      </c>
      <c r="L2" s="1">
        <v>191.87</v>
      </c>
      <c r="M2" s="1">
        <v>191.87</v>
      </c>
      <c r="N2" s="1">
        <v>136.03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9F190-DA7C-4AEE-90B6-DA51147D8589}">
  <dimension ref="A1:Q7"/>
  <sheetViews>
    <sheetView workbookViewId="0">
      <selection sqref="A1:O7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0</v>
      </c>
      <c r="B2" s="1" t="s">
        <v>161</v>
      </c>
      <c r="C2" s="1" t="s">
        <v>162</v>
      </c>
      <c r="D2" s="1" t="s">
        <v>16</v>
      </c>
      <c r="E2" s="1" t="s">
        <v>2</v>
      </c>
      <c r="F2" s="1">
        <v>206</v>
      </c>
      <c r="G2" s="1">
        <v>175</v>
      </c>
      <c r="J2" s="1">
        <v>206</v>
      </c>
      <c r="K2" s="1">
        <v>206</v>
      </c>
      <c r="L2" s="1">
        <v>206</v>
      </c>
      <c r="M2" s="1">
        <v>181</v>
      </c>
      <c r="N2" s="1">
        <v>165</v>
      </c>
      <c r="O2" s="1">
        <v>143</v>
      </c>
    </row>
    <row r="3" spans="1:15" x14ac:dyDescent="0.25">
      <c r="A3" s="1" t="s">
        <v>102</v>
      </c>
      <c r="B3" s="1" t="s">
        <v>161</v>
      </c>
      <c r="C3" s="1" t="s">
        <v>162</v>
      </c>
      <c r="D3" s="1" t="s">
        <v>16</v>
      </c>
      <c r="E3" s="1" t="s">
        <v>2</v>
      </c>
      <c r="F3" s="1">
        <v>206</v>
      </c>
      <c r="G3" s="1">
        <v>175</v>
      </c>
      <c r="H3" s="1">
        <v>175</v>
      </c>
      <c r="I3" s="1">
        <v>191</v>
      </c>
      <c r="J3" s="1">
        <v>206</v>
      </c>
      <c r="K3" s="1">
        <v>206</v>
      </c>
      <c r="L3" s="1">
        <v>206</v>
      </c>
      <c r="M3" s="1">
        <v>181</v>
      </c>
      <c r="N3" s="1">
        <v>165</v>
      </c>
      <c r="O3" s="1">
        <v>143</v>
      </c>
    </row>
    <row r="4" spans="1:15" x14ac:dyDescent="0.25">
      <c r="A4" s="1" t="s">
        <v>9</v>
      </c>
      <c r="B4" s="1" t="s">
        <v>161</v>
      </c>
      <c r="C4" s="1" t="s">
        <v>162</v>
      </c>
      <c r="D4" s="1" t="s">
        <v>16</v>
      </c>
      <c r="E4" s="1" t="s">
        <v>2</v>
      </c>
      <c r="F4" s="1">
        <v>206</v>
      </c>
      <c r="G4" s="1">
        <v>175</v>
      </c>
      <c r="J4" s="1">
        <v>206</v>
      </c>
      <c r="K4" s="1">
        <v>206</v>
      </c>
      <c r="L4" s="1">
        <v>206</v>
      </c>
      <c r="M4" s="1">
        <v>181</v>
      </c>
      <c r="N4" s="1">
        <v>165</v>
      </c>
      <c r="O4" s="1">
        <v>172</v>
      </c>
    </row>
    <row r="5" spans="1:15" x14ac:dyDescent="0.25">
      <c r="A5" s="1" t="s">
        <v>25</v>
      </c>
      <c r="B5" s="1" t="s">
        <v>161</v>
      </c>
      <c r="C5" s="1" t="s">
        <v>162</v>
      </c>
      <c r="D5" s="1" t="s">
        <v>16</v>
      </c>
      <c r="E5" s="1" t="s">
        <v>2</v>
      </c>
      <c r="F5" s="1">
        <v>206</v>
      </c>
      <c r="G5" s="1">
        <v>175</v>
      </c>
      <c r="H5" s="1">
        <v>175</v>
      </c>
      <c r="I5" s="1">
        <v>191</v>
      </c>
      <c r="J5" s="1">
        <v>206</v>
      </c>
      <c r="K5" s="1">
        <v>206</v>
      </c>
      <c r="L5" s="1">
        <v>206</v>
      </c>
      <c r="M5" s="1">
        <v>246</v>
      </c>
      <c r="N5" s="1">
        <v>317</v>
      </c>
      <c r="O5" s="1">
        <v>459</v>
      </c>
    </row>
    <row r="6" spans="1:15" x14ac:dyDescent="0.25">
      <c r="A6" s="1" t="s">
        <v>25</v>
      </c>
      <c r="B6" s="1" t="s">
        <v>161</v>
      </c>
      <c r="C6" s="1" t="s">
        <v>163</v>
      </c>
      <c r="D6" s="1" t="s">
        <v>16</v>
      </c>
      <c r="E6" s="1" t="s">
        <v>2</v>
      </c>
      <c r="F6" s="1">
        <v>206</v>
      </c>
      <c r="G6" s="1">
        <v>175</v>
      </c>
      <c r="H6" s="1">
        <v>175</v>
      </c>
      <c r="I6" s="1">
        <v>191</v>
      </c>
      <c r="J6" s="1">
        <v>206</v>
      </c>
      <c r="K6" s="1">
        <v>206</v>
      </c>
      <c r="L6" s="1">
        <v>183</v>
      </c>
      <c r="M6" s="1">
        <v>157</v>
      </c>
      <c r="N6" s="1">
        <v>130</v>
      </c>
      <c r="O6" s="1">
        <v>105</v>
      </c>
    </row>
    <row r="7" spans="1:15" x14ac:dyDescent="0.25">
      <c r="A7" s="1" t="s">
        <v>84</v>
      </c>
      <c r="B7" s="1" t="s">
        <v>161</v>
      </c>
      <c r="C7" s="1" t="s">
        <v>162</v>
      </c>
      <c r="D7" s="1" t="s">
        <v>16</v>
      </c>
      <c r="E7" s="1" t="s">
        <v>2</v>
      </c>
      <c r="F7" s="1">
        <v>206</v>
      </c>
      <c r="G7" s="1">
        <v>175</v>
      </c>
      <c r="H7" s="1">
        <v>175</v>
      </c>
      <c r="I7" s="1">
        <v>191</v>
      </c>
      <c r="J7" s="1">
        <v>206</v>
      </c>
      <c r="K7" s="1">
        <v>206</v>
      </c>
      <c r="L7" s="1">
        <v>206</v>
      </c>
      <c r="M7" s="1">
        <v>181</v>
      </c>
      <c r="N7" s="1">
        <v>165</v>
      </c>
      <c r="O7" s="1">
        <v>143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C88A-03A1-48B9-8B9B-8055A521F2AD}">
  <dimension ref="A1:Q2"/>
  <sheetViews>
    <sheetView workbookViewId="0">
      <selection sqref="A1:O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117</v>
      </c>
      <c r="B2" s="1" t="s">
        <v>164</v>
      </c>
      <c r="D2" s="1" t="s">
        <v>21</v>
      </c>
      <c r="E2" s="1" t="s">
        <v>2</v>
      </c>
      <c r="F2" s="1">
        <f>31.23*2000</f>
        <v>62460</v>
      </c>
      <c r="G2" s="1">
        <f>31.83*2000</f>
        <v>63660</v>
      </c>
      <c r="H2" s="1">
        <v>11480</v>
      </c>
      <c r="I2" s="1">
        <v>11480</v>
      </c>
      <c r="J2" s="1">
        <v>11856</v>
      </c>
      <c r="K2" s="1">
        <v>11674</v>
      </c>
      <c r="L2" s="1">
        <v>11674</v>
      </c>
      <c r="M2" s="1">
        <v>11445</v>
      </c>
      <c r="N2" s="1">
        <v>10868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026E-DD07-4190-9AF4-88E29E5EC1FB}">
  <dimension ref="A1:Q2"/>
  <sheetViews>
    <sheetView workbookViewId="0">
      <selection sqref="A1:O2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20</v>
      </c>
      <c r="B2" s="1" t="s">
        <v>165</v>
      </c>
      <c r="D2" s="1" t="s">
        <v>16</v>
      </c>
      <c r="E2" s="1" t="s">
        <v>2</v>
      </c>
      <c r="J2" s="1">
        <v>96.2</v>
      </c>
      <c r="K2" s="1">
        <v>91.52</v>
      </c>
      <c r="L2" s="1">
        <v>91.52</v>
      </c>
      <c r="M2" s="1">
        <v>76.72</v>
      </c>
      <c r="N2" s="1">
        <v>59.85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82FD6-C6FA-4859-9036-BA1B6AFB5230}">
  <dimension ref="A1:Q8"/>
  <sheetViews>
    <sheetView workbookViewId="0">
      <selection sqref="A1:O8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166</v>
      </c>
      <c r="C2" s="1" t="s">
        <v>162</v>
      </c>
      <c r="D2" s="1" t="s">
        <v>16</v>
      </c>
      <c r="E2" s="1" t="s">
        <v>2</v>
      </c>
      <c r="F2" s="1">
        <v>140</v>
      </c>
      <c r="G2" s="1">
        <v>139.33000000000001</v>
      </c>
      <c r="H2" s="1">
        <v>139.33000000000001</v>
      </c>
      <c r="I2" s="1">
        <v>134.79</v>
      </c>
      <c r="J2" s="1">
        <v>109.12</v>
      </c>
      <c r="K2" s="1">
        <v>85.42</v>
      </c>
      <c r="L2" s="1">
        <v>63.1</v>
      </c>
      <c r="M2" s="1">
        <v>63.1</v>
      </c>
      <c r="N2" s="1">
        <v>63.89</v>
      </c>
    </row>
    <row r="3" spans="1:15" x14ac:dyDescent="0.25">
      <c r="A3" s="1" t="s">
        <v>9</v>
      </c>
      <c r="B3" s="1" t="s">
        <v>166</v>
      </c>
      <c r="C3" s="1" t="s">
        <v>162</v>
      </c>
      <c r="D3" s="1" t="s">
        <v>16</v>
      </c>
      <c r="E3" s="1" t="s">
        <v>2</v>
      </c>
      <c r="F3" s="1">
        <v>140</v>
      </c>
      <c r="G3" s="1">
        <v>139.33000000000001</v>
      </c>
      <c r="J3" s="1">
        <v>109.12</v>
      </c>
      <c r="K3" s="1">
        <v>85.42</v>
      </c>
      <c r="L3" s="1">
        <v>63.1</v>
      </c>
      <c r="M3" s="1">
        <v>63.1</v>
      </c>
      <c r="N3" s="1">
        <v>70.319999999999993</v>
      </c>
    </row>
    <row r="4" spans="1:15" x14ac:dyDescent="0.25">
      <c r="A4" s="1" t="s">
        <v>24</v>
      </c>
      <c r="B4" s="1" t="s">
        <v>166</v>
      </c>
      <c r="C4" s="1" t="s">
        <v>162</v>
      </c>
      <c r="D4" s="1" t="s">
        <v>16</v>
      </c>
      <c r="E4" s="1" t="s">
        <v>2</v>
      </c>
      <c r="F4" s="1">
        <v>140</v>
      </c>
      <c r="G4" s="1">
        <v>139.33000000000001</v>
      </c>
      <c r="H4" s="1">
        <v>139.33000000000001</v>
      </c>
      <c r="I4" s="1">
        <v>134.79</v>
      </c>
      <c r="J4" s="1">
        <v>124.4</v>
      </c>
      <c r="K4" s="1">
        <v>100.7</v>
      </c>
      <c r="L4" s="1">
        <v>63.1</v>
      </c>
      <c r="M4" s="1">
        <v>63.1</v>
      </c>
      <c r="N4" s="1">
        <v>66.48</v>
      </c>
    </row>
    <row r="5" spans="1:15" x14ac:dyDescent="0.25">
      <c r="A5" s="1" t="s">
        <v>24</v>
      </c>
      <c r="B5" s="1" t="s">
        <v>166</v>
      </c>
      <c r="C5" s="1" t="s">
        <v>162</v>
      </c>
      <c r="D5" s="1" t="s">
        <v>16</v>
      </c>
      <c r="E5" s="1" t="s">
        <v>168</v>
      </c>
      <c r="L5" s="1">
        <v>63.15</v>
      </c>
      <c r="M5" s="1">
        <v>55.54</v>
      </c>
      <c r="N5" s="1">
        <v>50.8</v>
      </c>
    </row>
    <row r="6" spans="1:15" x14ac:dyDescent="0.25">
      <c r="A6" s="1" t="s">
        <v>25</v>
      </c>
      <c r="B6" s="1" t="s">
        <v>166</v>
      </c>
      <c r="C6" s="1" t="s">
        <v>162</v>
      </c>
      <c r="D6" s="1" t="s">
        <v>16</v>
      </c>
      <c r="E6" s="1" t="s">
        <v>2</v>
      </c>
      <c r="F6" s="1">
        <v>140</v>
      </c>
      <c r="G6" s="1">
        <v>139.33000000000001</v>
      </c>
      <c r="H6" s="1">
        <v>139.33000000000001</v>
      </c>
      <c r="I6" s="1">
        <v>134.79</v>
      </c>
      <c r="J6" s="1">
        <v>124.4</v>
      </c>
      <c r="K6" s="1">
        <v>100.7</v>
      </c>
      <c r="L6" s="1">
        <v>63.1</v>
      </c>
      <c r="M6" s="1">
        <v>63.1</v>
      </c>
      <c r="N6" s="1">
        <v>71.67</v>
      </c>
    </row>
    <row r="7" spans="1:15" x14ac:dyDescent="0.25">
      <c r="A7" s="1" t="s">
        <v>84</v>
      </c>
      <c r="B7" s="1" t="s">
        <v>166</v>
      </c>
      <c r="C7" s="1" t="s">
        <v>162</v>
      </c>
      <c r="D7" s="1" t="s">
        <v>16</v>
      </c>
      <c r="E7" s="1" t="s">
        <v>2</v>
      </c>
      <c r="F7" s="1">
        <v>140</v>
      </c>
      <c r="G7" s="1">
        <v>139.33000000000001</v>
      </c>
      <c r="H7" s="1">
        <v>139.33000000000001</v>
      </c>
      <c r="I7" s="1">
        <v>134.79</v>
      </c>
      <c r="J7" s="1">
        <v>99.23</v>
      </c>
      <c r="K7" s="1">
        <v>75.53</v>
      </c>
      <c r="L7" s="1">
        <v>63.1</v>
      </c>
      <c r="M7" s="1">
        <v>56.88</v>
      </c>
      <c r="N7" s="1">
        <v>51.81</v>
      </c>
    </row>
    <row r="8" spans="1:15" x14ac:dyDescent="0.25">
      <c r="A8" s="1" t="s">
        <v>84</v>
      </c>
      <c r="B8" s="1" t="s">
        <v>166</v>
      </c>
      <c r="C8" s="1" t="s">
        <v>167</v>
      </c>
      <c r="D8" s="1" t="s">
        <v>16</v>
      </c>
      <c r="E8" s="1" t="s">
        <v>2</v>
      </c>
      <c r="F8" s="1">
        <v>140</v>
      </c>
      <c r="G8" s="1">
        <v>139.33000000000001</v>
      </c>
      <c r="H8" s="1">
        <v>139.33000000000001</v>
      </c>
      <c r="I8" s="1">
        <v>134.79</v>
      </c>
      <c r="J8" s="1">
        <v>99.23</v>
      </c>
      <c r="K8" s="1">
        <v>75.53</v>
      </c>
      <c r="L8" s="1">
        <v>53.21</v>
      </c>
      <c r="M8" s="1">
        <v>46.99</v>
      </c>
      <c r="N8" s="1">
        <v>46.99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14D95-8E05-4849-9341-1C5019099A83}">
  <dimension ref="A1:Q3"/>
  <sheetViews>
    <sheetView workbookViewId="0">
      <selection sqref="A1:O3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25</v>
      </c>
      <c r="B2" s="1" t="s">
        <v>169</v>
      </c>
      <c r="D2" s="1" t="s">
        <v>16</v>
      </c>
      <c r="E2" s="1" t="s">
        <v>2</v>
      </c>
      <c r="F2" s="1">
        <v>162.33000000000001</v>
      </c>
      <c r="G2" s="1">
        <v>160.87</v>
      </c>
      <c r="H2" s="1">
        <v>164.2</v>
      </c>
      <c r="I2" s="1">
        <v>164.2</v>
      </c>
      <c r="J2" s="1">
        <v>156.97</v>
      </c>
      <c r="K2" s="1">
        <v>155.19999999999999</v>
      </c>
      <c r="L2" s="1">
        <v>145.31</v>
      </c>
      <c r="M2" s="1">
        <v>121.47</v>
      </c>
      <c r="N2" s="1">
        <v>86.33</v>
      </c>
    </row>
    <row r="3" spans="1:15" x14ac:dyDescent="0.25">
      <c r="A3" s="1" t="s">
        <v>84</v>
      </c>
      <c r="B3" s="1" t="s">
        <v>169</v>
      </c>
      <c r="D3" s="1" t="s">
        <v>16</v>
      </c>
      <c r="E3" s="1" t="s">
        <v>2</v>
      </c>
      <c r="F3" s="1">
        <v>162.33000000000001</v>
      </c>
      <c r="G3" s="1">
        <v>160.87</v>
      </c>
      <c r="H3" s="1">
        <v>160.87</v>
      </c>
      <c r="I3" s="1">
        <v>159.19999999999999</v>
      </c>
      <c r="J3" s="1">
        <v>156.97</v>
      </c>
      <c r="K3" s="1">
        <v>155.19999999999999</v>
      </c>
      <c r="L3" s="1">
        <v>145.31</v>
      </c>
      <c r="M3" s="1">
        <v>121.47</v>
      </c>
      <c r="N3" s="1">
        <v>83.18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4284-7583-4347-83B5-6AA388F1EDAD}">
  <dimension ref="A1:Q13"/>
  <sheetViews>
    <sheetView topLeftCell="A5" workbookViewId="0">
      <selection sqref="A1:O13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170</v>
      </c>
      <c r="C2" s="1" t="s">
        <v>162</v>
      </c>
      <c r="D2" s="1" t="s">
        <v>16</v>
      </c>
      <c r="E2" s="1" t="s">
        <v>2</v>
      </c>
      <c r="F2" s="1">
        <v>448.33</v>
      </c>
      <c r="G2" s="1">
        <v>430.33</v>
      </c>
      <c r="H2" s="1">
        <v>430.33</v>
      </c>
      <c r="I2" s="1">
        <v>408.33</v>
      </c>
      <c r="J2" s="1">
        <v>385.77</v>
      </c>
      <c r="K2" s="1">
        <v>385.77</v>
      </c>
      <c r="L2" s="1">
        <v>373.1</v>
      </c>
      <c r="M2" s="1">
        <v>335.03</v>
      </c>
      <c r="N2" s="1">
        <v>344.52</v>
      </c>
      <c r="O2" s="1">
        <v>307.81</v>
      </c>
    </row>
    <row r="3" spans="1:15" x14ac:dyDescent="0.25">
      <c r="A3" s="1" t="s">
        <v>24</v>
      </c>
      <c r="B3" s="1" t="s">
        <v>170</v>
      </c>
      <c r="C3" s="1" t="s">
        <v>162</v>
      </c>
      <c r="D3" s="1" t="s">
        <v>16</v>
      </c>
      <c r="E3" s="1" t="s">
        <v>2</v>
      </c>
      <c r="F3" s="1">
        <v>448.33</v>
      </c>
      <c r="G3" s="1">
        <v>430.33</v>
      </c>
      <c r="H3" s="1">
        <v>430.33</v>
      </c>
      <c r="I3" s="1">
        <v>408.33</v>
      </c>
      <c r="J3" s="1">
        <v>394.67</v>
      </c>
      <c r="K3" s="1">
        <v>394.67</v>
      </c>
      <c r="L3" s="1">
        <v>373.1</v>
      </c>
      <c r="M3" s="1">
        <v>335.03</v>
      </c>
      <c r="N3" s="1">
        <v>344.52</v>
      </c>
      <c r="O3" s="1">
        <v>307.81</v>
      </c>
    </row>
    <row r="4" spans="1:15" x14ac:dyDescent="0.25">
      <c r="A4" s="1" t="s">
        <v>24</v>
      </c>
      <c r="B4" s="1" t="s">
        <v>170</v>
      </c>
      <c r="C4" s="1" t="s">
        <v>171</v>
      </c>
      <c r="D4" s="1" t="s">
        <v>16</v>
      </c>
      <c r="E4" s="1" t="s">
        <v>2</v>
      </c>
      <c r="F4" s="1">
        <v>448.33</v>
      </c>
      <c r="G4" s="1">
        <v>430.33</v>
      </c>
      <c r="H4" s="1">
        <v>430.33</v>
      </c>
      <c r="I4" s="1">
        <v>408.33</v>
      </c>
      <c r="J4" s="1">
        <v>385.77</v>
      </c>
      <c r="K4" s="1">
        <v>373.1</v>
      </c>
      <c r="L4" s="1">
        <v>339.07</v>
      </c>
      <c r="M4" s="1">
        <v>309.89</v>
      </c>
      <c r="N4" s="1">
        <v>216.92</v>
      </c>
      <c r="O4" s="1">
        <v>171.81</v>
      </c>
    </row>
    <row r="5" spans="1:15" x14ac:dyDescent="0.25">
      <c r="A5" s="1" t="s">
        <v>24</v>
      </c>
      <c r="B5" s="1" t="s">
        <v>170</v>
      </c>
      <c r="C5" s="1" t="s">
        <v>172</v>
      </c>
      <c r="D5" s="1" t="s">
        <v>16</v>
      </c>
      <c r="E5" s="1" t="s">
        <v>2</v>
      </c>
      <c r="F5" s="1">
        <v>448.33</v>
      </c>
      <c r="G5" s="1">
        <v>430.33</v>
      </c>
      <c r="H5" s="1">
        <v>430.33</v>
      </c>
      <c r="I5" s="1">
        <v>408.33</v>
      </c>
      <c r="J5" s="1">
        <v>385.77</v>
      </c>
      <c r="K5" s="1">
        <v>373.1</v>
      </c>
      <c r="L5" s="1">
        <v>318.13</v>
      </c>
      <c r="M5" s="1">
        <v>224.03</v>
      </c>
      <c r="N5" s="1">
        <v>138.4</v>
      </c>
      <c r="O5" s="1">
        <v>124.04</v>
      </c>
    </row>
    <row r="6" spans="1:15" x14ac:dyDescent="0.25">
      <c r="A6" s="1" t="s">
        <v>25</v>
      </c>
      <c r="B6" s="1" t="s">
        <v>170</v>
      </c>
      <c r="C6" s="1" t="s">
        <v>162</v>
      </c>
      <c r="D6" s="1" t="s">
        <v>16</v>
      </c>
      <c r="E6" s="1" t="s">
        <v>2</v>
      </c>
      <c r="F6" s="1">
        <v>448.33</v>
      </c>
      <c r="G6" s="1">
        <v>430.33</v>
      </c>
      <c r="H6" s="1">
        <v>381.3</v>
      </c>
      <c r="I6" s="1">
        <v>408.33</v>
      </c>
      <c r="J6" s="1">
        <v>385.77</v>
      </c>
      <c r="K6" s="1">
        <v>385.77</v>
      </c>
      <c r="L6" s="1">
        <v>415.1</v>
      </c>
      <c r="M6" s="1">
        <v>424.03</v>
      </c>
      <c r="N6" s="1">
        <v>499.34</v>
      </c>
      <c r="O6" s="1">
        <v>558.62</v>
      </c>
    </row>
    <row r="7" spans="1:15" x14ac:dyDescent="0.25">
      <c r="A7" s="1" t="s">
        <v>25</v>
      </c>
      <c r="B7" s="1" t="s">
        <v>170</v>
      </c>
      <c r="C7" s="1" t="s">
        <v>171</v>
      </c>
      <c r="D7" s="1" t="s">
        <v>16</v>
      </c>
      <c r="E7" s="1" t="s">
        <v>2</v>
      </c>
      <c r="F7" s="1">
        <v>448.33</v>
      </c>
      <c r="G7" s="1">
        <v>430.33</v>
      </c>
      <c r="H7" s="1">
        <v>381.3</v>
      </c>
      <c r="I7" s="1">
        <v>381.3</v>
      </c>
      <c r="J7" s="1">
        <v>377.8</v>
      </c>
      <c r="K7" s="1">
        <v>372.67</v>
      </c>
      <c r="L7" s="1">
        <v>339.07</v>
      </c>
      <c r="M7" s="1">
        <v>309.89</v>
      </c>
      <c r="N7" s="1">
        <v>216.92</v>
      </c>
      <c r="O7" s="1">
        <v>171.81</v>
      </c>
    </row>
    <row r="8" spans="1:15" x14ac:dyDescent="0.25">
      <c r="A8" s="1" t="s">
        <v>25</v>
      </c>
      <c r="B8" s="1" t="s">
        <v>170</v>
      </c>
      <c r="C8" s="1" t="s">
        <v>172</v>
      </c>
      <c r="D8" s="1" t="s">
        <v>16</v>
      </c>
      <c r="E8" s="1" t="s">
        <v>2</v>
      </c>
      <c r="F8" s="1">
        <v>448.33</v>
      </c>
      <c r="G8" s="1">
        <v>430.33</v>
      </c>
      <c r="H8" s="1">
        <v>381.3</v>
      </c>
      <c r="I8" s="1">
        <v>381.3</v>
      </c>
      <c r="J8" s="1">
        <v>377.8</v>
      </c>
      <c r="K8" s="1">
        <v>372.67</v>
      </c>
      <c r="L8" s="1">
        <v>345.73</v>
      </c>
      <c r="M8" s="1">
        <v>297.63</v>
      </c>
      <c r="N8" s="1">
        <v>212</v>
      </c>
      <c r="O8" s="1">
        <v>180.25</v>
      </c>
    </row>
    <row r="9" spans="1:15" x14ac:dyDescent="0.25">
      <c r="A9" s="1" t="s">
        <v>84</v>
      </c>
      <c r="B9" s="1" t="s">
        <v>170</v>
      </c>
      <c r="C9" s="1" t="s">
        <v>162</v>
      </c>
      <c r="D9" s="1" t="s">
        <v>16</v>
      </c>
      <c r="E9" s="1" t="s">
        <v>2</v>
      </c>
      <c r="F9" s="1">
        <v>448.33</v>
      </c>
      <c r="G9" s="1">
        <v>430.33</v>
      </c>
      <c r="H9" s="1">
        <v>381.3</v>
      </c>
      <c r="I9" s="1">
        <v>381.3</v>
      </c>
      <c r="J9" s="1">
        <v>377.8</v>
      </c>
      <c r="K9" s="1">
        <v>383.77</v>
      </c>
      <c r="L9" s="1">
        <v>373.1</v>
      </c>
      <c r="M9" s="1">
        <v>355.03</v>
      </c>
      <c r="N9" s="1">
        <v>265.69</v>
      </c>
      <c r="O9" s="1">
        <v>248.69</v>
      </c>
    </row>
    <row r="10" spans="1:15" x14ac:dyDescent="0.25">
      <c r="A10" s="1" t="s">
        <v>84</v>
      </c>
      <c r="B10" s="1" t="s">
        <v>170</v>
      </c>
      <c r="C10" s="1" t="s">
        <v>171</v>
      </c>
      <c r="D10" s="1" t="s">
        <v>16</v>
      </c>
      <c r="E10" s="1" t="s">
        <v>2</v>
      </c>
      <c r="F10" s="1">
        <v>448.33</v>
      </c>
      <c r="G10" s="1">
        <v>430.33</v>
      </c>
      <c r="H10" s="1">
        <v>381.3</v>
      </c>
      <c r="I10" s="1">
        <v>381.3</v>
      </c>
      <c r="J10" s="1">
        <v>377.8</v>
      </c>
      <c r="K10" s="1">
        <v>372.67</v>
      </c>
      <c r="L10" s="1">
        <v>339.07</v>
      </c>
      <c r="M10" s="1">
        <v>291.97000000000003</v>
      </c>
      <c r="N10" s="1">
        <v>187.81</v>
      </c>
      <c r="O10" s="1">
        <v>149.97999999999999</v>
      </c>
    </row>
    <row r="11" spans="1:15" x14ac:dyDescent="0.25">
      <c r="A11" s="1" t="s">
        <v>84</v>
      </c>
      <c r="B11" s="1" t="s">
        <v>170</v>
      </c>
      <c r="C11" s="1" t="s">
        <v>167</v>
      </c>
      <c r="D11" s="1" t="s">
        <v>16</v>
      </c>
      <c r="E11" s="1" t="s">
        <v>2</v>
      </c>
      <c r="F11" s="1">
        <v>448.33</v>
      </c>
      <c r="G11" s="1">
        <v>430.33</v>
      </c>
      <c r="H11" s="1">
        <v>381.3</v>
      </c>
      <c r="I11" s="1">
        <v>381.3</v>
      </c>
      <c r="J11" s="1">
        <v>377.8</v>
      </c>
      <c r="K11" s="1">
        <v>372.67</v>
      </c>
      <c r="L11" s="1">
        <v>335.66</v>
      </c>
      <c r="M11" s="1">
        <v>241.56</v>
      </c>
      <c r="N11" s="1">
        <v>158.15</v>
      </c>
      <c r="O11" s="1">
        <v>138.86000000000001</v>
      </c>
    </row>
    <row r="12" spans="1:15" x14ac:dyDescent="0.25">
      <c r="A12" s="1" t="s">
        <v>84</v>
      </c>
      <c r="B12" s="1" t="s">
        <v>170</v>
      </c>
      <c r="C12" s="1" t="s">
        <v>172</v>
      </c>
      <c r="D12" s="1" t="s">
        <v>16</v>
      </c>
      <c r="E12" s="1" t="s">
        <v>2</v>
      </c>
      <c r="F12" s="1">
        <v>448.33</v>
      </c>
      <c r="G12" s="1">
        <v>430.33</v>
      </c>
      <c r="H12" s="1">
        <v>381.3</v>
      </c>
      <c r="I12" s="1">
        <v>381.3</v>
      </c>
      <c r="J12" s="1">
        <v>377.8</v>
      </c>
      <c r="K12" s="1">
        <v>372.67</v>
      </c>
      <c r="L12" s="1">
        <v>318.13</v>
      </c>
      <c r="M12" s="1">
        <v>224.03</v>
      </c>
      <c r="N12" s="1">
        <v>138.4</v>
      </c>
      <c r="O12" s="1">
        <v>116.69</v>
      </c>
    </row>
    <row r="13" spans="1:15" x14ac:dyDescent="0.25">
      <c r="A13" s="1" t="s">
        <v>84</v>
      </c>
      <c r="B13" s="1" t="s">
        <v>170</v>
      </c>
      <c r="C13" s="1" t="s">
        <v>173</v>
      </c>
      <c r="D13" s="1" t="s">
        <v>16</v>
      </c>
      <c r="E13" s="1" t="s">
        <v>2</v>
      </c>
      <c r="F13" s="1">
        <v>448.33</v>
      </c>
      <c r="G13" s="1">
        <v>430.33</v>
      </c>
      <c r="H13" s="1">
        <v>381.3</v>
      </c>
      <c r="I13" s="1">
        <v>381.3</v>
      </c>
      <c r="J13" s="1">
        <v>377.8</v>
      </c>
      <c r="K13" s="1">
        <v>372.67</v>
      </c>
      <c r="L13" s="1">
        <v>339.07</v>
      </c>
      <c r="M13" s="1">
        <v>309.89</v>
      </c>
      <c r="N13" s="1">
        <v>216.92</v>
      </c>
      <c r="O13" s="1">
        <v>181.69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F2FC-1CA2-4AB7-B1E1-BF136CEE95F3}">
  <dimension ref="A1:Q4"/>
  <sheetViews>
    <sheetView workbookViewId="0">
      <selection sqref="A1:O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174</v>
      </c>
      <c r="D2" s="1" t="s">
        <v>119</v>
      </c>
      <c r="E2" s="1" t="s">
        <v>2</v>
      </c>
      <c r="F2" s="1">
        <v>77</v>
      </c>
      <c r="G2" s="1">
        <v>76</v>
      </c>
      <c r="H2" s="1">
        <v>76</v>
      </c>
      <c r="I2" s="1">
        <v>77</v>
      </c>
      <c r="J2" s="1">
        <v>77</v>
      </c>
      <c r="K2" s="1">
        <v>77</v>
      </c>
      <c r="L2" s="1">
        <v>76</v>
      </c>
      <c r="M2" s="1">
        <v>75</v>
      </c>
      <c r="N2" s="1">
        <v>71</v>
      </c>
      <c r="O2" s="1">
        <v>64</v>
      </c>
    </row>
    <row r="3" spans="1:15" x14ac:dyDescent="0.25">
      <c r="A3" s="1" t="s">
        <v>24</v>
      </c>
      <c r="B3" s="1" t="s">
        <v>174</v>
      </c>
      <c r="D3" s="1" t="s">
        <v>119</v>
      </c>
      <c r="E3" s="1" t="s">
        <v>2</v>
      </c>
      <c r="F3" s="1">
        <v>77</v>
      </c>
      <c r="G3" s="1">
        <v>76</v>
      </c>
      <c r="H3" s="1">
        <v>76</v>
      </c>
      <c r="I3" s="1">
        <v>77</v>
      </c>
      <c r="J3" s="1">
        <v>77</v>
      </c>
      <c r="K3" s="1">
        <v>77</v>
      </c>
      <c r="L3" s="1">
        <v>76</v>
      </c>
      <c r="M3" s="1">
        <v>75</v>
      </c>
      <c r="N3" s="1">
        <v>71</v>
      </c>
      <c r="O3" s="1">
        <v>69</v>
      </c>
    </row>
    <row r="4" spans="1:15" x14ac:dyDescent="0.25">
      <c r="A4" s="1" t="s">
        <v>25</v>
      </c>
      <c r="B4" s="1" t="s">
        <v>174</v>
      </c>
      <c r="D4" s="1" t="s">
        <v>119</v>
      </c>
      <c r="E4" s="1" t="s">
        <v>2</v>
      </c>
      <c r="F4" s="1">
        <v>77</v>
      </c>
      <c r="G4" s="1">
        <v>76</v>
      </c>
      <c r="H4" s="1">
        <v>76</v>
      </c>
      <c r="I4" s="1">
        <v>77</v>
      </c>
      <c r="J4" s="1">
        <v>77</v>
      </c>
      <c r="K4" s="1">
        <v>77</v>
      </c>
      <c r="L4" s="1">
        <v>76</v>
      </c>
      <c r="M4" s="1">
        <v>75</v>
      </c>
      <c r="N4" s="1">
        <v>75</v>
      </c>
      <c r="O4" s="1">
        <v>74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47B8-1039-41AD-B533-61D74104EBB6}">
  <dimension ref="A1:Q5"/>
  <sheetViews>
    <sheetView workbookViewId="0">
      <selection sqref="A1:O5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20</v>
      </c>
      <c r="B2" s="1" t="s">
        <v>175</v>
      </c>
      <c r="C2" s="1" t="s">
        <v>162</v>
      </c>
      <c r="D2" s="1" t="s">
        <v>16</v>
      </c>
      <c r="E2" s="1" t="s">
        <v>2</v>
      </c>
      <c r="F2" s="1">
        <v>337.67</v>
      </c>
      <c r="G2" s="1">
        <v>337.67</v>
      </c>
      <c r="H2" s="1">
        <v>337.67</v>
      </c>
      <c r="I2" s="1">
        <v>332.33</v>
      </c>
      <c r="J2" s="1">
        <v>329.43</v>
      </c>
      <c r="K2" s="1">
        <v>326.10000000000002</v>
      </c>
      <c r="L2" s="1">
        <v>308.69</v>
      </c>
      <c r="M2" s="1">
        <v>251.85</v>
      </c>
      <c r="N2" s="1">
        <v>191.63</v>
      </c>
    </row>
    <row r="3" spans="1:15" x14ac:dyDescent="0.25">
      <c r="A3" s="1" t="s">
        <v>25</v>
      </c>
      <c r="B3" s="1" t="s">
        <v>175</v>
      </c>
      <c r="C3" s="1" t="s">
        <v>162</v>
      </c>
      <c r="D3" s="1" t="s">
        <v>16</v>
      </c>
      <c r="E3" s="1" t="s">
        <v>2</v>
      </c>
      <c r="F3" s="1">
        <v>337.67</v>
      </c>
      <c r="G3" s="1">
        <v>337.67</v>
      </c>
      <c r="H3" s="1">
        <v>337.67</v>
      </c>
      <c r="I3" s="1">
        <v>332.33</v>
      </c>
      <c r="J3" s="1">
        <v>329.43</v>
      </c>
      <c r="K3" s="1">
        <v>326.10000000000002</v>
      </c>
      <c r="L3" s="1">
        <v>308.69</v>
      </c>
      <c r="M3" s="1">
        <v>251.85</v>
      </c>
      <c r="N3" s="1">
        <v>210.29</v>
      </c>
    </row>
    <row r="4" spans="1:15" x14ac:dyDescent="0.25">
      <c r="A4" s="1" t="s">
        <v>84</v>
      </c>
      <c r="B4" s="1" t="s">
        <v>175</v>
      </c>
      <c r="C4" s="1" t="s">
        <v>162</v>
      </c>
      <c r="D4" s="1" t="s">
        <v>16</v>
      </c>
      <c r="E4" s="1" t="s">
        <v>2</v>
      </c>
      <c r="F4" s="1">
        <v>337.67</v>
      </c>
      <c r="G4" s="1">
        <v>337.67</v>
      </c>
      <c r="H4" s="1">
        <v>337.67</v>
      </c>
      <c r="I4" s="1">
        <v>332.33</v>
      </c>
      <c r="J4" s="1">
        <v>329.43</v>
      </c>
      <c r="K4" s="1">
        <v>326.10000000000002</v>
      </c>
      <c r="L4" s="1">
        <v>308.69</v>
      </c>
      <c r="M4" s="1">
        <v>229.59</v>
      </c>
      <c r="N4" s="1">
        <v>152.54</v>
      </c>
    </row>
    <row r="5" spans="1:15" x14ac:dyDescent="0.25">
      <c r="A5" s="1" t="s">
        <v>84</v>
      </c>
      <c r="B5" s="1" t="s">
        <v>175</v>
      </c>
      <c r="C5" s="1" t="s">
        <v>167</v>
      </c>
      <c r="D5" s="1" t="s">
        <v>16</v>
      </c>
      <c r="E5" s="1" t="s">
        <v>2</v>
      </c>
      <c r="F5" s="1">
        <v>337.67</v>
      </c>
      <c r="G5" s="1">
        <v>337.67</v>
      </c>
      <c r="H5" s="1">
        <v>337.67</v>
      </c>
      <c r="I5" s="1">
        <v>332.33</v>
      </c>
      <c r="J5" s="1">
        <v>329.43</v>
      </c>
      <c r="K5" s="1">
        <v>326.10000000000002</v>
      </c>
      <c r="L5" s="1">
        <v>308.69</v>
      </c>
      <c r="M5" s="1">
        <v>229.59</v>
      </c>
      <c r="N5" s="1">
        <v>140.59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48AD2-F95D-47F0-8496-8EFEEF978E97}">
  <dimension ref="A1:Q3"/>
  <sheetViews>
    <sheetView workbookViewId="0">
      <selection sqref="A1:O3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25</v>
      </c>
      <c r="B2" s="1" t="s">
        <v>176</v>
      </c>
      <c r="D2" s="1" t="s">
        <v>16</v>
      </c>
      <c r="E2" s="1" t="s">
        <v>2</v>
      </c>
      <c r="F2" s="1">
        <v>182</v>
      </c>
      <c r="G2" s="1">
        <v>182.33</v>
      </c>
      <c r="H2" s="1">
        <v>182.33</v>
      </c>
      <c r="I2" s="1">
        <v>188.33</v>
      </c>
      <c r="J2" s="1">
        <v>196.72</v>
      </c>
      <c r="K2" s="1">
        <v>196.72</v>
      </c>
      <c r="L2" s="1">
        <v>194.09</v>
      </c>
      <c r="M2" s="1">
        <v>150.75</v>
      </c>
      <c r="N2" s="1">
        <v>95.03</v>
      </c>
    </row>
    <row r="3" spans="1:15" x14ac:dyDescent="0.25">
      <c r="A3" s="1" t="s">
        <v>84</v>
      </c>
      <c r="B3" s="1" t="s">
        <v>176</v>
      </c>
      <c r="D3" s="1" t="s">
        <v>16</v>
      </c>
      <c r="E3" s="1" t="s">
        <v>2</v>
      </c>
      <c r="F3" s="1">
        <v>182</v>
      </c>
      <c r="G3" s="1">
        <v>182.33</v>
      </c>
      <c r="H3" s="1">
        <v>182.33</v>
      </c>
      <c r="I3" s="1">
        <v>188.33</v>
      </c>
      <c r="J3" s="1">
        <v>196.72</v>
      </c>
      <c r="K3" s="1">
        <v>196.72</v>
      </c>
      <c r="L3" s="1">
        <v>194.09</v>
      </c>
      <c r="M3" s="1">
        <v>175.7</v>
      </c>
      <c r="N3" s="1">
        <v>131.07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143A-2621-4ED1-9833-764B36744171}">
  <dimension ref="A1:Q43"/>
  <sheetViews>
    <sheetView topLeftCell="A33" workbookViewId="0">
      <selection activeCell="A40" sqref="A40:O43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81</v>
      </c>
      <c r="B2" s="1" t="s">
        <v>177</v>
      </c>
      <c r="C2" s="1" t="s">
        <v>180</v>
      </c>
      <c r="D2" s="1" t="s">
        <v>16</v>
      </c>
      <c r="E2" s="1" t="s">
        <v>2</v>
      </c>
      <c r="F2" s="1">
        <v>161</v>
      </c>
      <c r="G2" s="1">
        <v>164.67</v>
      </c>
      <c r="H2" s="1">
        <v>93</v>
      </c>
      <c r="I2" s="1">
        <v>166</v>
      </c>
      <c r="J2" s="1">
        <v>91.85</v>
      </c>
      <c r="K2" s="1">
        <v>84.9</v>
      </c>
      <c r="L2" s="1">
        <v>77.290000000000006</v>
      </c>
      <c r="M2" s="1">
        <v>80.55</v>
      </c>
      <c r="N2" s="1">
        <v>74.010000000000005</v>
      </c>
      <c r="O2" s="1">
        <v>77.819999999999993</v>
      </c>
    </row>
    <row r="3" spans="1:15" x14ac:dyDescent="0.25">
      <c r="A3" s="1" t="s">
        <v>81</v>
      </c>
      <c r="B3" s="1" t="s">
        <v>177</v>
      </c>
      <c r="C3" s="1" t="s">
        <v>181</v>
      </c>
      <c r="D3" s="1" t="s">
        <v>16</v>
      </c>
      <c r="E3" s="1" t="s">
        <v>2</v>
      </c>
      <c r="H3" s="1">
        <v>93</v>
      </c>
      <c r="I3" s="1">
        <v>166.67</v>
      </c>
      <c r="J3" s="1">
        <v>91.85</v>
      </c>
      <c r="K3" s="1">
        <v>84.9</v>
      </c>
      <c r="L3" s="1">
        <v>77.290000000000006</v>
      </c>
      <c r="M3" s="1">
        <v>80.55</v>
      </c>
      <c r="N3" s="1">
        <v>74.010000000000005</v>
      </c>
      <c r="O3" s="1">
        <v>77.819999999999993</v>
      </c>
    </row>
    <row r="4" spans="1:15" x14ac:dyDescent="0.25">
      <c r="A4" s="1" t="s">
        <v>81</v>
      </c>
      <c r="B4" s="1" t="s">
        <v>177</v>
      </c>
      <c r="C4" s="1" t="s">
        <v>182</v>
      </c>
      <c r="D4" s="1" t="s">
        <v>16</v>
      </c>
      <c r="E4" s="1" t="s">
        <v>2</v>
      </c>
      <c r="H4" s="1">
        <v>93</v>
      </c>
      <c r="I4" s="1">
        <v>166.67</v>
      </c>
      <c r="J4" s="1">
        <v>91.85</v>
      </c>
      <c r="K4" s="1">
        <v>84.9</v>
      </c>
      <c r="L4" s="1">
        <v>77.290000000000006</v>
      </c>
      <c r="M4" s="1">
        <v>80.55</v>
      </c>
      <c r="N4" s="1">
        <v>74.010000000000005</v>
      </c>
      <c r="O4" s="1">
        <v>77.819999999999993</v>
      </c>
    </row>
    <row r="5" spans="1:15" x14ac:dyDescent="0.25">
      <c r="A5" s="1" t="s">
        <v>81</v>
      </c>
      <c r="B5" s="1" t="s">
        <v>177</v>
      </c>
      <c r="C5" s="1" t="s">
        <v>183</v>
      </c>
      <c r="D5" s="1" t="s">
        <v>16</v>
      </c>
      <c r="E5" s="1" t="s">
        <v>2</v>
      </c>
      <c r="H5" s="1">
        <v>93</v>
      </c>
      <c r="I5" s="1">
        <v>166.67</v>
      </c>
      <c r="J5" s="1">
        <v>91.85</v>
      </c>
      <c r="K5" s="1">
        <v>84.9</v>
      </c>
      <c r="L5" s="1">
        <v>77.290000000000006</v>
      </c>
      <c r="M5" s="1">
        <v>80.55</v>
      </c>
      <c r="N5" s="1">
        <v>74.010000000000005</v>
      </c>
      <c r="O5" s="1">
        <v>77.819999999999993</v>
      </c>
    </row>
    <row r="6" spans="1:15" x14ac:dyDescent="0.25">
      <c r="A6" s="1" t="s">
        <v>101</v>
      </c>
      <c r="B6" s="1" t="s">
        <v>177</v>
      </c>
      <c r="C6" s="1" t="s">
        <v>180</v>
      </c>
      <c r="D6" s="1" t="s">
        <v>16</v>
      </c>
      <c r="E6" s="1" t="s">
        <v>2</v>
      </c>
      <c r="F6" s="1">
        <v>161</v>
      </c>
      <c r="G6" s="1">
        <v>164.67</v>
      </c>
      <c r="H6" s="1">
        <v>93</v>
      </c>
      <c r="I6" s="1">
        <v>166</v>
      </c>
      <c r="J6" s="1">
        <v>91.85</v>
      </c>
      <c r="K6" s="1">
        <v>83.57</v>
      </c>
      <c r="L6" s="1">
        <v>75.62</v>
      </c>
      <c r="M6" s="1">
        <v>77.040000000000006</v>
      </c>
      <c r="N6" s="1">
        <v>70.5</v>
      </c>
      <c r="O6" s="1">
        <v>70.91</v>
      </c>
    </row>
    <row r="7" spans="1:15" x14ac:dyDescent="0.25">
      <c r="A7" s="1" t="s">
        <v>101</v>
      </c>
      <c r="B7" s="1" t="s">
        <v>177</v>
      </c>
      <c r="C7" s="1" t="s">
        <v>181</v>
      </c>
      <c r="D7" s="1" t="s">
        <v>16</v>
      </c>
      <c r="E7" s="1" t="s">
        <v>2</v>
      </c>
      <c r="H7" s="1">
        <v>93</v>
      </c>
      <c r="I7" s="1">
        <v>166.67</v>
      </c>
      <c r="J7" s="1">
        <v>91.85</v>
      </c>
      <c r="K7" s="1">
        <v>83.57</v>
      </c>
      <c r="L7" s="1">
        <v>75.62</v>
      </c>
      <c r="M7" s="1">
        <v>83.57</v>
      </c>
      <c r="N7" s="1">
        <v>77.03</v>
      </c>
      <c r="O7" s="1">
        <v>77.97</v>
      </c>
    </row>
    <row r="8" spans="1:15" x14ac:dyDescent="0.25">
      <c r="A8" s="1" t="s">
        <v>101</v>
      </c>
      <c r="B8" s="1" t="s">
        <v>177</v>
      </c>
      <c r="C8" s="1" t="s">
        <v>182</v>
      </c>
      <c r="D8" s="1" t="s">
        <v>16</v>
      </c>
      <c r="E8" s="1" t="s">
        <v>2</v>
      </c>
      <c r="H8" s="1">
        <v>93</v>
      </c>
      <c r="I8" s="1">
        <v>163.33000000000001</v>
      </c>
      <c r="J8" s="1">
        <v>91.85</v>
      </c>
      <c r="K8" s="1">
        <v>83.57</v>
      </c>
      <c r="L8" s="1">
        <v>75.62</v>
      </c>
      <c r="M8" s="1">
        <v>83.57</v>
      </c>
      <c r="N8" s="1">
        <v>77.03</v>
      </c>
      <c r="O8" s="1">
        <v>77.97</v>
      </c>
    </row>
    <row r="9" spans="1:15" x14ac:dyDescent="0.25">
      <c r="A9" s="1" t="s">
        <v>101</v>
      </c>
      <c r="B9" s="1" t="s">
        <v>177</v>
      </c>
      <c r="C9" s="1" t="s">
        <v>183</v>
      </c>
      <c r="D9" s="1" t="s">
        <v>16</v>
      </c>
      <c r="E9" s="1" t="s">
        <v>2</v>
      </c>
      <c r="H9" s="1">
        <v>93</v>
      </c>
      <c r="I9" s="1">
        <v>166.67</v>
      </c>
      <c r="J9" s="1">
        <v>91.85</v>
      </c>
      <c r="K9" s="1">
        <v>86.03</v>
      </c>
      <c r="L9" s="1">
        <v>75.62</v>
      </c>
      <c r="M9" s="1">
        <v>86.45</v>
      </c>
      <c r="N9" s="1">
        <v>79.92</v>
      </c>
      <c r="O9" s="1">
        <v>92.25</v>
      </c>
    </row>
    <row r="10" spans="1:15" x14ac:dyDescent="0.25">
      <c r="A10" s="1" t="s">
        <v>102</v>
      </c>
      <c r="B10" s="1" t="s">
        <v>177</v>
      </c>
      <c r="C10" s="1" t="s">
        <v>180</v>
      </c>
      <c r="D10" s="1" t="s">
        <v>16</v>
      </c>
      <c r="E10" s="1" t="s">
        <v>2</v>
      </c>
      <c r="F10" s="1">
        <v>161</v>
      </c>
      <c r="G10" s="1">
        <v>164.67</v>
      </c>
      <c r="H10" s="1">
        <v>93</v>
      </c>
      <c r="I10" s="1">
        <v>166</v>
      </c>
      <c r="J10" s="1">
        <v>91.85</v>
      </c>
      <c r="K10" s="1">
        <v>53.22</v>
      </c>
      <c r="L10" s="1">
        <v>51.28</v>
      </c>
      <c r="M10" s="1">
        <v>54.29</v>
      </c>
      <c r="N10" s="1">
        <v>51.61</v>
      </c>
      <c r="O10" s="1">
        <v>53.58</v>
      </c>
    </row>
    <row r="11" spans="1:15" x14ac:dyDescent="0.25">
      <c r="A11" s="1" t="s">
        <v>107</v>
      </c>
      <c r="B11" s="1" t="s">
        <v>177</v>
      </c>
      <c r="C11" s="1" t="s">
        <v>183</v>
      </c>
      <c r="D11" s="1" t="s">
        <v>16</v>
      </c>
      <c r="E11" s="1" t="s">
        <v>2</v>
      </c>
      <c r="M11" s="1">
        <v>74.260000000000005</v>
      </c>
      <c r="N11" s="1">
        <v>69.36</v>
      </c>
      <c r="O11" s="1">
        <v>83.09</v>
      </c>
    </row>
    <row r="12" spans="1:15" x14ac:dyDescent="0.25">
      <c r="A12" s="1" t="s">
        <v>23</v>
      </c>
      <c r="B12" s="1" t="s">
        <v>177</v>
      </c>
      <c r="C12" s="1" t="s">
        <v>180</v>
      </c>
      <c r="D12" s="1" t="s">
        <v>16</v>
      </c>
      <c r="E12" s="1" t="s">
        <v>2</v>
      </c>
      <c r="F12" s="1">
        <v>161</v>
      </c>
      <c r="G12" s="1">
        <v>164.67</v>
      </c>
      <c r="H12" s="1">
        <v>93</v>
      </c>
      <c r="I12" s="1">
        <v>166</v>
      </c>
      <c r="J12" s="1">
        <v>91.85</v>
      </c>
      <c r="K12" s="1">
        <v>83.57</v>
      </c>
      <c r="L12" s="1">
        <v>75.62</v>
      </c>
      <c r="M12" s="1">
        <v>77.040000000000006</v>
      </c>
      <c r="N12" s="1">
        <v>70.5</v>
      </c>
      <c r="O12" s="1">
        <v>70.91</v>
      </c>
    </row>
    <row r="13" spans="1:15" x14ac:dyDescent="0.25">
      <c r="A13" s="1" t="s">
        <v>23</v>
      </c>
      <c r="B13" s="1" t="s">
        <v>177</v>
      </c>
      <c r="C13" s="1" t="s">
        <v>181</v>
      </c>
      <c r="D13" s="1" t="s">
        <v>16</v>
      </c>
      <c r="E13" s="1" t="s">
        <v>2</v>
      </c>
      <c r="H13" s="1">
        <v>93</v>
      </c>
      <c r="I13" s="1">
        <v>166.67</v>
      </c>
      <c r="J13" s="1">
        <v>91.85</v>
      </c>
      <c r="K13" s="1">
        <v>83.57</v>
      </c>
      <c r="L13" s="1">
        <v>75.62</v>
      </c>
      <c r="M13" s="1">
        <v>83.57</v>
      </c>
      <c r="N13" s="1">
        <v>77.03</v>
      </c>
      <c r="O13" s="1">
        <v>77.97</v>
      </c>
    </row>
    <row r="14" spans="1:15" x14ac:dyDescent="0.25">
      <c r="A14" s="1" t="s">
        <v>23</v>
      </c>
      <c r="B14" s="1" t="s">
        <v>177</v>
      </c>
      <c r="C14" s="1" t="s">
        <v>183</v>
      </c>
      <c r="D14" s="1" t="s">
        <v>16</v>
      </c>
      <c r="E14" s="1" t="s">
        <v>2</v>
      </c>
      <c r="H14" s="1">
        <v>93</v>
      </c>
      <c r="I14" s="1">
        <v>165</v>
      </c>
      <c r="J14" s="1">
        <v>91.85</v>
      </c>
      <c r="K14" s="1">
        <v>86.03</v>
      </c>
      <c r="L14" s="1">
        <v>75.62</v>
      </c>
      <c r="M14" s="1">
        <v>86.45</v>
      </c>
      <c r="N14" s="1">
        <v>79.92</v>
      </c>
      <c r="O14" s="1">
        <v>97.25</v>
      </c>
    </row>
    <row r="15" spans="1:15" x14ac:dyDescent="0.25">
      <c r="A15" s="1" t="s">
        <v>110</v>
      </c>
      <c r="B15" s="1" t="s">
        <v>177</v>
      </c>
      <c r="C15" s="1" t="s">
        <v>181</v>
      </c>
      <c r="D15" s="1" t="s">
        <v>16</v>
      </c>
      <c r="E15" s="1" t="s">
        <v>2</v>
      </c>
      <c r="H15" s="1">
        <v>93</v>
      </c>
      <c r="I15" s="1">
        <v>166.67</v>
      </c>
      <c r="J15" s="1">
        <v>91.85</v>
      </c>
      <c r="K15" s="1">
        <v>83.57</v>
      </c>
      <c r="L15" s="1">
        <v>75.62</v>
      </c>
      <c r="M15" s="1">
        <v>83.57</v>
      </c>
      <c r="N15" s="1">
        <v>87.87</v>
      </c>
      <c r="O15" s="1">
        <v>90.95</v>
      </c>
    </row>
    <row r="16" spans="1:15" x14ac:dyDescent="0.25">
      <c r="A16" s="1" t="s">
        <v>24</v>
      </c>
      <c r="B16" s="1" t="s">
        <v>177</v>
      </c>
      <c r="C16" s="1" t="s">
        <v>180</v>
      </c>
      <c r="D16" s="1" t="s">
        <v>16</v>
      </c>
      <c r="E16" s="1" t="s">
        <v>2</v>
      </c>
      <c r="F16" s="1">
        <v>161</v>
      </c>
      <c r="G16" s="1">
        <v>164.67</v>
      </c>
      <c r="H16" s="1">
        <v>93</v>
      </c>
      <c r="I16" s="1">
        <v>166</v>
      </c>
      <c r="J16" s="1">
        <v>91.85</v>
      </c>
      <c r="K16" s="1">
        <v>74.2</v>
      </c>
      <c r="L16" s="1">
        <v>72.459999999999994</v>
      </c>
      <c r="M16" s="1">
        <v>73.010000000000005</v>
      </c>
      <c r="N16" s="1">
        <v>63.13</v>
      </c>
      <c r="O16" s="1">
        <v>66.59</v>
      </c>
    </row>
    <row r="17" spans="1:15" x14ac:dyDescent="0.25">
      <c r="A17" s="1" t="s">
        <v>24</v>
      </c>
      <c r="B17" s="1" t="s">
        <v>177</v>
      </c>
      <c r="C17" s="1" t="s">
        <v>181</v>
      </c>
      <c r="D17" s="1" t="s">
        <v>16</v>
      </c>
      <c r="E17" s="1" t="s">
        <v>2</v>
      </c>
      <c r="H17" s="1">
        <v>93</v>
      </c>
      <c r="I17" s="1">
        <v>166.67</v>
      </c>
      <c r="J17" s="1">
        <v>91.85</v>
      </c>
      <c r="K17" s="1">
        <v>74.2</v>
      </c>
      <c r="L17" s="1">
        <v>72.459999999999994</v>
      </c>
      <c r="M17" s="1">
        <v>73.010000000000005</v>
      </c>
      <c r="N17" s="1">
        <v>63.13</v>
      </c>
      <c r="O17" s="1">
        <v>66.59</v>
      </c>
    </row>
    <row r="18" spans="1:15" x14ac:dyDescent="0.25">
      <c r="A18" s="1" t="s">
        <v>24</v>
      </c>
      <c r="B18" s="1" t="s">
        <v>177</v>
      </c>
      <c r="C18" s="1" t="s">
        <v>182</v>
      </c>
      <c r="D18" s="1" t="s">
        <v>16</v>
      </c>
      <c r="E18" s="1" t="s">
        <v>2</v>
      </c>
      <c r="H18" s="1">
        <v>93</v>
      </c>
      <c r="I18" s="1">
        <v>163.33000000000001</v>
      </c>
      <c r="J18" s="1">
        <v>91.85</v>
      </c>
      <c r="K18" s="1">
        <v>74.2</v>
      </c>
      <c r="L18" s="1">
        <v>72.459999999999994</v>
      </c>
      <c r="M18" s="1">
        <v>73.010000000000005</v>
      </c>
      <c r="N18" s="1">
        <v>63.13</v>
      </c>
      <c r="O18" s="1">
        <v>66.59</v>
      </c>
    </row>
    <row r="19" spans="1:15" x14ac:dyDescent="0.25">
      <c r="A19" s="1" t="s">
        <v>24</v>
      </c>
      <c r="B19" s="1" t="s">
        <v>177</v>
      </c>
      <c r="C19" s="1" t="s">
        <v>183</v>
      </c>
      <c r="D19" s="1" t="s">
        <v>16</v>
      </c>
      <c r="E19" s="1" t="s">
        <v>2</v>
      </c>
      <c r="H19" s="1">
        <v>93</v>
      </c>
      <c r="I19" s="1">
        <v>166.67</v>
      </c>
      <c r="J19" s="1">
        <v>91.85</v>
      </c>
      <c r="K19" s="1">
        <v>79.459999999999994</v>
      </c>
      <c r="L19" s="1">
        <v>72.459999999999994</v>
      </c>
      <c r="M19" s="1">
        <v>75.62</v>
      </c>
      <c r="N19" s="1">
        <v>67.36</v>
      </c>
      <c r="O19" s="1">
        <v>87.83</v>
      </c>
    </row>
    <row r="20" spans="1:15" x14ac:dyDescent="0.25">
      <c r="A20" s="1" t="s">
        <v>25</v>
      </c>
      <c r="B20" s="1" t="s">
        <v>177</v>
      </c>
      <c r="C20" s="1" t="s">
        <v>180</v>
      </c>
      <c r="D20" s="1" t="s">
        <v>16</v>
      </c>
      <c r="E20" s="1" t="s">
        <v>2</v>
      </c>
      <c r="F20" s="1">
        <v>161</v>
      </c>
      <c r="G20" s="1">
        <v>164.67</v>
      </c>
      <c r="H20" s="1">
        <v>93</v>
      </c>
      <c r="I20" s="1">
        <v>166</v>
      </c>
      <c r="J20" s="1">
        <v>91.85</v>
      </c>
      <c r="K20" s="1">
        <v>103.71</v>
      </c>
      <c r="L20" s="1">
        <v>101.92</v>
      </c>
      <c r="M20" s="1">
        <v>107.13</v>
      </c>
      <c r="N20" s="1">
        <v>115.6</v>
      </c>
      <c r="O20" s="1">
        <v>120.87</v>
      </c>
    </row>
    <row r="21" spans="1:15" x14ac:dyDescent="0.25">
      <c r="A21" s="1" t="s">
        <v>25</v>
      </c>
      <c r="B21" s="1" t="s">
        <v>177</v>
      </c>
      <c r="C21" s="1" t="s">
        <v>181</v>
      </c>
      <c r="D21" s="1" t="s">
        <v>16</v>
      </c>
      <c r="E21" s="1" t="s">
        <v>2</v>
      </c>
      <c r="J21" s="1">
        <v>91.85</v>
      </c>
      <c r="K21" s="1">
        <v>103.71</v>
      </c>
      <c r="L21" s="1">
        <v>103.71</v>
      </c>
      <c r="M21" s="1">
        <v>117.39</v>
      </c>
      <c r="N21" s="1">
        <v>127.16</v>
      </c>
      <c r="O21" s="1">
        <v>130.72</v>
      </c>
    </row>
    <row r="22" spans="1:15" x14ac:dyDescent="0.25">
      <c r="A22" s="1" t="s">
        <v>25</v>
      </c>
      <c r="B22" s="1" t="s">
        <v>177</v>
      </c>
      <c r="C22" s="1" t="s">
        <v>182</v>
      </c>
      <c r="D22" s="1" t="s">
        <v>16</v>
      </c>
      <c r="E22" s="1" t="s">
        <v>2</v>
      </c>
      <c r="H22" s="1">
        <v>93</v>
      </c>
      <c r="I22" s="1">
        <v>163.33000000000001</v>
      </c>
      <c r="J22" s="1">
        <v>91.85</v>
      </c>
      <c r="K22" s="1">
        <v>103.71</v>
      </c>
      <c r="L22" s="1">
        <v>101.92</v>
      </c>
      <c r="M22" s="1">
        <v>107.13</v>
      </c>
      <c r="N22" s="1">
        <v>115.6</v>
      </c>
      <c r="O22" s="1">
        <v>120.87</v>
      </c>
    </row>
    <row r="23" spans="1:15" x14ac:dyDescent="0.25">
      <c r="A23" s="1" t="s">
        <v>25</v>
      </c>
      <c r="B23" s="1" t="s">
        <v>177</v>
      </c>
      <c r="C23" s="1" t="s">
        <v>183</v>
      </c>
      <c r="D23" s="1" t="s">
        <v>16</v>
      </c>
      <c r="E23" s="1" t="s">
        <v>2</v>
      </c>
      <c r="H23" s="1">
        <v>93</v>
      </c>
      <c r="I23" s="1">
        <v>166.67</v>
      </c>
      <c r="J23" s="1">
        <v>91.85</v>
      </c>
      <c r="K23" s="1">
        <v>113.44</v>
      </c>
      <c r="L23" s="1">
        <v>75.62</v>
      </c>
      <c r="M23" s="1">
        <v>99.01</v>
      </c>
      <c r="N23" s="1">
        <v>117.17</v>
      </c>
      <c r="O23" s="1">
        <v>130.05000000000001</v>
      </c>
    </row>
    <row r="24" spans="1:15" x14ac:dyDescent="0.25">
      <c r="A24" s="1" t="s">
        <v>84</v>
      </c>
      <c r="B24" s="1" t="s">
        <v>177</v>
      </c>
      <c r="C24" s="1" t="s">
        <v>180</v>
      </c>
      <c r="D24" s="1" t="s">
        <v>16</v>
      </c>
      <c r="E24" s="1" t="s">
        <v>2</v>
      </c>
      <c r="G24" s="1">
        <v>164.67</v>
      </c>
      <c r="H24" s="1">
        <v>93</v>
      </c>
      <c r="I24" s="1">
        <v>166</v>
      </c>
      <c r="J24" s="1">
        <v>91.85</v>
      </c>
      <c r="K24" s="1">
        <v>83.57</v>
      </c>
      <c r="L24" s="1">
        <v>75.62</v>
      </c>
      <c r="M24" s="1">
        <v>77.040000000000006</v>
      </c>
      <c r="N24" s="1">
        <v>78.45</v>
      </c>
      <c r="O24" s="1">
        <v>105.33</v>
      </c>
    </row>
    <row r="25" spans="1:15" x14ac:dyDescent="0.25">
      <c r="A25" s="1" t="s">
        <v>84</v>
      </c>
      <c r="B25" s="1" t="s">
        <v>177</v>
      </c>
      <c r="C25" s="1" t="s">
        <v>182</v>
      </c>
      <c r="D25" s="1" t="s">
        <v>16</v>
      </c>
      <c r="E25" s="1" t="s">
        <v>2</v>
      </c>
      <c r="H25" s="1">
        <v>93</v>
      </c>
      <c r="I25" s="1">
        <v>163.33000000000001</v>
      </c>
      <c r="J25" s="1">
        <v>91.85</v>
      </c>
      <c r="K25" s="1">
        <v>83.57</v>
      </c>
      <c r="L25" s="1">
        <v>75.62</v>
      </c>
      <c r="M25" s="1">
        <v>83.57</v>
      </c>
      <c r="N25" s="1">
        <v>87.87</v>
      </c>
      <c r="O25" s="1">
        <v>112.39</v>
      </c>
    </row>
    <row r="26" spans="1:15" x14ac:dyDescent="0.25">
      <c r="A26" s="1" t="s">
        <v>84</v>
      </c>
      <c r="B26" s="1" t="s">
        <v>177</v>
      </c>
      <c r="C26" s="1" t="s">
        <v>183</v>
      </c>
      <c r="D26" s="1" t="s">
        <v>16</v>
      </c>
      <c r="E26" s="1" t="s">
        <v>2</v>
      </c>
      <c r="H26" s="1">
        <v>93</v>
      </c>
      <c r="I26" s="1">
        <v>166.67</v>
      </c>
      <c r="J26" s="1">
        <v>91.85</v>
      </c>
      <c r="K26" s="1">
        <v>86.03</v>
      </c>
      <c r="L26" s="1">
        <v>75.62</v>
      </c>
      <c r="M26" s="1">
        <v>86.45</v>
      </c>
      <c r="N26" s="1">
        <v>113.58</v>
      </c>
      <c r="O26" s="1">
        <v>131.68</v>
      </c>
    </row>
    <row r="27" spans="1:15" x14ac:dyDescent="0.25">
      <c r="A27" s="1" t="s">
        <v>95</v>
      </c>
      <c r="B27" s="1" t="s">
        <v>177</v>
      </c>
      <c r="C27" s="1" t="s">
        <v>152</v>
      </c>
      <c r="D27" s="1" t="s">
        <v>1</v>
      </c>
      <c r="E27" s="1" t="s">
        <v>2</v>
      </c>
      <c r="F27" s="1">
        <v>137</v>
      </c>
      <c r="G27" s="1">
        <v>141</v>
      </c>
      <c r="H27" s="1">
        <v>144</v>
      </c>
      <c r="I27" s="1">
        <v>144</v>
      </c>
      <c r="J27" s="1">
        <v>145</v>
      </c>
      <c r="K27" s="1">
        <v>143</v>
      </c>
      <c r="L27" s="1">
        <v>144</v>
      </c>
      <c r="M27" s="1">
        <v>140</v>
      </c>
      <c r="N27" s="1">
        <v>134</v>
      </c>
      <c r="O27" s="1">
        <v>132</v>
      </c>
    </row>
    <row r="28" spans="1:15" x14ac:dyDescent="0.25">
      <c r="A28" s="1" t="s">
        <v>8</v>
      </c>
      <c r="B28" s="1" t="s">
        <v>177</v>
      </c>
      <c r="C28" s="1" t="s">
        <v>152</v>
      </c>
      <c r="D28" s="1" t="s">
        <v>1</v>
      </c>
      <c r="E28" s="1" t="s">
        <v>2</v>
      </c>
      <c r="F28" s="1">
        <v>137</v>
      </c>
      <c r="G28" s="1">
        <v>141</v>
      </c>
      <c r="H28" s="1">
        <v>154</v>
      </c>
      <c r="I28" s="1">
        <v>142</v>
      </c>
      <c r="J28" s="1">
        <v>140</v>
      </c>
      <c r="K28" s="1">
        <v>131</v>
      </c>
      <c r="L28" s="1">
        <v>128</v>
      </c>
      <c r="M28" s="1">
        <v>121</v>
      </c>
      <c r="N28" s="1">
        <v>118</v>
      </c>
      <c r="O28" s="1">
        <v>121</v>
      </c>
    </row>
    <row r="29" spans="1:15" x14ac:dyDescent="0.25">
      <c r="A29" s="1" t="s">
        <v>8</v>
      </c>
      <c r="B29" s="1" t="s">
        <v>177</v>
      </c>
      <c r="C29" s="1" t="s">
        <v>152</v>
      </c>
      <c r="D29" s="1" t="s">
        <v>1</v>
      </c>
      <c r="E29" s="1" t="s">
        <v>168</v>
      </c>
      <c r="F29" s="1">
        <v>28</v>
      </c>
      <c r="G29" s="1">
        <v>28</v>
      </c>
      <c r="H29" s="1">
        <v>60</v>
      </c>
      <c r="I29" s="1">
        <v>43</v>
      </c>
      <c r="J29" s="1">
        <v>39</v>
      </c>
      <c r="K29" s="1">
        <v>38</v>
      </c>
      <c r="L29" s="1">
        <v>17</v>
      </c>
      <c r="M29" s="1">
        <v>17</v>
      </c>
      <c r="N29" s="1">
        <v>17</v>
      </c>
      <c r="O29" s="1">
        <v>16</v>
      </c>
    </row>
    <row r="30" spans="1:15" x14ac:dyDescent="0.25">
      <c r="A30" s="1" t="s">
        <v>9</v>
      </c>
      <c r="B30" s="1" t="s">
        <v>177</v>
      </c>
      <c r="C30" s="1" t="s">
        <v>152</v>
      </c>
      <c r="D30" s="1" t="s">
        <v>1</v>
      </c>
      <c r="E30" s="1" t="s">
        <v>2</v>
      </c>
      <c r="F30" s="1">
        <v>150</v>
      </c>
      <c r="G30" s="1">
        <v>156</v>
      </c>
      <c r="H30" s="1">
        <v>156</v>
      </c>
      <c r="J30" s="1">
        <v>161</v>
      </c>
      <c r="K30" s="1">
        <v>161</v>
      </c>
      <c r="L30" s="1">
        <v>161</v>
      </c>
      <c r="M30" s="1">
        <v>155</v>
      </c>
      <c r="N30" s="1">
        <v>148</v>
      </c>
      <c r="O30" s="1">
        <v>146</v>
      </c>
    </row>
    <row r="31" spans="1:15" x14ac:dyDescent="0.25">
      <c r="A31" s="1" t="s">
        <v>107</v>
      </c>
      <c r="B31" s="1" t="s">
        <v>177</v>
      </c>
      <c r="C31" s="1" t="s">
        <v>152</v>
      </c>
      <c r="D31" s="1" t="s">
        <v>1</v>
      </c>
      <c r="E31" s="1" t="s">
        <v>2</v>
      </c>
      <c r="F31" s="1">
        <v>150</v>
      </c>
      <c r="G31" s="1">
        <v>156</v>
      </c>
      <c r="H31" s="1">
        <v>154</v>
      </c>
      <c r="I31" s="1">
        <v>154</v>
      </c>
      <c r="J31" s="1">
        <v>161</v>
      </c>
      <c r="K31" s="1">
        <v>151</v>
      </c>
      <c r="L31" s="1">
        <v>146</v>
      </c>
      <c r="M31" s="1">
        <v>152</v>
      </c>
      <c r="N31" s="1">
        <v>151</v>
      </c>
      <c r="O31" s="1">
        <v>148</v>
      </c>
    </row>
    <row r="32" spans="1:15" x14ac:dyDescent="0.25">
      <c r="A32" s="1" t="s">
        <v>23</v>
      </c>
      <c r="B32" s="1" t="s">
        <v>177</v>
      </c>
      <c r="C32" s="1" t="s">
        <v>152</v>
      </c>
      <c r="D32" s="1" t="s">
        <v>1</v>
      </c>
      <c r="E32" s="1" t="s">
        <v>2</v>
      </c>
      <c r="F32" s="1">
        <v>137</v>
      </c>
      <c r="G32" s="1">
        <v>141</v>
      </c>
      <c r="H32" s="1">
        <v>154</v>
      </c>
      <c r="I32" s="1">
        <v>142</v>
      </c>
      <c r="J32" s="1">
        <v>140</v>
      </c>
      <c r="K32" s="1">
        <v>141</v>
      </c>
      <c r="L32" s="1">
        <v>138</v>
      </c>
      <c r="M32" s="1">
        <v>138</v>
      </c>
      <c r="N32" s="1">
        <v>142</v>
      </c>
      <c r="O32" s="1">
        <v>161</v>
      </c>
    </row>
    <row r="33" spans="1:15" x14ac:dyDescent="0.25">
      <c r="A33" s="1" t="s">
        <v>23</v>
      </c>
      <c r="B33" s="1" t="s">
        <v>177</v>
      </c>
      <c r="C33" s="1" t="s">
        <v>152</v>
      </c>
      <c r="D33" s="1" t="s">
        <v>1</v>
      </c>
      <c r="E33" s="1" t="s">
        <v>168</v>
      </c>
      <c r="F33" s="1">
        <v>28</v>
      </c>
      <c r="G33" s="1">
        <v>28</v>
      </c>
      <c r="H33" s="1">
        <v>60</v>
      </c>
      <c r="I33" s="1">
        <v>43</v>
      </c>
      <c r="J33" s="1">
        <v>39</v>
      </c>
      <c r="K33" s="1">
        <v>42</v>
      </c>
      <c r="L33" s="1">
        <v>47</v>
      </c>
      <c r="M33" s="1">
        <v>39</v>
      </c>
      <c r="N33" s="1">
        <v>30</v>
      </c>
      <c r="O33" s="1">
        <v>33</v>
      </c>
    </row>
    <row r="34" spans="1:15" x14ac:dyDescent="0.25">
      <c r="A34" s="2" t="s">
        <v>3</v>
      </c>
      <c r="B34" s="2" t="s">
        <v>4</v>
      </c>
      <c r="C34" s="2" t="s">
        <v>5</v>
      </c>
      <c r="D34" s="2" t="s">
        <v>6</v>
      </c>
      <c r="E34" s="2" t="s">
        <v>7</v>
      </c>
      <c r="F34" s="2">
        <v>2018</v>
      </c>
      <c r="G34" s="2">
        <v>2019</v>
      </c>
      <c r="H34" s="2">
        <v>2020</v>
      </c>
      <c r="I34" s="2">
        <v>2021</v>
      </c>
      <c r="J34" s="2">
        <v>2022</v>
      </c>
      <c r="K34" s="2">
        <v>2023</v>
      </c>
      <c r="L34" s="2">
        <v>2024</v>
      </c>
      <c r="M34" s="2">
        <v>2025</v>
      </c>
      <c r="N34" s="2">
        <v>2026</v>
      </c>
      <c r="O34" s="2">
        <v>2027</v>
      </c>
    </row>
    <row r="35" spans="1:15" x14ac:dyDescent="0.25">
      <c r="A35" s="1" t="s">
        <v>81</v>
      </c>
      <c r="B35" s="1" t="s">
        <v>177</v>
      </c>
      <c r="C35" s="1" t="s">
        <v>179</v>
      </c>
      <c r="D35" s="1" t="s">
        <v>21</v>
      </c>
      <c r="E35" s="1" t="s">
        <v>2</v>
      </c>
      <c r="F35" s="1">
        <v>2947</v>
      </c>
      <c r="G35" s="1">
        <v>2771</v>
      </c>
      <c r="H35" s="1">
        <v>2771</v>
      </c>
      <c r="I35" s="1">
        <v>2596</v>
      </c>
      <c r="J35" s="1">
        <v>2447</v>
      </c>
      <c r="K35" s="1">
        <v>2649</v>
      </c>
      <c r="L35" s="1">
        <v>2731</v>
      </c>
      <c r="M35" s="1">
        <v>2614</v>
      </c>
      <c r="N35" s="1">
        <v>2596</v>
      </c>
      <c r="O35" s="1">
        <v>2634</v>
      </c>
    </row>
    <row r="36" spans="1:15" x14ac:dyDescent="0.25">
      <c r="A36" s="1" t="s">
        <v>24</v>
      </c>
      <c r="B36" s="1" t="s">
        <v>177</v>
      </c>
      <c r="C36" s="1" t="s">
        <v>179</v>
      </c>
      <c r="D36" s="1" t="s">
        <v>21</v>
      </c>
      <c r="E36" s="1" t="s">
        <v>2</v>
      </c>
      <c r="F36" s="1">
        <v>2947</v>
      </c>
      <c r="G36" s="1">
        <v>2771</v>
      </c>
      <c r="H36" s="1">
        <v>2771</v>
      </c>
      <c r="I36" s="1">
        <v>2596</v>
      </c>
      <c r="J36" s="1">
        <v>2447</v>
      </c>
      <c r="K36" s="1">
        <v>2649</v>
      </c>
      <c r="L36" s="1">
        <v>2731</v>
      </c>
      <c r="M36" s="1">
        <v>2614</v>
      </c>
      <c r="N36" s="1">
        <v>2596</v>
      </c>
      <c r="O36" s="1">
        <v>2634</v>
      </c>
    </row>
    <row r="37" spans="1:15" x14ac:dyDescent="0.25">
      <c r="A37" s="1" t="s">
        <v>25</v>
      </c>
      <c r="B37" s="1" t="s">
        <v>177</v>
      </c>
      <c r="C37" s="1" t="s">
        <v>179</v>
      </c>
      <c r="D37" s="1" t="s">
        <v>21</v>
      </c>
      <c r="E37" s="1" t="s">
        <v>2</v>
      </c>
      <c r="F37" s="1">
        <v>2947</v>
      </c>
      <c r="G37" s="1">
        <v>2771</v>
      </c>
      <c r="H37" s="1">
        <v>2771</v>
      </c>
      <c r="I37" s="1">
        <v>2596</v>
      </c>
      <c r="J37" s="1">
        <v>2447</v>
      </c>
      <c r="K37" s="1">
        <v>2649</v>
      </c>
      <c r="L37" s="1">
        <v>2880</v>
      </c>
      <c r="M37" s="1">
        <v>2763</v>
      </c>
      <c r="N37" s="1">
        <v>2678</v>
      </c>
      <c r="O37" s="1">
        <v>2634</v>
      </c>
    </row>
    <row r="38" spans="1:15" x14ac:dyDescent="0.25">
      <c r="A38" s="1" t="s">
        <v>84</v>
      </c>
      <c r="B38" s="1" t="s">
        <v>177</v>
      </c>
      <c r="C38" s="1" t="s">
        <v>179</v>
      </c>
      <c r="D38" s="1" t="s">
        <v>21</v>
      </c>
      <c r="E38" s="1" t="s">
        <v>2</v>
      </c>
      <c r="G38" s="1">
        <v>2771</v>
      </c>
      <c r="H38" s="1">
        <v>2771</v>
      </c>
      <c r="I38" s="1">
        <v>2596</v>
      </c>
      <c r="J38" s="1">
        <v>2447</v>
      </c>
      <c r="K38" s="1">
        <v>2649</v>
      </c>
      <c r="L38" s="1">
        <v>2731</v>
      </c>
      <c r="M38" s="1">
        <v>2614</v>
      </c>
      <c r="N38" s="1">
        <v>2596</v>
      </c>
      <c r="O38" s="1">
        <v>2634</v>
      </c>
    </row>
    <row r="39" spans="1:15" x14ac:dyDescent="0.25">
      <c r="A39" s="1" t="s">
        <v>25</v>
      </c>
      <c r="B39" s="1" t="s">
        <v>177</v>
      </c>
      <c r="C39" s="1" t="s">
        <v>179</v>
      </c>
      <c r="D39" s="1" t="s">
        <v>119</v>
      </c>
      <c r="E39" s="1" t="s">
        <v>2</v>
      </c>
      <c r="F39" s="1">
        <v>3205</v>
      </c>
      <c r="G39" s="1">
        <v>3205</v>
      </c>
      <c r="H39" s="1">
        <v>3205</v>
      </c>
      <c r="I39" s="1">
        <v>3205</v>
      </c>
      <c r="L39" s="1">
        <v>2850</v>
      </c>
      <c r="M39" s="1">
        <v>2739</v>
      </c>
      <c r="N39" s="1">
        <v>2689</v>
      </c>
      <c r="O39" s="1">
        <v>2689</v>
      </c>
    </row>
    <row r="40" spans="1:15" x14ac:dyDescent="0.25">
      <c r="A40" s="2" t="s">
        <v>3</v>
      </c>
      <c r="B40" s="2" t="s">
        <v>4</v>
      </c>
      <c r="C40" s="2" t="s">
        <v>5</v>
      </c>
      <c r="D40" s="2" t="s">
        <v>6</v>
      </c>
      <c r="E40" s="2" t="s">
        <v>7</v>
      </c>
      <c r="F40" s="2">
        <v>2018</v>
      </c>
      <c r="G40" s="2">
        <v>2019</v>
      </c>
      <c r="H40" s="2">
        <v>2020</v>
      </c>
      <c r="I40" s="2">
        <v>2021</v>
      </c>
      <c r="J40" s="2">
        <v>2022</v>
      </c>
      <c r="K40" s="2">
        <v>2023</v>
      </c>
      <c r="L40" s="2">
        <v>2024</v>
      </c>
      <c r="M40" s="2">
        <v>2025</v>
      </c>
      <c r="N40" s="2">
        <v>2026</v>
      </c>
      <c r="O40" s="2">
        <v>2027</v>
      </c>
    </row>
    <row r="41" spans="1:15" x14ac:dyDescent="0.25">
      <c r="A41" s="1" t="s">
        <v>95</v>
      </c>
      <c r="B41" s="1" t="s">
        <v>177</v>
      </c>
      <c r="C41" s="1" t="s">
        <v>152</v>
      </c>
      <c r="D41" s="1" t="s">
        <v>178</v>
      </c>
      <c r="E41" s="1" t="s">
        <v>2</v>
      </c>
      <c r="G41" s="1">
        <v>23.2</v>
      </c>
      <c r="H41" s="1">
        <v>24.83</v>
      </c>
      <c r="I41" s="1">
        <v>23</v>
      </c>
      <c r="J41" s="1">
        <v>23.83</v>
      </c>
      <c r="K41" s="1">
        <v>22.6</v>
      </c>
      <c r="L41" s="1">
        <v>22.26</v>
      </c>
      <c r="M41" s="1">
        <v>20.6</v>
      </c>
      <c r="N41" s="1">
        <v>20.82</v>
      </c>
      <c r="O41" s="1">
        <v>21.37</v>
      </c>
    </row>
    <row r="42" spans="1:15" x14ac:dyDescent="0.25">
      <c r="A42" s="1" t="s">
        <v>102</v>
      </c>
      <c r="B42" s="1" t="s">
        <v>177</v>
      </c>
      <c r="C42" s="1" t="s">
        <v>152</v>
      </c>
      <c r="D42" s="1" t="s">
        <v>178</v>
      </c>
      <c r="E42" s="1" t="s">
        <v>2</v>
      </c>
      <c r="H42" s="1">
        <v>24.83</v>
      </c>
      <c r="I42" s="1">
        <v>23</v>
      </c>
      <c r="J42" s="1">
        <v>23.83</v>
      </c>
      <c r="K42" s="1">
        <v>22.64</v>
      </c>
      <c r="L42" s="1">
        <v>22.3</v>
      </c>
      <c r="M42" s="1">
        <v>20.97</v>
      </c>
      <c r="N42" s="1">
        <v>21.3</v>
      </c>
      <c r="O42" s="1">
        <v>21.96</v>
      </c>
    </row>
    <row r="43" spans="1:15" x14ac:dyDescent="0.25">
      <c r="A43" s="1" t="s">
        <v>24</v>
      </c>
      <c r="B43" s="1" t="s">
        <v>177</v>
      </c>
      <c r="C43" s="1" t="s">
        <v>152</v>
      </c>
      <c r="D43" s="1" t="s">
        <v>178</v>
      </c>
      <c r="E43" s="1" t="s">
        <v>2</v>
      </c>
      <c r="H43" s="1">
        <v>24.83</v>
      </c>
      <c r="I43" s="1">
        <v>23</v>
      </c>
      <c r="J43" s="1">
        <v>23.83</v>
      </c>
      <c r="K43" s="1">
        <v>22.67</v>
      </c>
      <c r="L43" s="1">
        <v>22.34</v>
      </c>
      <c r="M43" s="1">
        <v>21.01</v>
      </c>
      <c r="N43" s="1">
        <v>21.34</v>
      </c>
      <c r="O43" s="1">
        <v>21.99</v>
      </c>
    </row>
  </sheetData>
  <sortState xmlns:xlrd2="http://schemas.microsoft.com/office/spreadsheetml/2017/richdata2" ref="A2:O43">
    <sortCondition ref="D9:D43"/>
  </sortState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3DFA-0811-42B5-BFA7-7D62109DC3AA}">
  <dimension ref="A1:Q4"/>
  <sheetViews>
    <sheetView workbookViewId="0">
      <selection sqref="A1:O4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184</v>
      </c>
      <c r="D2" s="1" t="s">
        <v>16</v>
      </c>
      <c r="E2" s="1" t="s">
        <v>2</v>
      </c>
      <c r="F2" s="1">
        <v>215.67</v>
      </c>
      <c r="G2" s="1">
        <v>215.67</v>
      </c>
      <c r="H2" s="1">
        <v>215.67</v>
      </c>
      <c r="I2" s="1">
        <v>229.67</v>
      </c>
      <c r="J2" s="1">
        <v>223.37</v>
      </c>
      <c r="K2" s="1">
        <v>202.7</v>
      </c>
      <c r="L2" s="1">
        <v>191.97</v>
      </c>
      <c r="M2" s="1">
        <v>160.58000000000001</v>
      </c>
      <c r="N2" s="1">
        <v>120.91</v>
      </c>
    </row>
    <row r="3" spans="1:15" x14ac:dyDescent="0.25">
      <c r="A3" s="1" t="s">
        <v>24</v>
      </c>
      <c r="B3" s="1" t="s">
        <v>184</v>
      </c>
      <c r="D3" s="1" t="s">
        <v>16</v>
      </c>
      <c r="E3" s="1" t="s">
        <v>2</v>
      </c>
      <c r="F3" s="1">
        <v>215.67</v>
      </c>
      <c r="G3" s="1">
        <v>215.67</v>
      </c>
      <c r="H3" s="1">
        <v>215.67</v>
      </c>
      <c r="I3" s="1">
        <v>229.67</v>
      </c>
      <c r="J3" s="1">
        <v>223.37</v>
      </c>
      <c r="K3" s="1">
        <v>202.7</v>
      </c>
      <c r="L3" s="1">
        <v>203.04</v>
      </c>
      <c r="M3" s="1">
        <v>183.1</v>
      </c>
      <c r="N3" s="1">
        <v>183.1</v>
      </c>
    </row>
    <row r="4" spans="1:15" x14ac:dyDescent="0.25">
      <c r="A4" s="1" t="s">
        <v>84</v>
      </c>
      <c r="B4" s="1" t="s">
        <v>184</v>
      </c>
      <c r="D4" s="1" t="s">
        <v>16</v>
      </c>
      <c r="E4" s="1" t="s">
        <v>2</v>
      </c>
      <c r="F4" s="1">
        <v>215.67</v>
      </c>
      <c r="G4" s="1">
        <v>215.67</v>
      </c>
      <c r="H4" s="1">
        <v>215.67</v>
      </c>
      <c r="I4" s="1">
        <v>229.67</v>
      </c>
      <c r="J4" s="1">
        <v>223.37</v>
      </c>
      <c r="K4" s="1">
        <v>202.7</v>
      </c>
      <c r="L4" s="1">
        <v>186.44</v>
      </c>
      <c r="M4" s="1">
        <v>149.51</v>
      </c>
      <c r="N4" s="1">
        <v>110.5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5E425-353A-432E-BC14-459A2AE229EC}">
  <dimension ref="A1:Q11"/>
  <sheetViews>
    <sheetView workbookViewId="0">
      <selection sqref="A1:O11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185</v>
      </c>
      <c r="C2" s="1" t="s">
        <v>126</v>
      </c>
      <c r="D2" s="1" t="s">
        <v>16</v>
      </c>
      <c r="E2" s="1" t="s">
        <v>2</v>
      </c>
      <c r="F2" s="1">
        <v>9.33</v>
      </c>
      <c r="G2" s="1">
        <v>8.7200000000000006</v>
      </c>
      <c r="H2" s="1">
        <v>4.45</v>
      </c>
      <c r="I2" s="1">
        <v>4.45</v>
      </c>
      <c r="J2" s="1">
        <v>5.73</v>
      </c>
      <c r="K2" s="1">
        <v>7.77</v>
      </c>
      <c r="L2" s="1">
        <v>7.28</v>
      </c>
      <c r="M2" s="1">
        <v>7.36</v>
      </c>
      <c r="N2" s="1">
        <v>8.6300000000000008</v>
      </c>
      <c r="O2" s="1">
        <v>11.73</v>
      </c>
    </row>
    <row r="3" spans="1:15" x14ac:dyDescent="0.25">
      <c r="A3" s="1" t="s">
        <v>9</v>
      </c>
      <c r="B3" s="1" t="s">
        <v>185</v>
      </c>
      <c r="C3" s="1" t="s">
        <v>15</v>
      </c>
      <c r="D3" s="1" t="s">
        <v>16</v>
      </c>
      <c r="E3" s="1" t="s">
        <v>2</v>
      </c>
      <c r="F3" s="1">
        <v>9.33</v>
      </c>
      <c r="G3" s="1">
        <v>8.7200000000000006</v>
      </c>
      <c r="H3" s="1">
        <v>4.45</v>
      </c>
      <c r="I3" s="1">
        <v>4.45</v>
      </c>
      <c r="J3" s="1">
        <v>5.73</v>
      </c>
      <c r="K3" s="1">
        <v>5.9</v>
      </c>
      <c r="L3" s="1">
        <v>6.54</v>
      </c>
      <c r="M3" s="1">
        <v>5.16</v>
      </c>
      <c r="N3" s="1">
        <v>5.26</v>
      </c>
      <c r="O3" s="1">
        <v>4.72</v>
      </c>
    </row>
    <row r="4" spans="1:15" x14ac:dyDescent="0.25">
      <c r="A4" s="1" t="s">
        <v>24</v>
      </c>
      <c r="B4" s="1" t="s">
        <v>185</v>
      </c>
      <c r="C4" s="1" t="s">
        <v>126</v>
      </c>
      <c r="D4" s="1" t="s">
        <v>16</v>
      </c>
      <c r="E4" s="1" t="s">
        <v>2</v>
      </c>
      <c r="F4" s="1">
        <v>9.33</v>
      </c>
      <c r="G4" s="1">
        <v>8.7200000000000006</v>
      </c>
      <c r="H4" s="1">
        <v>4.45</v>
      </c>
      <c r="I4" s="1">
        <v>7.11</v>
      </c>
      <c r="J4" s="1">
        <v>6.91</v>
      </c>
      <c r="K4" s="1">
        <v>6.09</v>
      </c>
      <c r="L4" s="1">
        <v>7.28</v>
      </c>
      <c r="M4" s="1">
        <v>7.36</v>
      </c>
      <c r="N4" s="1">
        <v>6.8</v>
      </c>
      <c r="O4" s="1">
        <v>6.66</v>
      </c>
    </row>
    <row r="5" spans="1:15" x14ac:dyDescent="0.25">
      <c r="A5" s="1" t="s">
        <v>24</v>
      </c>
      <c r="B5" s="1" t="s">
        <v>185</v>
      </c>
      <c r="C5" s="1" t="s">
        <v>127</v>
      </c>
      <c r="D5" s="1" t="s">
        <v>16</v>
      </c>
      <c r="E5" s="1" t="s">
        <v>2</v>
      </c>
      <c r="F5" s="1">
        <v>9.33</v>
      </c>
      <c r="G5" s="1">
        <v>8.7200000000000006</v>
      </c>
      <c r="H5" s="1">
        <v>4.45</v>
      </c>
      <c r="I5" s="1">
        <v>7.11</v>
      </c>
      <c r="J5" s="1">
        <v>6.91</v>
      </c>
      <c r="K5" s="1">
        <v>5.74</v>
      </c>
      <c r="L5" s="1">
        <v>7.53</v>
      </c>
      <c r="M5" s="1">
        <v>6.76</v>
      </c>
      <c r="N5" s="1">
        <v>6.36</v>
      </c>
      <c r="O5" s="1">
        <v>5.97</v>
      </c>
    </row>
    <row r="6" spans="1:15" x14ac:dyDescent="0.25">
      <c r="A6" s="1" t="s">
        <v>25</v>
      </c>
      <c r="B6" s="1" t="s">
        <v>185</v>
      </c>
      <c r="C6" s="1" t="s">
        <v>15</v>
      </c>
      <c r="D6" s="1" t="s">
        <v>16</v>
      </c>
      <c r="E6" s="1" t="s">
        <v>2</v>
      </c>
      <c r="F6" s="1">
        <v>9.33</v>
      </c>
      <c r="G6" s="1">
        <v>8.7200000000000006</v>
      </c>
      <c r="H6" s="1">
        <v>4.45</v>
      </c>
      <c r="I6" s="1">
        <v>8.14</v>
      </c>
      <c r="J6" s="1">
        <v>7.94</v>
      </c>
      <c r="K6" s="1">
        <v>7.3</v>
      </c>
      <c r="L6" s="1">
        <v>6.54</v>
      </c>
      <c r="M6" s="1">
        <v>5.8</v>
      </c>
      <c r="N6" s="1">
        <v>5.8</v>
      </c>
      <c r="O6" s="1">
        <v>5.4</v>
      </c>
    </row>
    <row r="7" spans="1:15" x14ac:dyDescent="0.25">
      <c r="A7" s="1" t="s">
        <v>25</v>
      </c>
      <c r="B7" s="1" t="s">
        <v>185</v>
      </c>
      <c r="C7" s="1" t="s">
        <v>126</v>
      </c>
      <c r="D7" s="1" t="s">
        <v>16</v>
      </c>
      <c r="E7" s="1" t="s">
        <v>2</v>
      </c>
      <c r="F7" s="1">
        <v>9.33</v>
      </c>
      <c r="G7" s="1">
        <v>8.7200000000000006</v>
      </c>
      <c r="H7" s="1">
        <v>4.45</v>
      </c>
      <c r="I7" s="1">
        <v>4.45</v>
      </c>
      <c r="J7" s="1">
        <v>5.73</v>
      </c>
      <c r="K7" s="1">
        <v>5.76</v>
      </c>
      <c r="L7" s="1">
        <v>7.28</v>
      </c>
      <c r="M7" s="1">
        <v>6.54</v>
      </c>
      <c r="N7" s="1">
        <v>6.71</v>
      </c>
      <c r="O7" s="1">
        <v>6.22</v>
      </c>
    </row>
    <row r="8" spans="1:15" x14ac:dyDescent="0.25">
      <c r="A8" s="1" t="s">
        <v>25</v>
      </c>
      <c r="B8" s="1" t="s">
        <v>185</v>
      </c>
      <c r="C8" s="1" t="s">
        <v>127</v>
      </c>
      <c r="D8" s="1" t="s">
        <v>16</v>
      </c>
      <c r="E8" s="1" t="s">
        <v>2</v>
      </c>
      <c r="F8" s="1">
        <v>9.33</v>
      </c>
      <c r="G8" s="1">
        <v>8.7200000000000006</v>
      </c>
      <c r="H8" s="1">
        <v>4.45</v>
      </c>
      <c r="I8" s="1">
        <v>8.14</v>
      </c>
      <c r="J8" s="1">
        <v>7.94</v>
      </c>
      <c r="K8" s="1">
        <v>6.76</v>
      </c>
      <c r="L8" s="1">
        <v>7.53</v>
      </c>
      <c r="M8" s="1">
        <v>6.61</v>
      </c>
      <c r="N8" s="1">
        <v>5.74</v>
      </c>
      <c r="O8" s="1">
        <v>5.5</v>
      </c>
    </row>
    <row r="9" spans="1:15" x14ac:dyDescent="0.25">
      <c r="A9" s="1" t="s">
        <v>84</v>
      </c>
      <c r="B9" s="1" t="s">
        <v>185</v>
      </c>
      <c r="C9" s="1" t="s">
        <v>15</v>
      </c>
      <c r="D9" s="1" t="s">
        <v>16</v>
      </c>
      <c r="E9" s="1" t="s">
        <v>2</v>
      </c>
      <c r="F9" s="1">
        <v>9.33</v>
      </c>
      <c r="G9" s="1">
        <v>8.7200000000000006</v>
      </c>
      <c r="H9" s="1">
        <v>4.45</v>
      </c>
      <c r="I9" s="1">
        <v>4.45</v>
      </c>
      <c r="J9" s="1">
        <v>5.73</v>
      </c>
      <c r="K9" s="1">
        <v>5.9</v>
      </c>
      <c r="L9" s="1">
        <v>5.52</v>
      </c>
      <c r="M9" s="1">
        <v>5.16</v>
      </c>
      <c r="N9" s="1">
        <v>6.62</v>
      </c>
      <c r="O9" s="1">
        <v>6.11</v>
      </c>
    </row>
    <row r="10" spans="1:15" x14ac:dyDescent="0.25">
      <c r="A10" s="1" t="s">
        <v>84</v>
      </c>
      <c r="B10" s="1" t="s">
        <v>185</v>
      </c>
      <c r="C10" s="1" t="s">
        <v>126</v>
      </c>
      <c r="D10" s="1" t="s">
        <v>16</v>
      </c>
      <c r="E10" s="1" t="s">
        <v>2</v>
      </c>
      <c r="F10" s="1">
        <v>9.33</v>
      </c>
      <c r="G10" s="1">
        <v>8.7200000000000006</v>
      </c>
      <c r="H10" s="1">
        <v>4.45</v>
      </c>
      <c r="I10" s="1">
        <v>4.45</v>
      </c>
      <c r="J10" s="1">
        <v>5.73</v>
      </c>
      <c r="K10" s="1">
        <v>5.76</v>
      </c>
      <c r="L10" s="1">
        <v>7.28</v>
      </c>
      <c r="M10" s="1">
        <v>6.54</v>
      </c>
      <c r="N10" s="1">
        <v>4.97</v>
      </c>
      <c r="O10" s="1">
        <v>4.49</v>
      </c>
    </row>
    <row r="11" spans="1:15" x14ac:dyDescent="0.25">
      <c r="A11" s="1" t="s">
        <v>84</v>
      </c>
      <c r="B11" s="1" t="s">
        <v>185</v>
      </c>
      <c r="C11" s="1" t="s">
        <v>127</v>
      </c>
      <c r="D11" s="1" t="s">
        <v>16</v>
      </c>
      <c r="E11" s="1" t="s">
        <v>2</v>
      </c>
      <c r="F11" s="1">
        <v>9.33</v>
      </c>
      <c r="G11" s="1">
        <v>8.7200000000000006</v>
      </c>
      <c r="H11" s="1">
        <v>4.45</v>
      </c>
      <c r="I11" s="1">
        <v>4.45</v>
      </c>
      <c r="J11" s="1">
        <v>5.73</v>
      </c>
      <c r="K11" s="1">
        <v>5.5</v>
      </c>
      <c r="L11" s="1">
        <v>7.53</v>
      </c>
      <c r="M11" s="1">
        <v>6.43</v>
      </c>
      <c r="N11" s="1">
        <v>5.18</v>
      </c>
      <c r="O11" s="1">
        <v>4.8899999999999997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E4DF-1CFB-484B-81BB-CCBC55DD2DBE}">
  <dimension ref="A1:Q6"/>
  <sheetViews>
    <sheetView workbookViewId="0">
      <selection sqref="A1:O6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188</v>
      </c>
      <c r="C2" s="1" t="s">
        <v>189</v>
      </c>
      <c r="D2" s="1" t="s">
        <v>16</v>
      </c>
      <c r="E2" s="1" t="s">
        <v>2</v>
      </c>
      <c r="F2" s="1">
        <v>100.38</v>
      </c>
      <c r="G2" s="1">
        <v>92.67</v>
      </c>
      <c r="H2" s="1">
        <v>92.67</v>
      </c>
      <c r="I2" s="1">
        <v>106.67</v>
      </c>
      <c r="J2" s="1">
        <v>100.97</v>
      </c>
      <c r="K2" s="1">
        <v>98.3</v>
      </c>
      <c r="L2" s="1">
        <v>112.3</v>
      </c>
      <c r="M2" s="1">
        <v>101.21</v>
      </c>
      <c r="N2" s="1">
        <v>88.6</v>
      </c>
    </row>
    <row r="3" spans="1:15" x14ac:dyDescent="0.25">
      <c r="A3" s="1" t="s">
        <v>20</v>
      </c>
      <c r="B3" s="1" t="s">
        <v>188</v>
      </c>
      <c r="C3" s="1" t="s">
        <v>189</v>
      </c>
      <c r="D3" s="1" t="s">
        <v>16</v>
      </c>
      <c r="E3" s="1" t="s">
        <v>2</v>
      </c>
      <c r="F3" s="1">
        <v>100.38</v>
      </c>
      <c r="G3" s="1">
        <v>92.67</v>
      </c>
      <c r="H3" s="1">
        <v>92.67</v>
      </c>
      <c r="I3" s="1">
        <v>106.67</v>
      </c>
      <c r="J3" s="1">
        <v>100.97</v>
      </c>
      <c r="K3" s="1">
        <v>98.3</v>
      </c>
      <c r="L3" s="1">
        <v>112.3</v>
      </c>
      <c r="M3" s="1">
        <v>91.68</v>
      </c>
      <c r="N3" s="1">
        <v>76.349999999999994</v>
      </c>
    </row>
    <row r="4" spans="1:15" x14ac:dyDescent="0.25">
      <c r="A4" s="1" t="s">
        <v>24</v>
      </c>
      <c r="B4" s="1" t="s">
        <v>188</v>
      </c>
      <c r="C4" s="1" t="s">
        <v>189</v>
      </c>
      <c r="D4" s="1" t="s">
        <v>16</v>
      </c>
      <c r="E4" s="1" t="s">
        <v>2</v>
      </c>
      <c r="F4" s="1">
        <v>100.38</v>
      </c>
      <c r="G4" s="1">
        <v>92.67</v>
      </c>
      <c r="H4" s="1">
        <v>92.67</v>
      </c>
      <c r="I4" s="1">
        <v>106.67</v>
      </c>
      <c r="J4" s="1">
        <v>100.97</v>
      </c>
      <c r="K4" s="1">
        <v>98.3</v>
      </c>
      <c r="L4" s="1">
        <v>112.3</v>
      </c>
      <c r="M4" s="1">
        <v>116.07</v>
      </c>
      <c r="N4" s="1">
        <v>98.02</v>
      </c>
    </row>
    <row r="5" spans="1:15" x14ac:dyDescent="0.25">
      <c r="A5" s="1" t="s">
        <v>25</v>
      </c>
      <c r="B5" s="1" t="s">
        <v>188</v>
      </c>
      <c r="C5" s="1" t="s">
        <v>189</v>
      </c>
      <c r="D5" s="1" t="s">
        <v>16</v>
      </c>
      <c r="E5" s="1" t="s">
        <v>2</v>
      </c>
      <c r="F5" s="1">
        <v>100.38</v>
      </c>
      <c r="G5" s="1">
        <v>92.67</v>
      </c>
      <c r="H5" s="1">
        <v>92.67</v>
      </c>
      <c r="I5" s="1">
        <v>106.67</v>
      </c>
      <c r="J5" s="1">
        <v>100.97</v>
      </c>
      <c r="K5" s="1">
        <v>98.3</v>
      </c>
      <c r="L5" s="1">
        <v>112.3</v>
      </c>
      <c r="M5" s="1">
        <v>91.68</v>
      </c>
      <c r="N5" s="1">
        <v>79.069999999999993</v>
      </c>
    </row>
    <row r="6" spans="1:15" x14ac:dyDescent="0.25">
      <c r="A6" s="1" t="s">
        <v>84</v>
      </c>
      <c r="B6" s="1" t="s">
        <v>188</v>
      </c>
      <c r="C6" s="1" t="s">
        <v>189</v>
      </c>
      <c r="D6" s="1" t="s">
        <v>16</v>
      </c>
      <c r="E6" s="1" t="s">
        <v>2</v>
      </c>
      <c r="F6" s="1">
        <v>100.38</v>
      </c>
      <c r="G6" s="1">
        <v>92.67</v>
      </c>
      <c r="H6" s="1">
        <v>92.67</v>
      </c>
      <c r="I6" s="1">
        <v>106.67</v>
      </c>
      <c r="J6" s="1">
        <v>100.97</v>
      </c>
      <c r="K6" s="1">
        <v>98.3</v>
      </c>
      <c r="L6" s="1">
        <v>112.3</v>
      </c>
      <c r="M6" s="1">
        <v>116.07</v>
      </c>
      <c r="N6" s="1">
        <v>114.04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E7CEC-10BA-4719-A618-50190271B3DC}">
  <dimension ref="A1:Q5"/>
  <sheetViews>
    <sheetView workbookViewId="0">
      <selection sqref="A1:O5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102</v>
      </c>
      <c r="B2" s="1" t="s">
        <v>190</v>
      </c>
      <c r="C2" s="1" t="s">
        <v>191</v>
      </c>
      <c r="D2" s="1" t="s">
        <v>119</v>
      </c>
      <c r="E2" s="1" t="s">
        <v>2</v>
      </c>
      <c r="F2" s="1">
        <v>240</v>
      </c>
      <c r="G2" s="1">
        <v>240</v>
      </c>
      <c r="H2" s="1">
        <v>240</v>
      </c>
      <c r="I2" s="1">
        <v>240</v>
      </c>
      <c r="J2" s="1">
        <v>240</v>
      </c>
      <c r="K2" s="1">
        <v>240</v>
      </c>
      <c r="L2" s="1">
        <v>226</v>
      </c>
      <c r="M2" s="1">
        <v>151</v>
      </c>
      <c r="N2" s="1">
        <v>77</v>
      </c>
    </row>
    <row r="3" spans="1:15" x14ac:dyDescent="0.25">
      <c r="A3" s="1" t="s">
        <v>23</v>
      </c>
      <c r="B3" s="1" t="s">
        <v>190</v>
      </c>
      <c r="C3" s="1" t="s">
        <v>192</v>
      </c>
      <c r="D3" s="1" t="s">
        <v>119</v>
      </c>
      <c r="E3" s="1" t="s">
        <v>2</v>
      </c>
      <c r="F3" s="1">
        <v>29</v>
      </c>
      <c r="G3" s="1">
        <v>29</v>
      </c>
      <c r="H3" s="1">
        <v>29</v>
      </c>
      <c r="I3" s="1">
        <v>29</v>
      </c>
      <c r="J3" s="1">
        <v>29</v>
      </c>
      <c r="K3" s="1">
        <v>29</v>
      </c>
      <c r="L3" s="1">
        <v>29</v>
      </c>
      <c r="M3" s="1">
        <v>29</v>
      </c>
      <c r="N3" s="1">
        <v>29</v>
      </c>
    </row>
    <row r="4" spans="1:15" x14ac:dyDescent="0.25">
      <c r="A4" s="1" t="s">
        <v>23</v>
      </c>
      <c r="B4" s="1" t="s">
        <v>190</v>
      </c>
      <c r="C4" s="1" t="s">
        <v>192</v>
      </c>
      <c r="D4" s="1" t="s">
        <v>119</v>
      </c>
      <c r="E4" s="1" t="s">
        <v>168</v>
      </c>
      <c r="F4" s="1">
        <v>21</v>
      </c>
      <c r="G4" s="1">
        <v>21</v>
      </c>
      <c r="H4" s="1">
        <v>21</v>
      </c>
      <c r="I4" s="1">
        <v>21</v>
      </c>
      <c r="J4" s="1">
        <v>21</v>
      </c>
      <c r="K4" s="1">
        <v>21</v>
      </c>
      <c r="L4" s="1">
        <v>21</v>
      </c>
      <c r="M4" s="1">
        <v>21</v>
      </c>
      <c r="N4" s="1">
        <v>20</v>
      </c>
    </row>
    <row r="5" spans="1:15" x14ac:dyDescent="0.25">
      <c r="A5" s="1" t="s">
        <v>24</v>
      </c>
      <c r="B5" s="1" t="s">
        <v>190</v>
      </c>
      <c r="C5" s="1" t="s">
        <v>191</v>
      </c>
      <c r="D5" s="1" t="s">
        <v>119</v>
      </c>
      <c r="E5" s="1" t="s">
        <v>2</v>
      </c>
      <c r="F5" s="1">
        <v>240</v>
      </c>
      <c r="G5" s="1">
        <v>240</v>
      </c>
      <c r="H5" s="1">
        <v>240</v>
      </c>
      <c r="I5" s="1">
        <v>240</v>
      </c>
      <c r="J5" s="1">
        <v>240</v>
      </c>
      <c r="K5" s="1">
        <v>240</v>
      </c>
      <c r="L5" s="1">
        <v>226</v>
      </c>
      <c r="M5" s="1">
        <v>151</v>
      </c>
      <c r="N5" s="1">
        <v>77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87A1-96EC-4EC3-AB5C-316403E93F84}">
  <dimension ref="A1:Q2"/>
  <sheetViews>
    <sheetView workbookViewId="0">
      <selection activeCell="C36" sqref="C36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  <row r="2" spans="1:15" x14ac:dyDescent="0.25">
      <c r="A2" s="1" t="s">
        <v>24</v>
      </c>
      <c r="B2" s="1" t="s">
        <v>193</v>
      </c>
      <c r="C2" s="1" t="s">
        <v>194</v>
      </c>
      <c r="D2" s="1" t="s">
        <v>16</v>
      </c>
      <c r="E2" s="1" t="s">
        <v>2</v>
      </c>
      <c r="F2" s="1">
        <v>5752</v>
      </c>
      <c r="G2" s="1">
        <v>5748</v>
      </c>
      <c r="H2" s="1">
        <v>5784</v>
      </c>
      <c r="I2" s="1">
        <v>5752</v>
      </c>
      <c r="J2" s="1">
        <v>5756</v>
      </c>
      <c r="K2" s="1">
        <v>5839</v>
      </c>
      <c r="L2" s="1">
        <v>5876</v>
      </c>
      <c r="M2" s="1">
        <v>5928</v>
      </c>
      <c r="N2" s="1">
        <v>5951</v>
      </c>
    </row>
  </sheetData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45D3-32BC-457C-AB55-0A3EB56D9987}">
  <dimension ref="A1:Q1"/>
  <sheetViews>
    <sheetView workbookViewId="0">
      <selection activeCell="C15" sqref="C15"/>
    </sheetView>
  </sheetViews>
  <sheetFormatPr defaultRowHeight="15" x14ac:dyDescent="0.25"/>
  <cols>
    <col min="1" max="1" width="13.5703125" style="1" customWidth="1"/>
    <col min="2" max="2" width="12" style="1" customWidth="1"/>
    <col min="3" max="16" width="9" style="1" customWidth="1"/>
    <col min="17" max="17" width="8.7109375" style="1"/>
  </cols>
  <sheetData>
    <row r="1" spans="1:15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5b36e7-01ee-4ebc-867e-e03cfa0d4697}" enabled="0" method="" siteId="{ed5b36e7-01ee-4ebc-867e-e03cfa0d46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MASTER</vt:lpstr>
      <vt:lpstr>Apples</vt:lpstr>
      <vt:lpstr>Apricots</vt:lpstr>
      <vt:lpstr>Cherries</vt:lpstr>
      <vt:lpstr>Garlic</vt:lpstr>
      <vt:lpstr>Grapes</vt:lpstr>
      <vt:lpstr>Honey</vt:lpstr>
      <vt:lpstr>Hops</vt:lpstr>
      <vt:lpstr>Peaches</vt:lpstr>
      <vt:lpstr>Pears</vt:lpstr>
      <vt:lpstr>Triticale</vt:lpstr>
      <vt:lpstr>Asparagus</vt:lpstr>
      <vt:lpstr>Canola</vt:lpstr>
      <vt:lpstr>Cucumbers</vt:lpstr>
      <vt:lpstr>Beans</vt:lpstr>
      <vt:lpstr>Brussel Sprouts</vt:lpstr>
      <vt:lpstr>Canary Melon</vt:lpstr>
      <vt:lpstr>Celery</vt:lpstr>
      <vt:lpstr>Hemp</vt:lpstr>
      <vt:lpstr>Korean Golden Melon</vt:lpstr>
      <vt:lpstr>Leeks</vt:lpstr>
      <vt:lpstr>Peas</vt:lpstr>
      <vt:lpstr>Sweet Potato</vt:lpstr>
      <vt:lpstr>Radish</vt:lpstr>
      <vt:lpstr>Sugar Beet</vt:lpstr>
      <vt:lpstr>Tomatillos</vt:lpstr>
      <vt:lpstr>Beets</vt:lpstr>
      <vt:lpstr>Broccoli</vt:lpstr>
      <vt:lpstr>Cabbage</vt:lpstr>
      <vt:lpstr>Cantaloupes</vt:lpstr>
      <vt:lpstr>Carrots</vt:lpstr>
      <vt:lpstr>Cauliflower</vt:lpstr>
      <vt:lpstr>Corn</vt:lpstr>
      <vt:lpstr>Crenshaw Melon</vt:lpstr>
      <vt:lpstr>Cucumber</vt:lpstr>
      <vt:lpstr>Eggplant</vt:lpstr>
      <vt:lpstr>Flowers</vt:lpstr>
      <vt:lpstr>Gourds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Sonnenberg, Jerry - FPAC-FSA, CO</dc:creator>
  <cp:lastModifiedBy>Vukasin, Cindy - FPAC-FSA, CO</cp:lastModifiedBy>
  <cp:lastPrinted>2026-08-18T21:03:32Z</cp:lastPrinted>
  <dcterms:created xsi:type="dcterms:W3CDTF">2026-08-12T20:55:49Z</dcterms:created>
  <dcterms:modified xsi:type="dcterms:W3CDTF">2026-08-18T21:03:34Z</dcterms:modified>
</cp:coreProperties>
</file>