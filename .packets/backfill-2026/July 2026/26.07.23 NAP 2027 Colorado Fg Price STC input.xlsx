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janae_rader_usda_gov/Documents/Desktop/26.07.23 STC/"/>
    </mc:Choice>
  </mc:AlternateContent>
  <xr:revisionPtr revIDLastSave="186" documentId="8_{16945DC5-E5B7-4547-AF2D-1485E7F0E51F}" xr6:coauthVersionLast="47" xr6:coauthVersionMax="47" xr10:uidLastSave="{5DF857D6-A344-43D8-9045-76CC5A432292}"/>
  <bookViews>
    <workbookView xWindow="-57720" yWindow="3795" windowWidth="29040" windowHeight="15720" activeTab="3" xr2:uid="{442283A9-B9AF-4BB5-824B-16E5DCC2F1FA}"/>
  </bookViews>
  <sheets>
    <sheet name="NCT DetailRpt 2027 G20260706-17" sheetId="1" r:id="rId1"/>
    <sheet name="Sheet1" sheetId="2" r:id="rId2"/>
    <sheet name="NCT HistoryRpt 2026 G20260706-1" sheetId="3" r:id="rId3"/>
    <sheet name="% of CASS" sheetId="4" r:id="rId4"/>
    <sheet name="% of CASS for DR" sheetId="5" r:id="rId5"/>
  </sheets>
  <definedNames>
    <definedName name="_xlnm._FilterDatabase" localSheetId="3" hidden="1">'% of CASS'!$A$1:$AQ$82</definedName>
    <definedName name="_xlnm._FilterDatabase" localSheetId="4" hidden="1">'% of CASS for DR'!$A$1:$AQ$82</definedName>
    <definedName name="_xlnm._FilterDatabase" localSheetId="0" hidden="1">'NCT DetailRpt 2027 G20260706-17'!$A$4:$AS$1425</definedName>
    <definedName name="_xlnm._FilterDatabase" localSheetId="1" hidden="1">Sheet1!$A$1:$B$80</definedName>
    <definedName name="_xlnm.Print_Area" localSheetId="3">'% of CASS'!$A$1:$AH$82</definedName>
    <definedName name="_xlnm.Print_Area" localSheetId="4">'% of CASS for DR'!$A$1:$AH$82</definedName>
    <definedName name="_xlnm.Print_Titles" localSheetId="3">'% of CASS'!$A:$C,'% of CASS'!$1:$1</definedName>
    <definedName name="_xlnm.Print_Titles" localSheetId="4">'% of CASS for DR'!$1:$1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2" i="5" l="1"/>
  <c r="AA82" i="5"/>
  <c r="X82" i="5"/>
  <c r="U82" i="5"/>
  <c r="R82" i="5"/>
  <c r="AD81" i="5"/>
  <c r="AA81" i="5"/>
  <c r="X81" i="5"/>
  <c r="U81" i="5"/>
  <c r="R81" i="5"/>
  <c r="AD80" i="5"/>
  <c r="AA80" i="5"/>
  <c r="X80" i="5"/>
  <c r="U80" i="5"/>
  <c r="R80" i="5"/>
  <c r="AD79" i="5"/>
  <c r="AA79" i="5"/>
  <c r="X79" i="5"/>
  <c r="U79" i="5"/>
  <c r="R79" i="5"/>
  <c r="AD78" i="5"/>
  <c r="AA78" i="5"/>
  <c r="X78" i="5"/>
  <c r="U78" i="5"/>
  <c r="R78" i="5"/>
  <c r="AD77" i="5"/>
  <c r="AA77" i="5"/>
  <c r="X77" i="5"/>
  <c r="U77" i="5"/>
  <c r="R77" i="5"/>
  <c r="AD76" i="5"/>
  <c r="AA76" i="5"/>
  <c r="X76" i="5"/>
  <c r="U76" i="5"/>
  <c r="R76" i="5"/>
  <c r="AD75" i="5"/>
  <c r="AA75" i="5"/>
  <c r="X75" i="5"/>
  <c r="U75" i="5"/>
  <c r="R75" i="5"/>
  <c r="AD74" i="5"/>
  <c r="AA74" i="5"/>
  <c r="X74" i="5"/>
  <c r="U74" i="5"/>
  <c r="R74" i="5"/>
  <c r="AD73" i="5"/>
  <c r="AA73" i="5"/>
  <c r="X73" i="5"/>
  <c r="U73" i="5"/>
  <c r="R73" i="5"/>
  <c r="AD72" i="5"/>
  <c r="AA72" i="5"/>
  <c r="X72" i="5"/>
  <c r="U72" i="5"/>
  <c r="R72" i="5"/>
  <c r="AD71" i="5"/>
  <c r="AA71" i="5"/>
  <c r="X71" i="5"/>
  <c r="U71" i="5"/>
  <c r="R71" i="5"/>
  <c r="AD70" i="5"/>
  <c r="AA70" i="5"/>
  <c r="AE70" i="5" s="1"/>
  <c r="X70" i="5"/>
  <c r="U70" i="5"/>
  <c r="R70" i="5"/>
  <c r="AD69" i="5"/>
  <c r="AA69" i="5"/>
  <c r="X69" i="5"/>
  <c r="U69" i="5"/>
  <c r="R69" i="5"/>
  <c r="AE69" i="5" s="1"/>
  <c r="AD68" i="5"/>
  <c r="AA68" i="5"/>
  <c r="X68" i="5"/>
  <c r="U68" i="5"/>
  <c r="R68" i="5"/>
  <c r="AD67" i="5"/>
  <c r="AA67" i="5"/>
  <c r="X67" i="5"/>
  <c r="U67" i="5"/>
  <c r="R67" i="5"/>
  <c r="AD66" i="5"/>
  <c r="AA66" i="5"/>
  <c r="X66" i="5"/>
  <c r="U66" i="5"/>
  <c r="R66" i="5"/>
  <c r="AD65" i="5"/>
  <c r="AA65" i="5"/>
  <c r="X65" i="5"/>
  <c r="U65" i="5"/>
  <c r="R65" i="5"/>
  <c r="AD64" i="5"/>
  <c r="AA64" i="5"/>
  <c r="X64" i="5"/>
  <c r="U64" i="5"/>
  <c r="R64" i="5"/>
  <c r="AD63" i="5"/>
  <c r="AA63" i="5"/>
  <c r="X63" i="5"/>
  <c r="U63" i="5"/>
  <c r="R63" i="5"/>
  <c r="AD62" i="5"/>
  <c r="AA62" i="5"/>
  <c r="X62" i="5"/>
  <c r="U62" i="5"/>
  <c r="R62" i="5"/>
  <c r="AD61" i="5"/>
  <c r="AA61" i="5"/>
  <c r="X61" i="5"/>
  <c r="U61" i="5"/>
  <c r="R61" i="5"/>
  <c r="AD60" i="5"/>
  <c r="AA60" i="5"/>
  <c r="X60" i="5"/>
  <c r="U60" i="5"/>
  <c r="R60" i="5"/>
  <c r="AD59" i="5"/>
  <c r="AA59" i="5"/>
  <c r="X59" i="5"/>
  <c r="U59" i="5"/>
  <c r="R59" i="5"/>
  <c r="AD58" i="5"/>
  <c r="AA58" i="5"/>
  <c r="X58" i="5"/>
  <c r="U58" i="5"/>
  <c r="R58" i="5"/>
  <c r="AD57" i="5"/>
  <c r="AA57" i="5"/>
  <c r="X57" i="5"/>
  <c r="U57" i="5"/>
  <c r="R57" i="5"/>
  <c r="AD56" i="5"/>
  <c r="AA56" i="5"/>
  <c r="X56" i="5"/>
  <c r="U56" i="5"/>
  <c r="R56" i="5"/>
  <c r="AD55" i="5"/>
  <c r="AA55" i="5"/>
  <c r="X55" i="5"/>
  <c r="U55" i="5"/>
  <c r="R55" i="5"/>
  <c r="AD54" i="5"/>
  <c r="AA54" i="5"/>
  <c r="X54" i="5"/>
  <c r="U54" i="5"/>
  <c r="R54" i="5"/>
  <c r="AD53" i="5"/>
  <c r="AA53" i="5"/>
  <c r="X53" i="5"/>
  <c r="U53" i="5"/>
  <c r="R53" i="5"/>
  <c r="AD52" i="5"/>
  <c r="AA52" i="5"/>
  <c r="X52" i="5"/>
  <c r="U52" i="5"/>
  <c r="R52" i="5"/>
  <c r="AD51" i="5"/>
  <c r="AA51" i="5"/>
  <c r="X51" i="5"/>
  <c r="U51" i="5"/>
  <c r="R51" i="5"/>
  <c r="AD50" i="5"/>
  <c r="AA50" i="5"/>
  <c r="X50" i="5"/>
  <c r="U50" i="5"/>
  <c r="R50" i="5"/>
  <c r="AE50" i="5" s="1"/>
  <c r="AD49" i="5"/>
  <c r="AA49" i="5"/>
  <c r="X49" i="5"/>
  <c r="U49" i="5"/>
  <c r="R49" i="5"/>
  <c r="AD48" i="5"/>
  <c r="AA48" i="5"/>
  <c r="X48" i="5"/>
  <c r="U48" i="5"/>
  <c r="R48" i="5"/>
  <c r="AD47" i="5"/>
  <c r="AA47" i="5"/>
  <c r="X47" i="5"/>
  <c r="U47" i="5"/>
  <c r="R47" i="5"/>
  <c r="AD46" i="5"/>
  <c r="AA46" i="5"/>
  <c r="X46" i="5"/>
  <c r="U46" i="5"/>
  <c r="R46" i="5"/>
  <c r="AD45" i="5"/>
  <c r="AA45" i="5"/>
  <c r="X45" i="5"/>
  <c r="U45" i="5"/>
  <c r="R45" i="5"/>
  <c r="AD44" i="5"/>
  <c r="AA44" i="5"/>
  <c r="X44" i="5"/>
  <c r="U44" i="5"/>
  <c r="R44" i="5"/>
  <c r="AD43" i="5"/>
  <c r="AA43" i="5"/>
  <c r="X43" i="5"/>
  <c r="U43" i="5"/>
  <c r="R43" i="5"/>
  <c r="AD42" i="5"/>
  <c r="AA42" i="5"/>
  <c r="X42" i="5"/>
  <c r="U42" i="5"/>
  <c r="R42" i="5"/>
  <c r="AD41" i="5"/>
  <c r="AA41" i="5"/>
  <c r="X41" i="5"/>
  <c r="U41" i="5"/>
  <c r="R41" i="5"/>
  <c r="AD40" i="5"/>
  <c r="AA40" i="5"/>
  <c r="X40" i="5"/>
  <c r="U40" i="5"/>
  <c r="R40" i="5"/>
  <c r="AD39" i="5"/>
  <c r="AA39" i="5"/>
  <c r="X39" i="5"/>
  <c r="U39" i="5"/>
  <c r="R39" i="5"/>
  <c r="AD38" i="5"/>
  <c r="AA38" i="5"/>
  <c r="X38" i="5"/>
  <c r="U38" i="5"/>
  <c r="R38" i="5"/>
  <c r="AD37" i="5"/>
  <c r="AA37" i="5"/>
  <c r="X37" i="5"/>
  <c r="U37" i="5"/>
  <c r="R37" i="5"/>
  <c r="AD36" i="5"/>
  <c r="AA36" i="5"/>
  <c r="X36" i="5"/>
  <c r="U36" i="5"/>
  <c r="AE36" i="5" s="1"/>
  <c r="R36" i="5"/>
  <c r="AD35" i="5"/>
  <c r="AA35" i="5"/>
  <c r="X35" i="5"/>
  <c r="U35" i="5"/>
  <c r="R35" i="5"/>
  <c r="AD34" i="5"/>
  <c r="AA34" i="5"/>
  <c r="X34" i="5"/>
  <c r="U34" i="5"/>
  <c r="R34" i="5"/>
  <c r="AD33" i="5"/>
  <c r="AA33" i="5"/>
  <c r="X33" i="5"/>
  <c r="U33" i="5"/>
  <c r="R33" i="5"/>
  <c r="AD32" i="5"/>
  <c r="AA32" i="5"/>
  <c r="X32" i="5"/>
  <c r="U32" i="5"/>
  <c r="R32" i="5"/>
  <c r="AD31" i="5"/>
  <c r="AA31" i="5"/>
  <c r="X31" i="5"/>
  <c r="U31" i="5"/>
  <c r="R31" i="5"/>
  <c r="AD30" i="5"/>
  <c r="AA30" i="5"/>
  <c r="X30" i="5"/>
  <c r="U30" i="5"/>
  <c r="R30" i="5"/>
  <c r="AD29" i="5"/>
  <c r="AA29" i="5"/>
  <c r="X29" i="5"/>
  <c r="U29" i="5"/>
  <c r="R29" i="5"/>
  <c r="AD28" i="5"/>
  <c r="AA28" i="5"/>
  <c r="X28" i="5"/>
  <c r="U28" i="5"/>
  <c r="R28" i="5"/>
  <c r="AD27" i="5"/>
  <c r="AA27" i="5"/>
  <c r="X27" i="5"/>
  <c r="U27" i="5"/>
  <c r="R27" i="5"/>
  <c r="AD26" i="5"/>
  <c r="AA26" i="5"/>
  <c r="X26" i="5"/>
  <c r="U26" i="5"/>
  <c r="R26" i="5"/>
  <c r="AD25" i="5"/>
  <c r="AA25" i="5"/>
  <c r="X25" i="5"/>
  <c r="U25" i="5"/>
  <c r="R25" i="5"/>
  <c r="AD24" i="5"/>
  <c r="AA24" i="5"/>
  <c r="X24" i="5"/>
  <c r="U24" i="5"/>
  <c r="R24" i="5"/>
  <c r="AD23" i="5"/>
  <c r="AA23" i="5"/>
  <c r="X23" i="5"/>
  <c r="U23" i="5"/>
  <c r="R23" i="5"/>
  <c r="AD22" i="5"/>
  <c r="AA22" i="5"/>
  <c r="X22" i="5"/>
  <c r="U22" i="5"/>
  <c r="R22" i="5"/>
  <c r="AD21" i="5"/>
  <c r="AA21" i="5"/>
  <c r="X21" i="5"/>
  <c r="U21" i="5"/>
  <c r="R21" i="5"/>
  <c r="AD20" i="5"/>
  <c r="AA20" i="5"/>
  <c r="X20" i="5"/>
  <c r="U20" i="5"/>
  <c r="R20" i="5"/>
  <c r="AD19" i="5"/>
  <c r="AA19" i="5"/>
  <c r="X19" i="5"/>
  <c r="U19" i="5"/>
  <c r="R19" i="5"/>
  <c r="AD18" i="5"/>
  <c r="AA18" i="5"/>
  <c r="X18" i="5"/>
  <c r="U18" i="5"/>
  <c r="R18" i="5"/>
  <c r="AD17" i="5"/>
  <c r="AA17" i="5"/>
  <c r="X17" i="5"/>
  <c r="U17" i="5"/>
  <c r="R17" i="5"/>
  <c r="AD16" i="5"/>
  <c r="AA16" i="5"/>
  <c r="X16" i="5"/>
  <c r="U16" i="5"/>
  <c r="R16" i="5"/>
  <c r="AD15" i="5"/>
  <c r="AA15" i="5"/>
  <c r="X15" i="5"/>
  <c r="U15" i="5"/>
  <c r="R15" i="5"/>
  <c r="AD14" i="5"/>
  <c r="AA14" i="5"/>
  <c r="X14" i="5"/>
  <c r="U14" i="5"/>
  <c r="R14" i="5"/>
  <c r="AD13" i="5"/>
  <c r="AA13" i="5"/>
  <c r="X13" i="5"/>
  <c r="AE13" i="5" s="1"/>
  <c r="U13" i="5"/>
  <c r="R13" i="5"/>
  <c r="AD12" i="5"/>
  <c r="AA12" i="5"/>
  <c r="X12" i="5"/>
  <c r="U12" i="5"/>
  <c r="R12" i="5"/>
  <c r="AD11" i="5"/>
  <c r="AA11" i="5"/>
  <c r="X11" i="5"/>
  <c r="U11" i="5"/>
  <c r="R11" i="5"/>
  <c r="AD10" i="5"/>
  <c r="AA10" i="5"/>
  <c r="X10" i="5"/>
  <c r="U10" i="5"/>
  <c r="R10" i="5"/>
  <c r="AD9" i="5"/>
  <c r="AA9" i="5"/>
  <c r="X9" i="5"/>
  <c r="U9" i="5"/>
  <c r="R9" i="5"/>
  <c r="AD8" i="5"/>
  <c r="AA8" i="5"/>
  <c r="X8" i="5"/>
  <c r="U8" i="5"/>
  <c r="R8" i="5"/>
  <c r="R7" i="5"/>
  <c r="R6" i="5"/>
  <c r="AD5" i="5"/>
  <c r="AA5" i="5"/>
  <c r="X5" i="5"/>
  <c r="U5" i="5"/>
  <c r="R5" i="5"/>
  <c r="AD4" i="5"/>
  <c r="AA4" i="5"/>
  <c r="X4" i="5"/>
  <c r="U4" i="5"/>
  <c r="R4" i="5"/>
  <c r="AD3" i="5"/>
  <c r="AA3" i="5"/>
  <c r="X3" i="5"/>
  <c r="U3" i="5"/>
  <c r="R3" i="5"/>
  <c r="AD2" i="5"/>
  <c r="AA2" i="5"/>
  <c r="X2" i="5"/>
  <c r="U2" i="5"/>
  <c r="AE2" i="5" s="1"/>
  <c r="R2" i="5"/>
  <c r="AD76" i="4"/>
  <c r="AD75" i="4"/>
  <c r="AD72" i="4"/>
  <c r="AD79" i="4"/>
  <c r="AD71" i="4"/>
  <c r="AD69" i="4"/>
  <c r="AD2" i="4"/>
  <c r="AD70" i="4"/>
  <c r="AD74" i="4"/>
  <c r="AD73" i="4"/>
  <c r="AD82" i="4"/>
  <c r="AD81" i="4"/>
  <c r="AD80" i="4"/>
  <c r="AD78" i="4"/>
  <c r="AD68" i="4"/>
  <c r="AD56" i="4"/>
  <c r="AD55" i="4"/>
  <c r="AD34" i="4"/>
  <c r="AD64" i="4"/>
  <c r="AD63" i="4"/>
  <c r="AD62" i="4"/>
  <c r="AD61" i="4"/>
  <c r="AD60" i="4"/>
  <c r="AD59" i="4"/>
  <c r="AD58" i="4"/>
  <c r="AD77" i="4"/>
  <c r="AD14" i="4"/>
  <c r="AD37" i="4"/>
  <c r="AD42" i="4"/>
  <c r="AD13" i="4"/>
  <c r="AD11" i="4"/>
  <c r="AD24" i="4"/>
  <c r="AD27" i="4"/>
  <c r="AD22" i="4"/>
  <c r="AD48" i="4"/>
  <c r="AD65" i="4"/>
  <c r="AD39" i="4"/>
  <c r="AD3" i="4"/>
  <c r="AD4" i="4"/>
  <c r="AD16" i="4"/>
  <c r="AD30" i="4"/>
  <c r="AD41" i="4"/>
  <c r="AD20" i="4"/>
  <c r="AD28" i="4"/>
  <c r="AD38" i="4"/>
  <c r="AD54" i="4"/>
  <c r="AD53" i="4"/>
  <c r="AD52" i="4"/>
  <c r="AD51" i="4"/>
  <c r="AD33" i="4"/>
  <c r="AD35" i="4"/>
  <c r="AD57" i="4"/>
  <c r="AD32" i="4"/>
  <c r="AD29" i="4"/>
  <c r="AD50" i="4"/>
  <c r="AD49" i="4"/>
  <c r="AD26" i="4"/>
  <c r="AD25" i="4"/>
  <c r="AD47" i="4"/>
  <c r="AD23" i="4"/>
  <c r="AD36" i="4"/>
  <c r="AD21" i="4"/>
  <c r="AD46" i="4"/>
  <c r="AD19" i="4"/>
  <c r="AD18" i="4"/>
  <c r="AD17" i="4"/>
  <c r="AD45" i="4"/>
  <c r="AD15" i="4"/>
  <c r="AD31" i="4"/>
  <c r="AD40" i="4"/>
  <c r="AD12" i="4"/>
  <c r="AD44" i="4"/>
  <c r="AD10" i="4"/>
  <c r="AD43" i="4"/>
  <c r="AD8" i="4"/>
  <c r="AD5" i="4"/>
  <c r="AD67" i="4"/>
  <c r="AD66" i="4"/>
  <c r="AD9" i="4"/>
  <c r="AA76" i="4"/>
  <c r="AA75" i="4"/>
  <c r="AA72" i="4"/>
  <c r="AA79" i="4"/>
  <c r="AA71" i="4"/>
  <c r="AA69" i="4"/>
  <c r="AA2" i="4"/>
  <c r="AA70" i="4"/>
  <c r="AA74" i="4"/>
  <c r="AA73" i="4"/>
  <c r="AA82" i="4"/>
  <c r="AA81" i="4"/>
  <c r="AA80" i="4"/>
  <c r="AA78" i="4"/>
  <c r="AA68" i="4"/>
  <c r="AA56" i="4"/>
  <c r="AA55" i="4"/>
  <c r="AA34" i="4"/>
  <c r="AA64" i="4"/>
  <c r="AA63" i="4"/>
  <c r="AA62" i="4"/>
  <c r="AA61" i="4"/>
  <c r="AA60" i="4"/>
  <c r="AA59" i="4"/>
  <c r="AA58" i="4"/>
  <c r="AA77" i="4"/>
  <c r="AA14" i="4"/>
  <c r="AA37" i="4"/>
  <c r="AA42" i="4"/>
  <c r="AA13" i="4"/>
  <c r="AA11" i="4"/>
  <c r="AA24" i="4"/>
  <c r="AA27" i="4"/>
  <c r="AA22" i="4"/>
  <c r="AA48" i="4"/>
  <c r="AA65" i="4"/>
  <c r="AA39" i="4"/>
  <c r="AA3" i="4"/>
  <c r="AA4" i="4"/>
  <c r="AA16" i="4"/>
  <c r="AA30" i="4"/>
  <c r="AA41" i="4"/>
  <c r="AA20" i="4"/>
  <c r="AA28" i="4"/>
  <c r="AA38" i="4"/>
  <c r="AA54" i="4"/>
  <c r="AA53" i="4"/>
  <c r="AA52" i="4"/>
  <c r="AA51" i="4"/>
  <c r="AA33" i="4"/>
  <c r="AA35" i="4"/>
  <c r="AA57" i="4"/>
  <c r="AA32" i="4"/>
  <c r="AA29" i="4"/>
  <c r="AA50" i="4"/>
  <c r="AA49" i="4"/>
  <c r="AA26" i="4"/>
  <c r="AA25" i="4"/>
  <c r="AA47" i="4"/>
  <c r="AA23" i="4"/>
  <c r="AA36" i="4"/>
  <c r="AA21" i="4"/>
  <c r="AA46" i="4"/>
  <c r="AA19" i="4"/>
  <c r="AA18" i="4"/>
  <c r="AA17" i="4"/>
  <c r="AA45" i="4"/>
  <c r="AA15" i="4"/>
  <c r="AA31" i="4"/>
  <c r="AA40" i="4"/>
  <c r="AA12" i="4"/>
  <c r="AA44" i="4"/>
  <c r="AA10" i="4"/>
  <c r="AA43" i="4"/>
  <c r="AA8" i="4"/>
  <c r="AA5" i="4"/>
  <c r="AA67" i="4"/>
  <c r="AA66" i="4"/>
  <c r="AA9" i="4"/>
  <c r="X76" i="4"/>
  <c r="X75" i="4"/>
  <c r="X72" i="4"/>
  <c r="X79" i="4"/>
  <c r="X71" i="4"/>
  <c r="X69" i="4"/>
  <c r="X2" i="4"/>
  <c r="X70" i="4"/>
  <c r="X74" i="4"/>
  <c r="X73" i="4"/>
  <c r="X82" i="4"/>
  <c r="X81" i="4"/>
  <c r="X80" i="4"/>
  <c r="X78" i="4"/>
  <c r="X68" i="4"/>
  <c r="X56" i="4"/>
  <c r="X55" i="4"/>
  <c r="X34" i="4"/>
  <c r="X64" i="4"/>
  <c r="X63" i="4"/>
  <c r="X62" i="4"/>
  <c r="X61" i="4"/>
  <c r="X60" i="4"/>
  <c r="X59" i="4"/>
  <c r="X58" i="4"/>
  <c r="X77" i="4"/>
  <c r="X14" i="4"/>
  <c r="X37" i="4"/>
  <c r="X42" i="4"/>
  <c r="X13" i="4"/>
  <c r="X11" i="4"/>
  <c r="X24" i="4"/>
  <c r="X27" i="4"/>
  <c r="X22" i="4"/>
  <c r="X48" i="4"/>
  <c r="X65" i="4"/>
  <c r="X39" i="4"/>
  <c r="X3" i="4"/>
  <c r="X4" i="4"/>
  <c r="X16" i="4"/>
  <c r="X30" i="4"/>
  <c r="X41" i="4"/>
  <c r="X20" i="4"/>
  <c r="X28" i="4"/>
  <c r="X38" i="4"/>
  <c r="X54" i="4"/>
  <c r="X53" i="4"/>
  <c r="X52" i="4"/>
  <c r="X51" i="4"/>
  <c r="X33" i="4"/>
  <c r="X35" i="4"/>
  <c r="X57" i="4"/>
  <c r="X32" i="4"/>
  <c r="X29" i="4"/>
  <c r="X50" i="4"/>
  <c r="X49" i="4"/>
  <c r="X26" i="4"/>
  <c r="X25" i="4"/>
  <c r="X47" i="4"/>
  <c r="X23" i="4"/>
  <c r="X36" i="4"/>
  <c r="X21" i="4"/>
  <c r="X46" i="4"/>
  <c r="X19" i="4"/>
  <c r="X18" i="4"/>
  <c r="X17" i="4"/>
  <c r="X45" i="4"/>
  <c r="X15" i="4"/>
  <c r="X31" i="4"/>
  <c r="X40" i="4"/>
  <c r="X12" i="4"/>
  <c r="X44" i="4"/>
  <c r="X10" i="4"/>
  <c r="X43" i="4"/>
  <c r="X8" i="4"/>
  <c r="X5" i="4"/>
  <c r="X67" i="4"/>
  <c r="X66" i="4"/>
  <c r="X9" i="4"/>
  <c r="U76" i="4"/>
  <c r="U75" i="4"/>
  <c r="U72" i="4"/>
  <c r="U79" i="4"/>
  <c r="U71" i="4"/>
  <c r="U69" i="4"/>
  <c r="U2" i="4"/>
  <c r="U70" i="4"/>
  <c r="U74" i="4"/>
  <c r="U73" i="4"/>
  <c r="U82" i="4"/>
  <c r="U81" i="4"/>
  <c r="U80" i="4"/>
  <c r="U78" i="4"/>
  <c r="U68" i="4"/>
  <c r="U56" i="4"/>
  <c r="U55" i="4"/>
  <c r="U34" i="4"/>
  <c r="U64" i="4"/>
  <c r="U63" i="4"/>
  <c r="U62" i="4"/>
  <c r="U61" i="4"/>
  <c r="U60" i="4"/>
  <c r="U59" i="4"/>
  <c r="U58" i="4"/>
  <c r="U77" i="4"/>
  <c r="U14" i="4"/>
  <c r="U37" i="4"/>
  <c r="U42" i="4"/>
  <c r="U13" i="4"/>
  <c r="U11" i="4"/>
  <c r="U24" i="4"/>
  <c r="U27" i="4"/>
  <c r="U22" i="4"/>
  <c r="U48" i="4"/>
  <c r="U65" i="4"/>
  <c r="U39" i="4"/>
  <c r="U3" i="4"/>
  <c r="U4" i="4"/>
  <c r="U16" i="4"/>
  <c r="U30" i="4"/>
  <c r="U41" i="4"/>
  <c r="U20" i="4"/>
  <c r="U28" i="4"/>
  <c r="U38" i="4"/>
  <c r="U54" i="4"/>
  <c r="U53" i="4"/>
  <c r="U52" i="4"/>
  <c r="U51" i="4"/>
  <c r="U33" i="4"/>
  <c r="U35" i="4"/>
  <c r="U57" i="4"/>
  <c r="U32" i="4"/>
  <c r="U29" i="4"/>
  <c r="U50" i="4"/>
  <c r="U49" i="4"/>
  <c r="U26" i="4"/>
  <c r="U25" i="4"/>
  <c r="U47" i="4"/>
  <c r="U23" i="4"/>
  <c r="U36" i="4"/>
  <c r="U21" i="4"/>
  <c r="U46" i="4"/>
  <c r="U19" i="4"/>
  <c r="U18" i="4"/>
  <c r="U17" i="4"/>
  <c r="U45" i="4"/>
  <c r="U15" i="4"/>
  <c r="U31" i="4"/>
  <c r="U40" i="4"/>
  <c r="U12" i="4"/>
  <c r="U44" i="4"/>
  <c r="U10" i="4"/>
  <c r="U43" i="4"/>
  <c r="U8" i="4"/>
  <c r="U5" i="4"/>
  <c r="U67" i="4"/>
  <c r="U66" i="4"/>
  <c r="U9" i="4"/>
  <c r="R76" i="4"/>
  <c r="R75" i="4"/>
  <c r="R72" i="4"/>
  <c r="R79" i="4"/>
  <c r="R71" i="4"/>
  <c r="R69" i="4"/>
  <c r="R2" i="4"/>
  <c r="R70" i="4"/>
  <c r="R74" i="4"/>
  <c r="R73" i="4"/>
  <c r="R82" i="4"/>
  <c r="R81" i="4"/>
  <c r="R80" i="4"/>
  <c r="R78" i="4"/>
  <c r="R68" i="4"/>
  <c r="R56" i="4"/>
  <c r="R55" i="4"/>
  <c r="R34" i="4"/>
  <c r="R64" i="4"/>
  <c r="R63" i="4"/>
  <c r="R62" i="4"/>
  <c r="R61" i="4"/>
  <c r="R60" i="4"/>
  <c r="R59" i="4"/>
  <c r="R58" i="4"/>
  <c r="R77" i="4"/>
  <c r="R14" i="4"/>
  <c r="R37" i="4"/>
  <c r="R42" i="4"/>
  <c r="R13" i="4"/>
  <c r="R11" i="4"/>
  <c r="R24" i="4"/>
  <c r="R27" i="4"/>
  <c r="R22" i="4"/>
  <c r="R48" i="4"/>
  <c r="R65" i="4"/>
  <c r="R39" i="4"/>
  <c r="R3" i="4"/>
  <c r="R4" i="4"/>
  <c r="R16" i="4"/>
  <c r="R30" i="4"/>
  <c r="R41" i="4"/>
  <c r="R20" i="4"/>
  <c r="R28" i="4"/>
  <c r="R38" i="4"/>
  <c r="R54" i="4"/>
  <c r="R53" i="4"/>
  <c r="R52" i="4"/>
  <c r="R51" i="4"/>
  <c r="R33" i="4"/>
  <c r="R35" i="4"/>
  <c r="R57" i="4"/>
  <c r="R32" i="4"/>
  <c r="R29" i="4"/>
  <c r="R50" i="4"/>
  <c r="R49" i="4"/>
  <c r="R26" i="4"/>
  <c r="R25" i="4"/>
  <c r="R47" i="4"/>
  <c r="R23" i="4"/>
  <c r="R36" i="4"/>
  <c r="R21" i="4"/>
  <c r="R46" i="4"/>
  <c r="R19" i="4"/>
  <c r="R18" i="4"/>
  <c r="R17" i="4"/>
  <c r="R45" i="4"/>
  <c r="R15" i="4"/>
  <c r="R31" i="4"/>
  <c r="R40" i="4"/>
  <c r="R12" i="4"/>
  <c r="R44" i="4"/>
  <c r="R10" i="4"/>
  <c r="R43" i="4"/>
  <c r="R8" i="4"/>
  <c r="R7" i="4"/>
  <c r="R6" i="4"/>
  <c r="R5" i="4"/>
  <c r="R67" i="4"/>
  <c r="R66" i="4"/>
  <c r="R9" i="4"/>
  <c r="AE66" i="4" l="1"/>
  <c r="AG66" i="4" s="1"/>
  <c r="AE68" i="4"/>
  <c r="AG68" i="4" s="1"/>
  <c r="AE43" i="5"/>
  <c r="AE46" i="5"/>
  <c r="AE9" i="4"/>
  <c r="AG9" i="4" s="1"/>
  <c r="AE4" i="4"/>
  <c r="AG4" i="4" s="1"/>
  <c r="AE11" i="4"/>
  <c r="AG11" i="4" s="1"/>
  <c r="AE53" i="5"/>
  <c r="AE24" i="5"/>
  <c r="AE67" i="5"/>
  <c r="AE72" i="5"/>
  <c r="AE4" i="5"/>
  <c r="AE47" i="5"/>
  <c r="AE55" i="5"/>
  <c r="AE71" i="5"/>
  <c r="AE11" i="5"/>
  <c r="AE22" i="5"/>
  <c r="AE30" i="5"/>
  <c r="AE57" i="5"/>
  <c r="AE78" i="5"/>
  <c r="AE81" i="5"/>
  <c r="AE9" i="5"/>
  <c r="AE14" i="5"/>
  <c r="AE27" i="5"/>
  <c r="AE28" i="5"/>
  <c r="AE44" i="5"/>
  <c r="AE52" i="5"/>
  <c r="AE80" i="5"/>
  <c r="AE3" i="5"/>
  <c r="AE16" i="5"/>
  <c r="AE32" i="5"/>
  <c r="AE49" i="5"/>
  <c r="AE65" i="5"/>
  <c r="AE66" i="5"/>
  <c r="AE68" i="5"/>
  <c r="AE82" i="5"/>
  <c r="AE40" i="5"/>
  <c r="AE76" i="5"/>
  <c r="AE77" i="5"/>
  <c r="AE42" i="5"/>
  <c r="AE34" i="5"/>
  <c r="AE35" i="5"/>
  <c r="AE37" i="5"/>
  <c r="AE51" i="5"/>
  <c r="AE56" i="5"/>
  <c r="AE31" i="5"/>
  <c r="AE20" i="5"/>
  <c r="AE39" i="5"/>
  <c r="AE45" i="5"/>
  <c r="AE54" i="5"/>
  <c r="AE75" i="5"/>
  <c r="AE46" i="4"/>
  <c r="AG46" i="4" s="1"/>
  <c r="AE40" i="4"/>
  <c r="AG40" i="4" s="1"/>
  <c r="AE3" i="4"/>
  <c r="AG3" i="4" s="1"/>
  <c r="AE69" i="4"/>
  <c r="AG69" i="4" s="1"/>
  <c r="AE54" i="4"/>
  <c r="AG54" i="4" s="1"/>
  <c r="AE13" i="4"/>
  <c r="AG13" i="4" s="1"/>
  <c r="AE78" i="4"/>
  <c r="AG78" i="4" s="1"/>
  <c r="AE67" i="4"/>
  <c r="AG67" i="4" s="1"/>
  <c r="AE28" i="4"/>
  <c r="AG28" i="4" s="1"/>
  <c r="AE65" i="4"/>
  <c r="AG65" i="4" s="1"/>
  <c r="AE81" i="4"/>
  <c r="AG81" i="4" s="1"/>
  <c r="AE51" i="4"/>
  <c r="AG51" i="4" s="1"/>
  <c r="AE16" i="4"/>
  <c r="AG16" i="4" s="1"/>
  <c r="AE57" i="4"/>
  <c r="AG57" i="4" s="1"/>
  <c r="AE37" i="4"/>
  <c r="AG37" i="4" s="1"/>
  <c r="AE20" i="4"/>
  <c r="AG20" i="4" s="1"/>
  <c r="AE22" i="4"/>
  <c r="AG22" i="4" s="1"/>
  <c r="AE77" i="4"/>
  <c r="AG77" i="4" s="1"/>
  <c r="AE34" i="4"/>
  <c r="AG34" i="4" s="1"/>
  <c r="AE75" i="4"/>
  <c r="AG75" i="4" s="1"/>
  <c r="AE53" i="4"/>
  <c r="AG53" i="4" s="1"/>
  <c r="AE30" i="4"/>
  <c r="AG30" i="4" s="1"/>
  <c r="AE27" i="4"/>
  <c r="AG27" i="4" s="1"/>
  <c r="AE55" i="4"/>
  <c r="AG55" i="4" s="1"/>
  <c r="AE76" i="4"/>
  <c r="AG76" i="4" s="1"/>
  <c r="AE45" i="4"/>
  <c r="AG45" i="4" s="1"/>
  <c r="AE14" i="4"/>
  <c r="AG14" i="4" s="1"/>
  <c r="AE56" i="4"/>
  <c r="AG56" i="4" s="1"/>
  <c r="AE44" i="4"/>
  <c r="AG44" i="4" s="1"/>
  <c r="AE49" i="4"/>
  <c r="AG49" i="4" s="1"/>
  <c r="AE24" i="4"/>
  <c r="AG24" i="4" s="1"/>
  <c r="AE70" i="4"/>
  <c r="AG70" i="4" s="1"/>
  <c r="AE50" i="4"/>
  <c r="AG50" i="4" s="1"/>
  <c r="AE2" i="4"/>
  <c r="AG2" i="4" s="1"/>
  <c r="AE35" i="4"/>
  <c r="AG35" i="4" s="1"/>
  <c r="AE82" i="4"/>
  <c r="AG82" i="4" s="1"/>
  <c r="AE43" i="4"/>
  <c r="AG43" i="4" s="1"/>
  <c r="AE31" i="4"/>
  <c r="AG31" i="4" s="1"/>
  <c r="AE36" i="4"/>
  <c r="AG36" i="4" s="1"/>
  <c r="AE32" i="4"/>
  <c r="AG32" i="4" s="1"/>
  <c r="AE39" i="4"/>
  <c r="AG39" i="4" s="1"/>
  <c r="AE42" i="4"/>
  <c r="AG42" i="4" s="1"/>
  <c r="AE80" i="4"/>
  <c r="AG80" i="4" s="1"/>
  <c r="AE71" i="4"/>
  <c r="AG71" i="4" s="1"/>
  <c r="AE47" i="4"/>
  <c r="AG47" i="4" s="1"/>
  <c r="AE72" i="4"/>
  <c r="AG72" i="4" s="1"/>
  <c r="AE52" i="4"/>
  <c r="AG52" i="4" s="1"/>
</calcChain>
</file>

<file path=xl/sharedStrings.xml><?xml version="1.0" encoding="utf-8"?>
<sst xmlns="http://schemas.openxmlformats.org/spreadsheetml/2006/main" count="58244" uniqueCount="309">
  <si>
    <t>2027 National Crop Table</t>
  </si>
  <si>
    <t>Detail Report</t>
  </si>
  <si>
    <t>State Name</t>
  </si>
  <si>
    <t>State Code</t>
  </si>
  <si>
    <t>County Name</t>
  </si>
  <si>
    <t>County Code</t>
  </si>
  <si>
    <t>Crop Name</t>
  </si>
  <si>
    <t>Crop Code</t>
  </si>
  <si>
    <t>Crop Type</t>
  </si>
  <si>
    <t>Intended Use</t>
  </si>
  <si>
    <t>Graduated Price Code</t>
  </si>
  <si>
    <t>Crushing District</t>
  </si>
  <si>
    <t>Practice</t>
  </si>
  <si>
    <t>Planting Period</t>
  </si>
  <si>
    <t>Insurable</t>
  </si>
  <si>
    <t>Unit of Measure</t>
  </si>
  <si>
    <t>Pounds Per Unit of Measure</t>
  </si>
  <si>
    <t>NAP CEY</t>
  </si>
  <si>
    <t>NAP Market Price</t>
  </si>
  <si>
    <t>Prevented Planting Factor</t>
  </si>
  <si>
    <t>Unharvested Payment Factor</t>
  </si>
  <si>
    <t>Animal Acres</t>
  </si>
  <si>
    <t>Grazing Days</t>
  </si>
  <si>
    <t>Final Planting Date</t>
  </si>
  <si>
    <t>Normal Harvest Date</t>
  </si>
  <si>
    <t>Application Closing Date</t>
  </si>
  <si>
    <t>Price Source</t>
  </si>
  <si>
    <t>Price Override</t>
  </si>
  <si>
    <t>NAP CEY Source</t>
  </si>
  <si>
    <t>NAP CEY Override</t>
  </si>
  <si>
    <t>Pay Crop</t>
  </si>
  <si>
    <t>Pay Type</t>
  </si>
  <si>
    <t>Certified Organic Yield Factor</t>
  </si>
  <si>
    <t>Certified Organic Yield</t>
  </si>
  <si>
    <t>Transitional Yield Factor</t>
  </si>
  <si>
    <t>Transitional Yield</t>
  </si>
  <si>
    <t>Organic Market Price</t>
  </si>
  <si>
    <t>Organic Market Price Source</t>
  </si>
  <si>
    <t>Organic Market Price Override</t>
  </si>
  <si>
    <t>Direct Market Price</t>
  </si>
  <si>
    <t>Direct Market Price Source</t>
  </si>
  <si>
    <t>Direct Market Price Override</t>
  </si>
  <si>
    <t>NAP County Approved</t>
  </si>
  <si>
    <t>NAP State Approved</t>
  </si>
  <si>
    <t>NAP National Approved</t>
  </si>
  <si>
    <t>Record Status</t>
  </si>
  <si>
    <t>Comment\Notes</t>
  </si>
  <si>
    <t>Colorado</t>
  </si>
  <si>
    <t>Adams</t>
  </si>
  <si>
    <t>ALFALFA</t>
  </si>
  <si>
    <t>FG</t>
  </si>
  <si>
    <t>I</t>
  </si>
  <si>
    <t>N</t>
  </si>
  <si>
    <t>TON</t>
  </si>
  <si>
    <t>CAL</t>
  </si>
  <si>
    <t>R</t>
  </si>
  <si>
    <t>FCIC Price -</t>
  </si>
  <si>
    <t>FCIC Price</t>
  </si>
  <si>
    <t>GRASS</t>
  </si>
  <si>
    <t>BRM</t>
  </si>
  <si>
    <t>Delete</t>
  </si>
  <si>
    <t>BRR</t>
  </si>
  <si>
    <t>NAG</t>
  </si>
  <si>
    <t>ORG</t>
  </si>
  <si>
    <t>RAN</t>
  </si>
  <si>
    <t>SUD</t>
  </si>
  <si>
    <t>WCR</t>
  </si>
  <si>
    <t>WPU</t>
  </si>
  <si>
    <t>MILLET</t>
  </si>
  <si>
    <t>COM</t>
  </si>
  <si>
    <t>MIXED FORAGE</t>
  </si>
  <si>
    <t>AGM</t>
  </si>
  <si>
    <t>ASG</t>
  </si>
  <si>
    <t>GMA</t>
  </si>
  <si>
    <t>IGS</t>
  </si>
  <si>
    <t>OATS</t>
  </si>
  <si>
    <t>SPR</t>
  </si>
  <si>
    <t>SORGHUM</t>
  </si>
  <si>
    <t>GRS</t>
  </si>
  <si>
    <t>SORGHUM FORAGE</t>
  </si>
  <si>
    <t>CAN</t>
  </si>
  <si>
    <t>SWT</t>
  </si>
  <si>
    <t>SORGHUM - DUAL PURPOSE</t>
  </si>
  <si>
    <t>TRITICALE</t>
  </si>
  <si>
    <t>WHEAT</t>
  </si>
  <si>
    <t>HRS</t>
  </si>
  <si>
    <t>Alamosa</t>
  </si>
  <si>
    <t>BARLEY</t>
  </si>
  <si>
    <t>Deleted</t>
  </si>
  <si>
    <t>LGG</t>
  </si>
  <si>
    <t>LSG</t>
  </si>
  <si>
    <t>MSG</t>
  </si>
  <si>
    <t>OTP</t>
  </si>
  <si>
    <t>RYE</t>
  </si>
  <si>
    <t>SAINFOIN</t>
  </si>
  <si>
    <t>S</t>
  </si>
  <si>
    <t>HRW</t>
  </si>
  <si>
    <t>HWS</t>
  </si>
  <si>
    <t>SWS</t>
  </si>
  <si>
    <t>Arapahoe</t>
  </si>
  <si>
    <t>ALU</t>
  </si>
  <si>
    <t>Archuleta</t>
  </si>
  <si>
    <t>Baca</t>
  </si>
  <si>
    <t>WTR</t>
  </si>
  <si>
    <t>BGH</t>
  </si>
  <si>
    <t>DOP</t>
  </si>
  <si>
    <t>18 yield based on 17.  18 price based on other 18 forage prices.</t>
  </si>
  <si>
    <t>2018 Yield based on 2017 Yield JR</t>
  </si>
  <si>
    <t>HWR</t>
  </si>
  <si>
    <t>Bent</t>
  </si>
  <si>
    <t>CLOVER</t>
  </si>
  <si>
    <t>YEL</t>
  </si>
  <si>
    <t>BCM</t>
  </si>
  <si>
    <t>FTA</t>
  </si>
  <si>
    <t>WTA</t>
  </si>
  <si>
    <t>ICG</t>
  </si>
  <si>
    <t>SSG</t>
  </si>
  <si>
    <t>Boulder</t>
  </si>
  <si>
    <t>WIN</t>
  </si>
  <si>
    <t>WWE</t>
  </si>
  <si>
    <t>Broomfield</t>
  </si>
  <si>
    <t>Chaffee</t>
  </si>
  <si>
    <t>LGM</t>
  </si>
  <si>
    <t>Cheyenne</t>
  </si>
  <si>
    <t>NSG</t>
  </si>
  <si>
    <t>PEAS</t>
  </si>
  <si>
    <t>Conejos</t>
  </si>
  <si>
    <t>RPE</t>
  </si>
  <si>
    <t>SMO</t>
  </si>
  <si>
    <t>LEG</t>
  </si>
  <si>
    <t>Costilla</t>
  </si>
  <si>
    <t>Crowley</t>
  </si>
  <si>
    <t>BEANS</t>
  </si>
  <si>
    <t>GAR</t>
  </si>
  <si>
    <t>Custer</t>
  </si>
  <si>
    <t>Delta</t>
  </si>
  <si>
    <t>TIM</t>
  </si>
  <si>
    <t>Denver</t>
  </si>
  <si>
    <t>Dolores</t>
  </si>
  <si>
    <t>18 yield based on 17  17$ based on 16</t>
  </si>
  <si>
    <t>.</t>
  </si>
  <si>
    <t>Douglas</t>
  </si>
  <si>
    <t>Eagle</t>
  </si>
  <si>
    <t>Elbert</t>
  </si>
  <si>
    <t>SOYBEANS</t>
  </si>
  <si>
    <t>2018 Yield and Price from 2017 Yield and Price</t>
  </si>
  <si>
    <t>El Paso</t>
  </si>
  <si>
    <t>BLK</t>
  </si>
  <si>
    <t>GBU</t>
  </si>
  <si>
    <t>PRA</t>
  </si>
  <si>
    <t>Fremont</t>
  </si>
  <si>
    <t>LSA</t>
  </si>
  <si>
    <t>Garfield</t>
  </si>
  <si>
    <t>Grand</t>
  </si>
  <si>
    <t>Gunnison</t>
  </si>
  <si>
    <t>Hinsdale</t>
  </si>
  <si>
    <t>NAT</t>
  </si>
  <si>
    <t>Huerfano</t>
  </si>
  <si>
    <t>Jackson</t>
  </si>
  <si>
    <t>Kiowa</t>
  </si>
  <si>
    <t>COW</t>
  </si>
  <si>
    <t>23 Updated UH factor to match the rest of the state (1-NAP Par 279 A) from 0.75 to 0.87 JR</t>
  </si>
  <si>
    <t>Kit Carson</t>
  </si>
  <si>
    <t>JPN</t>
  </si>
  <si>
    <t>AUS</t>
  </si>
  <si>
    <t>Lake</t>
  </si>
  <si>
    <t>La Plata</t>
  </si>
  <si>
    <t>RRW</t>
  </si>
  <si>
    <t>Larimer</t>
  </si>
  <si>
    <t>Las Animas</t>
  </si>
  <si>
    <t>18 yield based on NT Baca</t>
  </si>
  <si>
    <t>Lincoln</t>
  </si>
  <si>
    <t>Logan</t>
  </si>
  <si>
    <t>ALK</t>
  </si>
  <si>
    <t>2019 no similar price available used 39.73% of NASS 131.7 - 52.32_x000D_
2018 price from similar in area was 39.73% of NASS.</t>
  </si>
  <si>
    <t>Mesa</t>
  </si>
  <si>
    <t>Mineral</t>
  </si>
  <si>
    <t>Moffat</t>
  </si>
  <si>
    <t>CFG</t>
  </si>
  <si>
    <t>Montezuma</t>
  </si>
  <si>
    <t>RIN</t>
  </si>
  <si>
    <t>Montrose</t>
  </si>
  <si>
    <t>SPELT</t>
  </si>
  <si>
    <t>Morgan</t>
  </si>
  <si>
    <t>RDT</t>
  </si>
  <si>
    <t>Otero</t>
  </si>
  <si>
    <t>Ouray</t>
  </si>
  <si>
    <t>Park</t>
  </si>
  <si>
    <t>Phillips</t>
  </si>
  <si>
    <t>Pitkin</t>
  </si>
  <si>
    <t>Prowers</t>
  </si>
  <si>
    <t>BCS</t>
  </si>
  <si>
    <t>Pueblo</t>
  </si>
  <si>
    <t>Rio Blanco</t>
  </si>
  <si>
    <t>Rio Grande</t>
  </si>
  <si>
    <t>RCA</t>
  </si>
  <si>
    <t>SWW</t>
  </si>
  <si>
    <t>Routt</t>
  </si>
  <si>
    <t>GRN</t>
  </si>
  <si>
    <t>Saguache</t>
  </si>
  <si>
    <t>IRG</t>
  </si>
  <si>
    <t>TSW</t>
  </si>
  <si>
    <t>San Miguel</t>
  </si>
  <si>
    <t>Sedgwick</t>
  </si>
  <si>
    <t>FXT</t>
  </si>
  <si>
    <t>LER</t>
  </si>
  <si>
    <t>Summit</t>
  </si>
  <si>
    <t>Teller</t>
  </si>
  <si>
    <t>Washington</t>
  </si>
  <si>
    <t>LCG</t>
  </si>
  <si>
    <t>Weld</t>
  </si>
  <si>
    <t>FCIC Price -_x000D_
Alfalfa is insurable in Weld and Yuma under RMA /FCIC Forage Production only ground administered but physically located outside of Weld and Yuma are eligible.</t>
  </si>
  <si>
    <t>FCIC Price_x000D_
Alfalfa is insurable in Weld and Yuma under RMA /FCIC Forage Production only ground administered but physically located outside of Weld and Yuma are eligible.</t>
  </si>
  <si>
    <t>Yuma</t>
  </si>
  <si>
    <t>WHT</t>
  </si>
  <si>
    <t>Price</t>
  </si>
  <si>
    <t>Yield</t>
  </si>
  <si>
    <t>2026 National Crop Table</t>
  </si>
  <si>
    <t>History Report</t>
  </si>
  <si>
    <t>2019 Average Price</t>
  </si>
  <si>
    <t>2019 Average Price Source</t>
  </si>
  <si>
    <t>2020 Average Price</t>
  </si>
  <si>
    <t>2020 Average Price Source</t>
  </si>
  <si>
    <t>2021 Average Price</t>
  </si>
  <si>
    <t>2021 Average Price Source</t>
  </si>
  <si>
    <t>2022 Average Price</t>
  </si>
  <si>
    <t>2022 Average Price Source</t>
  </si>
  <si>
    <t>2023 Average Price</t>
  </si>
  <si>
    <t>2023 Average Price Source</t>
  </si>
  <si>
    <t>2024 Average Price</t>
  </si>
  <si>
    <t>2024 Average Price Source</t>
  </si>
  <si>
    <t>2025 Average Price</t>
  </si>
  <si>
    <t>2025 Average Price Source</t>
  </si>
  <si>
    <t>2019 Organic Price</t>
  </si>
  <si>
    <t>2019 Organic Price Source</t>
  </si>
  <si>
    <t>2020 Organic Price</t>
  </si>
  <si>
    <t>2020 Organic Price Source</t>
  </si>
  <si>
    <t>2021 Organic Price</t>
  </si>
  <si>
    <t>2021 Organic Price Source</t>
  </si>
  <si>
    <t>2022 Organic Price</t>
  </si>
  <si>
    <t>2022 Organic Price Source</t>
  </si>
  <si>
    <t>2023 Organic Price</t>
  </si>
  <si>
    <t>2023 Organic Price Source</t>
  </si>
  <si>
    <t>2024 Organic Price</t>
  </si>
  <si>
    <t>2024 Organic Price Source</t>
  </si>
  <si>
    <t>2025 Organic Price</t>
  </si>
  <si>
    <t>2025 Organic Price Source</t>
  </si>
  <si>
    <t>Organic Price</t>
  </si>
  <si>
    <t>Organic Price Source</t>
  </si>
  <si>
    <t>Organic Price Override</t>
  </si>
  <si>
    <t xml:space="preserve">2019 Direct Price </t>
  </si>
  <si>
    <t>2019 Direct Price Source</t>
  </si>
  <si>
    <t xml:space="preserve">2020 Direct Price </t>
  </si>
  <si>
    <t>2020 Direct Price Source</t>
  </si>
  <si>
    <t xml:space="preserve">2021 Direct Price </t>
  </si>
  <si>
    <t>2021 Direct Price Source</t>
  </si>
  <si>
    <t xml:space="preserve">2022 Direct Price </t>
  </si>
  <si>
    <t>2022 Direct Price Source</t>
  </si>
  <si>
    <t xml:space="preserve">2023 Direct Price </t>
  </si>
  <si>
    <t>2023 Direct Price Source</t>
  </si>
  <si>
    <t xml:space="preserve">2024 Direct Price </t>
  </si>
  <si>
    <t>2024 Direct Price Source</t>
  </si>
  <si>
    <t xml:space="preserve">2025 Direct Price </t>
  </si>
  <si>
    <t>2025 Direct Price Source</t>
  </si>
  <si>
    <t>Direct Price</t>
  </si>
  <si>
    <t>Direct Price Source</t>
  </si>
  <si>
    <t>Direct Price Override</t>
  </si>
  <si>
    <t>2019 Yield</t>
  </si>
  <si>
    <t>2019 Yield Source</t>
  </si>
  <si>
    <t>2020 Yield</t>
  </si>
  <si>
    <t>2020 Yield Source</t>
  </si>
  <si>
    <t>2021 Yield</t>
  </si>
  <si>
    <t>2021 Yield Source</t>
  </si>
  <si>
    <t>2022 Yield</t>
  </si>
  <si>
    <t>2022 Yield Source</t>
  </si>
  <si>
    <t>2023 Yield</t>
  </si>
  <si>
    <t>2023 Yield Source</t>
  </si>
  <si>
    <t>2024 Yield</t>
  </si>
  <si>
    <t>2024 Yield Source</t>
  </si>
  <si>
    <t>2025 Yield</t>
  </si>
  <si>
    <t>2025 Yield Source</t>
  </si>
  <si>
    <t>CEY</t>
  </si>
  <si>
    <t>CEY Source</t>
  </si>
  <si>
    <t>CEY Override</t>
  </si>
  <si>
    <t>NAS</t>
  </si>
  <si>
    <t>RAY</t>
  </si>
  <si>
    <t>FCI</t>
  </si>
  <si>
    <t>Y</t>
  </si>
  <si>
    <t>APH</t>
  </si>
  <si>
    <t>SAR</t>
  </si>
  <si>
    <t>CSR</t>
  </si>
  <si>
    <t>SNA</t>
  </si>
  <si>
    <t>CHK</t>
  </si>
  <si>
    <t>25 CASS</t>
  </si>
  <si>
    <t>STC recommended % of CASS all other hay</t>
  </si>
  <si>
    <t>19 CASS All other Hay</t>
  </si>
  <si>
    <t>20 CASS All other Hay</t>
  </si>
  <si>
    <t>21 CASS All other Hay</t>
  </si>
  <si>
    <t>22 CASS All other Hay</t>
  </si>
  <si>
    <t>23 CASS All other Hay</t>
  </si>
  <si>
    <t>AVG % of CASS All other hay (19-23)</t>
  </si>
  <si>
    <t>19 % of CASS all other Hay</t>
  </si>
  <si>
    <t>20 % of CASS all other Hay</t>
  </si>
  <si>
    <t>21 % of CASS all other Hay</t>
  </si>
  <si>
    <t>22 % of CASS all other Hay</t>
  </si>
  <si>
    <t>23 % of CASS all other Hay</t>
  </si>
  <si>
    <t>2024 CASS All other Hay 165.00</t>
  </si>
  <si>
    <t>UOM</t>
  </si>
  <si>
    <t>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</si>
</sst>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9" fillId="0" borderId="0" xfId="0" applyFont="1"/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/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D19F-523F-4DA0-9095-F004E39835F3}">
  <dimension ref="A1:AS1425"/>
  <sheetViews>
    <sheetView workbookViewId="0">
      <selection activeCell="E1" sqref="E1:G1048576"/>
    </sheetView>
  </sheetViews>
  <sheetFormatPr defaultRowHeight="15" x14ac:dyDescent="0.25"/>
  <sheetData>
    <row r="1" spans="1:45" x14ac:dyDescent="0.25">
      <c r="A1" t="s">
        <v>0</v>
      </c>
    </row>
    <row r="2" spans="1:45" x14ac:dyDescent="0.25">
      <c r="A2" t="s">
        <v>1</v>
      </c>
    </row>
    <row r="4" spans="1:4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</row>
    <row r="5" spans="1:45" x14ac:dyDescent="0.25">
      <c r="A5" t="s">
        <v>47</v>
      </c>
      <c r="B5">
        <v>8</v>
      </c>
      <c r="C5" t="s">
        <v>48</v>
      </c>
      <c r="D5">
        <v>1</v>
      </c>
      <c r="E5" t="s">
        <v>49</v>
      </c>
      <c r="F5">
        <v>27</v>
      </c>
      <c r="H5" t="s">
        <v>50</v>
      </c>
      <c r="K5" t="s">
        <v>51</v>
      </c>
      <c r="L5">
        <v>1</v>
      </c>
      <c r="M5" t="s">
        <v>52</v>
      </c>
      <c r="N5" t="s">
        <v>53</v>
      </c>
      <c r="Q5">
        <v>230</v>
      </c>
      <c r="R5">
        <v>0</v>
      </c>
      <c r="S5">
        <v>0.75</v>
      </c>
      <c r="T5">
        <v>0</v>
      </c>
      <c r="U5">
        <v>0</v>
      </c>
      <c r="W5" s="1">
        <v>46675</v>
      </c>
      <c r="X5" s="1">
        <v>46357</v>
      </c>
      <c r="Y5" t="s">
        <v>54</v>
      </c>
      <c r="Z5" t="s">
        <v>52</v>
      </c>
      <c r="AB5" t="s">
        <v>52</v>
      </c>
      <c r="AC5">
        <v>27</v>
      </c>
      <c r="AD5">
        <v>1</v>
      </c>
      <c r="AE5">
        <v>0.97</v>
      </c>
      <c r="AG5">
        <v>0.97</v>
      </c>
      <c r="AK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55</v>
      </c>
      <c r="AS5" t="s">
        <v>56</v>
      </c>
    </row>
    <row r="6" spans="1:45" x14ac:dyDescent="0.25">
      <c r="A6" t="s">
        <v>47</v>
      </c>
      <c r="B6">
        <v>8</v>
      </c>
      <c r="C6" t="s">
        <v>48</v>
      </c>
      <c r="D6">
        <v>1</v>
      </c>
      <c r="E6" t="s">
        <v>49</v>
      </c>
      <c r="F6">
        <v>27</v>
      </c>
      <c r="H6" t="s">
        <v>50</v>
      </c>
      <c r="K6" t="s">
        <v>52</v>
      </c>
      <c r="L6">
        <v>1</v>
      </c>
      <c r="M6" t="s">
        <v>52</v>
      </c>
      <c r="N6" t="s">
        <v>53</v>
      </c>
      <c r="Q6">
        <v>230</v>
      </c>
      <c r="R6">
        <v>0</v>
      </c>
      <c r="S6">
        <v>0.75</v>
      </c>
      <c r="T6">
        <v>0</v>
      </c>
      <c r="U6">
        <v>0</v>
      </c>
      <c r="W6" s="1">
        <v>46675</v>
      </c>
      <c r="X6" s="1">
        <v>46357</v>
      </c>
      <c r="Y6" t="s">
        <v>54</v>
      </c>
      <c r="Z6" t="s">
        <v>52</v>
      </c>
      <c r="AB6" t="s">
        <v>52</v>
      </c>
      <c r="AC6">
        <v>27</v>
      </c>
      <c r="AD6">
        <v>1</v>
      </c>
      <c r="AE6">
        <v>0.97</v>
      </c>
      <c r="AG6">
        <v>0.97</v>
      </c>
      <c r="AK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55</v>
      </c>
      <c r="AS6" t="s">
        <v>57</v>
      </c>
    </row>
    <row r="7" spans="1:45" x14ac:dyDescent="0.25">
      <c r="A7" t="s">
        <v>47</v>
      </c>
      <c r="B7">
        <v>8</v>
      </c>
      <c r="C7" t="s">
        <v>48</v>
      </c>
      <c r="D7">
        <v>1</v>
      </c>
      <c r="E7" t="s">
        <v>58</v>
      </c>
      <c r="F7">
        <v>102</v>
      </c>
      <c r="G7" t="s">
        <v>59</v>
      </c>
      <c r="H7" t="s">
        <v>50</v>
      </c>
      <c r="K7" t="s">
        <v>51</v>
      </c>
      <c r="L7">
        <v>1</v>
      </c>
      <c r="M7" t="s">
        <v>52</v>
      </c>
      <c r="N7" t="s">
        <v>53</v>
      </c>
      <c r="R7">
        <v>0</v>
      </c>
      <c r="S7">
        <v>0.92</v>
      </c>
      <c r="T7">
        <v>0</v>
      </c>
      <c r="U7">
        <v>0</v>
      </c>
      <c r="W7" s="1">
        <v>46731</v>
      </c>
      <c r="X7" s="1">
        <v>46357</v>
      </c>
      <c r="Z7" t="s">
        <v>52</v>
      </c>
      <c r="AB7" t="s">
        <v>52</v>
      </c>
      <c r="AC7">
        <v>102</v>
      </c>
      <c r="AD7">
        <v>1</v>
      </c>
      <c r="AK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55</v>
      </c>
      <c r="AS7" t="s">
        <v>60</v>
      </c>
    </row>
    <row r="8" spans="1:45" x14ac:dyDescent="0.25">
      <c r="A8" t="s">
        <v>47</v>
      </c>
      <c r="B8">
        <v>8</v>
      </c>
      <c r="C8" t="s">
        <v>48</v>
      </c>
      <c r="D8">
        <v>1</v>
      </c>
      <c r="E8" t="s">
        <v>58</v>
      </c>
      <c r="F8">
        <v>102</v>
      </c>
      <c r="G8" t="s">
        <v>59</v>
      </c>
      <c r="H8" t="s">
        <v>50</v>
      </c>
      <c r="K8" t="s">
        <v>52</v>
      </c>
      <c r="L8">
        <v>1</v>
      </c>
      <c r="M8" t="s">
        <v>52</v>
      </c>
      <c r="N8" t="s">
        <v>53</v>
      </c>
      <c r="R8">
        <v>0</v>
      </c>
      <c r="S8">
        <v>0.92</v>
      </c>
      <c r="T8">
        <v>0</v>
      </c>
      <c r="U8">
        <v>0</v>
      </c>
      <c r="W8" s="1">
        <v>46731</v>
      </c>
      <c r="X8" s="1">
        <v>46357</v>
      </c>
      <c r="Z8" t="s">
        <v>52</v>
      </c>
      <c r="AB8" t="s">
        <v>52</v>
      </c>
      <c r="AC8">
        <v>102</v>
      </c>
      <c r="AD8">
        <v>1</v>
      </c>
      <c r="AK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55</v>
      </c>
    </row>
    <row r="9" spans="1:45" x14ac:dyDescent="0.25">
      <c r="A9" t="s">
        <v>47</v>
      </c>
      <c r="B9">
        <v>8</v>
      </c>
      <c r="C9" t="s">
        <v>48</v>
      </c>
      <c r="D9">
        <v>1</v>
      </c>
      <c r="E9" t="s">
        <v>58</v>
      </c>
      <c r="F9">
        <v>102</v>
      </c>
      <c r="G9" t="s">
        <v>61</v>
      </c>
      <c r="H9" t="s">
        <v>50</v>
      </c>
      <c r="K9" t="s">
        <v>51</v>
      </c>
      <c r="L9">
        <v>1</v>
      </c>
      <c r="M9" t="s">
        <v>52</v>
      </c>
      <c r="N9" t="s">
        <v>53</v>
      </c>
      <c r="R9">
        <v>0</v>
      </c>
      <c r="S9">
        <v>0.92</v>
      </c>
      <c r="T9">
        <v>0</v>
      </c>
      <c r="U9">
        <v>0</v>
      </c>
      <c r="W9" s="1">
        <v>46731</v>
      </c>
      <c r="X9" s="1">
        <v>46357</v>
      </c>
      <c r="Z9" t="s">
        <v>52</v>
      </c>
      <c r="AB9" t="s">
        <v>52</v>
      </c>
      <c r="AC9">
        <v>102</v>
      </c>
      <c r="AD9">
        <v>1</v>
      </c>
      <c r="AK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55</v>
      </c>
    </row>
    <row r="10" spans="1:45" x14ac:dyDescent="0.25">
      <c r="A10" t="s">
        <v>47</v>
      </c>
      <c r="B10">
        <v>8</v>
      </c>
      <c r="C10" t="s">
        <v>48</v>
      </c>
      <c r="D10">
        <v>1</v>
      </c>
      <c r="E10" t="s">
        <v>58</v>
      </c>
      <c r="F10">
        <v>102</v>
      </c>
      <c r="G10" t="s">
        <v>61</v>
      </c>
      <c r="H10" t="s">
        <v>50</v>
      </c>
      <c r="K10" t="s">
        <v>52</v>
      </c>
      <c r="L10">
        <v>1</v>
      </c>
      <c r="M10" t="s">
        <v>52</v>
      </c>
      <c r="N10" t="s">
        <v>53</v>
      </c>
      <c r="R10">
        <v>0</v>
      </c>
      <c r="S10">
        <v>0.92</v>
      </c>
      <c r="T10">
        <v>0</v>
      </c>
      <c r="U10">
        <v>0</v>
      </c>
      <c r="W10" s="1">
        <v>46731</v>
      </c>
      <c r="X10" s="1">
        <v>46357</v>
      </c>
      <c r="Z10" t="s">
        <v>52</v>
      </c>
      <c r="AB10" t="s">
        <v>52</v>
      </c>
      <c r="AC10">
        <v>102</v>
      </c>
      <c r="AD10">
        <v>1</v>
      </c>
      <c r="AK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55</v>
      </c>
      <c r="AS10" t="s">
        <v>60</v>
      </c>
    </row>
    <row r="11" spans="1:45" x14ac:dyDescent="0.25">
      <c r="A11" t="s">
        <v>47</v>
      </c>
      <c r="B11">
        <v>8</v>
      </c>
      <c r="C11" t="s">
        <v>48</v>
      </c>
      <c r="D11">
        <v>1</v>
      </c>
      <c r="E11" t="s">
        <v>58</v>
      </c>
      <c r="F11">
        <v>102</v>
      </c>
      <c r="G11" t="s">
        <v>62</v>
      </c>
      <c r="H11" t="s">
        <v>50</v>
      </c>
      <c r="K11" t="s">
        <v>51</v>
      </c>
      <c r="L11">
        <v>1</v>
      </c>
      <c r="M11" t="s">
        <v>52</v>
      </c>
      <c r="N11" t="s">
        <v>53</v>
      </c>
      <c r="R11">
        <v>0</v>
      </c>
      <c r="S11">
        <v>0.92</v>
      </c>
      <c r="T11">
        <v>0</v>
      </c>
      <c r="U11">
        <v>0</v>
      </c>
      <c r="W11" s="1">
        <v>46731</v>
      </c>
      <c r="X11" s="1">
        <v>46357</v>
      </c>
      <c r="Z11" t="s">
        <v>52</v>
      </c>
      <c r="AB11" t="s">
        <v>52</v>
      </c>
      <c r="AC11">
        <v>102</v>
      </c>
      <c r="AD11">
        <v>1</v>
      </c>
      <c r="AK11" t="s">
        <v>52</v>
      </c>
      <c r="AN11" t="s">
        <v>52</v>
      </c>
      <c r="AO11" t="s">
        <v>52</v>
      </c>
      <c r="AP11" t="s">
        <v>52</v>
      </c>
      <c r="AQ11" t="s">
        <v>52</v>
      </c>
      <c r="AR11" t="s">
        <v>55</v>
      </c>
    </row>
    <row r="12" spans="1:45" x14ac:dyDescent="0.25">
      <c r="A12" t="s">
        <v>47</v>
      </c>
      <c r="B12">
        <v>8</v>
      </c>
      <c r="C12" t="s">
        <v>48</v>
      </c>
      <c r="D12">
        <v>1</v>
      </c>
      <c r="E12" t="s">
        <v>58</v>
      </c>
      <c r="F12">
        <v>102</v>
      </c>
      <c r="G12" t="s">
        <v>62</v>
      </c>
      <c r="H12" t="s">
        <v>50</v>
      </c>
      <c r="K12" t="s">
        <v>52</v>
      </c>
      <c r="L12">
        <v>1</v>
      </c>
      <c r="M12" t="s">
        <v>52</v>
      </c>
      <c r="N12" t="s">
        <v>53</v>
      </c>
      <c r="R12">
        <v>0</v>
      </c>
      <c r="S12">
        <v>0.92</v>
      </c>
      <c r="T12">
        <v>0</v>
      </c>
      <c r="U12">
        <v>0</v>
      </c>
      <c r="W12" s="1">
        <v>46731</v>
      </c>
      <c r="X12" s="1">
        <v>46357</v>
      </c>
      <c r="Z12" t="s">
        <v>52</v>
      </c>
      <c r="AB12" t="s">
        <v>52</v>
      </c>
      <c r="AC12">
        <v>102</v>
      </c>
      <c r="AD12">
        <v>1</v>
      </c>
      <c r="AK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55</v>
      </c>
    </row>
    <row r="13" spans="1:45" x14ac:dyDescent="0.25">
      <c r="A13" t="s">
        <v>47</v>
      </c>
      <c r="B13">
        <v>8</v>
      </c>
      <c r="C13" t="s">
        <v>48</v>
      </c>
      <c r="D13">
        <v>1</v>
      </c>
      <c r="E13" t="s">
        <v>58</v>
      </c>
      <c r="F13">
        <v>102</v>
      </c>
      <c r="G13" t="s">
        <v>63</v>
      </c>
      <c r="H13" t="s">
        <v>50</v>
      </c>
      <c r="K13" t="s">
        <v>51</v>
      </c>
      <c r="L13">
        <v>1</v>
      </c>
      <c r="M13" t="s">
        <v>52</v>
      </c>
      <c r="N13" t="s">
        <v>53</v>
      </c>
      <c r="R13">
        <v>0</v>
      </c>
      <c r="S13">
        <v>0.92</v>
      </c>
      <c r="T13">
        <v>0</v>
      </c>
      <c r="U13">
        <v>0</v>
      </c>
      <c r="W13" s="1">
        <v>46731</v>
      </c>
      <c r="X13" s="1">
        <v>46357</v>
      </c>
      <c r="Z13" t="s">
        <v>52</v>
      </c>
      <c r="AB13" t="s">
        <v>52</v>
      </c>
      <c r="AC13">
        <v>102</v>
      </c>
      <c r="AD13">
        <v>1</v>
      </c>
      <c r="AK13" t="s">
        <v>52</v>
      </c>
      <c r="AN13" t="s">
        <v>52</v>
      </c>
      <c r="AO13" t="s">
        <v>52</v>
      </c>
      <c r="AP13" t="s">
        <v>52</v>
      </c>
      <c r="AQ13" t="s">
        <v>52</v>
      </c>
      <c r="AR13" t="s">
        <v>55</v>
      </c>
    </row>
    <row r="14" spans="1:45" x14ac:dyDescent="0.25">
      <c r="A14" t="s">
        <v>47</v>
      </c>
      <c r="B14">
        <v>8</v>
      </c>
      <c r="C14" t="s">
        <v>48</v>
      </c>
      <c r="D14">
        <v>1</v>
      </c>
      <c r="E14" t="s">
        <v>58</v>
      </c>
      <c r="F14">
        <v>102</v>
      </c>
      <c r="G14" t="s">
        <v>63</v>
      </c>
      <c r="H14" t="s">
        <v>50</v>
      </c>
      <c r="K14" t="s">
        <v>52</v>
      </c>
      <c r="L14">
        <v>1</v>
      </c>
      <c r="M14" t="s">
        <v>52</v>
      </c>
      <c r="N14" t="s">
        <v>53</v>
      </c>
      <c r="R14">
        <v>0</v>
      </c>
      <c r="S14">
        <v>0.92</v>
      </c>
      <c r="T14">
        <v>0</v>
      </c>
      <c r="U14">
        <v>0</v>
      </c>
      <c r="W14" s="1">
        <v>46731</v>
      </c>
      <c r="X14" s="1">
        <v>46357</v>
      </c>
      <c r="Z14" t="s">
        <v>52</v>
      </c>
      <c r="AB14" t="s">
        <v>52</v>
      </c>
      <c r="AC14">
        <v>102</v>
      </c>
      <c r="AD14">
        <v>1</v>
      </c>
      <c r="AK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55</v>
      </c>
    </row>
    <row r="15" spans="1:45" x14ac:dyDescent="0.25">
      <c r="A15" t="s">
        <v>47</v>
      </c>
      <c r="B15">
        <v>8</v>
      </c>
      <c r="C15" t="s">
        <v>48</v>
      </c>
      <c r="D15">
        <v>1</v>
      </c>
      <c r="E15" t="s">
        <v>58</v>
      </c>
      <c r="F15">
        <v>102</v>
      </c>
      <c r="G15" t="s">
        <v>64</v>
      </c>
      <c r="H15" t="s">
        <v>50</v>
      </c>
      <c r="K15" t="s">
        <v>52</v>
      </c>
      <c r="L15">
        <v>1</v>
      </c>
      <c r="M15" t="s">
        <v>52</v>
      </c>
      <c r="N15" t="s">
        <v>53</v>
      </c>
      <c r="R15">
        <v>0</v>
      </c>
      <c r="S15">
        <v>0.92</v>
      </c>
      <c r="T15">
        <v>0</v>
      </c>
      <c r="U15">
        <v>0</v>
      </c>
      <c r="W15" s="1">
        <v>46731</v>
      </c>
      <c r="X15" s="1">
        <v>46357</v>
      </c>
      <c r="Z15" t="s">
        <v>52</v>
      </c>
      <c r="AB15" t="s">
        <v>52</v>
      </c>
      <c r="AC15">
        <v>102</v>
      </c>
      <c r="AD15">
        <v>1</v>
      </c>
      <c r="AK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55</v>
      </c>
    </row>
    <row r="16" spans="1:45" x14ac:dyDescent="0.25">
      <c r="A16" t="s">
        <v>47</v>
      </c>
      <c r="B16">
        <v>8</v>
      </c>
      <c r="C16" t="s">
        <v>48</v>
      </c>
      <c r="D16">
        <v>1</v>
      </c>
      <c r="E16" t="s">
        <v>58</v>
      </c>
      <c r="F16">
        <v>102</v>
      </c>
      <c r="G16" t="s">
        <v>65</v>
      </c>
      <c r="H16" t="s">
        <v>50</v>
      </c>
      <c r="K16" t="s">
        <v>51</v>
      </c>
      <c r="L16">
        <v>1</v>
      </c>
      <c r="M16" t="s">
        <v>52</v>
      </c>
      <c r="N16" t="s">
        <v>53</v>
      </c>
      <c r="R16">
        <v>0</v>
      </c>
      <c r="S16">
        <v>0.92</v>
      </c>
      <c r="T16">
        <v>0</v>
      </c>
      <c r="U16">
        <v>0</v>
      </c>
      <c r="W16" s="1">
        <v>46731</v>
      </c>
      <c r="X16" s="1">
        <v>46357</v>
      </c>
      <c r="Z16" t="s">
        <v>52</v>
      </c>
      <c r="AB16" t="s">
        <v>52</v>
      </c>
      <c r="AC16">
        <v>102</v>
      </c>
      <c r="AD16">
        <v>1</v>
      </c>
      <c r="AK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55</v>
      </c>
    </row>
    <row r="17" spans="1:45" x14ac:dyDescent="0.25">
      <c r="A17" t="s">
        <v>47</v>
      </c>
      <c r="B17">
        <v>8</v>
      </c>
      <c r="C17" t="s">
        <v>48</v>
      </c>
      <c r="D17">
        <v>1</v>
      </c>
      <c r="E17" t="s">
        <v>58</v>
      </c>
      <c r="F17">
        <v>102</v>
      </c>
      <c r="G17" t="s">
        <v>65</v>
      </c>
      <c r="H17" t="s">
        <v>50</v>
      </c>
      <c r="K17" t="s">
        <v>52</v>
      </c>
      <c r="L17">
        <v>1</v>
      </c>
      <c r="M17" t="s">
        <v>52</v>
      </c>
      <c r="N17" t="s">
        <v>53</v>
      </c>
      <c r="R17">
        <v>0</v>
      </c>
      <c r="S17">
        <v>0.92</v>
      </c>
      <c r="T17">
        <v>0</v>
      </c>
      <c r="U17">
        <v>0</v>
      </c>
      <c r="W17" s="1">
        <v>46731</v>
      </c>
      <c r="X17" s="1">
        <v>46357</v>
      </c>
      <c r="Z17" t="s">
        <v>52</v>
      </c>
      <c r="AB17" t="s">
        <v>52</v>
      </c>
      <c r="AC17">
        <v>102</v>
      </c>
      <c r="AD17">
        <v>1</v>
      </c>
      <c r="AK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55</v>
      </c>
    </row>
    <row r="18" spans="1:45" x14ac:dyDescent="0.25">
      <c r="A18" t="s">
        <v>47</v>
      </c>
      <c r="B18">
        <v>8</v>
      </c>
      <c r="C18" t="s">
        <v>48</v>
      </c>
      <c r="D18">
        <v>1</v>
      </c>
      <c r="E18" t="s">
        <v>58</v>
      </c>
      <c r="F18">
        <v>102</v>
      </c>
      <c r="G18" t="s">
        <v>66</v>
      </c>
      <c r="H18" t="s">
        <v>50</v>
      </c>
      <c r="K18" t="s">
        <v>51</v>
      </c>
      <c r="L18">
        <v>1</v>
      </c>
      <c r="M18" t="s">
        <v>52</v>
      </c>
      <c r="N18" t="s">
        <v>53</v>
      </c>
      <c r="R18">
        <v>0</v>
      </c>
      <c r="S18">
        <v>0.92</v>
      </c>
      <c r="T18">
        <v>0</v>
      </c>
      <c r="U18">
        <v>0</v>
      </c>
      <c r="W18" s="1">
        <v>46731</v>
      </c>
      <c r="X18" s="1">
        <v>46357</v>
      </c>
      <c r="Z18" t="s">
        <v>52</v>
      </c>
      <c r="AB18" t="s">
        <v>52</v>
      </c>
      <c r="AC18">
        <v>102</v>
      </c>
      <c r="AD18">
        <v>1</v>
      </c>
      <c r="AK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55</v>
      </c>
    </row>
    <row r="19" spans="1:45" x14ac:dyDescent="0.25">
      <c r="A19" t="s">
        <v>47</v>
      </c>
      <c r="B19">
        <v>8</v>
      </c>
      <c r="C19" t="s">
        <v>48</v>
      </c>
      <c r="D19">
        <v>1</v>
      </c>
      <c r="E19" t="s">
        <v>58</v>
      </c>
      <c r="F19">
        <v>102</v>
      </c>
      <c r="G19" t="s">
        <v>66</v>
      </c>
      <c r="H19" t="s">
        <v>50</v>
      </c>
      <c r="K19" t="s">
        <v>52</v>
      </c>
      <c r="L19">
        <v>1</v>
      </c>
      <c r="M19" t="s">
        <v>52</v>
      </c>
      <c r="N19" t="s">
        <v>53</v>
      </c>
      <c r="R19">
        <v>0</v>
      </c>
      <c r="S19">
        <v>0.92</v>
      </c>
      <c r="T19">
        <v>0</v>
      </c>
      <c r="U19">
        <v>0</v>
      </c>
      <c r="W19" s="1">
        <v>46731</v>
      </c>
      <c r="X19" s="1">
        <v>46357</v>
      </c>
      <c r="Z19" t="s">
        <v>52</v>
      </c>
      <c r="AB19" t="s">
        <v>52</v>
      </c>
      <c r="AC19">
        <v>102</v>
      </c>
      <c r="AD19">
        <v>1</v>
      </c>
      <c r="AK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55</v>
      </c>
    </row>
    <row r="20" spans="1:45" x14ac:dyDescent="0.25">
      <c r="A20" t="s">
        <v>47</v>
      </c>
      <c r="B20">
        <v>8</v>
      </c>
      <c r="C20" t="s">
        <v>48</v>
      </c>
      <c r="D20">
        <v>1</v>
      </c>
      <c r="E20" t="s">
        <v>58</v>
      </c>
      <c r="F20">
        <v>102</v>
      </c>
      <c r="G20" t="s">
        <v>67</v>
      </c>
      <c r="H20" t="s">
        <v>50</v>
      </c>
      <c r="K20" t="s">
        <v>51</v>
      </c>
      <c r="L20">
        <v>1</v>
      </c>
      <c r="M20" t="s">
        <v>52</v>
      </c>
      <c r="N20" t="s">
        <v>53</v>
      </c>
      <c r="R20">
        <v>0</v>
      </c>
      <c r="S20">
        <v>0.92</v>
      </c>
      <c r="U20">
        <v>0</v>
      </c>
      <c r="W20" s="1">
        <v>46731</v>
      </c>
      <c r="X20" s="1">
        <v>46357</v>
      </c>
      <c r="Z20" t="s">
        <v>52</v>
      </c>
      <c r="AB20" t="s">
        <v>52</v>
      </c>
      <c r="AC20">
        <v>102</v>
      </c>
      <c r="AD20">
        <v>1</v>
      </c>
      <c r="AK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55</v>
      </c>
    </row>
    <row r="21" spans="1:45" x14ac:dyDescent="0.25">
      <c r="A21" t="s">
        <v>47</v>
      </c>
      <c r="B21">
        <v>8</v>
      </c>
      <c r="C21" t="s">
        <v>48</v>
      </c>
      <c r="D21">
        <v>1</v>
      </c>
      <c r="E21" t="s">
        <v>58</v>
      </c>
      <c r="F21">
        <v>102</v>
      </c>
      <c r="G21" t="s">
        <v>67</v>
      </c>
      <c r="H21" t="s">
        <v>50</v>
      </c>
      <c r="K21" t="s">
        <v>52</v>
      </c>
      <c r="L21">
        <v>1</v>
      </c>
      <c r="M21" t="s">
        <v>52</v>
      </c>
      <c r="N21" t="s">
        <v>53</v>
      </c>
      <c r="R21">
        <v>0</v>
      </c>
      <c r="S21">
        <v>0.92</v>
      </c>
      <c r="U21">
        <v>0</v>
      </c>
      <c r="W21" s="1">
        <v>46731</v>
      </c>
      <c r="X21" s="1">
        <v>46357</v>
      </c>
      <c r="Z21" t="s">
        <v>52</v>
      </c>
      <c r="AB21" t="s">
        <v>52</v>
      </c>
      <c r="AC21">
        <v>102</v>
      </c>
      <c r="AD21">
        <v>1</v>
      </c>
      <c r="AK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55</v>
      </c>
    </row>
    <row r="22" spans="1:45" x14ac:dyDescent="0.25">
      <c r="A22" t="s">
        <v>47</v>
      </c>
      <c r="B22">
        <v>8</v>
      </c>
      <c r="C22" t="s">
        <v>48</v>
      </c>
      <c r="D22">
        <v>1</v>
      </c>
      <c r="E22" t="s">
        <v>68</v>
      </c>
      <c r="F22">
        <v>80</v>
      </c>
      <c r="G22" t="s">
        <v>69</v>
      </c>
      <c r="H22" t="s">
        <v>50</v>
      </c>
      <c r="K22" t="s">
        <v>51</v>
      </c>
      <c r="L22">
        <v>1</v>
      </c>
      <c r="M22" t="s">
        <v>52</v>
      </c>
      <c r="N22" t="s">
        <v>53</v>
      </c>
      <c r="R22">
        <v>0.5</v>
      </c>
      <c r="S22">
        <v>0.75</v>
      </c>
      <c r="T22">
        <v>0</v>
      </c>
      <c r="U22">
        <v>0</v>
      </c>
      <c r="V22" s="1">
        <v>46583</v>
      </c>
      <c r="W22" s="1">
        <v>46675</v>
      </c>
      <c r="X22" s="1">
        <v>46461</v>
      </c>
      <c r="Z22" t="s">
        <v>52</v>
      </c>
      <c r="AB22" t="s">
        <v>52</v>
      </c>
      <c r="AC22">
        <v>80</v>
      </c>
      <c r="AD22">
        <v>1</v>
      </c>
      <c r="AK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55</v>
      </c>
    </row>
    <row r="23" spans="1:45" x14ac:dyDescent="0.25">
      <c r="A23" t="s">
        <v>47</v>
      </c>
      <c r="B23">
        <v>8</v>
      </c>
      <c r="C23" t="s">
        <v>48</v>
      </c>
      <c r="D23">
        <v>1</v>
      </c>
      <c r="E23" t="s">
        <v>68</v>
      </c>
      <c r="F23">
        <v>80</v>
      </c>
      <c r="G23" t="s">
        <v>69</v>
      </c>
      <c r="H23" t="s">
        <v>50</v>
      </c>
      <c r="K23" t="s">
        <v>52</v>
      </c>
      <c r="L23">
        <v>1</v>
      </c>
      <c r="M23" t="s">
        <v>52</v>
      </c>
      <c r="N23" t="s">
        <v>53</v>
      </c>
      <c r="R23">
        <v>0.5</v>
      </c>
      <c r="S23">
        <v>0.75</v>
      </c>
      <c r="T23">
        <v>0</v>
      </c>
      <c r="U23">
        <v>0</v>
      </c>
      <c r="V23" s="1">
        <v>46583</v>
      </c>
      <c r="W23" s="1">
        <v>46675</v>
      </c>
      <c r="X23" s="1">
        <v>46461</v>
      </c>
      <c r="Z23" t="s">
        <v>52</v>
      </c>
      <c r="AB23" t="s">
        <v>52</v>
      </c>
      <c r="AC23">
        <v>80</v>
      </c>
      <c r="AD23">
        <v>1</v>
      </c>
      <c r="AK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55</v>
      </c>
    </row>
    <row r="24" spans="1:45" x14ac:dyDescent="0.25">
      <c r="A24" t="s">
        <v>47</v>
      </c>
      <c r="B24">
        <v>8</v>
      </c>
      <c r="C24" t="s">
        <v>48</v>
      </c>
      <c r="D24">
        <v>1</v>
      </c>
      <c r="E24" t="s">
        <v>70</v>
      </c>
      <c r="F24">
        <v>296</v>
      </c>
      <c r="G24" t="s">
        <v>71</v>
      </c>
      <c r="H24" t="s">
        <v>50</v>
      </c>
      <c r="K24" t="s">
        <v>51</v>
      </c>
      <c r="L24">
        <v>1</v>
      </c>
      <c r="M24" t="s">
        <v>52</v>
      </c>
      <c r="N24" t="s">
        <v>53</v>
      </c>
      <c r="Q24">
        <v>224.33330000000001</v>
      </c>
      <c r="R24">
        <v>0</v>
      </c>
      <c r="S24">
        <v>0.75</v>
      </c>
      <c r="T24">
        <v>0</v>
      </c>
      <c r="U24">
        <v>0</v>
      </c>
      <c r="W24" s="1">
        <v>46675</v>
      </c>
      <c r="X24" s="1">
        <v>46357</v>
      </c>
      <c r="Y24" t="s">
        <v>54</v>
      </c>
      <c r="Z24" t="s">
        <v>52</v>
      </c>
      <c r="AB24" t="s">
        <v>52</v>
      </c>
      <c r="AC24">
        <v>296</v>
      </c>
      <c r="AD24">
        <v>1</v>
      </c>
      <c r="AK24" t="s">
        <v>52</v>
      </c>
      <c r="AN24" t="s">
        <v>52</v>
      </c>
      <c r="AO24" t="s">
        <v>52</v>
      </c>
      <c r="AP24" t="s">
        <v>52</v>
      </c>
      <c r="AQ24" t="s">
        <v>52</v>
      </c>
      <c r="AR24" t="s">
        <v>55</v>
      </c>
      <c r="AS24" t="s">
        <v>60</v>
      </c>
    </row>
    <row r="25" spans="1:45" x14ac:dyDescent="0.25">
      <c r="A25" t="s">
        <v>47</v>
      </c>
      <c r="B25">
        <v>8</v>
      </c>
      <c r="C25" t="s">
        <v>48</v>
      </c>
      <c r="D25">
        <v>1</v>
      </c>
      <c r="E25" t="s">
        <v>70</v>
      </c>
      <c r="F25">
        <v>296</v>
      </c>
      <c r="G25" t="s">
        <v>71</v>
      </c>
      <c r="H25" t="s">
        <v>50</v>
      </c>
      <c r="K25" t="s">
        <v>52</v>
      </c>
      <c r="L25">
        <v>1</v>
      </c>
      <c r="M25" t="s">
        <v>52</v>
      </c>
      <c r="N25" t="s">
        <v>53</v>
      </c>
      <c r="Q25">
        <v>224.33330000000001</v>
      </c>
      <c r="R25">
        <v>0</v>
      </c>
      <c r="S25">
        <v>0.75</v>
      </c>
      <c r="T25">
        <v>0</v>
      </c>
      <c r="U25">
        <v>0</v>
      </c>
      <c r="W25" s="1">
        <v>46675</v>
      </c>
      <c r="X25" s="1">
        <v>46357</v>
      </c>
      <c r="Y25" t="s">
        <v>54</v>
      </c>
      <c r="Z25" t="s">
        <v>52</v>
      </c>
      <c r="AB25" t="s">
        <v>52</v>
      </c>
      <c r="AC25">
        <v>296</v>
      </c>
      <c r="AD25">
        <v>1</v>
      </c>
      <c r="AK25" t="s">
        <v>52</v>
      </c>
      <c r="AN25" t="s">
        <v>52</v>
      </c>
      <c r="AO25" t="s">
        <v>52</v>
      </c>
      <c r="AP25" t="s">
        <v>52</v>
      </c>
      <c r="AQ25" t="s">
        <v>52</v>
      </c>
      <c r="AR25" t="s">
        <v>55</v>
      </c>
      <c r="AS25" t="s">
        <v>60</v>
      </c>
    </row>
    <row r="26" spans="1:45" x14ac:dyDescent="0.25">
      <c r="A26" t="s">
        <v>47</v>
      </c>
      <c r="B26">
        <v>8</v>
      </c>
      <c r="C26" t="s">
        <v>48</v>
      </c>
      <c r="D26">
        <v>1</v>
      </c>
      <c r="E26" t="s">
        <v>70</v>
      </c>
      <c r="F26">
        <v>296</v>
      </c>
      <c r="G26" t="s">
        <v>72</v>
      </c>
      <c r="H26" t="s">
        <v>50</v>
      </c>
      <c r="K26" t="s">
        <v>51</v>
      </c>
      <c r="L26">
        <v>1</v>
      </c>
      <c r="M26" t="s">
        <v>52</v>
      </c>
      <c r="N26" t="s">
        <v>53</v>
      </c>
      <c r="R26">
        <v>0.5</v>
      </c>
      <c r="S26">
        <v>0.75</v>
      </c>
      <c r="T26">
        <v>0</v>
      </c>
      <c r="U26">
        <v>0</v>
      </c>
      <c r="W26" s="1">
        <v>46675</v>
      </c>
      <c r="X26" s="1">
        <v>46357</v>
      </c>
      <c r="Z26" t="s">
        <v>52</v>
      </c>
      <c r="AB26" t="s">
        <v>52</v>
      </c>
      <c r="AC26">
        <v>296</v>
      </c>
      <c r="AD26">
        <v>1</v>
      </c>
      <c r="AK26" t="s">
        <v>52</v>
      </c>
      <c r="AN26" t="s">
        <v>52</v>
      </c>
      <c r="AO26" t="s">
        <v>52</v>
      </c>
      <c r="AP26" t="s">
        <v>52</v>
      </c>
      <c r="AQ26" t="s">
        <v>52</v>
      </c>
      <c r="AR26" t="s">
        <v>55</v>
      </c>
      <c r="AS26" t="s">
        <v>60</v>
      </c>
    </row>
    <row r="27" spans="1:45" x14ac:dyDescent="0.25">
      <c r="A27" t="s">
        <v>47</v>
      </c>
      <c r="B27">
        <v>8</v>
      </c>
      <c r="C27" t="s">
        <v>48</v>
      </c>
      <c r="D27">
        <v>1</v>
      </c>
      <c r="E27" t="s">
        <v>70</v>
      </c>
      <c r="F27">
        <v>296</v>
      </c>
      <c r="G27" t="s">
        <v>72</v>
      </c>
      <c r="H27" t="s">
        <v>50</v>
      </c>
      <c r="K27" t="s">
        <v>52</v>
      </c>
      <c r="L27">
        <v>1</v>
      </c>
      <c r="M27" t="s">
        <v>52</v>
      </c>
      <c r="N27" t="s">
        <v>53</v>
      </c>
      <c r="R27">
        <v>0.5</v>
      </c>
      <c r="S27">
        <v>0.75</v>
      </c>
      <c r="T27">
        <v>0</v>
      </c>
      <c r="U27">
        <v>0</v>
      </c>
      <c r="W27" s="1">
        <v>46675</v>
      </c>
      <c r="X27" s="1">
        <v>46357</v>
      </c>
      <c r="Z27" t="s">
        <v>52</v>
      </c>
      <c r="AB27" t="s">
        <v>52</v>
      </c>
      <c r="AC27">
        <v>296</v>
      </c>
      <c r="AD27">
        <v>1</v>
      </c>
      <c r="AK27" t="s">
        <v>52</v>
      </c>
      <c r="AN27" t="s">
        <v>52</v>
      </c>
      <c r="AO27" t="s">
        <v>52</v>
      </c>
      <c r="AP27" t="s">
        <v>52</v>
      </c>
      <c r="AQ27" t="s">
        <v>52</v>
      </c>
      <c r="AR27" t="s">
        <v>55</v>
      </c>
      <c r="AS27" t="s">
        <v>60</v>
      </c>
    </row>
    <row r="28" spans="1:45" x14ac:dyDescent="0.25">
      <c r="A28" t="s">
        <v>47</v>
      </c>
      <c r="B28">
        <v>8</v>
      </c>
      <c r="C28" t="s">
        <v>48</v>
      </c>
      <c r="D28">
        <v>1</v>
      </c>
      <c r="E28" t="s">
        <v>70</v>
      </c>
      <c r="F28">
        <v>296</v>
      </c>
      <c r="G28" t="s">
        <v>73</v>
      </c>
      <c r="H28" t="s">
        <v>50</v>
      </c>
      <c r="K28" t="s">
        <v>51</v>
      </c>
      <c r="L28">
        <v>1</v>
      </c>
      <c r="M28" t="s">
        <v>52</v>
      </c>
      <c r="N28" t="s">
        <v>53</v>
      </c>
      <c r="R28">
        <v>0</v>
      </c>
      <c r="S28">
        <v>0.75</v>
      </c>
      <c r="T28">
        <v>0</v>
      </c>
      <c r="U28">
        <v>0</v>
      </c>
      <c r="W28" s="1">
        <v>46675</v>
      </c>
      <c r="X28" s="1">
        <v>46357</v>
      </c>
      <c r="Z28" t="s">
        <v>52</v>
      </c>
      <c r="AB28" t="s">
        <v>52</v>
      </c>
      <c r="AC28">
        <v>296</v>
      </c>
      <c r="AD28">
        <v>1</v>
      </c>
      <c r="AK28" t="s">
        <v>52</v>
      </c>
      <c r="AN28" t="s">
        <v>52</v>
      </c>
      <c r="AO28" t="s">
        <v>52</v>
      </c>
      <c r="AP28" t="s">
        <v>52</v>
      </c>
      <c r="AQ28" t="s">
        <v>52</v>
      </c>
      <c r="AR28" t="s">
        <v>55</v>
      </c>
      <c r="AS28" t="s">
        <v>60</v>
      </c>
    </row>
    <row r="29" spans="1:45" x14ac:dyDescent="0.25">
      <c r="A29" t="s">
        <v>47</v>
      </c>
      <c r="B29">
        <v>8</v>
      </c>
      <c r="C29" t="s">
        <v>48</v>
      </c>
      <c r="D29">
        <v>1</v>
      </c>
      <c r="E29" t="s">
        <v>70</v>
      </c>
      <c r="F29">
        <v>296</v>
      </c>
      <c r="G29" t="s">
        <v>73</v>
      </c>
      <c r="H29" t="s">
        <v>50</v>
      </c>
      <c r="K29" t="s">
        <v>52</v>
      </c>
      <c r="L29">
        <v>1</v>
      </c>
      <c r="M29" t="s">
        <v>52</v>
      </c>
      <c r="N29" t="s">
        <v>53</v>
      </c>
      <c r="R29">
        <v>0</v>
      </c>
      <c r="S29">
        <v>0.75</v>
      </c>
      <c r="T29">
        <v>0</v>
      </c>
      <c r="U29">
        <v>0</v>
      </c>
      <c r="W29" s="1">
        <v>46675</v>
      </c>
      <c r="X29" s="1">
        <v>46357</v>
      </c>
      <c r="Z29" t="s">
        <v>52</v>
      </c>
      <c r="AB29" t="s">
        <v>52</v>
      </c>
      <c r="AC29">
        <v>296</v>
      </c>
      <c r="AD29">
        <v>1</v>
      </c>
      <c r="AK29" t="s">
        <v>52</v>
      </c>
      <c r="AN29" t="s">
        <v>52</v>
      </c>
      <c r="AO29" t="s">
        <v>52</v>
      </c>
      <c r="AP29" t="s">
        <v>52</v>
      </c>
      <c r="AQ29" t="s">
        <v>52</v>
      </c>
      <c r="AR29" t="s">
        <v>55</v>
      </c>
      <c r="AS29" t="s">
        <v>60</v>
      </c>
    </row>
    <row r="30" spans="1:45" x14ac:dyDescent="0.25">
      <c r="A30" t="s">
        <v>47</v>
      </c>
      <c r="B30">
        <v>8</v>
      </c>
      <c r="C30" t="s">
        <v>48</v>
      </c>
      <c r="D30">
        <v>1</v>
      </c>
      <c r="E30" t="s">
        <v>70</v>
      </c>
      <c r="F30">
        <v>296</v>
      </c>
      <c r="G30" t="s">
        <v>74</v>
      </c>
      <c r="H30" t="s">
        <v>50</v>
      </c>
      <c r="K30" t="s">
        <v>51</v>
      </c>
      <c r="L30">
        <v>1</v>
      </c>
      <c r="M30" t="s">
        <v>52</v>
      </c>
      <c r="N30" t="s">
        <v>53</v>
      </c>
      <c r="R30">
        <v>0</v>
      </c>
      <c r="S30">
        <v>0.75</v>
      </c>
      <c r="T30">
        <v>0</v>
      </c>
      <c r="U30">
        <v>0</v>
      </c>
      <c r="W30" s="1">
        <v>46675</v>
      </c>
      <c r="X30" s="1">
        <v>46357</v>
      </c>
      <c r="Z30" t="s">
        <v>52</v>
      </c>
      <c r="AB30" t="s">
        <v>52</v>
      </c>
      <c r="AC30">
        <v>102</v>
      </c>
      <c r="AD30">
        <v>1</v>
      </c>
      <c r="AK30" t="s">
        <v>52</v>
      </c>
      <c r="AN30" t="s">
        <v>52</v>
      </c>
      <c r="AO30" t="s">
        <v>52</v>
      </c>
      <c r="AP30" t="s">
        <v>52</v>
      </c>
      <c r="AQ30" t="s">
        <v>52</v>
      </c>
      <c r="AR30" t="s">
        <v>55</v>
      </c>
      <c r="AS30" t="s">
        <v>60</v>
      </c>
    </row>
    <row r="31" spans="1:45" x14ac:dyDescent="0.25">
      <c r="A31" t="s">
        <v>47</v>
      </c>
      <c r="B31">
        <v>8</v>
      </c>
      <c r="C31" t="s">
        <v>48</v>
      </c>
      <c r="D31">
        <v>1</v>
      </c>
      <c r="E31" t="s">
        <v>70</v>
      </c>
      <c r="F31">
        <v>296</v>
      </c>
      <c r="G31" t="s">
        <v>74</v>
      </c>
      <c r="H31" t="s">
        <v>50</v>
      </c>
      <c r="K31" t="s">
        <v>52</v>
      </c>
      <c r="L31">
        <v>1</v>
      </c>
      <c r="M31" t="s">
        <v>52</v>
      </c>
      <c r="N31" t="s">
        <v>53</v>
      </c>
      <c r="R31">
        <v>0</v>
      </c>
      <c r="S31">
        <v>0.75</v>
      </c>
      <c r="T31">
        <v>0</v>
      </c>
      <c r="U31">
        <v>0</v>
      </c>
      <c r="W31" s="1">
        <v>46675</v>
      </c>
      <c r="X31" s="1">
        <v>46357</v>
      </c>
      <c r="Z31" t="s">
        <v>52</v>
      </c>
      <c r="AB31" t="s">
        <v>52</v>
      </c>
      <c r="AC31">
        <v>102</v>
      </c>
      <c r="AD31">
        <v>1</v>
      </c>
      <c r="AK31" t="s">
        <v>52</v>
      </c>
      <c r="AN31" t="s">
        <v>52</v>
      </c>
      <c r="AO31" t="s">
        <v>52</v>
      </c>
      <c r="AP31" t="s">
        <v>52</v>
      </c>
      <c r="AQ31" t="s">
        <v>52</v>
      </c>
      <c r="AR31" t="s">
        <v>55</v>
      </c>
      <c r="AS31" t="s">
        <v>60</v>
      </c>
    </row>
    <row r="32" spans="1:45" x14ac:dyDescent="0.25">
      <c r="A32" t="s">
        <v>47</v>
      </c>
      <c r="B32">
        <v>8</v>
      </c>
      <c r="C32" t="s">
        <v>48</v>
      </c>
      <c r="D32">
        <v>1</v>
      </c>
      <c r="E32" t="s">
        <v>75</v>
      </c>
      <c r="F32">
        <v>16</v>
      </c>
      <c r="G32" t="s">
        <v>76</v>
      </c>
      <c r="H32" t="s">
        <v>50</v>
      </c>
      <c r="K32" t="s">
        <v>51</v>
      </c>
      <c r="L32">
        <v>1</v>
      </c>
      <c r="M32" t="s">
        <v>52</v>
      </c>
      <c r="N32" t="s">
        <v>53</v>
      </c>
      <c r="R32">
        <v>0.5</v>
      </c>
      <c r="S32">
        <v>0.75</v>
      </c>
      <c r="T32">
        <v>0</v>
      </c>
      <c r="U32">
        <v>0</v>
      </c>
      <c r="V32" s="1">
        <v>46507</v>
      </c>
      <c r="W32" s="1">
        <v>46691</v>
      </c>
      <c r="X32" s="1">
        <v>46461</v>
      </c>
      <c r="Z32" t="s">
        <v>52</v>
      </c>
      <c r="AB32" t="s">
        <v>52</v>
      </c>
      <c r="AC32">
        <v>16</v>
      </c>
      <c r="AD32">
        <v>2</v>
      </c>
      <c r="AK32" t="s">
        <v>52</v>
      </c>
      <c r="AN32" t="s">
        <v>52</v>
      </c>
      <c r="AO32" t="s">
        <v>52</v>
      </c>
      <c r="AP32" t="s">
        <v>52</v>
      </c>
      <c r="AQ32" t="s">
        <v>52</v>
      </c>
      <c r="AR32" t="s">
        <v>55</v>
      </c>
    </row>
    <row r="33" spans="1:45" x14ac:dyDescent="0.25">
      <c r="A33" t="s">
        <v>47</v>
      </c>
      <c r="B33">
        <v>8</v>
      </c>
      <c r="C33" t="s">
        <v>48</v>
      </c>
      <c r="D33">
        <v>1</v>
      </c>
      <c r="E33" t="s">
        <v>75</v>
      </c>
      <c r="F33">
        <v>16</v>
      </c>
      <c r="G33" t="s">
        <v>76</v>
      </c>
      <c r="H33" t="s">
        <v>50</v>
      </c>
      <c r="K33" t="s">
        <v>52</v>
      </c>
      <c r="L33">
        <v>1</v>
      </c>
      <c r="M33" t="s">
        <v>52</v>
      </c>
      <c r="N33" t="s">
        <v>53</v>
      </c>
      <c r="R33">
        <v>0.5</v>
      </c>
      <c r="S33">
        <v>0.75</v>
      </c>
      <c r="T33">
        <v>0</v>
      </c>
      <c r="U33">
        <v>0</v>
      </c>
      <c r="V33" s="1">
        <v>46507</v>
      </c>
      <c r="W33" s="1">
        <v>46691</v>
      </c>
      <c r="X33" s="1">
        <v>46461</v>
      </c>
      <c r="Z33" t="s">
        <v>52</v>
      </c>
      <c r="AB33" t="s">
        <v>52</v>
      </c>
      <c r="AC33">
        <v>16</v>
      </c>
      <c r="AD33">
        <v>2</v>
      </c>
      <c r="AK33" t="s">
        <v>52</v>
      </c>
      <c r="AN33" t="s">
        <v>52</v>
      </c>
      <c r="AO33" t="s">
        <v>52</v>
      </c>
      <c r="AP33" t="s">
        <v>52</v>
      </c>
      <c r="AQ33" t="s">
        <v>52</v>
      </c>
      <c r="AR33" t="s">
        <v>55</v>
      </c>
    </row>
    <row r="34" spans="1:45" x14ac:dyDescent="0.25">
      <c r="A34" t="s">
        <v>47</v>
      </c>
      <c r="B34">
        <v>8</v>
      </c>
      <c r="C34" t="s">
        <v>48</v>
      </c>
      <c r="D34">
        <v>1</v>
      </c>
      <c r="E34" t="s">
        <v>77</v>
      </c>
      <c r="F34">
        <v>51</v>
      </c>
      <c r="G34" t="s">
        <v>78</v>
      </c>
      <c r="H34" t="s">
        <v>50</v>
      </c>
      <c r="K34" t="s">
        <v>52</v>
      </c>
      <c r="L34">
        <v>1</v>
      </c>
      <c r="M34" t="s">
        <v>52</v>
      </c>
      <c r="N34" t="s">
        <v>53</v>
      </c>
      <c r="R34">
        <v>0.5</v>
      </c>
      <c r="S34">
        <v>0.73</v>
      </c>
      <c r="U34">
        <v>0</v>
      </c>
      <c r="V34" s="1">
        <v>46553</v>
      </c>
      <c r="W34" s="1">
        <v>46675</v>
      </c>
      <c r="X34" s="1">
        <v>46461</v>
      </c>
      <c r="Z34" t="s">
        <v>52</v>
      </c>
      <c r="AB34" t="s">
        <v>52</v>
      </c>
      <c r="AC34">
        <v>51</v>
      </c>
      <c r="AD34">
        <v>2</v>
      </c>
      <c r="AK34" t="s">
        <v>52</v>
      </c>
      <c r="AN34" t="s">
        <v>52</v>
      </c>
      <c r="AO34" t="s">
        <v>52</v>
      </c>
      <c r="AP34" t="s">
        <v>52</v>
      </c>
      <c r="AQ34" t="s">
        <v>52</v>
      </c>
      <c r="AR34" t="s">
        <v>55</v>
      </c>
    </row>
    <row r="35" spans="1:45" x14ac:dyDescent="0.25">
      <c r="A35" t="s">
        <v>47</v>
      </c>
      <c r="B35">
        <v>8</v>
      </c>
      <c r="C35" t="s">
        <v>48</v>
      </c>
      <c r="D35">
        <v>1</v>
      </c>
      <c r="E35" t="s">
        <v>79</v>
      </c>
      <c r="F35">
        <v>50</v>
      </c>
      <c r="G35" t="s">
        <v>80</v>
      </c>
      <c r="H35" t="s">
        <v>50</v>
      </c>
      <c r="K35" t="s">
        <v>51</v>
      </c>
      <c r="L35">
        <v>1</v>
      </c>
      <c r="M35" t="s">
        <v>52</v>
      </c>
      <c r="N35" t="s">
        <v>53</v>
      </c>
      <c r="R35">
        <v>0.5</v>
      </c>
      <c r="S35">
        <v>0.75</v>
      </c>
      <c r="T35">
        <v>0</v>
      </c>
      <c r="U35">
        <v>0</v>
      </c>
      <c r="V35" s="1">
        <v>46583</v>
      </c>
      <c r="W35" s="1">
        <v>46675</v>
      </c>
      <c r="X35" s="1">
        <v>46461</v>
      </c>
      <c r="Z35" t="s">
        <v>52</v>
      </c>
      <c r="AB35" t="s">
        <v>52</v>
      </c>
      <c r="AC35">
        <v>50</v>
      </c>
      <c r="AD35">
        <v>1</v>
      </c>
      <c r="AK35" t="s">
        <v>52</v>
      </c>
      <c r="AN35" t="s">
        <v>52</v>
      </c>
      <c r="AO35" t="s">
        <v>52</v>
      </c>
      <c r="AP35" t="s">
        <v>52</v>
      </c>
      <c r="AQ35" t="s">
        <v>52</v>
      </c>
      <c r="AR35" t="s">
        <v>55</v>
      </c>
    </row>
    <row r="36" spans="1:45" x14ac:dyDescent="0.25">
      <c r="A36" t="s">
        <v>47</v>
      </c>
      <c r="B36">
        <v>8</v>
      </c>
      <c r="C36" t="s">
        <v>48</v>
      </c>
      <c r="D36">
        <v>1</v>
      </c>
      <c r="E36" t="s">
        <v>79</v>
      </c>
      <c r="F36">
        <v>50</v>
      </c>
      <c r="G36" t="s">
        <v>80</v>
      </c>
      <c r="H36" t="s">
        <v>50</v>
      </c>
      <c r="K36" t="s">
        <v>52</v>
      </c>
      <c r="L36">
        <v>1</v>
      </c>
      <c r="M36" t="s">
        <v>52</v>
      </c>
      <c r="N36" t="s">
        <v>53</v>
      </c>
      <c r="R36">
        <v>0.5</v>
      </c>
      <c r="S36">
        <v>0.75</v>
      </c>
      <c r="T36">
        <v>0</v>
      </c>
      <c r="U36">
        <v>0</v>
      </c>
      <c r="V36" s="1">
        <v>46583</v>
      </c>
      <c r="W36" s="1">
        <v>46675</v>
      </c>
      <c r="X36" s="1">
        <v>46461</v>
      </c>
      <c r="Z36" t="s">
        <v>52</v>
      </c>
      <c r="AB36" t="s">
        <v>52</v>
      </c>
      <c r="AC36">
        <v>50</v>
      </c>
      <c r="AD36">
        <v>1</v>
      </c>
      <c r="AK36" t="s">
        <v>52</v>
      </c>
      <c r="AN36" t="s">
        <v>52</v>
      </c>
      <c r="AO36" t="s">
        <v>52</v>
      </c>
      <c r="AP36" t="s">
        <v>52</v>
      </c>
      <c r="AQ36" t="s">
        <v>52</v>
      </c>
      <c r="AR36" t="s">
        <v>55</v>
      </c>
    </row>
    <row r="37" spans="1:45" x14ac:dyDescent="0.25">
      <c r="A37" t="s">
        <v>47</v>
      </c>
      <c r="B37">
        <v>8</v>
      </c>
      <c r="C37" t="s">
        <v>48</v>
      </c>
      <c r="D37">
        <v>1</v>
      </c>
      <c r="E37" t="s">
        <v>79</v>
      </c>
      <c r="F37">
        <v>50</v>
      </c>
      <c r="G37" t="s">
        <v>65</v>
      </c>
      <c r="H37" t="s">
        <v>50</v>
      </c>
      <c r="K37" t="s">
        <v>51</v>
      </c>
      <c r="L37">
        <v>1</v>
      </c>
      <c r="M37" t="s">
        <v>52</v>
      </c>
      <c r="N37" t="s">
        <v>53</v>
      </c>
      <c r="R37">
        <v>0.5</v>
      </c>
      <c r="S37">
        <v>0.75</v>
      </c>
      <c r="T37">
        <v>0</v>
      </c>
      <c r="U37">
        <v>0</v>
      </c>
      <c r="V37" s="1">
        <v>46583</v>
      </c>
      <c r="W37" s="1">
        <v>46675</v>
      </c>
      <c r="X37" s="1">
        <v>46461</v>
      </c>
      <c r="Z37" t="s">
        <v>52</v>
      </c>
      <c r="AB37" t="s">
        <v>52</v>
      </c>
      <c r="AC37">
        <v>50</v>
      </c>
      <c r="AD37">
        <v>1</v>
      </c>
      <c r="AK37" t="s">
        <v>52</v>
      </c>
      <c r="AN37" t="s">
        <v>52</v>
      </c>
      <c r="AO37" t="s">
        <v>52</v>
      </c>
      <c r="AP37" t="s">
        <v>52</v>
      </c>
      <c r="AQ37" t="s">
        <v>52</v>
      </c>
      <c r="AR37" t="s">
        <v>55</v>
      </c>
    </row>
    <row r="38" spans="1:45" x14ac:dyDescent="0.25">
      <c r="A38" t="s">
        <v>47</v>
      </c>
      <c r="B38">
        <v>8</v>
      </c>
      <c r="C38" t="s">
        <v>48</v>
      </c>
      <c r="D38">
        <v>1</v>
      </c>
      <c r="E38" t="s">
        <v>79</v>
      </c>
      <c r="F38">
        <v>50</v>
      </c>
      <c r="G38" t="s">
        <v>65</v>
      </c>
      <c r="H38" t="s">
        <v>50</v>
      </c>
      <c r="K38" t="s">
        <v>52</v>
      </c>
      <c r="L38">
        <v>1</v>
      </c>
      <c r="M38" t="s">
        <v>52</v>
      </c>
      <c r="N38" t="s">
        <v>53</v>
      </c>
      <c r="R38">
        <v>0.5</v>
      </c>
      <c r="S38">
        <v>0.75</v>
      </c>
      <c r="T38">
        <v>0</v>
      </c>
      <c r="U38">
        <v>0</v>
      </c>
      <c r="V38" s="1">
        <v>46583</v>
      </c>
      <c r="W38" s="1">
        <v>46675</v>
      </c>
      <c r="X38" s="1">
        <v>46461</v>
      </c>
      <c r="Z38" t="s">
        <v>52</v>
      </c>
      <c r="AB38" t="s">
        <v>52</v>
      </c>
      <c r="AC38">
        <v>50</v>
      </c>
      <c r="AD38">
        <v>1</v>
      </c>
      <c r="AK38" t="s">
        <v>52</v>
      </c>
      <c r="AN38" t="s">
        <v>52</v>
      </c>
      <c r="AO38" t="s">
        <v>52</v>
      </c>
      <c r="AP38" t="s">
        <v>52</v>
      </c>
      <c r="AQ38" t="s">
        <v>52</v>
      </c>
      <c r="AR38" t="s">
        <v>55</v>
      </c>
    </row>
    <row r="39" spans="1:45" x14ac:dyDescent="0.25">
      <c r="A39" t="s">
        <v>47</v>
      </c>
      <c r="B39">
        <v>8</v>
      </c>
      <c r="C39" t="s">
        <v>48</v>
      </c>
      <c r="D39">
        <v>1</v>
      </c>
      <c r="E39" t="s">
        <v>79</v>
      </c>
      <c r="F39">
        <v>50</v>
      </c>
      <c r="G39" t="s">
        <v>81</v>
      </c>
      <c r="H39" t="s">
        <v>50</v>
      </c>
      <c r="K39" t="s">
        <v>51</v>
      </c>
      <c r="L39">
        <v>1</v>
      </c>
      <c r="M39" t="s">
        <v>52</v>
      </c>
      <c r="N39" t="s">
        <v>53</v>
      </c>
      <c r="R39">
        <v>0.5</v>
      </c>
      <c r="S39">
        <v>0.75</v>
      </c>
      <c r="T39">
        <v>0</v>
      </c>
      <c r="U39">
        <v>0</v>
      </c>
      <c r="V39" s="1">
        <v>46583</v>
      </c>
      <c r="W39" s="1">
        <v>46675</v>
      </c>
      <c r="X39" s="1">
        <v>46461</v>
      </c>
      <c r="Z39" t="s">
        <v>52</v>
      </c>
      <c r="AB39" t="s">
        <v>52</v>
      </c>
      <c r="AC39">
        <v>50</v>
      </c>
      <c r="AD39">
        <v>1</v>
      </c>
      <c r="AK39" t="s">
        <v>52</v>
      </c>
      <c r="AN39" t="s">
        <v>52</v>
      </c>
      <c r="AO39" t="s">
        <v>52</v>
      </c>
      <c r="AP39" t="s">
        <v>52</v>
      </c>
      <c r="AQ39" t="s">
        <v>52</v>
      </c>
      <c r="AR39" t="s">
        <v>55</v>
      </c>
    </row>
    <row r="40" spans="1:45" x14ac:dyDescent="0.25">
      <c r="A40" t="s">
        <v>47</v>
      </c>
      <c r="B40">
        <v>8</v>
      </c>
      <c r="C40" t="s">
        <v>48</v>
      </c>
      <c r="D40">
        <v>1</v>
      </c>
      <c r="E40" t="s">
        <v>79</v>
      </c>
      <c r="F40">
        <v>50</v>
      </c>
      <c r="G40" t="s">
        <v>81</v>
      </c>
      <c r="H40" t="s">
        <v>50</v>
      </c>
      <c r="K40" t="s">
        <v>52</v>
      </c>
      <c r="L40">
        <v>1</v>
      </c>
      <c r="M40" t="s">
        <v>52</v>
      </c>
      <c r="N40" t="s">
        <v>53</v>
      </c>
      <c r="R40">
        <v>0.5</v>
      </c>
      <c r="S40">
        <v>0.75</v>
      </c>
      <c r="T40">
        <v>0</v>
      </c>
      <c r="U40">
        <v>0</v>
      </c>
      <c r="V40" s="1">
        <v>46583</v>
      </c>
      <c r="W40" s="1">
        <v>46675</v>
      </c>
      <c r="X40" s="1">
        <v>46461</v>
      </c>
      <c r="Z40" t="s">
        <v>52</v>
      </c>
      <c r="AB40" t="s">
        <v>52</v>
      </c>
      <c r="AC40">
        <v>50</v>
      </c>
      <c r="AD40">
        <v>1</v>
      </c>
      <c r="AK40" t="s">
        <v>52</v>
      </c>
      <c r="AN40" t="s">
        <v>52</v>
      </c>
      <c r="AO40" t="s">
        <v>52</v>
      </c>
      <c r="AP40" t="s">
        <v>52</v>
      </c>
      <c r="AQ40" t="s">
        <v>52</v>
      </c>
      <c r="AR40" t="s">
        <v>55</v>
      </c>
    </row>
    <row r="41" spans="1:45" x14ac:dyDescent="0.25">
      <c r="A41" t="s">
        <v>47</v>
      </c>
      <c r="B41">
        <v>8</v>
      </c>
      <c r="C41" t="s">
        <v>48</v>
      </c>
      <c r="D41">
        <v>1</v>
      </c>
      <c r="E41" t="s">
        <v>82</v>
      </c>
      <c r="F41">
        <v>52</v>
      </c>
      <c r="H41" t="s">
        <v>50</v>
      </c>
      <c r="K41" t="s">
        <v>52</v>
      </c>
      <c r="L41">
        <v>1</v>
      </c>
      <c r="M41" t="s">
        <v>52</v>
      </c>
      <c r="N41" t="s">
        <v>53</v>
      </c>
      <c r="R41">
        <v>0.5</v>
      </c>
      <c r="S41">
        <v>0.75</v>
      </c>
      <c r="U41">
        <v>0</v>
      </c>
      <c r="V41" s="1">
        <v>46569</v>
      </c>
      <c r="W41" s="1">
        <v>46675</v>
      </c>
      <c r="X41" s="1">
        <v>46461</v>
      </c>
      <c r="Z41" t="s">
        <v>52</v>
      </c>
      <c r="AB41" t="s">
        <v>52</v>
      </c>
      <c r="AC41">
        <v>50</v>
      </c>
      <c r="AD41">
        <v>1</v>
      </c>
      <c r="AK41" t="s">
        <v>52</v>
      </c>
      <c r="AN41" t="s">
        <v>52</v>
      </c>
      <c r="AO41" t="s">
        <v>52</v>
      </c>
      <c r="AP41" t="s">
        <v>52</v>
      </c>
      <c r="AQ41" t="s">
        <v>52</v>
      </c>
      <c r="AR41" t="s">
        <v>55</v>
      </c>
      <c r="AS41" t="s">
        <v>60</v>
      </c>
    </row>
    <row r="42" spans="1:45" x14ac:dyDescent="0.25">
      <c r="A42" t="s">
        <v>47</v>
      </c>
      <c r="B42">
        <v>8</v>
      </c>
      <c r="C42" t="s">
        <v>48</v>
      </c>
      <c r="D42">
        <v>1</v>
      </c>
      <c r="E42" t="s">
        <v>83</v>
      </c>
      <c r="F42">
        <v>158</v>
      </c>
      <c r="H42" t="s">
        <v>50</v>
      </c>
      <c r="K42" t="s">
        <v>52</v>
      </c>
      <c r="L42">
        <v>1</v>
      </c>
      <c r="M42" t="s">
        <v>52</v>
      </c>
      <c r="N42" t="s">
        <v>53</v>
      </c>
      <c r="R42">
        <v>0.77</v>
      </c>
      <c r="S42">
        <v>0.93</v>
      </c>
      <c r="T42">
        <v>0</v>
      </c>
      <c r="U42">
        <v>0</v>
      </c>
      <c r="V42" s="1">
        <v>46326</v>
      </c>
      <c r="W42" s="1">
        <v>46691</v>
      </c>
      <c r="X42" s="1">
        <v>46266</v>
      </c>
      <c r="Z42" t="s">
        <v>52</v>
      </c>
      <c r="AB42" t="s">
        <v>52</v>
      </c>
      <c r="AC42">
        <v>158</v>
      </c>
      <c r="AD42">
        <v>2</v>
      </c>
      <c r="AK42" t="s">
        <v>52</v>
      </c>
      <c r="AN42" t="s">
        <v>52</v>
      </c>
      <c r="AO42" t="s">
        <v>52</v>
      </c>
      <c r="AP42" t="s">
        <v>52</v>
      </c>
      <c r="AQ42" t="s">
        <v>52</v>
      </c>
      <c r="AR42" t="s">
        <v>55</v>
      </c>
    </row>
    <row r="43" spans="1:45" x14ac:dyDescent="0.25">
      <c r="A43" t="s">
        <v>47</v>
      </c>
      <c r="B43">
        <v>8</v>
      </c>
      <c r="C43" t="s">
        <v>48</v>
      </c>
      <c r="D43">
        <v>1</v>
      </c>
      <c r="E43" t="s">
        <v>84</v>
      </c>
      <c r="F43">
        <v>11</v>
      </c>
      <c r="G43" t="s">
        <v>85</v>
      </c>
      <c r="H43" t="s">
        <v>50</v>
      </c>
      <c r="K43" t="s">
        <v>51</v>
      </c>
      <c r="L43">
        <v>1</v>
      </c>
      <c r="M43" t="s">
        <v>52</v>
      </c>
      <c r="N43" t="s">
        <v>53</v>
      </c>
      <c r="R43">
        <v>0.5</v>
      </c>
      <c r="S43">
        <v>0.75</v>
      </c>
      <c r="T43">
        <v>0</v>
      </c>
      <c r="U43">
        <v>0</v>
      </c>
      <c r="V43" s="1">
        <v>46548</v>
      </c>
      <c r="W43" s="1">
        <v>46691</v>
      </c>
      <c r="X43" s="1">
        <v>46295</v>
      </c>
      <c r="Z43" t="s">
        <v>52</v>
      </c>
      <c r="AB43" t="s">
        <v>52</v>
      </c>
      <c r="AC43">
        <v>11</v>
      </c>
      <c r="AD43">
        <v>2</v>
      </c>
      <c r="AK43" t="s">
        <v>52</v>
      </c>
      <c r="AN43" t="s">
        <v>52</v>
      </c>
      <c r="AO43" t="s">
        <v>52</v>
      </c>
      <c r="AP43" t="s">
        <v>52</v>
      </c>
      <c r="AQ43" t="s">
        <v>52</v>
      </c>
      <c r="AR43" t="s">
        <v>55</v>
      </c>
      <c r="AS43" t="s">
        <v>60</v>
      </c>
    </row>
    <row r="44" spans="1:45" x14ac:dyDescent="0.25">
      <c r="A44" t="s">
        <v>47</v>
      </c>
      <c r="B44">
        <v>8</v>
      </c>
      <c r="C44" t="s">
        <v>86</v>
      </c>
      <c r="D44">
        <v>3</v>
      </c>
      <c r="E44" t="s">
        <v>49</v>
      </c>
      <c r="F44">
        <v>27</v>
      </c>
      <c r="H44" t="s">
        <v>50</v>
      </c>
      <c r="K44" t="s">
        <v>51</v>
      </c>
      <c r="L44">
        <v>1</v>
      </c>
      <c r="M44" t="s">
        <v>52</v>
      </c>
      <c r="N44" t="s">
        <v>53</v>
      </c>
      <c r="Q44">
        <v>230</v>
      </c>
      <c r="R44">
        <v>0</v>
      </c>
      <c r="S44">
        <v>0.75</v>
      </c>
      <c r="T44">
        <v>0</v>
      </c>
      <c r="U44">
        <v>0</v>
      </c>
      <c r="W44" s="1">
        <v>46675</v>
      </c>
      <c r="X44" s="1">
        <v>46357</v>
      </c>
      <c r="Y44" t="s">
        <v>54</v>
      </c>
      <c r="Z44" t="s">
        <v>52</v>
      </c>
      <c r="AB44" t="s">
        <v>52</v>
      </c>
      <c r="AC44">
        <v>27</v>
      </c>
      <c r="AD44">
        <v>1</v>
      </c>
      <c r="AE44">
        <v>0.97</v>
      </c>
      <c r="AG44">
        <v>0.97</v>
      </c>
      <c r="AK44" t="s">
        <v>52</v>
      </c>
      <c r="AN44" t="s">
        <v>52</v>
      </c>
      <c r="AO44" t="s">
        <v>52</v>
      </c>
      <c r="AP44" t="s">
        <v>52</v>
      </c>
      <c r="AQ44" t="s">
        <v>52</v>
      </c>
      <c r="AR44" t="s">
        <v>55</v>
      </c>
      <c r="AS44" t="s">
        <v>56</v>
      </c>
    </row>
    <row r="45" spans="1:45" x14ac:dyDescent="0.25">
      <c r="A45" t="s">
        <v>47</v>
      </c>
      <c r="B45">
        <v>8</v>
      </c>
      <c r="C45" t="s">
        <v>86</v>
      </c>
      <c r="D45">
        <v>3</v>
      </c>
      <c r="E45" t="s">
        <v>87</v>
      </c>
      <c r="F45">
        <v>91</v>
      </c>
      <c r="G45" t="s">
        <v>76</v>
      </c>
      <c r="H45" t="s">
        <v>50</v>
      </c>
      <c r="K45" t="s">
        <v>51</v>
      </c>
      <c r="L45">
        <v>1</v>
      </c>
      <c r="M45" t="s">
        <v>52</v>
      </c>
      <c r="N45" t="s">
        <v>53</v>
      </c>
      <c r="R45">
        <v>0.77</v>
      </c>
      <c r="S45">
        <v>0.93</v>
      </c>
      <c r="U45">
        <v>0</v>
      </c>
      <c r="V45" s="1">
        <v>46569</v>
      </c>
      <c r="W45" s="1">
        <v>46691</v>
      </c>
      <c r="X45" s="1">
        <v>46295</v>
      </c>
      <c r="Z45" t="s">
        <v>52</v>
      </c>
      <c r="AB45" t="s">
        <v>52</v>
      </c>
      <c r="AC45">
        <v>91</v>
      </c>
      <c r="AD45">
        <v>2</v>
      </c>
      <c r="AK45" t="s">
        <v>52</v>
      </c>
      <c r="AN45" t="s">
        <v>52</v>
      </c>
      <c r="AO45" t="s">
        <v>52</v>
      </c>
      <c r="AP45" t="s">
        <v>52</v>
      </c>
      <c r="AQ45" t="s">
        <v>52</v>
      </c>
      <c r="AR45" t="s">
        <v>55</v>
      </c>
    </row>
    <row r="46" spans="1:45" x14ac:dyDescent="0.25">
      <c r="A46" t="s">
        <v>47</v>
      </c>
      <c r="B46">
        <v>8</v>
      </c>
      <c r="C46" t="s">
        <v>86</v>
      </c>
      <c r="D46">
        <v>3</v>
      </c>
      <c r="E46" t="s">
        <v>58</v>
      </c>
      <c r="F46">
        <v>102</v>
      </c>
      <c r="G46" t="s">
        <v>62</v>
      </c>
      <c r="H46" t="s">
        <v>50</v>
      </c>
      <c r="K46" t="s">
        <v>51</v>
      </c>
      <c r="L46">
        <v>1</v>
      </c>
      <c r="M46" t="s">
        <v>52</v>
      </c>
      <c r="N46" t="s">
        <v>53</v>
      </c>
      <c r="R46">
        <v>0</v>
      </c>
      <c r="S46">
        <v>0.92</v>
      </c>
      <c r="T46">
        <v>0</v>
      </c>
      <c r="U46">
        <v>0</v>
      </c>
      <c r="W46" s="1">
        <v>46675</v>
      </c>
      <c r="X46" s="1">
        <v>46357</v>
      </c>
      <c r="Z46" t="s">
        <v>52</v>
      </c>
      <c r="AB46" t="s">
        <v>52</v>
      </c>
      <c r="AC46">
        <v>102</v>
      </c>
      <c r="AD46">
        <v>1</v>
      </c>
      <c r="AK46" t="s">
        <v>52</v>
      </c>
      <c r="AN46" t="s">
        <v>52</v>
      </c>
      <c r="AO46" t="s">
        <v>52</v>
      </c>
      <c r="AP46" t="s">
        <v>52</v>
      </c>
      <c r="AQ46" t="s">
        <v>52</v>
      </c>
      <c r="AR46" t="s">
        <v>55</v>
      </c>
    </row>
    <row r="47" spans="1:45" x14ac:dyDescent="0.25">
      <c r="A47" t="s">
        <v>47</v>
      </c>
      <c r="B47">
        <v>8</v>
      </c>
      <c r="C47" t="s">
        <v>86</v>
      </c>
      <c r="D47">
        <v>3</v>
      </c>
      <c r="E47" t="s">
        <v>58</v>
      </c>
      <c r="F47">
        <v>102</v>
      </c>
      <c r="G47" t="s">
        <v>62</v>
      </c>
      <c r="H47" t="s">
        <v>50</v>
      </c>
      <c r="K47" t="s">
        <v>52</v>
      </c>
      <c r="L47">
        <v>1</v>
      </c>
      <c r="M47" t="s">
        <v>52</v>
      </c>
      <c r="N47" t="s">
        <v>53</v>
      </c>
      <c r="R47">
        <v>0</v>
      </c>
      <c r="S47">
        <v>0.92</v>
      </c>
      <c r="T47">
        <v>0</v>
      </c>
      <c r="U47">
        <v>0</v>
      </c>
      <c r="W47" s="1">
        <v>46675</v>
      </c>
      <c r="X47" s="1">
        <v>46357</v>
      </c>
      <c r="Z47" t="s">
        <v>52</v>
      </c>
      <c r="AB47" t="s">
        <v>52</v>
      </c>
      <c r="AC47">
        <v>102</v>
      </c>
      <c r="AD47">
        <v>1</v>
      </c>
      <c r="AK47" t="s">
        <v>52</v>
      </c>
      <c r="AN47" t="s">
        <v>52</v>
      </c>
      <c r="AO47" t="s">
        <v>52</v>
      </c>
      <c r="AP47" t="s">
        <v>52</v>
      </c>
      <c r="AQ47" t="s">
        <v>52</v>
      </c>
      <c r="AR47" t="s">
        <v>55</v>
      </c>
    </row>
    <row r="48" spans="1:45" x14ac:dyDescent="0.25">
      <c r="A48" t="s">
        <v>47</v>
      </c>
      <c r="B48">
        <v>8</v>
      </c>
      <c r="C48" t="s">
        <v>86</v>
      </c>
      <c r="D48">
        <v>3</v>
      </c>
      <c r="E48" t="s">
        <v>58</v>
      </c>
      <c r="F48">
        <v>102</v>
      </c>
      <c r="G48" t="s">
        <v>65</v>
      </c>
      <c r="H48" t="s">
        <v>50</v>
      </c>
      <c r="K48" t="s">
        <v>51</v>
      </c>
      <c r="L48">
        <v>1</v>
      </c>
      <c r="M48" t="s">
        <v>52</v>
      </c>
      <c r="N48" t="s">
        <v>53</v>
      </c>
      <c r="R48">
        <v>0</v>
      </c>
      <c r="S48">
        <v>0.92</v>
      </c>
      <c r="T48">
        <v>0</v>
      </c>
      <c r="U48">
        <v>0</v>
      </c>
      <c r="W48" s="1">
        <v>46731</v>
      </c>
      <c r="X48" s="1">
        <v>46357</v>
      </c>
      <c r="Z48" t="s">
        <v>52</v>
      </c>
      <c r="AB48" t="s">
        <v>52</v>
      </c>
      <c r="AC48">
        <v>102</v>
      </c>
      <c r="AD48">
        <v>1</v>
      </c>
      <c r="AK48" t="s">
        <v>52</v>
      </c>
      <c r="AN48" t="s">
        <v>52</v>
      </c>
      <c r="AO48" t="s">
        <v>52</v>
      </c>
      <c r="AP48" t="s">
        <v>52</v>
      </c>
      <c r="AQ48" t="s">
        <v>52</v>
      </c>
      <c r="AR48" t="s">
        <v>55</v>
      </c>
    </row>
    <row r="49" spans="1:45" x14ac:dyDescent="0.25">
      <c r="A49" t="s">
        <v>47</v>
      </c>
      <c r="B49">
        <v>8</v>
      </c>
      <c r="C49" t="s">
        <v>86</v>
      </c>
      <c r="D49">
        <v>3</v>
      </c>
      <c r="E49" t="s">
        <v>68</v>
      </c>
      <c r="F49">
        <v>80</v>
      </c>
      <c r="G49" t="s">
        <v>69</v>
      </c>
      <c r="H49" t="s">
        <v>50</v>
      </c>
      <c r="K49" t="s">
        <v>52</v>
      </c>
      <c r="L49">
        <v>1</v>
      </c>
      <c r="M49" t="s">
        <v>52</v>
      </c>
      <c r="N49" t="s">
        <v>53</v>
      </c>
      <c r="R49">
        <v>0.5</v>
      </c>
      <c r="S49">
        <v>0.75</v>
      </c>
      <c r="T49">
        <v>0</v>
      </c>
      <c r="U49">
        <v>0</v>
      </c>
      <c r="V49" s="1">
        <v>46583</v>
      </c>
      <c r="W49" s="1">
        <v>46675</v>
      </c>
      <c r="X49" s="1">
        <v>46461</v>
      </c>
      <c r="Z49" t="s">
        <v>52</v>
      </c>
      <c r="AB49" t="s">
        <v>52</v>
      </c>
      <c r="AC49">
        <v>80</v>
      </c>
      <c r="AD49">
        <v>1</v>
      </c>
      <c r="AK49" t="s">
        <v>52</v>
      </c>
      <c r="AN49" t="s">
        <v>52</v>
      </c>
      <c r="AO49" t="s">
        <v>52</v>
      </c>
      <c r="AP49" t="s">
        <v>52</v>
      </c>
      <c r="AQ49" t="s">
        <v>52</v>
      </c>
      <c r="AR49" t="s">
        <v>55</v>
      </c>
      <c r="AS49" t="s">
        <v>88</v>
      </c>
    </row>
    <row r="50" spans="1:45" x14ac:dyDescent="0.25">
      <c r="A50" t="s">
        <v>47</v>
      </c>
      <c r="B50">
        <v>8</v>
      </c>
      <c r="C50" t="s">
        <v>86</v>
      </c>
      <c r="D50">
        <v>3</v>
      </c>
      <c r="E50" t="s">
        <v>70</v>
      </c>
      <c r="F50">
        <v>296</v>
      </c>
      <c r="G50" t="s">
        <v>71</v>
      </c>
      <c r="H50" t="s">
        <v>50</v>
      </c>
      <c r="K50" t="s">
        <v>51</v>
      </c>
      <c r="L50">
        <v>1</v>
      </c>
      <c r="M50" t="s">
        <v>52</v>
      </c>
      <c r="N50" t="s">
        <v>53</v>
      </c>
      <c r="P50">
        <v>1.54</v>
      </c>
      <c r="Q50">
        <v>224.33330000000001</v>
      </c>
      <c r="R50">
        <v>0</v>
      </c>
      <c r="S50">
        <v>0.75</v>
      </c>
      <c r="T50">
        <v>0</v>
      </c>
      <c r="U50">
        <v>0</v>
      </c>
      <c r="W50" s="1">
        <v>46675</v>
      </c>
      <c r="X50" s="1">
        <v>46357</v>
      </c>
      <c r="Y50" t="s">
        <v>54</v>
      </c>
      <c r="Z50" t="s">
        <v>52</v>
      </c>
      <c r="AA50" t="s">
        <v>54</v>
      </c>
      <c r="AB50" t="s">
        <v>52</v>
      </c>
      <c r="AC50">
        <v>296</v>
      </c>
      <c r="AD50">
        <v>1</v>
      </c>
      <c r="AK50" t="s">
        <v>52</v>
      </c>
      <c r="AN50" t="s">
        <v>52</v>
      </c>
      <c r="AO50" t="s">
        <v>52</v>
      </c>
      <c r="AP50" t="s">
        <v>52</v>
      </c>
      <c r="AQ50" t="s">
        <v>52</v>
      </c>
      <c r="AR50" t="s">
        <v>55</v>
      </c>
    </row>
    <row r="51" spans="1:45" x14ac:dyDescent="0.25">
      <c r="A51" t="s">
        <v>47</v>
      </c>
      <c r="B51">
        <v>8</v>
      </c>
      <c r="C51" t="s">
        <v>86</v>
      </c>
      <c r="D51">
        <v>3</v>
      </c>
      <c r="E51" t="s">
        <v>70</v>
      </c>
      <c r="F51">
        <v>296</v>
      </c>
      <c r="G51" t="s">
        <v>72</v>
      </c>
      <c r="H51" t="s">
        <v>50</v>
      </c>
      <c r="K51" t="s">
        <v>51</v>
      </c>
      <c r="L51">
        <v>1</v>
      </c>
      <c r="M51" t="s">
        <v>52</v>
      </c>
      <c r="N51" t="s">
        <v>53</v>
      </c>
      <c r="R51">
        <v>0.5</v>
      </c>
      <c r="S51">
        <v>0.75</v>
      </c>
      <c r="T51">
        <v>0</v>
      </c>
      <c r="U51">
        <v>0</v>
      </c>
      <c r="V51" s="1">
        <v>46583</v>
      </c>
      <c r="W51" s="1">
        <v>46675</v>
      </c>
      <c r="X51" s="1">
        <v>46357</v>
      </c>
      <c r="Z51" t="s">
        <v>52</v>
      </c>
      <c r="AB51" t="s">
        <v>52</v>
      </c>
      <c r="AC51">
        <v>296</v>
      </c>
      <c r="AD51">
        <v>1</v>
      </c>
      <c r="AK51" t="s">
        <v>52</v>
      </c>
      <c r="AN51" t="s">
        <v>52</v>
      </c>
      <c r="AO51" t="s">
        <v>52</v>
      </c>
      <c r="AP51" t="s">
        <v>52</v>
      </c>
      <c r="AQ51" t="s">
        <v>52</v>
      </c>
      <c r="AR51" t="s">
        <v>55</v>
      </c>
    </row>
    <row r="52" spans="1:45" x14ac:dyDescent="0.25">
      <c r="A52" t="s">
        <v>47</v>
      </c>
      <c r="B52">
        <v>8</v>
      </c>
      <c r="C52" t="s">
        <v>86</v>
      </c>
      <c r="D52">
        <v>3</v>
      </c>
      <c r="E52" t="s">
        <v>70</v>
      </c>
      <c r="F52">
        <v>296</v>
      </c>
      <c r="G52" t="s">
        <v>74</v>
      </c>
      <c r="H52" t="s">
        <v>50</v>
      </c>
      <c r="K52" t="s">
        <v>51</v>
      </c>
      <c r="L52">
        <v>1</v>
      </c>
      <c r="M52" t="s">
        <v>52</v>
      </c>
      <c r="N52" t="s">
        <v>53</v>
      </c>
      <c r="R52">
        <v>0</v>
      </c>
      <c r="S52">
        <v>0.75</v>
      </c>
      <c r="T52">
        <v>0</v>
      </c>
      <c r="U52">
        <v>0</v>
      </c>
      <c r="W52" s="1">
        <v>46675</v>
      </c>
      <c r="X52" s="1">
        <v>46357</v>
      </c>
      <c r="Z52" t="s">
        <v>52</v>
      </c>
      <c r="AB52" t="s">
        <v>52</v>
      </c>
      <c r="AC52">
        <v>102</v>
      </c>
      <c r="AD52">
        <v>1</v>
      </c>
      <c r="AK52" t="s">
        <v>52</v>
      </c>
      <c r="AN52" t="s">
        <v>52</v>
      </c>
      <c r="AO52" t="s">
        <v>52</v>
      </c>
      <c r="AP52" t="s">
        <v>52</v>
      </c>
      <c r="AQ52" t="s">
        <v>52</v>
      </c>
      <c r="AR52" t="s">
        <v>55</v>
      </c>
    </row>
    <row r="53" spans="1:45" x14ac:dyDescent="0.25">
      <c r="A53" t="s">
        <v>47</v>
      </c>
      <c r="B53">
        <v>8</v>
      </c>
      <c r="C53" t="s">
        <v>86</v>
      </c>
      <c r="D53">
        <v>3</v>
      </c>
      <c r="E53" t="s">
        <v>70</v>
      </c>
      <c r="F53">
        <v>296</v>
      </c>
      <c r="G53" t="s">
        <v>89</v>
      </c>
      <c r="H53" t="s">
        <v>50</v>
      </c>
      <c r="K53" t="s">
        <v>51</v>
      </c>
      <c r="L53">
        <v>1</v>
      </c>
      <c r="M53" t="s">
        <v>52</v>
      </c>
      <c r="N53" t="s">
        <v>53</v>
      </c>
      <c r="R53">
        <v>0.25</v>
      </c>
      <c r="S53">
        <v>0.75</v>
      </c>
      <c r="T53">
        <v>0</v>
      </c>
      <c r="U53">
        <v>0</v>
      </c>
      <c r="V53" s="1">
        <v>46569</v>
      </c>
      <c r="W53" s="1">
        <v>46675</v>
      </c>
      <c r="X53" s="1">
        <v>46357</v>
      </c>
      <c r="Z53" t="s">
        <v>52</v>
      </c>
      <c r="AB53" t="s">
        <v>52</v>
      </c>
      <c r="AC53">
        <v>102</v>
      </c>
      <c r="AD53">
        <v>1</v>
      </c>
      <c r="AK53" t="s">
        <v>52</v>
      </c>
      <c r="AN53" t="s">
        <v>52</v>
      </c>
      <c r="AO53" t="s">
        <v>52</v>
      </c>
      <c r="AP53" t="s">
        <v>52</v>
      </c>
      <c r="AQ53" t="s">
        <v>52</v>
      </c>
      <c r="AR53" t="s">
        <v>55</v>
      </c>
    </row>
    <row r="54" spans="1:45" x14ac:dyDescent="0.25">
      <c r="A54" t="s">
        <v>47</v>
      </c>
      <c r="B54">
        <v>8</v>
      </c>
      <c r="C54" t="s">
        <v>86</v>
      </c>
      <c r="D54">
        <v>3</v>
      </c>
      <c r="E54" t="s">
        <v>70</v>
      </c>
      <c r="F54">
        <v>296</v>
      </c>
      <c r="G54" t="s">
        <v>90</v>
      </c>
      <c r="H54" t="s">
        <v>50</v>
      </c>
      <c r="K54" t="s">
        <v>51</v>
      </c>
      <c r="L54">
        <v>1</v>
      </c>
      <c r="M54" t="s">
        <v>52</v>
      </c>
      <c r="N54" t="s">
        <v>53</v>
      </c>
      <c r="R54">
        <v>0.5</v>
      </c>
      <c r="S54">
        <v>0.75</v>
      </c>
      <c r="T54">
        <v>0</v>
      </c>
      <c r="U54">
        <v>0</v>
      </c>
      <c r="V54" s="1">
        <v>46593</v>
      </c>
      <c r="W54" s="1">
        <v>46675</v>
      </c>
      <c r="X54" s="1">
        <v>46357</v>
      </c>
      <c r="Z54" t="s">
        <v>52</v>
      </c>
      <c r="AB54" t="s">
        <v>52</v>
      </c>
      <c r="AC54">
        <v>102</v>
      </c>
      <c r="AD54">
        <v>1</v>
      </c>
      <c r="AK54" t="s">
        <v>52</v>
      </c>
      <c r="AN54" t="s">
        <v>52</v>
      </c>
      <c r="AO54" t="s">
        <v>52</v>
      </c>
      <c r="AP54" t="s">
        <v>52</v>
      </c>
      <c r="AQ54" t="s">
        <v>52</v>
      </c>
      <c r="AR54" t="s">
        <v>55</v>
      </c>
    </row>
    <row r="55" spans="1:45" x14ac:dyDescent="0.25">
      <c r="A55" t="s">
        <v>47</v>
      </c>
      <c r="B55">
        <v>8</v>
      </c>
      <c r="C55" t="s">
        <v>86</v>
      </c>
      <c r="D55">
        <v>3</v>
      </c>
      <c r="E55" t="s">
        <v>70</v>
      </c>
      <c r="F55">
        <v>296</v>
      </c>
      <c r="G55" t="s">
        <v>91</v>
      </c>
      <c r="H55" t="s">
        <v>50</v>
      </c>
      <c r="K55" t="s">
        <v>51</v>
      </c>
      <c r="L55">
        <v>1</v>
      </c>
      <c r="M55" t="s">
        <v>52</v>
      </c>
      <c r="N55" t="s">
        <v>53</v>
      </c>
      <c r="R55">
        <v>0.5</v>
      </c>
      <c r="S55">
        <v>0.75</v>
      </c>
      <c r="T55">
        <v>0</v>
      </c>
      <c r="U55">
        <v>0</v>
      </c>
      <c r="V55" s="1">
        <v>46583</v>
      </c>
      <c r="W55" s="1">
        <v>46675</v>
      </c>
      <c r="X55" s="1">
        <v>46357</v>
      </c>
      <c r="Z55" t="s">
        <v>52</v>
      </c>
      <c r="AB55" t="s">
        <v>52</v>
      </c>
      <c r="AC55">
        <v>102</v>
      </c>
      <c r="AD55">
        <v>1</v>
      </c>
      <c r="AK55" t="s">
        <v>52</v>
      </c>
      <c r="AN55" t="s">
        <v>52</v>
      </c>
      <c r="AO55" t="s">
        <v>52</v>
      </c>
      <c r="AP55" t="s">
        <v>52</v>
      </c>
      <c r="AQ55" t="s">
        <v>52</v>
      </c>
      <c r="AR55" t="s">
        <v>55</v>
      </c>
    </row>
    <row r="56" spans="1:45" x14ac:dyDescent="0.25">
      <c r="A56" t="s">
        <v>47</v>
      </c>
      <c r="B56">
        <v>8</v>
      </c>
      <c r="C56" t="s">
        <v>86</v>
      </c>
      <c r="D56">
        <v>3</v>
      </c>
      <c r="E56" t="s">
        <v>70</v>
      </c>
      <c r="F56">
        <v>296</v>
      </c>
      <c r="G56" t="s">
        <v>92</v>
      </c>
      <c r="H56" t="s">
        <v>50</v>
      </c>
      <c r="K56" t="s">
        <v>51</v>
      </c>
      <c r="L56">
        <v>1</v>
      </c>
      <c r="M56" t="s">
        <v>52</v>
      </c>
      <c r="N56" t="s">
        <v>53</v>
      </c>
      <c r="R56">
        <v>0.5</v>
      </c>
      <c r="S56">
        <v>0.75</v>
      </c>
      <c r="T56">
        <v>0</v>
      </c>
      <c r="U56">
        <v>0</v>
      </c>
      <c r="V56" s="1">
        <v>46583</v>
      </c>
      <c r="W56" s="1">
        <v>46675</v>
      </c>
      <c r="X56" s="1">
        <v>46357</v>
      </c>
      <c r="Z56" t="s">
        <v>52</v>
      </c>
      <c r="AB56" t="s">
        <v>52</v>
      </c>
      <c r="AC56">
        <v>102</v>
      </c>
      <c r="AD56">
        <v>1</v>
      </c>
      <c r="AK56" t="s">
        <v>52</v>
      </c>
      <c r="AN56" t="s">
        <v>52</v>
      </c>
      <c r="AO56" t="s">
        <v>52</v>
      </c>
      <c r="AP56" t="s">
        <v>52</v>
      </c>
      <c r="AQ56" t="s">
        <v>52</v>
      </c>
      <c r="AR56" t="s">
        <v>55</v>
      </c>
    </row>
    <row r="57" spans="1:45" x14ac:dyDescent="0.25">
      <c r="A57" t="s">
        <v>47</v>
      </c>
      <c r="B57">
        <v>8</v>
      </c>
      <c r="C57" t="s">
        <v>86</v>
      </c>
      <c r="D57">
        <v>3</v>
      </c>
      <c r="E57" t="s">
        <v>75</v>
      </c>
      <c r="F57">
        <v>16</v>
      </c>
      <c r="G57" t="s">
        <v>76</v>
      </c>
      <c r="H57" t="s">
        <v>50</v>
      </c>
      <c r="K57" t="s">
        <v>51</v>
      </c>
      <c r="L57">
        <v>1</v>
      </c>
      <c r="M57" t="s">
        <v>52</v>
      </c>
      <c r="N57" t="s">
        <v>53</v>
      </c>
      <c r="R57">
        <v>0.5</v>
      </c>
      <c r="S57">
        <v>0.75</v>
      </c>
      <c r="T57">
        <v>0</v>
      </c>
      <c r="U57">
        <v>0</v>
      </c>
      <c r="V57" s="1">
        <v>46583</v>
      </c>
      <c r="W57" s="1">
        <v>46691</v>
      </c>
      <c r="X57" s="1">
        <v>46461</v>
      </c>
      <c r="Z57" t="s">
        <v>52</v>
      </c>
      <c r="AB57" t="s">
        <v>52</v>
      </c>
      <c r="AC57">
        <v>16</v>
      </c>
      <c r="AD57">
        <v>2</v>
      </c>
      <c r="AK57" t="s">
        <v>52</v>
      </c>
      <c r="AN57" t="s">
        <v>52</v>
      </c>
      <c r="AO57" t="s">
        <v>52</v>
      </c>
      <c r="AP57" t="s">
        <v>52</v>
      </c>
      <c r="AQ57" t="s">
        <v>52</v>
      </c>
      <c r="AR57" t="s">
        <v>55</v>
      </c>
    </row>
    <row r="58" spans="1:45" x14ac:dyDescent="0.25">
      <c r="A58" t="s">
        <v>47</v>
      </c>
      <c r="B58">
        <v>8</v>
      </c>
      <c r="C58" t="s">
        <v>86</v>
      </c>
      <c r="D58">
        <v>3</v>
      </c>
      <c r="E58" t="s">
        <v>93</v>
      </c>
      <c r="F58">
        <v>94</v>
      </c>
      <c r="H58" t="s">
        <v>50</v>
      </c>
      <c r="K58" t="s">
        <v>51</v>
      </c>
      <c r="L58">
        <v>1</v>
      </c>
      <c r="M58" t="s">
        <v>52</v>
      </c>
      <c r="N58" t="s">
        <v>53</v>
      </c>
      <c r="R58">
        <v>0.77</v>
      </c>
      <c r="S58">
        <v>0.93</v>
      </c>
      <c r="T58">
        <v>0</v>
      </c>
      <c r="U58">
        <v>0</v>
      </c>
      <c r="V58" s="1">
        <v>46326</v>
      </c>
      <c r="W58" s="1">
        <v>46691</v>
      </c>
      <c r="X58" s="1">
        <v>46266</v>
      </c>
      <c r="Z58" t="s">
        <v>52</v>
      </c>
      <c r="AB58" t="s">
        <v>52</v>
      </c>
      <c r="AC58">
        <v>94</v>
      </c>
      <c r="AD58">
        <v>2</v>
      </c>
      <c r="AK58" t="s">
        <v>52</v>
      </c>
      <c r="AN58" t="s">
        <v>52</v>
      </c>
      <c r="AO58" t="s">
        <v>52</v>
      </c>
      <c r="AP58" t="s">
        <v>52</v>
      </c>
      <c r="AQ58" t="s">
        <v>52</v>
      </c>
      <c r="AR58" t="s">
        <v>55</v>
      </c>
      <c r="AS58" t="s">
        <v>60</v>
      </c>
    </row>
    <row r="59" spans="1:45" x14ac:dyDescent="0.25">
      <c r="A59" t="s">
        <v>47</v>
      </c>
      <c r="B59">
        <v>8</v>
      </c>
      <c r="C59" t="s">
        <v>86</v>
      </c>
      <c r="D59">
        <v>3</v>
      </c>
      <c r="E59" t="s">
        <v>94</v>
      </c>
      <c r="F59">
        <v>26</v>
      </c>
      <c r="H59" t="s">
        <v>50</v>
      </c>
      <c r="K59" t="s">
        <v>51</v>
      </c>
      <c r="L59">
        <v>1</v>
      </c>
      <c r="M59" t="s">
        <v>52</v>
      </c>
      <c r="N59" t="s">
        <v>53</v>
      </c>
      <c r="R59">
        <v>0</v>
      </c>
      <c r="S59">
        <v>0.92</v>
      </c>
      <c r="U59">
        <v>0</v>
      </c>
      <c r="W59" s="1">
        <v>46731</v>
      </c>
      <c r="X59" s="1">
        <v>46357</v>
      </c>
      <c r="Z59" t="s">
        <v>52</v>
      </c>
      <c r="AB59" t="s">
        <v>52</v>
      </c>
      <c r="AC59">
        <v>102</v>
      </c>
      <c r="AD59">
        <v>1</v>
      </c>
      <c r="AK59" t="s">
        <v>52</v>
      </c>
      <c r="AN59" t="s">
        <v>52</v>
      </c>
      <c r="AO59" t="s">
        <v>52</v>
      </c>
      <c r="AP59" t="s">
        <v>52</v>
      </c>
      <c r="AQ59" t="s">
        <v>52</v>
      </c>
      <c r="AR59" t="s">
        <v>55</v>
      </c>
    </row>
    <row r="60" spans="1:45" x14ac:dyDescent="0.25">
      <c r="A60" t="s">
        <v>47</v>
      </c>
      <c r="B60">
        <v>8</v>
      </c>
      <c r="C60" t="s">
        <v>86</v>
      </c>
      <c r="D60">
        <v>3</v>
      </c>
      <c r="E60" t="s">
        <v>77</v>
      </c>
      <c r="F60">
        <v>51</v>
      </c>
      <c r="G60" t="s">
        <v>78</v>
      </c>
      <c r="H60" t="s">
        <v>50</v>
      </c>
      <c r="K60" t="s">
        <v>51</v>
      </c>
      <c r="L60">
        <v>1</v>
      </c>
      <c r="M60" t="s">
        <v>52</v>
      </c>
      <c r="N60" t="s">
        <v>53</v>
      </c>
      <c r="R60">
        <v>0.5</v>
      </c>
      <c r="S60">
        <v>0.73</v>
      </c>
      <c r="U60">
        <v>0</v>
      </c>
      <c r="V60" s="1">
        <v>46583</v>
      </c>
      <c r="W60" s="1">
        <v>46675</v>
      </c>
      <c r="X60" s="1">
        <v>46461</v>
      </c>
      <c r="Z60" t="s">
        <v>52</v>
      </c>
      <c r="AB60" t="s">
        <v>52</v>
      </c>
      <c r="AC60">
        <v>51</v>
      </c>
      <c r="AD60">
        <v>2</v>
      </c>
      <c r="AK60" t="s">
        <v>52</v>
      </c>
      <c r="AN60" t="s">
        <v>52</v>
      </c>
      <c r="AO60" t="s">
        <v>52</v>
      </c>
      <c r="AP60" t="s">
        <v>52</v>
      </c>
      <c r="AQ60" t="s">
        <v>52</v>
      </c>
      <c r="AR60" t="s">
        <v>55</v>
      </c>
      <c r="AS60" t="s">
        <v>60</v>
      </c>
    </row>
    <row r="61" spans="1:45" x14ac:dyDescent="0.25">
      <c r="A61" t="s">
        <v>47</v>
      </c>
      <c r="B61">
        <v>8</v>
      </c>
      <c r="C61" t="s">
        <v>86</v>
      </c>
      <c r="D61">
        <v>3</v>
      </c>
      <c r="E61" t="s">
        <v>79</v>
      </c>
      <c r="F61">
        <v>50</v>
      </c>
      <c r="G61" t="s">
        <v>65</v>
      </c>
      <c r="H61" t="s">
        <v>50</v>
      </c>
      <c r="K61" t="s">
        <v>51</v>
      </c>
      <c r="L61">
        <v>1</v>
      </c>
      <c r="M61" t="s">
        <v>52</v>
      </c>
      <c r="N61" t="s">
        <v>53</v>
      </c>
      <c r="R61">
        <v>0.5</v>
      </c>
      <c r="S61">
        <v>0.75</v>
      </c>
      <c r="U61">
        <v>0</v>
      </c>
      <c r="V61" s="1">
        <v>46583</v>
      </c>
      <c r="W61" s="1">
        <v>46675</v>
      </c>
      <c r="X61" s="1">
        <v>46461</v>
      </c>
      <c r="Z61" t="s">
        <v>52</v>
      </c>
      <c r="AB61" t="s">
        <v>52</v>
      </c>
      <c r="AC61">
        <v>50</v>
      </c>
      <c r="AD61">
        <v>1</v>
      </c>
      <c r="AK61" t="s">
        <v>52</v>
      </c>
      <c r="AN61" t="s">
        <v>52</v>
      </c>
      <c r="AO61" t="s">
        <v>52</v>
      </c>
      <c r="AP61" t="s">
        <v>52</v>
      </c>
      <c r="AQ61" t="s">
        <v>52</v>
      </c>
      <c r="AR61" t="s">
        <v>55</v>
      </c>
    </row>
    <row r="62" spans="1:45" x14ac:dyDescent="0.25">
      <c r="A62" t="s">
        <v>47</v>
      </c>
      <c r="B62">
        <v>8</v>
      </c>
      <c r="C62" t="s">
        <v>86</v>
      </c>
      <c r="D62">
        <v>3</v>
      </c>
      <c r="E62" t="s">
        <v>83</v>
      </c>
      <c r="F62">
        <v>158</v>
      </c>
      <c r="H62" t="s">
        <v>50</v>
      </c>
      <c r="K62" t="s">
        <v>51</v>
      </c>
      <c r="L62">
        <v>1</v>
      </c>
      <c r="M62" t="s">
        <v>52</v>
      </c>
      <c r="N62" t="s">
        <v>53</v>
      </c>
      <c r="P62">
        <v>1.3</v>
      </c>
      <c r="R62">
        <v>0.77</v>
      </c>
      <c r="S62">
        <v>0.93</v>
      </c>
      <c r="T62">
        <v>0</v>
      </c>
      <c r="U62">
        <v>0</v>
      </c>
      <c r="V62" s="1">
        <v>46522</v>
      </c>
      <c r="W62" s="1">
        <v>46691</v>
      </c>
      <c r="X62" s="1">
        <v>46266</v>
      </c>
      <c r="Z62" t="s">
        <v>52</v>
      </c>
      <c r="AA62" t="s">
        <v>54</v>
      </c>
      <c r="AB62" t="s">
        <v>52</v>
      </c>
      <c r="AC62">
        <v>158</v>
      </c>
      <c r="AD62">
        <v>2</v>
      </c>
      <c r="AK62" t="s">
        <v>52</v>
      </c>
      <c r="AN62" t="s">
        <v>52</v>
      </c>
      <c r="AO62" t="s">
        <v>52</v>
      </c>
      <c r="AP62" t="s">
        <v>52</v>
      </c>
      <c r="AQ62" t="s">
        <v>52</v>
      </c>
      <c r="AR62" t="s">
        <v>95</v>
      </c>
    </row>
    <row r="63" spans="1:45" x14ac:dyDescent="0.25">
      <c r="A63" t="s">
        <v>47</v>
      </c>
      <c r="B63">
        <v>8</v>
      </c>
      <c r="C63" t="s">
        <v>86</v>
      </c>
      <c r="D63">
        <v>3</v>
      </c>
      <c r="E63" t="s">
        <v>84</v>
      </c>
      <c r="F63">
        <v>11</v>
      </c>
      <c r="G63" t="s">
        <v>85</v>
      </c>
      <c r="H63" t="s">
        <v>50</v>
      </c>
      <c r="K63" t="s">
        <v>51</v>
      </c>
      <c r="L63">
        <v>1</v>
      </c>
      <c r="M63" t="s">
        <v>52</v>
      </c>
      <c r="N63" t="s">
        <v>53</v>
      </c>
      <c r="R63">
        <v>0.5</v>
      </c>
      <c r="S63">
        <v>0.75</v>
      </c>
      <c r="U63">
        <v>0</v>
      </c>
      <c r="V63" s="1">
        <v>46593</v>
      </c>
      <c r="W63" s="1">
        <v>46691</v>
      </c>
      <c r="X63" s="1">
        <v>46295</v>
      </c>
      <c r="Z63" t="s">
        <v>52</v>
      </c>
      <c r="AB63" t="s">
        <v>52</v>
      </c>
      <c r="AC63">
        <v>11</v>
      </c>
      <c r="AD63">
        <v>2</v>
      </c>
      <c r="AK63" t="s">
        <v>52</v>
      </c>
      <c r="AN63" t="s">
        <v>52</v>
      </c>
      <c r="AO63" t="s">
        <v>52</v>
      </c>
      <c r="AP63" t="s">
        <v>52</v>
      </c>
      <c r="AQ63" t="s">
        <v>52</v>
      </c>
      <c r="AR63" t="s">
        <v>55</v>
      </c>
    </row>
    <row r="64" spans="1:45" x14ac:dyDescent="0.25">
      <c r="A64" t="s">
        <v>47</v>
      </c>
      <c r="B64">
        <v>8</v>
      </c>
      <c r="C64" t="s">
        <v>86</v>
      </c>
      <c r="D64">
        <v>3</v>
      </c>
      <c r="E64" t="s">
        <v>84</v>
      </c>
      <c r="F64">
        <v>11</v>
      </c>
      <c r="G64" t="s">
        <v>96</v>
      </c>
      <c r="H64" t="s">
        <v>50</v>
      </c>
      <c r="K64" t="s">
        <v>51</v>
      </c>
      <c r="L64">
        <v>1</v>
      </c>
      <c r="M64" t="s">
        <v>52</v>
      </c>
      <c r="N64" t="s">
        <v>53</v>
      </c>
      <c r="R64">
        <v>0.5</v>
      </c>
      <c r="S64">
        <v>0.75</v>
      </c>
      <c r="T64">
        <v>0</v>
      </c>
      <c r="U64">
        <v>0</v>
      </c>
      <c r="V64" s="1">
        <v>46310</v>
      </c>
      <c r="W64" s="1">
        <v>46691</v>
      </c>
      <c r="X64" s="1">
        <v>46295</v>
      </c>
      <c r="Z64" t="s">
        <v>52</v>
      </c>
      <c r="AB64" t="s">
        <v>52</v>
      </c>
      <c r="AC64">
        <v>11</v>
      </c>
      <c r="AD64">
        <v>2</v>
      </c>
      <c r="AK64" t="s">
        <v>52</v>
      </c>
      <c r="AN64" t="s">
        <v>52</v>
      </c>
      <c r="AO64" t="s">
        <v>52</v>
      </c>
      <c r="AP64" t="s">
        <v>52</v>
      </c>
      <c r="AQ64" t="s">
        <v>52</v>
      </c>
      <c r="AR64" t="s">
        <v>55</v>
      </c>
    </row>
    <row r="65" spans="1:45" x14ac:dyDescent="0.25">
      <c r="A65" t="s">
        <v>47</v>
      </c>
      <c r="B65">
        <v>8</v>
      </c>
      <c r="C65" t="s">
        <v>86</v>
      </c>
      <c r="D65">
        <v>3</v>
      </c>
      <c r="E65" t="s">
        <v>84</v>
      </c>
      <c r="F65">
        <v>11</v>
      </c>
      <c r="G65" t="s">
        <v>97</v>
      </c>
      <c r="H65" t="s">
        <v>50</v>
      </c>
      <c r="K65" t="s">
        <v>51</v>
      </c>
      <c r="L65">
        <v>1</v>
      </c>
      <c r="M65" t="s">
        <v>52</v>
      </c>
      <c r="N65" t="s">
        <v>53</v>
      </c>
      <c r="R65">
        <v>0.5</v>
      </c>
      <c r="S65">
        <v>0.75</v>
      </c>
      <c r="U65">
        <v>0</v>
      </c>
      <c r="V65" s="1">
        <v>46593</v>
      </c>
      <c r="W65" s="1">
        <v>46691</v>
      </c>
      <c r="X65" s="1">
        <v>46295</v>
      </c>
      <c r="Z65" t="s">
        <v>52</v>
      </c>
      <c r="AB65" t="s">
        <v>52</v>
      </c>
      <c r="AC65">
        <v>11</v>
      </c>
      <c r="AD65">
        <v>2</v>
      </c>
      <c r="AK65" t="s">
        <v>52</v>
      </c>
      <c r="AN65" t="s">
        <v>52</v>
      </c>
      <c r="AO65" t="s">
        <v>52</v>
      </c>
      <c r="AP65" t="s">
        <v>52</v>
      </c>
      <c r="AQ65" t="s">
        <v>52</v>
      </c>
      <c r="AR65" t="s">
        <v>55</v>
      </c>
    </row>
    <row r="66" spans="1:45" x14ac:dyDescent="0.25">
      <c r="A66" t="s">
        <v>47</v>
      </c>
      <c r="B66">
        <v>8</v>
      </c>
      <c r="C66" t="s">
        <v>86</v>
      </c>
      <c r="D66">
        <v>3</v>
      </c>
      <c r="E66" t="s">
        <v>84</v>
      </c>
      <c r="F66">
        <v>11</v>
      </c>
      <c r="G66" t="s">
        <v>98</v>
      </c>
      <c r="H66" t="s">
        <v>50</v>
      </c>
      <c r="K66" t="s">
        <v>51</v>
      </c>
      <c r="L66">
        <v>1</v>
      </c>
      <c r="M66" t="s">
        <v>52</v>
      </c>
      <c r="N66" t="s">
        <v>53</v>
      </c>
      <c r="R66">
        <v>0.5</v>
      </c>
      <c r="S66">
        <v>0.75</v>
      </c>
      <c r="U66">
        <v>0</v>
      </c>
      <c r="V66" s="1">
        <v>46593</v>
      </c>
      <c r="W66" s="1">
        <v>46691</v>
      </c>
      <c r="X66" s="1">
        <v>46295</v>
      </c>
      <c r="Z66" t="s">
        <v>52</v>
      </c>
      <c r="AB66" t="s">
        <v>52</v>
      </c>
      <c r="AC66">
        <v>11</v>
      </c>
      <c r="AD66">
        <v>2</v>
      </c>
      <c r="AK66" t="s">
        <v>52</v>
      </c>
      <c r="AN66" t="s">
        <v>52</v>
      </c>
      <c r="AO66" t="s">
        <v>52</v>
      </c>
      <c r="AP66" t="s">
        <v>52</v>
      </c>
      <c r="AQ66" t="s">
        <v>52</v>
      </c>
      <c r="AR66" t="s">
        <v>55</v>
      </c>
    </row>
    <row r="67" spans="1:45" x14ac:dyDescent="0.25">
      <c r="A67" t="s">
        <v>47</v>
      </c>
      <c r="B67">
        <v>8</v>
      </c>
      <c r="C67" t="s">
        <v>99</v>
      </c>
      <c r="D67">
        <v>5</v>
      </c>
      <c r="E67" t="s">
        <v>49</v>
      </c>
      <c r="F67">
        <v>27</v>
      </c>
      <c r="H67" t="s">
        <v>50</v>
      </c>
      <c r="K67" t="s">
        <v>51</v>
      </c>
      <c r="L67">
        <v>1</v>
      </c>
      <c r="M67" t="s">
        <v>52</v>
      </c>
      <c r="N67" t="s">
        <v>53</v>
      </c>
      <c r="P67">
        <v>2.64</v>
      </c>
      <c r="Q67">
        <v>230</v>
      </c>
      <c r="R67">
        <v>0</v>
      </c>
      <c r="S67">
        <v>0.75</v>
      </c>
      <c r="T67">
        <v>0</v>
      </c>
      <c r="U67">
        <v>0</v>
      </c>
      <c r="W67" s="1">
        <v>46675</v>
      </c>
      <c r="X67" s="1">
        <v>46357</v>
      </c>
      <c r="Y67" t="s">
        <v>54</v>
      </c>
      <c r="Z67" t="s">
        <v>52</v>
      </c>
      <c r="AA67" t="s">
        <v>54</v>
      </c>
      <c r="AB67" t="s">
        <v>52</v>
      </c>
      <c r="AC67">
        <v>27</v>
      </c>
      <c r="AD67">
        <v>1</v>
      </c>
      <c r="AE67">
        <v>0.97</v>
      </c>
      <c r="AF67">
        <v>2.5608</v>
      </c>
      <c r="AG67">
        <v>0.97</v>
      </c>
      <c r="AH67">
        <v>2.5608</v>
      </c>
      <c r="AK67" t="s">
        <v>52</v>
      </c>
      <c r="AN67" t="s">
        <v>52</v>
      </c>
      <c r="AO67" t="s">
        <v>52</v>
      </c>
      <c r="AP67" t="s">
        <v>52</v>
      </c>
      <c r="AQ67" t="s">
        <v>52</v>
      </c>
      <c r="AR67" t="s">
        <v>55</v>
      </c>
      <c r="AS67" t="s">
        <v>56</v>
      </c>
    </row>
    <row r="68" spans="1:45" x14ac:dyDescent="0.25">
      <c r="A68" t="s">
        <v>47</v>
      </c>
      <c r="B68">
        <v>8</v>
      </c>
      <c r="C68" t="s">
        <v>99</v>
      </c>
      <c r="D68">
        <v>5</v>
      </c>
      <c r="E68" t="s">
        <v>49</v>
      </c>
      <c r="F68">
        <v>27</v>
      </c>
      <c r="H68" t="s">
        <v>50</v>
      </c>
      <c r="K68" t="s">
        <v>52</v>
      </c>
      <c r="L68">
        <v>1</v>
      </c>
      <c r="M68" t="s">
        <v>52</v>
      </c>
      <c r="N68" t="s">
        <v>53</v>
      </c>
      <c r="Q68">
        <v>230</v>
      </c>
      <c r="R68">
        <v>0</v>
      </c>
      <c r="S68">
        <v>0.75</v>
      </c>
      <c r="T68">
        <v>0</v>
      </c>
      <c r="U68">
        <v>0</v>
      </c>
      <c r="W68" s="1">
        <v>46675</v>
      </c>
      <c r="X68" s="1">
        <v>46357</v>
      </c>
      <c r="Y68" t="s">
        <v>54</v>
      </c>
      <c r="Z68" t="s">
        <v>52</v>
      </c>
      <c r="AB68" t="s">
        <v>52</v>
      </c>
      <c r="AC68">
        <v>27</v>
      </c>
      <c r="AD68">
        <v>1</v>
      </c>
      <c r="AE68">
        <v>0.97</v>
      </c>
      <c r="AG68">
        <v>0.97</v>
      </c>
      <c r="AK68" t="s">
        <v>52</v>
      </c>
      <c r="AN68" t="s">
        <v>52</v>
      </c>
      <c r="AO68" t="s">
        <v>52</v>
      </c>
      <c r="AP68" t="s">
        <v>52</v>
      </c>
      <c r="AQ68" t="s">
        <v>52</v>
      </c>
      <c r="AR68" t="s">
        <v>55</v>
      </c>
      <c r="AS68" t="s">
        <v>57</v>
      </c>
    </row>
    <row r="69" spans="1:45" x14ac:dyDescent="0.25">
      <c r="A69" t="s">
        <v>47</v>
      </c>
      <c r="B69">
        <v>8</v>
      </c>
      <c r="C69" t="s">
        <v>99</v>
      </c>
      <c r="D69">
        <v>5</v>
      </c>
      <c r="E69" t="s">
        <v>58</v>
      </c>
      <c r="F69">
        <v>102</v>
      </c>
      <c r="G69" t="s">
        <v>62</v>
      </c>
      <c r="H69" t="s">
        <v>50</v>
      </c>
      <c r="K69" t="s">
        <v>51</v>
      </c>
      <c r="L69">
        <v>1</v>
      </c>
      <c r="M69" t="s">
        <v>52</v>
      </c>
      <c r="N69" t="s">
        <v>53</v>
      </c>
      <c r="R69">
        <v>0</v>
      </c>
      <c r="S69">
        <v>0.92</v>
      </c>
      <c r="T69">
        <v>0</v>
      </c>
      <c r="U69">
        <v>0</v>
      </c>
      <c r="W69" s="1">
        <v>46731</v>
      </c>
      <c r="X69" s="1">
        <v>46357</v>
      </c>
      <c r="Z69" t="s">
        <v>52</v>
      </c>
      <c r="AB69" t="s">
        <v>52</v>
      </c>
      <c r="AC69">
        <v>102</v>
      </c>
      <c r="AD69">
        <v>1</v>
      </c>
      <c r="AK69" t="s">
        <v>52</v>
      </c>
      <c r="AN69" t="s">
        <v>52</v>
      </c>
      <c r="AO69" t="s">
        <v>52</v>
      </c>
      <c r="AP69" t="s">
        <v>52</v>
      </c>
      <c r="AQ69" t="s">
        <v>52</v>
      </c>
      <c r="AR69" t="s">
        <v>55</v>
      </c>
    </row>
    <row r="70" spans="1:45" x14ac:dyDescent="0.25">
      <c r="A70" t="s">
        <v>47</v>
      </c>
      <c r="B70">
        <v>8</v>
      </c>
      <c r="C70" t="s">
        <v>99</v>
      </c>
      <c r="D70">
        <v>5</v>
      </c>
      <c r="E70" t="s">
        <v>58</v>
      </c>
      <c r="F70">
        <v>102</v>
      </c>
      <c r="G70" t="s">
        <v>62</v>
      </c>
      <c r="H70" t="s">
        <v>50</v>
      </c>
      <c r="K70" t="s">
        <v>52</v>
      </c>
      <c r="L70">
        <v>1</v>
      </c>
      <c r="M70" t="s">
        <v>52</v>
      </c>
      <c r="N70" t="s">
        <v>53</v>
      </c>
      <c r="R70">
        <v>0</v>
      </c>
      <c r="S70">
        <v>0.92</v>
      </c>
      <c r="T70">
        <v>0</v>
      </c>
      <c r="U70">
        <v>0</v>
      </c>
      <c r="W70" s="1">
        <v>46731</v>
      </c>
      <c r="X70" s="1">
        <v>46357</v>
      </c>
      <c r="Z70" t="s">
        <v>52</v>
      </c>
      <c r="AB70" t="s">
        <v>52</v>
      </c>
      <c r="AC70">
        <v>102</v>
      </c>
      <c r="AD70">
        <v>1</v>
      </c>
      <c r="AK70" t="s">
        <v>52</v>
      </c>
      <c r="AN70" t="s">
        <v>52</v>
      </c>
      <c r="AO70" t="s">
        <v>52</v>
      </c>
      <c r="AP70" t="s">
        <v>52</v>
      </c>
      <c r="AQ70" t="s">
        <v>52</v>
      </c>
      <c r="AR70" t="s">
        <v>55</v>
      </c>
    </row>
    <row r="71" spans="1:45" x14ac:dyDescent="0.25">
      <c r="A71" t="s">
        <v>47</v>
      </c>
      <c r="B71">
        <v>8</v>
      </c>
      <c r="C71" t="s">
        <v>99</v>
      </c>
      <c r="D71">
        <v>5</v>
      </c>
      <c r="E71" t="s">
        <v>68</v>
      </c>
      <c r="F71">
        <v>80</v>
      </c>
      <c r="G71" t="s">
        <v>69</v>
      </c>
      <c r="H71" t="s">
        <v>50</v>
      </c>
      <c r="K71" t="s">
        <v>51</v>
      </c>
      <c r="L71">
        <v>1</v>
      </c>
      <c r="M71" t="s">
        <v>52</v>
      </c>
      <c r="N71" t="s">
        <v>53</v>
      </c>
      <c r="R71">
        <v>0.5</v>
      </c>
      <c r="S71">
        <v>0.75</v>
      </c>
      <c r="U71">
        <v>0</v>
      </c>
      <c r="V71" s="1">
        <v>46583</v>
      </c>
      <c r="W71" s="1">
        <v>46675</v>
      </c>
      <c r="X71" s="1">
        <v>46461</v>
      </c>
      <c r="Z71" t="s">
        <v>52</v>
      </c>
      <c r="AB71" t="s">
        <v>52</v>
      </c>
      <c r="AC71">
        <v>80</v>
      </c>
      <c r="AD71">
        <v>1</v>
      </c>
      <c r="AK71" t="s">
        <v>52</v>
      </c>
      <c r="AN71" t="s">
        <v>52</v>
      </c>
      <c r="AO71" t="s">
        <v>52</v>
      </c>
      <c r="AP71" t="s">
        <v>52</v>
      </c>
      <c r="AQ71" t="s">
        <v>52</v>
      </c>
      <c r="AR71" t="s">
        <v>55</v>
      </c>
    </row>
    <row r="72" spans="1:45" x14ac:dyDescent="0.25">
      <c r="A72" t="s">
        <v>47</v>
      </c>
      <c r="B72">
        <v>8</v>
      </c>
      <c r="C72" t="s">
        <v>99</v>
      </c>
      <c r="D72">
        <v>5</v>
      </c>
      <c r="E72" t="s">
        <v>68</v>
      </c>
      <c r="F72">
        <v>80</v>
      </c>
      <c r="G72" t="s">
        <v>69</v>
      </c>
      <c r="H72" t="s">
        <v>50</v>
      </c>
      <c r="K72" t="s">
        <v>52</v>
      </c>
      <c r="L72">
        <v>1</v>
      </c>
      <c r="M72" t="s">
        <v>52</v>
      </c>
      <c r="N72" t="s">
        <v>53</v>
      </c>
      <c r="R72">
        <v>0.5</v>
      </c>
      <c r="S72">
        <v>0.75</v>
      </c>
      <c r="T72">
        <v>0</v>
      </c>
      <c r="U72">
        <v>0</v>
      </c>
      <c r="V72" s="1">
        <v>46583</v>
      </c>
      <c r="W72" s="1">
        <v>46675</v>
      </c>
      <c r="X72" s="1">
        <v>46461</v>
      </c>
      <c r="Z72" t="s">
        <v>52</v>
      </c>
      <c r="AB72" t="s">
        <v>52</v>
      </c>
      <c r="AC72">
        <v>80</v>
      </c>
      <c r="AD72">
        <v>1</v>
      </c>
      <c r="AK72" t="s">
        <v>52</v>
      </c>
      <c r="AN72" t="s">
        <v>52</v>
      </c>
      <c r="AO72" t="s">
        <v>52</v>
      </c>
      <c r="AP72" t="s">
        <v>52</v>
      </c>
      <c r="AQ72" t="s">
        <v>52</v>
      </c>
      <c r="AR72" t="s">
        <v>55</v>
      </c>
    </row>
    <row r="73" spans="1:45" x14ac:dyDescent="0.25">
      <c r="A73" t="s">
        <v>47</v>
      </c>
      <c r="B73">
        <v>8</v>
      </c>
      <c r="C73" t="s">
        <v>99</v>
      </c>
      <c r="D73">
        <v>5</v>
      </c>
      <c r="E73" t="s">
        <v>70</v>
      </c>
      <c r="F73">
        <v>296</v>
      </c>
      <c r="G73" t="s">
        <v>71</v>
      </c>
      <c r="H73" t="s">
        <v>50</v>
      </c>
      <c r="K73" t="s">
        <v>51</v>
      </c>
      <c r="L73">
        <v>1</v>
      </c>
      <c r="M73" t="s">
        <v>52</v>
      </c>
      <c r="N73" t="s">
        <v>53</v>
      </c>
      <c r="Q73">
        <v>224.33330000000001</v>
      </c>
      <c r="R73">
        <v>0</v>
      </c>
      <c r="S73">
        <v>0.75</v>
      </c>
      <c r="U73">
        <v>0</v>
      </c>
      <c r="W73" s="1">
        <v>46675</v>
      </c>
      <c r="X73" s="1">
        <v>46357</v>
      </c>
      <c r="Y73" t="s">
        <v>54</v>
      </c>
      <c r="Z73" t="s">
        <v>52</v>
      </c>
      <c r="AB73" t="s">
        <v>52</v>
      </c>
      <c r="AC73">
        <v>296</v>
      </c>
      <c r="AD73">
        <v>1</v>
      </c>
      <c r="AK73" t="s">
        <v>52</v>
      </c>
      <c r="AN73" t="s">
        <v>52</v>
      </c>
      <c r="AO73" t="s">
        <v>52</v>
      </c>
      <c r="AP73" t="s">
        <v>52</v>
      </c>
      <c r="AQ73" t="s">
        <v>52</v>
      </c>
      <c r="AR73" t="s">
        <v>55</v>
      </c>
      <c r="AS73" t="s">
        <v>60</v>
      </c>
    </row>
    <row r="74" spans="1:45" x14ac:dyDescent="0.25">
      <c r="A74" t="s">
        <v>47</v>
      </c>
      <c r="B74">
        <v>8</v>
      </c>
      <c r="C74" t="s">
        <v>99</v>
      </c>
      <c r="D74">
        <v>5</v>
      </c>
      <c r="E74" t="s">
        <v>70</v>
      </c>
      <c r="F74">
        <v>296</v>
      </c>
      <c r="G74" t="s">
        <v>71</v>
      </c>
      <c r="H74" t="s">
        <v>50</v>
      </c>
      <c r="K74" t="s">
        <v>52</v>
      </c>
      <c r="L74">
        <v>1</v>
      </c>
      <c r="M74" t="s">
        <v>52</v>
      </c>
      <c r="N74" t="s">
        <v>53</v>
      </c>
      <c r="Q74">
        <v>224.33330000000001</v>
      </c>
      <c r="R74">
        <v>0</v>
      </c>
      <c r="S74">
        <v>0.75</v>
      </c>
      <c r="U74">
        <v>0</v>
      </c>
      <c r="W74" s="1">
        <v>46675</v>
      </c>
      <c r="X74" s="1">
        <v>46357</v>
      </c>
      <c r="Y74" t="s">
        <v>54</v>
      </c>
      <c r="Z74" t="s">
        <v>52</v>
      </c>
      <c r="AB74" t="s">
        <v>52</v>
      </c>
      <c r="AC74">
        <v>296</v>
      </c>
      <c r="AD74">
        <v>1</v>
      </c>
      <c r="AK74" t="s">
        <v>52</v>
      </c>
      <c r="AN74" t="s">
        <v>52</v>
      </c>
      <c r="AO74" t="s">
        <v>52</v>
      </c>
      <c r="AP74" t="s">
        <v>52</v>
      </c>
      <c r="AQ74" t="s">
        <v>52</v>
      </c>
      <c r="AR74" t="s">
        <v>55</v>
      </c>
      <c r="AS74" t="s">
        <v>60</v>
      </c>
    </row>
    <row r="75" spans="1:45" x14ac:dyDescent="0.25">
      <c r="A75" t="s">
        <v>47</v>
      </c>
      <c r="B75">
        <v>8</v>
      </c>
      <c r="C75" t="s">
        <v>99</v>
      </c>
      <c r="D75">
        <v>5</v>
      </c>
      <c r="E75" t="s">
        <v>75</v>
      </c>
      <c r="F75">
        <v>16</v>
      </c>
      <c r="G75" t="s">
        <v>76</v>
      </c>
      <c r="H75" t="s">
        <v>50</v>
      </c>
      <c r="K75" t="s">
        <v>51</v>
      </c>
      <c r="L75">
        <v>1</v>
      </c>
      <c r="M75" t="s">
        <v>52</v>
      </c>
      <c r="N75" t="s">
        <v>53</v>
      </c>
      <c r="R75">
        <v>0.5</v>
      </c>
      <c r="S75">
        <v>0.75</v>
      </c>
      <c r="T75">
        <v>0</v>
      </c>
      <c r="U75">
        <v>0</v>
      </c>
      <c r="V75" s="1">
        <v>46507</v>
      </c>
      <c r="W75" s="1">
        <v>46691</v>
      </c>
      <c r="X75" s="1">
        <v>46461</v>
      </c>
      <c r="Z75" t="s">
        <v>52</v>
      </c>
      <c r="AB75" t="s">
        <v>52</v>
      </c>
      <c r="AC75">
        <v>16</v>
      </c>
      <c r="AD75">
        <v>2</v>
      </c>
      <c r="AK75" t="s">
        <v>52</v>
      </c>
      <c r="AN75" t="s">
        <v>52</v>
      </c>
      <c r="AO75" t="s">
        <v>52</v>
      </c>
      <c r="AP75" t="s">
        <v>52</v>
      </c>
      <c r="AQ75" t="s">
        <v>52</v>
      </c>
      <c r="AR75" t="s">
        <v>55</v>
      </c>
    </row>
    <row r="76" spans="1:45" x14ac:dyDescent="0.25">
      <c r="A76" t="s">
        <v>47</v>
      </c>
      <c r="B76">
        <v>8</v>
      </c>
      <c r="C76" t="s">
        <v>99</v>
      </c>
      <c r="D76">
        <v>5</v>
      </c>
      <c r="E76" t="s">
        <v>75</v>
      </c>
      <c r="F76">
        <v>16</v>
      </c>
      <c r="G76" t="s">
        <v>76</v>
      </c>
      <c r="H76" t="s">
        <v>50</v>
      </c>
      <c r="K76" t="s">
        <v>52</v>
      </c>
      <c r="L76">
        <v>1</v>
      </c>
      <c r="M76" t="s">
        <v>52</v>
      </c>
      <c r="N76" t="s">
        <v>53</v>
      </c>
      <c r="R76">
        <v>0.5</v>
      </c>
      <c r="S76">
        <v>0.75</v>
      </c>
      <c r="T76">
        <v>0</v>
      </c>
      <c r="U76">
        <v>0</v>
      </c>
      <c r="V76" s="1">
        <v>46507</v>
      </c>
      <c r="W76" s="1">
        <v>46691</v>
      </c>
      <c r="X76" s="1">
        <v>46461</v>
      </c>
      <c r="Z76" t="s">
        <v>52</v>
      </c>
      <c r="AB76" t="s">
        <v>52</v>
      </c>
      <c r="AC76">
        <v>16</v>
      </c>
      <c r="AD76">
        <v>2</v>
      </c>
      <c r="AK76" t="s">
        <v>52</v>
      </c>
      <c r="AN76" t="s">
        <v>52</v>
      </c>
      <c r="AO76" t="s">
        <v>52</v>
      </c>
      <c r="AP76" t="s">
        <v>52</v>
      </c>
      <c r="AQ76" t="s">
        <v>52</v>
      </c>
      <c r="AR76" t="s">
        <v>55</v>
      </c>
    </row>
    <row r="77" spans="1:45" x14ac:dyDescent="0.25">
      <c r="A77" t="s">
        <v>47</v>
      </c>
      <c r="B77">
        <v>8</v>
      </c>
      <c r="C77" t="s">
        <v>99</v>
      </c>
      <c r="D77">
        <v>5</v>
      </c>
      <c r="E77" t="s">
        <v>79</v>
      </c>
      <c r="F77">
        <v>50</v>
      </c>
      <c r="G77" t="s">
        <v>100</v>
      </c>
      <c r="H77" t="s">
        <v>50</v>
      </c>
      <c r="K77" t="s">
        <v>51</v>
      </c>
      <c r="L77">
        <v>1</v>
      </c>
      <c r="M77" t="s">
        <v>52</v>
      </c>
      <c r="N77" t="s">
        <v>53</v>
      </c>
      <c r="R77">
        <v>0.5</v>
      </c>
      <c r="S77">
        <v>0.75</v>
      </c>
      <c r="T77">
        <v>0</v>
      </c>
      <c r="U77">
        <v>0</v>
      </c>
      <c r="V77" s="1">
        <v>46583</v>
      </c>
      <c r="W77" s="1">
        <v>46675</v>
      </c>
      <c r="X77" s="1">
        <v>46461</v>
      </c>
      <c r="Z77" t="s">
        <v>52</v>
      </c>
      <c r="AB77" t="s">
        <v>52</v>
      </c>
      <c r="AC77">
        <v>50</v>
      </c>
      <c r="AD77">
        <v>1</v>
      </c>
      <c r="AK77" t="s">
        <v>52</v>
      </c>
      <c r="AN77" t="s">
        <v>52</v>
      </c>
      <c r="AO77" t="s">
        <v>52</v>
      </c>
      <c r="AP77" t="s">
        <v>52</v>
      </c>
      <c r="AQ77" t="s">
        <v>52</v>
      </c>
      <c r="AR77" t="s">
        <v>55</v>
      </c>
    </row>
    <row r="78" spans="1:45" x14ac:dyDescent="0.25">
      <c r="A78" t="s">
        <v>47</v>
      </c>
      <c r="B78">
        <v>8</v>
      </c>
      <c r="C78" t="s">
        <v>99</v>
      </c>
      <c r="D78">
        <v>5</v>
      </c>
      <c r="E78" t="s">
        <v>79</v>
      </c>
      <c r="F78">
        <v>50</v>
      </c>
      <c r="G78" t="s">
        <v>100</v>
      </c>
      <c r="H78" t="s">
        <v>50</v>
      </c>
      <c r="K78" t="s">
        <v>52</v>
      </c>
      <c r="L78">
        <v>1</v>
      </c>
      <c r="M78" t="s">
        <v>52</v>
      </c>
      <c r="N78" t="s">
        <v>53</v>
      </c>
      <c r="R78">
        <v>0.5</v>
      </c>
      <c r="S78">
        <v>0.75</v>
      </c>
      <c r="T78">
        <v>0</v>
      </c>
      <c r="U78">
        <v>0</v>
      </c>
      <c r="V78" s="1">
        <v>46583</v>
      </c>
      <c r="W78" s="1">
        <v>46675</v>
      </c>
      <c r="X78" s="1">
        <v>46461</v>
      </c>
      <c r="Z78" t="s">
        <v>52</v>
      </c>
      <c r="AB78" t="s">
        <v>52</v>
      </c>
      <c r="AC78">
        <v>50</v>
      </c>
      <c r="AD78">
        <v>1</v>
      </c>
      <c r="AK78" t="s">
        <v>52</v>
      </c>
      <c r="AN78" t="s">
        <v>52</v>
      </c>
      <c r="AO78" t="s">
        <v>52</v>
      </c>
      <c r="AP78" t="s">
        <v>52</v>
      </c>
      <c r="AQ78" t="s">
        <v>52</v>
      </c>
      <c r="AR78" t="s">
        <v>55</v>
      </c>
    </row>
    <row r="79" spans="1:45" x14ac:dyDescent="0.25">
      <c r="A79" t="s">
        <v>47</v>
      </c>
      <c r="B79">
        <v>8</v>
      </c>
      <c r="C79" t="s">
        <v>99</v>
      </c>
      <c r="D79">
        <v>5</v>
      </c>
      <c r="E79" t="s">
        <v>79</v>
      </c>
      <c r="F79">
        <v>50</v>
      </c>
      <c r="G79" t="s">
        <v>80</v>
      </c>
      <c r="H79" t="s">
        <v>50</v>
      </c>
      <c r="K79" t="s">
        <v>51</v>
      </c>
      <c r="L79">
        <v>1</v>
      </c>
      <c r="M79" t="s">
        <v>52</v>
      </c>
      <c r="N79" t="s">
        <v>53</v>
      </c>
      <c r="R79">
        <v>0.5</v>
      </c>
      <c r="S79">
        <v>0.75</v>
      </c>
      <c r="T79">
        <v>0</v>
      </c>
      <c r="U79">
        <v>0</v>
      </c>
      <c r="V79" s="1">
        <v>46583</v>
      </c>
      <c r="W79" s="1">
        <v>46675</v>
      </c>
      <c r="X79" s="1">
        <v>46461</v>
      </c>
      <c r="Z79" t="s">
        <v>52</v>
      </c>
      <c r="AB79" t="s">
        <v>52</v>
      </c>
      <c r="AC79">
        <v>50</v>
      </c>
      <c r="AD79">
        <v>1</v>
      </c>
      <c r="AK79" t="s">
        <v>52</v>
      </c>
      <c r="AN79" t="s">
        <v>52</v>
      </c>
      <c r="AO79" t="s">
        <v>52</v>
      </c>
      <c r="AP79" t="s">
        <v>52</v>
      </c>
      <c r="AQ79" t="s">
        <v>52</v>
      </c>
      <c r="AR79" t="s">
        <v>55</v>
      </c>
    </row>
    <row r="80" spans="1:45" x14ac:dyDescent="0.25">
      <c r="A80" t="s">
        <v>47</v>
      </c>
      <c r="B80">
        <v>8</v>
      </c>
      <c r="C80" t="s">
        <v>99</v>
      </c>
      <c r="D80">
        <v>5</v>
      </c>
      <c r="E80" t="s">
        <v>79</v>
      </c>
      <c r="F80">
        <v>50</v>
      </c>
      <c r="G80" t="s">
        <v>80</v>
      </c>
      <c r="H80" t="s">
        <v>50</v>
      </c>
      <c r="K80" t="s">
        <v>52</v>
      </c>
      <c r="L80">
        <v>1</v>
      </c>
      <c r="M80" t="s">
        <v>52</v>
      </c>
      <c r="N80" t="s">
        <v>53</v>
      </c>
      <c r="R80">
        <v>0.5</v>
      </c>
      <c r="S80">
        <v>0.75</v>
      </c>
      <c r="T80">
        <v>0</v>
      </c>
      <c r="U80">
        <v>0</v>
      </c>
      <c r="V80" s="1">
        <v>46583</v>
      </c>
      <c r="W80" s="1">
        <v>46675</v>
      </c>
      <c r="X80" s="1">
        <v>46461</v>
      </c>
      <c r="Z80" t="s">
        <v>52</v>
      </c>
      <c r="AB80" t="s">
        <v>52</v>
      </c>
      <c r="AC80">
        <v>50</v>
      </c>
      <c r="AD80">
        <v>1</v>
      </c>
      <c r="AK80" t="s">
        <v>52</v>
      </c>
      <c r="AN80" t="s">
        <v>52</v>
      </c>
      <c r="AO80" t="s">
        <v>52</v>
      </c>
      <c r="AP80" t="s">
        <v>52</v>
      </c>
      <c r="AQ80" t="s">
        <v>52</v>
      </c>
      <c r="AR80" t="s">
        <v>55</v>
      </c>
    </row>
    <row r="81" spans="1:45" x14ac:dyDescent="0.25">
      <c r="A81" t="s">
        <v>47</v>
      </c>
      <c r="B81">
        <v>8</v>
      </c>
      <c r="C81" t="s">
        <v>99</v>
      </c>
      <c r="D81">
        <v>5</v>
      </c>
      <c r="E81" t="s">
        <v>79</v>
      </c>
      <c r="F81">
        <v>50</v>
      </c>
      <c r="G81" t="s">
        <v>65</v>
      </c>
      <c r="H81" t="s">
        <v>50</v>
      </c>
      <c r="K81" t="s">
        <v>51</v>
      </c>
      <c r="L81">
        <v>1</v>
      </c>
      <c r="M81" t="s">
        <v>52</v>
      </c>
      <c r="N81" t="s">
        <v>53</v>
      </c>
      <c r="R81">
        <v>0.5</v>
      </c>
      <c r="S81">
        <v>0.75</v>
      </c>
      <c r="T81">
        <v>0</v>
      </c>
      <c r="U81">
        <v>0</v>
      </c>
      <c r="V81" s="1">
        <v>46583</v>
      </c>
      <c r="W81" s="1">
        <v>46675</v>
      </c>
      <c r="X81" s="1">
        <v>46461</v>
      </c>
      <c r="Z81" t="s">
        <v>52</v>
      </c>
      <c r="AB81" t="s">
        <v>52</v>
      </c>
      <c r="AC81">
        <v>50</v>
      </c>
      <c r="AD81">
        <v>1</v>
      </c>
      <c r="AK81" t="s">
        <v>52</v>
      </c>
      <c r="AN81" t="s">
        <v>52</v>
      </c>
      <c r="AO81" t="s">
        <v>52</v>
      </c>
      <c r="AP81" t="s">
        <v>52</v>
      </c>
      <c r="AQ81" t="s">
        <v>52</v>
      </c>
      <c r="AR81" t="s">
        <v>55</v>
      </c>
    </row>
    <row r="82" spans="1:45" x14ac:dyDescent="0.25">
      <c r="A82" t="s">
        <v>47</v>
      </c>
      <c r="B82">
        <v>8</v>
      </c>
      <c r="C82" t="s">
        <v>99</v>
      </c>
      <c r="D82">
        <v>5</v>
      </c>
      <c r="E82" t="s">
        <v>79</v>
      </c>
      <c r="F82">
        <v>50</v>
      </c>
      <c r="G82" t="s">
        <v>65</v>
      </c>
      <c r="H82" t="s">
        <v>50</v>
      </c>
      <c r="K82" t="s">
        <v>52</v>
      </c>
      <c r="L82">
        <v>1</v>
      </c>
      <c r="M82" t="s">
        <v>52</v>
      </c>
      <c r="N82" t="s">
        <v>53</v>
      </c>
      <c r="R82">
        <v>0.5</v>
      </c>
      <c r="S82">
        <v>0.75</v>
      </c>
      <c r="T82">
        <v>0</v>
      </c>
      <c r="U82">
        <v>0</v>
      </c>
      <c r="V82" s="1">
        <v>46583</v>
      </c>
      <c r="W82" s="1">
        <v>46675</v>
      </c>
      <c r="X82" s="1">
        <v>46461</v>
      </c>
      <c r="Z82" t="s">
        <v>52</v>
      </c>
      <c r="AB82" t="s">
        <v>52</v>
      </c>
      <c r="AC82">
        <v>50</v>
      </c>
      <c r="AD82">
        <v>1</v>
      </c>
      <c r="AK82" t="s">
        <v>52</v>
      </c>
      <c r="AN82" t="s">
        <v>52</v>
      </c>
      <c r="AO82" t="s">
        <v>52</v>
      </c>
      <c r="AP82" t="s">
        <v>52</v>
      </c>
      <c r="AQ82" t="s">
        <v>52</v>
      </c>
      <c r="AR82" t="s">
        <v>55</v>
      </c>
    </row>
    <row r="83" spans="1:45" x14ac:dyDescent="0.25">
      <c r="A83" t="s">
        <v>47</v>
      </c>
      <c r="B83">
        <v>8</v>
      </c>
      <c r="C83" t="s">
        <v>99</v>
      </c>
      <c r="D83">
        <v>5</v>
      </c>
      <c r="E83" t="s">
        <v>79</v>
      </c>
      <c r="F83">
        <v>50</v>
      </c>
      <c r="G83" t="s">
        <v>81</v>
      </c>
      <c r="H83" t="s">
        <v>50</v>
      </c>
      <c r="K83" t="s">
        <v>51</v>
      </c>
      <c r="L83">
        <v>1</v>
      </c>
      <c r="M83" t="s">
        <v>52</v>
      </c>
      <c r="N83" t="s">
        <v>53</v>
      </c>
      <c r="R83">
        <v>0.5</v>
      </c>
      <c r="S83">
        <v>0.75</v>
      </c>
      <c r="T83">
        <v>0</v>
      </c>
      <c r="U83">
        <v>0</v>
      </c>
      <c r="V83" s="1">
        <v>46583</v>
      </c>
      <c r="W83" s="1">
        <v>46675</v>
      </c>
      <c r="X83" s="1">
        <v>46461</v>
      </c>
      <c r="Z83" t="s">
        <v>52</v>
      </c>
      <c r="AB83" t="s">
        <v>52</v>
      </c>
      <c r="AC83">
        <v>50</v>
      </c>
      <c r="AD83">
        <v>1</v>
      </c>
      <c r="AK83" t="s">
        <v>52</v>
      </c>
      <c r="AN83" t="s">
        <v>52</v>
      </c>
      <c r="AO83" t="s">
        <v>52</v>
      </c>
      <c r="AP83" t="s">
        <v>52</v>
      </c>
      <c r="AQ83" t="s">
        <v>52</v>
      </c>
      <c r="AR83" t="s">
        <v>55</v>
      </c>
    </row>
    <row r="84" spans="1:45" x14ac:dyDescent="0.25">
      <c r="A84" t="s">
        <v>47</v>
      </c>
      <c r="B84">
        <v>8</v>
      </c>
      <c r="C84" t="s">
        <v>99</v>
      </c>
      <c r="D84">
        <v>5</v>
      </c>
      <c r="E84" t="s">
        <v>79</v>
      </c>
      <c r="F84">
        <v>50</v>
      </c>
      <c r="G84" t="s">
        <v>81</v>
      </c>
      <c r="H84" t="s">
        <v>50</v>
      </c>
      <c r="K84" t="s">
        <v>52</v>
      </c>
      <c r="L84">
        <v>1</v>
      </c>
      <c r="M84" t="s">
        <v>52</v>
      </c>
      <c r="N84" t="s">
        <v>53</v>
      </c>
      <c r="R84">
        <v>0.5</v>
      </c>
      <c r="S84">
        <v>0.75</v>
      </c>
      <c r="T84">
        <v>0</v>
      </c>
      <c r="U84">
        <v>0</v>
      </c>
      <c r="V84" s="1">
        <v>46583</v>
      </c>
      <c r="W84" s="1">
        <v>46675</v>
      </c>
      <c r="X84" s="1">
        <v>46461</v>
      </c>
      <c r="Z84" t="s">
        <v>52</v>
      </c>
      <c r="AB84" t="s">
        <v>52</v>
      </c>
      <c r="AC84">
        <v>50</v>
      </c>
      <c r="AD84">
        <v>1</v>
      </c>
      <c r="AK84" t="s">
        <v>52</v>
      </c>
      <c r="AN84" t="s">
        <v>52</v>
      </c>
      <c r="AO84" t="s">
        <v>52</v>
      </c>
      <c r="AP84" t="s">
        <v>52</v>
      </c>
      <c r="AQ84" t="s">
        <v>52</v>
      </c>
      <c r="AR84" t="s">
        <v>55</v>
      </c>
    </row>
    <row r="85" spans="1:45" x14ac:dyDescent="0.25">
      <c r="A85" t="s">
        <v>47</v>
      </c>
      <c r="B85">
        <v>8</v>
      </c>
      <c r="C85" t="s">
        <v>99</v>
      </c>
      <c r="D85">
        <v>5</v>
      </c>
      <c r="E85" t="s">
        <v>83</v>
      </c>
      <c r="F85">
        <v>158</v>
      </c>
      <c r="H85" t="s">
        <v>50</v>
      </c>
      <c r="K85" t="s">
        <v>52</v>
      </c>
      <c r="L85">
        <v>1</v>
      </c>
      <c r="M85" t="s">
        <v>52</v>
      </c>
      <c r="N85" t="s">
        <v>53</v>
      </c>
      <c r="R85">
        <v>0.77</v>
      </c>
      <c r="S85">
        <v>0.93</v>
      </c>
      <c r="T85">
        <v>0</v>
      </c>
      <c r="U85">
        <v>0</v>
      </c>
      <c r="V85" s="1">
        <v>46326</v>
      </c>
      <c r="W85" s="1">
        <v>46691</v>
      </c>
      <c r="X85" s="1">
        <v>46266</v>
      </c>
      <c r="Z85" t="s">
        <v>52</v>
      </c>
      <c r="AB85" t="s">
        <v>52</v>
      </c>
      <c r="AC85">
        <v>158</v>
      </c>
      <c r="AD85">
        <v>2</v>
      </c>
      <c r="AK85" t="s">
        <v>52</v>
      </c>
      <c r="AN85" t="s">
        <v>52</v>
      </c>
      <c r="AO85" t="s">
        <v>52</v>
      </c>
      <c r="AP85" t="s">
        <v>52</v>
      </c>
      <c r="AQ85" t="s">
        <v>52</v>
      </c>
      <c r="AR85" t="s">
        <v>55</v>
      </c>
    </row>
    <row r="86" spans="1:45" x14ac:dyDescent="0.25">
      <c r="A86" t="s">
        <v>47</v>
      </c>
      <c r="B86">
        <v>8</v>
      </c>
      <c r="C86" t="s">
        <v>101</v>
      </c>
      <c r="D86">
        <v>7</v>
      </c>
      <c r="E86" t="s">
        <v>49</v>
      </c>
      <c r="F86">
        <v>27</v>
      </c>
      <c r="H86" t="s">
        <v>50</v>
      </c>
      <c r="K86" t="s">
        <v>51</v>
      </c>
      <c r="L86">
        <v>1</v>
      </c>
      <c r="M86" t="s">
        <v>52</v>
      </c>
      <c r="N86" t="s">
        <v>53</v>
      </c>
      <c r="Q86">
        <v>230</v>
      </c>
      <c r="R86">
        <v>0</v>
      </c>
      <c r="S86">
        <v>0.75</v>
      </c>
      <c r="T86">
        <v>0</v>
      </c>
      <c r="U86">
        <v>0</v>
      </c>
      <c r="W86" s="1">
        <v>46675</v>
      </c>
      <c r="X86" s="1">
        <v>46357</v>
      </c>
      <c r="Y86" t="s">
        <v>54</v>
      </c>
      <c r="Z86" t="s">
        <v>52</v>
      </c>
      <c r="AB86" t="s">
        <v>52</v>
      </c>
      <c r="AC86">
        <v>27</v>
      </c>
      <c r="AD86">
        <v>1</v>
      </c>
      <c r="AE86">
        <v>0.97</v>
      </c>
      <c r="AG86">
        <v>0.97</v>
      </c>
      <c r="AK86" t="s">
        <v>52</v>
      </c>
      <c r="AN86" t="s">
        <v>52</v>
      </c>
      <c r="AO86" t="s">
        <v>52</v>
      </c>
      <c r="AP86" t="s">
        <v>52</v>
      </c>
      <c r="AQ86" t="s">
        <v>52</v>
      </c>
      <c r="AR86" t="s">
        <v>55</v>
      </c>
      <c r="AS86" t="s">
        <v>56</v>
      </c>
    </row>
    <row r="87" spans="1:45" x14ac:dyDescent="0.25">
      <c r="A87" t="s">
        <v>47</v>
      </c>
      <c r="B87">
        <v>8</v>
      </c>
      <c r="C87" t="s">
        <v>101</v>
      </c>
      <c r="D87">
        <v>7</v>
      </c>
      <c r="E87" t="s">
        <v>49</v>
      </c>
      <c r="F87">
        <v>27</v>
      </c>
      <c r="H87" t="s">
        <v>50</v>
      </c>
      <c r="K87" t="s">
        <v>52</v>
      </c>
      <c r="L87">
        <v>1</v>
      </c>
      <c r="M87" t="s">
        <v>52</v>
      </c>
      <c r="N87" t="s">
        <v>53</v>
      </c>
      <c r="Q87">
        <v>230</v>
      </c>
      <c r="R87">
        <v>0</v>
      </c>
      <c r="S87">
        <v>0.75</v>
      </c>
      <c r="T87">
        <v>0</v>
      </c>
      <c r="U87">
        <v>0</v>
      </c>
      <c r="W87" s="1">
        <v>46675</v>
      </c>
      <c r="X87" s="1">
        <v>46357</v>
      </c>
      <c r="Y87" t="s">
        <v>54</v>
      </c>
      <c r="Z87" t="s">
        <v>52</v>
      </c>
      <c r="AB87" t="s">
        <v>52</v>
      </c>
      <c r="AC87">
        <v>27</v>
      </c>
      <c r="AD87">
        <v>1</v>
      </c>
      <c r="AE87">
        <v>0.97</v>
      </c>
      <c r="AG87">
        <v>0.97</v>
      </c>
      <c r="AK87" t="s">
        <v>52</v>
      </c>
      <c r="AN87" t="s">
        <v>52</v>
      </c>
      <c r="AO87" t="s">
        <v>52</v>
      </c>
      <c r="AP87" t="s">
        <v>52</v>
      </c>
      <c r="AQ87" t="s">
        <v>52</v>
      </c>
      <c r="AR87" t="s">
        <v>55</v>
      </c>
      <c r="AS87" t="s">
        <v>57</v>
      </c>
    </row>
    <row r="88" spans="1:45" x14ac:dyDescent="0.25">
      <c r="A88" t="s">
        <v>47</v>
      </c>
      <c r="B88">
        <v>8</v>
      </c>
      <c r="C88" t="s">
        <v>101</v>
      </c>
      <c r="D88">
        <v>7</v>
      </c>
      <c r="E88" t="s">
        <v>58</v>
      </c>
      <c r="F88">
        <v>102</v>
      </c>
      <c r="G88" t="s">
        <v>62</v>
      </c>
      <c r="H88" t="s">
        <v>50</v>
      </c>
      <c r="K88" t="s">
        <v>51</v>
      </c>
      <c r="L88">
        <v>1</v>
      </c>
      <c r="M88" t="s">
        <v>52</v>
      </c>
      <c r="N88" t="s">
        <v>53</v>
      </c>
      <c r="R88">
        <v>0</v>
      </c>
      <c r="S88">
        <v>0.92</v>
      </c>
      <c r="T88">
        <v>0</v>
      </c>
      <c r="U88">
        <v>0</v>
      </c>
      <c r="W88" s="1">
        <v>46731</v>
      </c>
      <c r="X88" s="1">
        <v>46357</v>
      </c>
      <c r="Z88" t="s">
        <v>52</v>
      </c>
      <c r="AB88" t="s">
        <v>52</v>
      </c>
      <c r="AC88">
        <v>102</v>
      </c>
      <c r="AD88">
        <v>1</v>
      </c>
      <c r="AK88" t="s">
        <v>52</v>
      </c>
      <c r="AN88" t="s">
        <v>52</v>
      </c>
      <c r="AO88" t="s">
        <v>52</v>
      </c>
      <c r="AP88" t="s">
        <v>52</v>
      </c>
      <c r="AQ88" t="s">
        <v>52</v>
      </c>
      <c r="AR88" t="s">
        <v>55</v>
      </c>
    </row>
    <row r="89" spans="1:45" x14ac:dyDescent="0.25">
      <c r="A89" t="s">
        <v>47</v>
      </c>
      <c r="B89">
        <v>8</v>
      </c>
      <c r="C89" t="s">
        <v>101</v>
      </c>
      <c r="D89">
        <v>7</v>
      </c>
      <c r="E89" t="s">
        <v>58</v>
      </c>
      <c r="F89">
        <v>102</v>
      </c>
      <c r="G89" t="s">
        <v>62</v>
      </c>
      <c r="H89" t="s">
        <v>50</v>
      </c>
      <c r="K89" t="s">
        <v>52</v>
      </c>
      <c r="L89">
        <v>1</v>
      </c>
      <c r="M89" t="s">
        <v>52</v>
      </c>
      <c r="N89" t="s">
        <v>53</v>
      </c>
      <c r="R89">
        <v>0</v>
      </c>
      <c r="S89">
        <v>0.92</v>
      </c>
      <c r="T89">
        <v>0</v>
      </c>
      <c r="U89">
        <v>0</v>
      </c>
      <c r="W89" s="1">
        <v>46731</v>
      </c>
      <c r="X89" s="1">
        <v>46357</v>
      </c>
      <c r="Z89" t="s">
        <v>52</v>
      </c>
      <c r="AB89" t="s">
        <v>52</v>
      </c>
      <c r="AC89">
        <v>102</v>
      </c>
      <c r="AD89">
        <v>1</v>
      </c>
      <c r="AK89" t="s">
        <v>52</v>
      </c>
      <c r="AN89" t="s">
        <v>52</v>
      </c>
      <c r="AO89" t="s">
        <v>52</v>
      </c>
      <c r="AP89" t="s">
        <v>52</v>
      </c>
      <c r="AQ89" t="s">
        <v>52</v>
      </c>
      <c r="AR89" t="s">
        <v>55</v>
      </c>
    </row>
    <row r="90" spans="1:45" x14ac:dyDescent="0.25">
      <c r="A90" t="s">
        <v>47</v>
      </c>
      <c r="B90">
        <v>8</v>
      </c>
      <c r="C90" t="s">
        <v>101</v>
      </c>
      <c r="D90">
        <v>7</v>
      </c>
      <c r="E90" t="s">
        <v>58</v>
      </c>
      <c r="F90">
        <v>102</v>
      </c>
      <c r="G90" t="s">
        <v>63</v>
      </c>
      <c r="H90" t="s">
        <v>50</v>
      </c>
      <c r="K90" t="s">
        <v>51</v>
      </c>
      <c r="L90">
        <v>1</v>
      </c>
      <c r="M90" t="s">
        <v>52</v>
      </c>
      <c r="N90" t="s">
        <v>53</v>
      </c>
      <c r="R90">
        <v>0</v>
      </c>
      <c r="S90">
        <v>0.92</v>
      </c>
      <c r="T90">
        <v>0</v>
      </c>
      <c r="U90">
        <v>0</v>
      </c>
      <c r="W90" s="1">
        <v>46731</v>
      </c>
      <c r="X90" s="1">
        <v>46357</v>
      </c>
      <c r="Z90" t="s">
        <v>52</v>
      </c>
      <c r="AB90" t="s">
        <v>52</v>
      </c>
      <c r="AC90">
        <v>102</v>
      </c>
      <c r="AD90">
        <v>1</v>
      </c>
      <c r="AK90" t="s">
        <v>52</v>
      </c>
      <c r="AN90" t="s">
        <v>52</v>
      </c>
      <c r="AO90" t="s">
        <v>52</v>
      </c>
      <c r="AP90" t="s">
        <v>52</v>
      </c>
      <c r="AQ90" t="s">
        <v>52</v>
      </c>
      <c r="AR90" t="s">
        <v>55</v>
      </c>
    </row>
    <row r="91" spans="1:45" x14ac:dyDescent="0.25">
      <c r="A91" t="s">
        <v>47</v>
      </c>
      <c r="B91">
        <v>8</v>
      </c>
      <c r="C91" t="s">
        <v>101</v>
      </c>
      <c r="D91">
        <v>7</v>
      </c>
      <c r="E91" t="s">
        <v>70</v>
      </c>
      <c r="F91">
        <v>296</v>
      </c>
      <c r="G91" t="s">
        <v>71</v>
      </c>
      <c r="H91" t="s">
        <v>50</v>
      </c>
      <c r="K91" t="s">
        <v>51</v>
      </c>
      <c r="L91">
        <v>1</v>
      </c>
      <c r="M91" t="s">
        <v>52</v>
      </c>
      <c r="N91" t="s">
        <v>53</v>
      </c>
      <c r="Q91">
        <v>224.33330000000001</v>
      </c>
      <c r="R91">
        <v>0</v>
      </c>
      <c r="S91">
        <v>0.75</v>
      </c>
      <c r="T91">
        <v>0</v>
      </c>
      <c r="U91">
        <v>0</v>
      </c>
      <c r="W91" s="1">
        <v>46675</v>
      </c>
      <c r="X91" s="1">
        <v>46357</v>
      </c>
      <c r="Y91" t="s">
        <v>54</v>
      </c>
      <c r="Z91" t="s">
        <v>52</v>
      </c>
      <c r="AB91" t="s">
        <v>52</v>
      </c>
      <c r="AC91">
        <v>296</v>
      </c>
      <c r="AD91">
        <v>1</v>
      </c>
      <c r="AK91" t="s">
        <v>52</v>
      </c>
      <c r="AN91" t="s">
        <v>52</v>
      </c>
      <c r="AO91" t="s">
        <v>52</v>
      </c>
      <c r="AP91" t="s">
        <v>52</v>
      </c>
      <c r="AQ91" t="s">
        <v>52</v>
      </c>
      <c r="AR91" t="s">
        <v>55</v>
      </c>
    </row>
    <row r="92" spans="1:45" x14ac:dyDescent="0.25">
      <c r="A92" t="s">
        <v>47</v>
      </c>
      <c r="B92">
        <v>8</v>
      </c>
      <c r="C92" t="s">
        <v>101</v>
      </c>
      <c r="D92">
        <v>7</v>
      </c>
      <c r="E92" t="s">
        <v>70</v>
      </c>
      <c r="F92">
        <v>296</v>
      </c>
      <c r="G92" t="s">
        <v>71</v>
      </c>
      <c r="H92" t="s">
        <v>50</v>
      </c>
      <c r="K92" t="s">
        <v>52</v>
      </c>
      <c r="L92">
        <v>1</v>
      </c>
      <c r="M92" t="s">
        <v>52</v>
      </c>
      <c r="N92" t="s">
        <v>53</v>
      </c>
      <c r="Q92">
        <v>224.33330000000001</v>
      </c>
      <c r="R92">
        <v>0</v>
      </c>
      <c r="S92">
        <v>0.75</v>
      </c>
      <c r="T92">
        <v>0</v>
      </c>
      <c r="U92">
        <v>0</v>
      </c>
      <c r="W92" s="1">
        <v>46675</v>
      </c>
      <c r="X92" s="1">
        <v>46357</v>
      </c>
      <c r="Y92" t="s">
        <v>54</v>
      </c>
      <c r="Z92" t="s">
        <v>52</v>
      </c>
      <c r="AB92" t="s">
        <v>52</v>
      </c>
      <c r="AC92">
        <v>296</v>
      </c>
      <c r="AD92">
        <v>1</v>
      </c>
      <c r="AK92" t="s">
        <v>52</v>
      </c>
      <c r="AN92" t="s">
        <v>52</v>
      </c>
      <c r="AO92" t="s">
        <v>52</v>
      </c>
      <c r="AP92" t="s">
        <v>52</v>
      </c>
      <c r="AQ92" t="s">
        <v>52</v>
      </c>
      <c r="AR92" t="s">
        <v>55</v>
      </c>
    </row>
    <row r="93" spans="1:45" x14ac:dyDescent="0.25">
      <c r="A93" t="s">
        <v>47</v>
      </c>
      <c r="B93">
        <v>8</v>
      </c>
      <c r="C93" t="s">
        <v>101</v>
      </c>
      <c r="D93">
        <v>7</v>
      </c>
      <c r="E93" t="s">
        <v>70</v>
      </c>
      <c r="F93">
        <v>296</v>
      </c>
      <c r="G93" t="s">
        <v>73</v>
      </c>
      <c r="H93" t="s">
        <v>50</v>
      </c>
      <c r="K93" t="s">
        <v>51</v>
      </c>
      <c r="L93">
        <v>1</v>
      </c>
      <c r="M93" t="s">
        <v>52</v>
      </c>
      <c r="N93" t="s">
        <v>53</v>
      </c>
      <c r="R93">
        <v>0</v>
      </c>
      <c r="S93">
        <v>0.75</v>
      </c>
      <c r="T93">
        <v>0</v>
      </c>
      <c r="U93">
        <v>0</v>
      </c>
      <c r="W93" s="1">
        <v>46675</v>
      </c>
      <c r="X93" s="1">
        <v>46357</v>
      </c>
      <c r="Z93" t="s">
        <v>52</v>
      </c>
      <c r="AB93" t="s">
        <v>52</v>
      </c>
      <c r="AC93">
        <v>296</v>
      </c>
      <c r="AD93">
        <v>1</v>
      </c>
      <c r="AK93" t="s">
        <v>52</v>
      </c>
      <c r="AN93" t="s">
        <v>52</v>
      </c>
      <c r="AO93" t="s">
        <v>52</v>
      </c>
      <c r="AP93" t="s">
        <v>52</v>
      </c>
      <c r="AQ93" t="s">
        <v>52</v>
      </c>
      <c r="AR93" t="s">
        <v>55</v>
      </c>
    </row>
    <row r="94" spans="1:45" x14ac:dyDescent="0.25">
      <c r="A94" t="s">
        <v>47</v>
      </c>
      <c r="B94">
        <v>8</v>
      </c>
      <c r="C94" t="s">
        <v>101</v>
      </c>
      <c r="D94">
        <v>7</v>
      </c>
      <c r="E94" t="s">
        <v>70</v>
      </c>
      <c r="F94">
        <v>296</v>
      </c>
      <c r="G94" t="s">
        <v>73</v>
      </c>
      <c r="H94" t="s">
        <v>50</v>
      </c>
      <c r="K94" t="s">
        <v>52</v>
      </c>
      <c r="L94">
        <v>1</v>
      </c>
      <c r="M94" t="s">
        <v>52</v>
      </c>
      <c r="N94" t="s">
        <v>53</v>
      </c>
      <c r="R94">
        <v>0</v>
      </c>
      <c r="S94">
        <v>0.75</v>
      </c>
      <c r="T94">
        <v>0</v>
      </c>
      <c r="U94">
        <v>0</v>
      </c>
      <c r="W94" s="1">
        <v>46675</v>
      </c>
      <c r="X94" s="1">
        <v>46357</v>
      </c>
      <c r="Z94" t="s">
        <v>52</v>
      </c>
      <c r="AB94" t="s">
        <v>52</v>
      </c>
      <c r="AC94">
        <v>296</v>
      </c>
      <c r="AD94">
        <v>1</v>
      </c>
      <c r="AK94" t="s">
        <v>52</v>
      </c>
      <c r="AN94" t="s">
        <v>52</v>
      </c>
      <c r="AO94" t="s">
        <v>52</v>
      </c>
      <c r="AP94" t="s">
        <v>52</v>
      </c>
      <c r="AQ94" t="s">
        <v>52</v>
      </c>
      <c r="AR94" t="s">
        <v>55</v>
      </c>
    </row>
    <row r="95" spans="1:45" x14ac:dyDescent="0.25">
      <c r="A95" t="s">
        <v>47</v>
      </c>
      <c r="B95">
        <v>8</v>
      </c>
      <c r="C95" t="s">
        <v>101</v>
      </c>
      <c r="D95">
        <v>7</v>
      </c>
      <c r="E95" t="s">
        <v>70</v>
      </c>
      <c r="F95">
        <v>296</v>
      </c>
      <c r="G95" t="s">
        <v>74</v>
      </c>
      <c r="H95" t="s">
        <v>50</v>
      </c>
      <c r="K95" t="s">
        <v>51</v>
      </c>
      <c r="L95">
        <v>1</v>
      </c>
      <c r="M95" t="s">
        <v>52</v>
      </c>
      <c r="N95" t="s">
        <v>53</v>
      </c>
      <c r="R95">
        <v>0</v>
      </c>
      <c r="S95">
        <v>0.75</v>
      </c>
      <c r="T95">
        <v>0</v>
      </c>
      <c r="U95">
        <v>0</v>
      </c>
      <c r="W95" s="1">
        <v>46675</v>
      </c>
      <c r="X95" s="1">
        <v>46357</v>
      </c>
      <c r="Z95" t="s">
        <v>52</v>
      </c>
      <c r="AB95" t="s">
        <v>52</v>
      </c>
      <c r="AC95">
        <v>102</v>
      </c>
      <c r="AD95">
        <v>1</v>
      </c>
      <c r="AK95" t="s">
        <v>52</v>
      </c>
      <c r="AN95" t="s">
        <v>52</v>
      </c>
      <c r="AO95" t="s">
        <v>52</v>
      </c>
      <c r="AP95" t="s">
        <v>52</v>
      </c>
      <c r="AQ95" t="s">
        <v>52</v>
      </c>
      <c r="AR95" t="s">
        <v>55</v>
      </c>
    </row>
    <row r="96" spans="1:45" x14ac:dyDescent="0.25">
      <c r="A96" t="s">
        <v>47</v>
      </c>
      <c r="B96">
        <v>8</v>
      </c>
      <c r="C96" t="s">
        <v>101</v>
      </c>
      <c r="D96">
        <v>7</v>
      </c>
      <c r="E96" t="s">
        <v>70</v>
      </c>
      <c r="F96">
        <v>296</v>
      </c>
      <c r="G96" t="s">
        <v>74</v>
      </c>
      <c r="H96" t="s">
        <v>50</v>
      </c>
      <c r="K96" t="s">
        <v>52</v>
      </c>
      <c r="L96">
        <v>1</v>
      </c>
      <c r="M96" t="s">
        <v>52</v>
      </c>
      <c r="N96" t="s">
        <v>53</v>
      </c>
      <c r="R96">
        <v>0</v>
      </c>
      <c r="S96">
        <v>0.75</v>
      </c>
      <c r="T96">
        <v>0</v>
      </c>
      <c r="U96">
        <v>0</v>
      </c>
      <c r="W96" s="1">
        <v>46675</v>
      </c>
      <c r="X96" s="1">
        <v>46357</v>
      </c>
      <c r="Z96" t="s">
        <v>52</v>
      </c>
      <c r="AB96" t="s">
        <v>52</v>
      </c>
      <c r="AC96">
        <v>102</v>
      </c>
      <c r="AD96">
        <v>1</v>
      </c>
      <c r="AK96" t="s">
        <v>52</v>
      </c>
      <c r="AN96" t="s">
        <v>52</v>
      </c>
      <c r="AO96" t="s">
        <v>52</v>
      </c>
      <c r="AP96" t="s">
        <v>52</v>
      </c>
      <c r="AQ96" t="s">
        <v>52</v>
      </c>
      <c r="AR96" t="s">
        <v>55</v>
      </c>
    </row>
    <row r="97" spans="1:45" x14ac:dyDescent="0.25">
      <c r="A97" t="s">
        <v>47</v>
      </c>
      <c r="B97">
        <v>8</v>
      </c>
      <c r="C97" t="s">
        <v>101</v>
      </c>
      <c r="D97">
        <v>7</v>
      </c>
      <c r="E97" t="s">
        <v>75</v>
      </c>
      <c r="F97">
        <v>16</v>
      </c>
      <c r="G97" t="s">
        <v>76</v>
      </c>
      <c r="H97" t="s">
        <v>50</v>
      </c>
      <c r="K97" t="s">
        <v>51</v>
      </c>
      <c r="L97">
        <v>1</v>
      </c>
      <c r="M97" t="s">
        <v>52</v>
      </c>
      <c r="N97" t="s">
        <v>53</v>
      </c>
      <c r="R97">
        <v>0.5</v>
      </c>
      <c r="S97">
        <v>0.75</v>
      </c>
      <c r="T97">
        <v>0</v>
      </c>
      <c r="U97">
        <v>0</v>
      </c>
      <c r="V97" s="1">
        <v>46569</v>
      </c>
      <c r="W97" s="1">
        <v>46691</v>
      </c>
      <c r="X97" s="1">
        <v>46461</v>
      </c>
      <c r="Z97" t="s">
        <v>52</v>
      </c>
      <c r="AB97" t="s">
        <v>52</v>
      </c>
      <c r="AC97">
        <v>16</v>
      </c>
      <c r="AD97">
        <v>2</v>
      </c>
      <c r="AE97">
        <v>0.95</v>
      </c>
      <c r="AG97">
        <v>0.95</v>
      </c>
      <c r="AK97" t="s">
        <v>52</v>
      </c>
      <c r="AN97" t="s">
        <v>52</v>
      </c>
      <c r="AO97" t="s">
        <v>52</v>
      </c>
      <c r="AP97" t="s">
        <v>52</v>
      </c>
      <c r="AQ97" t="s">
        <v>52</v>
      </c>
      <c r="AR97" t="s">
        <v>55</v>
      </c>
      <c r="AS97" t="s">
        <v>60</v>
      </c>
    </row>
    <row r="98" spans="1:45" x14ac:dyDescent="0.25">
      <c r="A98" t="s">
        <v>47</v>
      </c>
      <c r="B98">
        <v>8</v>
      </c>
      <c r="C98" t="s">
        <v>101</v>
      </c>
      <c r="D98">
        <v>7</v>
      </c>
      <c r="E98" t="s">
        <v>75</v>
      </c>
      <c r="F98">
        <v>16</v>
      </c>
      <c r="G98" t="s">
        <v>76</v>
      </c>
      <c r="H98" t="s">
        <v>50</v>
      </c>
      <c r="K98" t="s">
        <v>52</v>
      </c>
      <c r="L98">
        <v>1</v>
      </c>
      <c r="M98" t="s">
        <v>52</v>
      </c>
      <c r="N98" t="s">
        <v>53</v>
      </c>
      <c r="R98">
        <v>0.5</v>
      </c>
      <c r="S98">
        <v>0.75</v>
      </c>
      <c r="T98">
        <v>0</v>
      </c>
      <c r="U98">
        <v>0</v>
      </c>
      <c r="V98" s="1">
        <v>46569</v>
      </c>
      <c r="W98" s="1">
        <v>46691</v>
      </c>
      <c r="X98" s="1">
        <v>46461</v>
      </c>
      <c r="Z98" t="s">
        <v>52</v>
      </c>
      <c r="AB98" t="s">
        <v>52</v>
      </c>
      <c r="AC98">
        <v>16</v>
      </c>
      <c r="AD98">
        <v>2</v>
      </c>
      <c r="AE98">
        <v>0.95</v>
      </c>
      <c r="AG98">
        <v>0.95</v>
      </c>
      <c r="AK98" t="s">
        <v>52</v>
      </c>
      <c r="AN98" t="s">
        <v>52</v>
      </c>
      <c r="AO98" t="s">
        <v>52</v>
      </c>
      <c r="AP98" t="s">
        <v>52</v>
      </c>
      <c r="AQ98" t="s">
        <v>52</v>
      </c>
      <c r="AR98" t="s">
        <v>55</v>
      </c>
      <c r="AS98" t="s">
        <v>60</v>
      </c>
    </row>
    <row r="99" spans="1:45" x14ac:dyDescent="0.25">
      <c r="A99" t="s">
        <v>47</v>
      </c>
      <c r="B99">
        <v>8</v>
      </c>
      <c r="C99" t="s">
        <v>101</v>
      </c>
      <c r="D99">
        <v>7</v>
      </c>
      <c r="E99" t="s">
        <v>77</v>
      </c>
      <c r="F99">
        <v>51</v>
      </c>
      <c r="G99" t="s">
        <v>78</v>
      </c>
      <c r="H99" t="s">
        <v>50</v>
      </c>
      <c r="K99" t="s">
        <v>51</v>
      </c>
      <c r="L99">
        <v>1</v>
      </c>
      <c r="M99" t="s">
        <v>52</v>
      </c>
      <c r="N99" t="s">
        <v>53</v>
      </c>
      <c r="R99">
        <v>0.5</v>
      </c>
      <c r="S99">
        <v>0.73</v>
      </c>
      <c r="T99">
        <v>0</v>
      </c>
      <c r="U99">
        <v>0</v>
      </c>
      <c r="V99" s="1">
        <v>46569</v>
      </c>
      <c r="W99" s="1">
        <v>46675</v>
      </c>
      <c r="X99" s="1">
        <v>46461</v>
      </c>
      <c r="Z99" t="s">
        <v>52</v>
      </c>
      <c r="AB99" t="s">
        <v>52</v>
      </c>
      <c r="AC99">
        <v>51</v>
      </c>
      <c r="AD99">
        <v>2</v>
      </c>
      <c r="AK99" t="s">
        <v>52</v>
      </c>
      <c r="AN99" t="s">
        <v>52</v>
      </c>
      <c r="AO99" t="s">
        <v>52</v>
      </c>
      <c r="AP99" t="s">
        <v>52</v>
      </c>
      <c r="AQ99" t="s">
        <v>52</v>
      </c>
      <c r="AR99" t="s">
        <v>55</v>
      </c>
      <c r="AS99" t="s">
        <v>60</v>
      </c>
    </row>
    <row r="100" spans="1:45" x14ac:dyDescent="0.25">
      <c r="A100" t="s">
        <v>47</v>
      </c>
      <c r="B100">
        <v>8</v>
      </c>
      <c r="C100" t="s">
        <v>101</v>
      </c>
      <c r="D100">
        <v>7</v>
      </c>
      <c r="E100" t="s">
        <v>84</v>
      </c>
      <c r="F100">
        <v>11</v>
      </c>
      <c r="G100" t="s">
        <v>85</v>
      </c>
      <c r="H100" t="s">
        <v>50</v>
      </c>
      <c r="K100" t="s">
        <v>51</v>
      </c>
      <c r="L100">
        <v>1</v>
      </c>
      <c r="M100" t="s">
        <v>52</v>
      </c>
      <c r="N100" t="s">
        <v>53</v>
      </c>
      <c r="R100">
        <v>0.5</v>
      </c>
      <c r="S100">
        <v>0.75</v>
      </c>
      <c r="T100">
        <v>0</v>
      </c>
      <c r="U100">
        <v>0</v>
      </c>
      <c r="V100" s="1">
        <v>46593</v>
      </c>
      <c r="W100" s="1">
        <v>46691</v>
      </c>
      <c r="X100" s="1">
        <v>46295</v>
      </c>
      <c r="Z100" t="s">
        <v>52</v>
      </c>
      <c r="AB100" t="s">
        <v>52</v>
      </c>
      <c r="AC100">
        <v>11</v>
      </c>
      <c r="AD100">
        <v>2</v>
      </c>
      <c r="AK100" t="s">
        <v>52</v>
      </c>
      <c r="AN100" t="s">
        <v>52</v>
      </c>
      <c r="AO100" t="s">
        <v>52</v>
      </c>
      <c r="AP100" t="s">
        <v>52</v>
      </c>
      <c r="AQ100" t="s">
        <v>52</v>
      </c>
      <c r="AR100" t="s">
        <v>55</v>
      </c>
      <c r="AS100" t="s">
        <v>60</v>
      </c>
    </row>
    <row r="101" spans="1:45" x14ac:dyDescent="0.25">
      <c r="A101" t="s">
        <v>47</v>
      </c>
      <c r="B101">
        <v>8</v>
      </c>
      <c r="C101" t="s">
        <v>101</v>
      </c>
      <c r="D101">
        <v>7</v>
      </c>
      <c r="E101" t="s">
        <v>84</v>
      </c>
      <c r="F101">
        <v>11</v>
      </c>
      <c r="G101" t="s">
        <v>85</v>
      </c>
      <c r="H101" t="s">
        <v>50</v>
      </c>
      <c r="K101" t="s">
        <v>52</v>
      </c>
      <c r="L101">
        <v>1</v>
      </c>
      <c r="M101" t="s">
        <v>52</v>
      </c>
      <c r="N101" t="s">
        <v>53</v>
      </c>
      <c r="R101">
        <v>0.5</v>
      </c>
      <c r="S101">
        <v>0.75</v>
      </c>
      <c r="T101">
        <v>0</v>
      </c>
      <c r="U101">
        <v>0</v>
      </c>
      <c r="V101" s="1">
        <v>46593</v>
      </c>
      <c r="W101" s="1">
        <v>46691</v>
      </c>
      <c r="X101" s="1">
        <v>46295</v>
      </c>
      <c r="Z101" t="s">
        <v>52</v>
      </c>
      <c r="AB101" t="s">
        <v>52</v>
      </c>
      <c r="AC101">
        <v>11</v>
      </c>
      <c r="AD101">
        <v>2</v>
      </c>
      <c r="AK101" t="s">
        <v>52</v>
      </c>
      <c r="AN101" t="s">
        <v>52</v>
      </c>
      <c r="AO101" t="s">
        <v>52</v>
      </c>
      <c r="AP101" t="s">
        <v>52</v>
      </c>
      <c r="AQ101" t="s">
        <v>52</v>
      </c>
      <c r="AR101" t="s">
        <v>55</v>
      </c>
      <c r="AS101" t="s">
        <v>60</v>
      </c>
    </row>
    <row r="102" spans="1:45" x14ac:dyDescent="0.25">
      <c r="A102" t="s">
        <v>47</v>
      </c>
      <c r="B102">
        <v>8</v>
      </c>
      <c r="C102" t="s">
        <v>101</v>
      </c>
      <c r="D102">
        <v>7</v>
      </c>
      <c r="E102" t="s">
        <v>84</v>
      </c>
      <c r="F102">
        <v>11</v>
      </c>
      <c r="G102" t="s">
        <v>96</v>
      </c>
      <c r="H102" t="s">
        <v>50</v>
      </c>
      <c r="K102" t="s">
        <v>51</v>
      </c>
      <c r="L102">
        <v>1</v>
      </c>
      <c r="M102" t="s">
        <v>52</v>
      </c>
      <c r="N102" t="s">
        <v>53</v>
      </c>
      <c r="R102">
        <v>0.5</v>
      </c>
      <c r="S102">
        <v>0.75</v>
      </c>
      <c r="T102">
        <v>0</v>
      </c>
      <c r="U102">
        <v>0</v>
      </c>
      <c r="V102" s="1">
        <v>46326</v>
      </c>
      <c r="W102" s="1">
        <v>46691</v>
      </c>
      <c r="X102" s="1">
        <v>46295</v>
      </c>
      <c r="Z102" t="s">
        <v>52</v>
      </c>
      <c r="AB102" t="s">
        <v>52</v>
      </c>
      <c r="AC102">
        <v>11</v>
      </c>
      <c r="AD102">
        <v>2</v>
      </c>
      <c r="AK102" t="s">
        <v>52</v>
      </c>
      <c r="AN102" t="s">
        <v>52</v>
      </c>
      <c r="AO102" t="s">
        <v>52</v>
      </c>
      <c r="AP102" t="s">
        <v>52</v>
      </c>
      <c r="AQ102" t="s">
        <v>52</v>
      </c>
      <c r="AR102" t="s">
        <v>55</v>
      </c>
      <c r="AS102" t="s">
        <v>60</v>
      </c>
    </row>
    <row r="103" spans="1:45" x14ac:dyDescent="0.25">
      <c r="A103" t="s">
        <v>47</v>
      </c>
      <c r="B103">
        <v>8</v>
      </c>
      <c r="C103" t="s">
        <v>101</v>
      </c>
      <c r="D103">
        <v>7</v>
      </c>
      <c r="E103" t="s">
        <v>84</v>
      </c>
      <c r="F103">
        <v>11</v>
      </c>
      <c r="G103" t="s">
        <v>96</v>
      </c>
      <c r="H103" t="s">
        <v>50</v>
      </c>
      <c r="K103" t="s">
        <v>52</v>
      </c>
      <c r="L103">
        <v>1</v>
      </c>
      <c r="M103" t="s">
        <v>52</v>
      </c>
      <c r="N103" t="s">
        <v>53</v>
      </c>
      <c r="R103">
        <v>0.5</v>
      </c>
      <c r="S103">
        <v>0.75</v>
      </c>
      <c r="T103">
        <v>0</v>
      </c>
      <c r="U103">
        <v>0</v>
      </c>
      <c r="V103" s="1">
        <v>46326</v>
      </c>
      <c r="W103" s="1">
        <v>46691</v>
      </c>
      <c r="X103" s="1">
        <v>46295</v>
      </c>
      <c r="Z103" t="s">
        <v>52</v>
      </c>
      <c r="AB103" t="s">
        <v>52</v>
      </c>
      <c r="AC103">
        <v>11</v>
      </c>
      <c r="AD103">
        <v>2</v>
      </c>
      <c r="AK103" t="s">
        <v>52</v>
      </c>
      <c r="AN103" t="s">
        <v>52</v>
      </c>
      <c r="AO103" t="s">
        <v>52</v>
      </c>
      <c r="AP103" t="s">
        <v>52</v>
      </c>
      <c r="AQ103" t="s">
        <v>52</v>
      </c>
      <c r="AR103" t="s">
        <v>55</v>
      </c>
      <c r="AS103" t="s">
        <v>60</v>
      </c>
    </row>
    <row r="104" spans="1:45" x14ac:dyDescent="0.25">
      <c r="A104" t="s">
        <v>47</v>
      </c>
      <c r="B104">
        <v>8</v>
      </c>
      <c r="C104" t="s">
        <v>102</v>
      </c>
      <c r="D104">
        <v>9</v>
      </c>
      <c r="E104" t="s">
        <v>49</v>
      </c>
      <c r="F104">
        <v>27</v>
      </c>
      <c r="H104" t="s">
        <v>50</v>
      </c>
      <c r="K104" t="s">
        <v>51</v>
      </c>
      <c r="L104">
        <v>1</v>
      </c>
      <c r="M104" t="s">
        <v>52</v>
      </c>
      <c r="N104" t="s">
        <v>53</v>
      </c>
      <c r="Q104">
        <v>230</v>
      </c>
      <c r="R104">
        <v>0</v>
      </c>
      <c r="S104">
        <v>0.75</v>
      </c>
      <c r="T104">
        <v>0</v>
      </c>
      <c r="U104">
        <v>0</v>
      </c>
      <c r="W104" s="1">
        <v>46675</v>
      </c>
      <c r="X104" s="1">
        <v>46357</v>
      </c>
      <c r="Y104" t="s">
        <v>54</v>
      </c>
      <c r="Z104" t="s">
        <v>52</v>
      </c>
      <c r="AB104" t="s">
        <v>52</v>
      </c>
      <c r="AC104">
        <v>27</v>
      </c>
      <c r="AD104">
        <v>1</v>
      </c>
      <c r="AE104">
        <v>0.97</v>
      </c>
      <c r="AG104">
        <v>0.97</v>
      </c>
      <c r="AK104" t="s">
        <v>52</v>
      </c>
      <c r="AN104" t="s">
        <v>52</v>
      </c>
      <c r="AO104" t="s">
        <v>52</v>
      </c>
      <c r="AP104" t="s">
        <v>52</v>
      </c>
      <c r="AQ104" t="s">
        <v>52</v>
      </c>
      <c r="AR104" t="s">
        <v>55</v>
      </c>
      <c r="AS104" t="s">
        <v>56</v>
      </c>
    </row>
    <row r="105" spans="1:45" x14ac:dyDescent="0.25">
      <c r="A105" t="s">
        <v>47</v>
      </c>
      <c r="B105">
        <v>8</v>
      </c>
      <c r="C105" t="s">
        <v>102</v>
      </c>
      <c r="D105">
        <v>9</v>
      </c>
      <c r="E105" t="s">
        <v>49</v>
      </c>
      <c r="F105">
        <v>27</v>
      </c>
      <c r="H105" t="s">
        <v>50</v>
      </c>
      <c r="K105" t="s">
        <v>52</v>
      </c>
      <c r="L105">
        <v>1</v>
      </c>
      <c r="M105" t="s">
        <v>52</v>
      </c>
      <c r="N105" t="s">
        <v>53</v>
      </c>
      <c r="Q105">
        <v>230</v>
      </c>
      <c r="R105">
        <v>0</v>
      </c>
      <c r="S105">
        <v>0.75</v>
      </c>
      <c r="T105">
        <v>0</v>
      </c>
      <c r="U105">
        <v>0</v>
      </c>
      <c r="W105" s="1">
        <v>46675</v>
      </c>
      <c r="X105" s="1">
        <v>46357</v>
      </c>
      <c r="Y105" t="s">
        <v>54</v>
      </c>
      <c r="Z105" t="s">
        <v>52</v>
      </c>
      <c r="AB105" t="s">
        <v>52</v>
      </c>
      <c r="AC105">
        <v>27</v>
      </c>
      <c r="AD105">
        <v>1</v>
      </c>
      <c r="AE105">
        <v>0.97</v>
      </c>
      <c r="AG105">
        <v>0.97</v>
      </c>
      <c r="AK105" t="s">
        <v>52</v>
      </c>
      <c r="AN105" t="s">
        <v>52</v>
      </c>
      <c r="AO105" t="s">
        <v>52</v>
      </c>
      <c r="AP105" t="s">
        <v>52</v>
      </c>
      <c r="AQ105" t="s">
        <v>52</v>
      </c>
      <c r="AR105" t="s">
        <v>55</v>
      </c>
      <c r="AS105" t="s">
        <v>57</v>
      </c>
    </row>
    <row r="106" spans="1:45" x14ac:dyDescent="0.25">
      <c r="A106" t="s">
        <v>47</v>
      </c>
      <c r="B106">
        <v>8</v>
      </c>
      <c r="C106" t="s">
        <v>102</v>
      </c>
      <c r="D106">
        <v>9</v>
      </c>
      <c r="E106" t="s">
        <v>87</v>
      </c>
      <c r="F106">
        <v>91</v>
      </c>
      <c r="G106" t="s">
        <v>76</v>
      </c>
      <c r="H106" t="s">
        <v>50</v>
      </c>
      <c r="K106" t="s">
        <v>51</v>
      </c>
      <c r="L106">
        <v>1</v>
      </c>
      <c r="M106" t="s">
        <v>52</v>
      </c>
      <c r="N106" t="s">
        <v>53</v>
      </c>
      <c r="R106">
        <v>0.77</v>
      </c>
      <c r="S106">
        <v>0.93</v>
      </c>
      <c r="U106">
        <v>0</v>
      </c>
      <c r="V106" s="1">
        <v>46497</v>
      </c>
      <c r="W106" s="1">
        <v>46599</v>
      </c>
      <c r="X106" s="1">
        <v>46295</v>
      </c>
      <c r="Z106" t="s">
        <v>52</v>
      </c>
      <c r="AB106" t="s">
        <v>52</v>
      </c>
      <c r="AC106">
        <v>91</v>
      </c>
      <c r="AD106">
        <v>2</v>
      </c>
      <c r="AK106" t="s">
        <v>52</v>
      </c>
      <c r="AN106" t="s">
        <v>52</v>
      </c>
      <c r="AO106" t="s">
        <v>52</v>
      </c>
      <c r="AP106" t="s">
        <v>52</v>
      </c>
      <c r="AQ106" t="s">
        <v>52</v>
      </c>
      <c r="AR106" t="s">
        <v>55</v>
      </c>
    </row>
    <row r="107" spans="1:45" x14ac:dyDescent="0.25">
      <c r="A107" t="s">
        <v>47</v>
      </c>
      <c r="B107">
        <v>8</v>
      </c>
      <c r="C107" t="s">
        <v>102</v>
      </c>
      <c r="D107">
        <v>9</v>
      </c>
      <c r="E107" t="s">
        <v>87</v>
      </c>
      <c r="F107">
        <v>91</v>
      </c>
      <c r="G107" t="s">
        <v>76</v>
      </c>
      <c r="H107" t="s">
        <v>50</v>
      </c>
      <c r="K107" t="s">
        <v>52</v>
      </c>
      <c r="L107">
        <v>1</v>
      </c>
      <c r="M107" t="s">
        <v>52</v>
      </c>
      <c r="N107" t="s">
        <v>53</v>
      </c>
      <c r="R107">
        <v>0.77</v>
      </c>
      <c r="S107">
        <v>0.93</v>
      </c>
      <c r="U107">
        <v>0</v>
      </c>
      <c r="V107" s="1">
        <v>46497</v>
      </c>
      <c r="W107" s="1">
        <v>46599</v>
      </c>
      <c r="X107" s="1">
        <v>46295</v>
      </c>
      <c r="Z107" t="s">
        <v>52</v>
      </c>
      <c r="AB107" t="s">
        <v>52</v>
      </c>
      <c r="AC107">
        <v>91</v>
      </c>
      <c r="AD107">
        <v>2</v>
      </c>
      <c r="AK107" t="s">
        <v>52</v>
      </c>
      <c r="AN107" t="s">
        <v>52</v>
      </c>
      <c r="AO107" t="s">
        <v>52</v>
      </c>
      <c r="AP107" t="s">
        <v>52</v>
      </c>
      <c r="AQ107" t="s">
        <v>52</v>
      </c>
      <c r="AR107" t="s">
        <v>55</v>
      </c>
    </row>
    <row r="108" spans="1:45" x14ac:dyDescent="0.25">
      <c r="A108" t="s">
        <v>47</v>
      </c>
      <c r="B108">
        <v>8</v>
      </c>
      <c r="C108" t="s">
        <v>102</v>
      </c>
      <c r="D108">
        <v>9</v>
      </c>
      <c r="E108" t="s">
        <v>87</v>
      </c>
      <c r="F108">
        <v>91</v>
      </c>
      <c r="G108" t="s">
        <v>103</v>
      </c>
      <c r="H108" t="s">
        <v>50</v>
      </c>
      <c r="K108" t="s">
        <v>51</v>
      </c>
      <c r="L108">
        <v>1</v>
      </c>
      <c r="M108" t="s">
        <v>52</v>
      </c>
      <c r="N108" t="s">
        <v>53</v>
      </c>
      <c r="R108">
        <v>0.77</v>
      </c>
      <c r="S108">
        <v>0.93</v>
      </c>
      <c r="U108">
        <v>0</v>
      </c>
      <c r="V108" s="1">
        <v>46326</v>
      </c>
      <c r="W108" s="1">
        <v>46599</v>
      </c>
      <c r="X108" s="1">
        <v>46295</v>
      </c>
      <c r="Z108" t="s">
        <v>52</v>
      </c>
      <c r="AB108" t="s">
        <v>52</v>
      </c>
      <c r="AC108">
        <v>91</v>
      </c>
      <c r="AD108">
        <v>2</v>
      </c>
      <c r="AK108" t="s">
        <v>52</v>
      </c>
      <c r="AN108" t="s">
        <v>52</v>
      </c>
      <c r="AO108" t="s">
        <v>52</v>
      </c>
      <c r="AP108" t="s">
        <v>52</v>
      </c>
      <c r="AQ108" t="s">
        <v>52</v>
      </c>
      <c r="AR108" t="s">
        <v>55</v>
      </c>
    </row>
    <row r="109" spans="1:45" x14ac:dyDescent="0.25">
      <c r="A109" t="s">
        <v>47</v>
      </c>
      <c r="B109">
        <v>8</v>
      </c>
      <c r="C109" t="s">
        <v>102</v>
      </c>
      <c r="D109">
        <v>9</v>
      </c>
      <c r="E109" t="s">
        <v>87</v>
      </c>
      <c r="F109">
        <v>91</v>
      </c>
      <c r="G109" t="s">
        <v>103</v>
      </c>
      <c r="H109" t="s">
        <v>50</v>
      </c>
      <c r="K109" t="s">
        <v>52</v>
      </c>
      <c r="L109">
        <v>1</v>
      </c>
      <c r="M109" t="s">
        <v>52</v>
      </c>
      <c r="N109" t="s">
        <v>53</v>
      </c>
      <c r="R109">
        <v>0.77</v>
      </c>
      <c r="S109">
        <v>0.93</v>
      </c>
      <c r="U109">
        <v>0</v>
      </c>
      <c r="V109" s="1">
        <v>46326</v>
      </c>
      <c r="W109" s="1">
        <v>46599</v>
      </c>
      <c r="X109" s="1">
        <v>46295</v>
      </c>
      <c r="Z109" t="s">
        <v>52</v>
      </c>
      <c r="AB109" t="s">
        <v>52</v>
      </c>
      <c r="AC109">
        <v>91</v>
      </c>
      <c r="AD109">
        <v>2</v>
      </c>
      <c r="AK109" t="s">
        <v>52</v>
      </c>
      <c r="AN109" t="s">
        <v>52</v>
      </c>
      <c r="AO109" t="s">
        <v>52</v>
      </c>
      <c r="AP109" t="s">
        <v>52</v>
      </c>
      <c r="AQ109" t="s">
        <v>52</v>
      </c>
      <c r="AR109" t="s">
        <v>55</v>
      </c>
    </row>
    <row r="110" spans="1:45" x14ac:dyDescent="0.25">
      <c r="A110" t="s">
        <v>47</v>
      </c>
      <c r="B110">
        <v>8</v>
      </c>
      <c r="C110" t="s">
        <v>102</v>
      </c>
      <c r="D110">
        <v>9</v>
      </c>
      <c r="E110" t="s">
        <v>58</v>
      </c>
      <c r="F110">
        <v>102</v>
      </c>
      <c r="G110" t="s">
        <v>104</v>
      </c>
      <c r="H110" t="s">
        <v>50</v>
      </c>
      <c r="K110" t="s">
        <v>51</v>
      </c>
      <c r="L110">
        <v>1</v>
      </c>
      <c r="M110" t="s">
        <v>52</v>
      </c>
      <c r="N110" t="s">
        <v>53</v>
      </c>
      <c r="R110">
        <v>0</v>
      </c>
      <c r="S110">
        <v>0.92</v>
      </c>
      <c r="T110">
        <v>0</v>
      </c>
      <c r="U110">
        <v>0</v>
      </c>
      <c r="W110" s="1">
        <v>46731</v>
      </c>
      <c r="X110" s="1">
        <v>46357</v>
      </c>
      <c r="Z110" t="s">
        <v>52</v>
      </c>
      <c r="AB110" t="s">
        <v>52</v>
      </c>
      <c r="AC110">
        <v>102</v>
      </c>
      <c r="AD110">
        <v>1</v>
      </c>
      <c r="AK110" t="s">
        <v>52</v>
      </c>
      <c r="AN110" t="s">
        <v>52</v>
      </c>
      <c r="AO110" t="s">
        <v>52</v>
      </c>
      <c r="AP110" t="s">
        <v>52</v>
      </c>
      <c r="AQ110" t="s">
        <v>52</v>
      </c>
      <c r="AR110" t="s">
        <v>55</v>
      </c>
    </row>
    <row r="111" spans="1:45" x14ac:dyDescent="0.25">
      <c r="A111" t="s">
        <v>47</v>
      </c>
      <c r="B111">
        <v>8</v>
      </c>
      <c r="C111" t="s">
        <v>102</v>
      </c>
      <c r="D111">
        <v>9</v>
      </c>
      <c r="E111" t="s">
        <v>58</v>
      </c>
      <c r="F111">
        <v>102</v>
      </c>
      <c r="G111" t="s">
        <v>62</v>
      </c>
      <c r="H111" t="s">
        <v>50</v>
      </c>
      <c r="K111" t="s">
        <v>51</v>
      </c>
      <c r="L111">
        <v>1</v>
      </c>
      <c r="M111" t="s">
        <v>52</v>
      </c>
      <c r="N111" t="s">
        <v>53</v>
      </c>
      <c r="R111">
        <v>0</v>
      </c>
      <c r="S111">
        <v>0.92</v>
      </c>
      <c r="T111">
        <v>0</v>
      </c>
      <c r="U111">
        <v>0</v>
      </c>
      <c r="W111" s="1">
        <v>46731</v>
      </c>
      <c r="X111" s="1">
        <v>46357</v>
      </c>
      <c r="Z111" t="s">
        <v>52</v>
      </c>
      <c r="AB111" t="s">
        <v>52</v>
      </c>
      <c r="AC111">
        <v>102</v>
      </c>
      <c r="AD111">
        <v>1</v>
      </c>
      <c r="AK111" t="s">
        <v>52</v>
      </c>
      <c r="AN111" t="s">
        <v>52</v>
      </c>
      <c r="AO111" t="s">
        <v>52</v>
      </c>
      <c r="AP111" t="s">
        <v>52</v>
      </c>
      <c r="AQ111" t="s">
        <v>52</v>
      </c>
      <c r="AR111" t="s">
        <v>55</v>
      </c>
    </row>
    <row r="112" spans="1:45" x14ac:dyDescent="0.25">
      <c r="A112" t="s">
        <v>47</v>
      </c>
      <c r="B112">
        <v>8</v>
      </c>
      <c r="C112" t="s">
        <v>102</v>
      </c>
      <c r="D112">
        <v>9</v>
      </c>
      <c r="E112" t="s">
        <v>58</v>
      </c>
      <c r="F112">
        <v>102</v>
      </c>
      <c r="G112" t="s">
        <v>62</v>
      </c>
      <c r="H112" t="s">
        <v>50</v>
      </c>
      <c r="K112" t="s">
        <v>52</v>
      </c>
      <c r="L112">
        <v>1</v>
      </c>
      <c r="M112" t="s">
        <v>52</v>
      </c>
      <c r="N112" t="s">
        <v>53</v>
      </c>
      <c r="R112">
        <v>0</v>
      </c>
      <c r="S112">
        <v>0.92</v>
      </c>
      <c r="T112">
        <v>0</v>
      </c>
      <c r="U112">
        <v>0</v>
      </c>
      <c r="W112" s="1">
        <v>46731</v>
      </c>
      <c r="X112" s="1">
        <v>46357</v>
      </c>
      <c r="Z112" t="s">
        <v>52</v>
      </c>
      <c r="AB112" t="s">
        <v>52</v>
      </c>
      <c r="AC112">
        <v>102</v>
      </c>
      <c r="AD112">
        <v>1</v>
      </c>
      <c r="AK112" t="s">
        <v>52</v>
      </c>
      <c r="AN112" t="s">
        <v>52</v>
      </c>
      <c r="AO112" t="s">
        <v>52</v>
      </c>
      <c r="AP112" t="s">
        <v>52</v>
      </c>
      <c r="AQ112" t="s">
        <v>52</v>
      </c>
      <c r="AR112" t="s">
        <v>55</v>
      </c>
    </row>
    <row r="113" spans="1:45" x14ac:dyDescent="0.25">
      <c r="A113" t="s">
        <v>47</v>
      </c>
      <c r="B113">
        <v>8</v>
      </c>
      <c r="C113" t="s">
        <v>102</v>
      </c>
      <c r="D113">
        <v>9</v>
      </c>
      <c r="E113" t="s">
        <v>68</v>
      </c>
      <c r="F113">
        <v>80</v>
      </c>
      <c r="G113" t="s">
        <v>69</v>
      </c>
      <c r="H113" t="s">
        <v>50</v>
      </c>
      <c r="K113" t="s">
        <v>51</v>
      </c>
      <c r="L113">
        <v>1</v>
      </c>
      <c r="M113" t="s">
        <v>52</v>
      </c>
      <c r="N113" t="s">
        <v>53</v>
      </c>
      <c r="R113">
        <v>0.5</v>
      </c>
      <c r="S113">
        <v>0.75</v>
      </c>
      <c r="T113">
        <v>0</v>
      </c>
      <c r="U113">
        <v>0</v>
      </c>
      <c r="V113" s="1">
        <v>46600</v>
      </c>
      <c r="W113" s="1">
        <v>46675</v>
      </c>
      <c r="X113" s="1">
        <v>46461</v>
      </c>
      <c r="Z113" t="s">
        <v>52</v>
      </c>
      <c r="AB113" t="s">
        <v>52</v>
      </c>
      <c r="AC113">
        <v>80</v>
      </c>
      <c r="AD113">
        <v>1</v>
      </c>
      <c r="AK113" t="s">
        <v>52</v>
      </c>
      <c r="AN113" t="s">
        <v>52</v>
      </c>
      <c r="AO113" t="s">
        <v>52</v>
      </c>
      <c r="AP113" t="s">
        <v>52</v>
      </c>
      <c r="AQ113" t="s">
        <v>52</v>
      </c>
      <c r="AR113" t="s">
        <v>55</v>
      </c>
    </row>
    <row r="114" spans="1:45" x14ac:dyDescent="0.25">
      <c r="A114" t="s">
        <v>47</v>
      </c>
      <c r="B114">
        <v>8</v>
      </c>
      <c r="C114" t="s">
        <v>102</v>
      </c>
      <c r="D114">
        <v>9</v>
      </c>
      <c r="E114" t="s">
        <v>68</v>
      </c>
      <c r="F114">
        <v>80</v>
      </c>
      <c r="G114" t="s">
        <v>69</v>
      </c>
      <c r="H114" t="s">
        <v>50</v>
      </c>
      <c r="K114" t="s">
        <v>52</v>
      </c>
      <c r="L114">
        <v>1</v>
      </c>
      <c r="M114" t="s">
        <v>52</v>
      </c>
      <c r="N114" t="s">
        <v>53</v>
      </c>
      <c r="R114">
        <v>0.5</v>
      </c>
      <c r="S114">
        <v>0.75</v>
      </c>
      <c r="T114">
        <v>0</v>
      </c>
      <c r="U114">
        <v>0</v>
      </c>
      <c r="V114" s="1">
        <v>46600</v>
      </c>
      <c r="W114" s="1">
        <v>46675</v>
      </c>
      <c r="X114" s="1">
        <v>46461</v>
      </c>
      <c r="Z114" t="s">
        <v>52</v>
      </c>
      <c r="AB114" t="s">
        <v>52</v>
      </c>
      <c r="AC114">
        <v>80</v>
      </c>
      <c r="AD114">
        <v>1</v>
      </c>
      <c r="AK114" t="s">
        <v>52</v>
      </c>
      <c r="AN114" t="s">
        <v>52</v>
      </c>
      <c r="AO114" t="s">
        <v>52</v>
      </c>
      <c r="AP114" t="s">
        <v>52</v>
      </c>
      <c r="AQ114" t="s">
        <v>52</v>
      </c>
      <c r="AR114" t="s">
        <v>55</v>
      </c>
    </row>
    <row r="115" spans="1:45" x14ac:dyDescent="0.25">
      <c r="A115" t="s">
        <v>47</v>
      </c>
      <c r="B115">
        <v>8</v>
      </c>
      <c r="C115" t="s">
        <v>102</v>
      </c>
      <c r="D115">
        <v>9</v>
      </c>
      <c r="E115" t="s">
        <v>68</v>
      </c>
      <c r="F115">
        <v>80</v>
      </c>
      <c r="G115" t="s">
        <v>105</v>
      </c>
      <c r="H115" t="s">
        <v>50</v>
      </c>
      <c r="K115" t="s">
        <v>51</v>
      </c>
      <c r="L115">
        <v>1</v>
      </c>
      <c r="M115" t="s">
        <v>52</v>
      </c>
      <c r="N115" t="s">
        <v>53</v>
      </c>
      <c r="R115">
        <v>0.5</v>
      </c>
      <c r="S115">
        <v>0.75</v>
      </c>
      <c r="U115">
        <v>0</v>
      </c>
      <c r="V115" s="1">
        <v>46600</v>
      </c>
      <c r="W115" s="1">
        <v>46675</v>
      </c>
      <c r="X115" s="1">
        <v>46461</v>
      </c>
      <c r="Z115" t="s">
        <v>52</v>
      </c>
      <c r="AB115" t="s">
        <v>52</v>
      </c>
      <c r="AC115">
        <v>80</v>
      </c>
      <c r="AD115">
        <v>1</v>
      </c>
      <c r="AK115" t="s">
        <v>52</v>
      </c>
      <c r="AN115" t="s">
        <v>52</v>
      </c>
      <c r="AO115" t="s">
        <v>52</v>
      </c>
      <c r="AP115" t="s">
        <v>52</v>
      </c>
      <c r="AQ115" t="s">
        <v>52</v>
      </c>
      <c r="AR115" t="s">
        <v>55</v>
      </c>
    </row>
    <row r="116" spans="1:45" x14ac:dyDescent="0.25">
      <c r="A116" t="s">
        <v>47</v>
      </c>
      <c r="B116">
        <v>8</v>
      </c>
      <c r="C116" t="s">
        <v>102</v>
      </c>
      <c r="D116">
        <v>9</v>
      </c>
      <c r="E116" t="s">
        <v>68</v>
      </c>
      <c r="F116">
        <v>80</v>
      </c>
      <c r="G116" t="s">
        <v>105</v>
      </c>
      <c r="H116" t="s">
        <v>50</v>
      </c>
      <c r="K116" t="s">
        <v>52</v>
      </c>
      <c r="L116">
        <v>1</v>
      </c>
      <c r="M116" t="s">
        <v>52</v>
      </c>
      <c r="N116" t="s">
        <v>53</v>
      </c>
      <c r="R116">
        <v>0.5</v>
      </c>
      <c r="S116">
        <v>0.75</v>
      </c>
      <c r="U116">
        <v>0</v>
      </c>
      <c r="V116" s="1">
        <v>46600</v>
      </c>
      <c r="W116" s="1">
        <v>46675</v>
      </c>
      <c r="X116" s="1">
        <v>46461</v>
      </c>
      <c r="Z116" t="s">
        <v>52</v>
      </c>
      <c r="AB116" t="s">
        <v>52</v>
      </c>
      <c r="AC116">
        <v>80</v>
      </c>
      <c r="AD116">
        <v>1</v>
      </c>
      <c r="AK116" t="s">
        <v>52</v>
      </c>
      <c r="AN116" t="s">
        <v>52</v>
      </c>
      <c r="AO116" t="s">
        <v>52</v>
      </c>
      <c r="AP116" t="s">
        <v>52</v>
      </c>
      <c r="AQ116" t="s">
        <v>52</v>
      </c>
      <c r="AR116" t="s">
        <v>55</v>
      </c>
    </row>
    <row r="117" spans="1:45" x14ac:dyDescent="0.25">
      <c r="A117" t="s">
        <v>47</v>
      </c>
      <c r="B117">
        <v>8</v>
      </c>
      <c r="C117" t="s">
        <v>102</v>
      </c>
      <c r="D117">
        <v>9</v>
      </c>
      <c r="E117" t="s">
        <v>70</v>
      </c>
      <c r="F117">
        <v>296</v>
      </c>
      <c r="G117" t="s">
        <v>71</v>
      </c>
      <c r="H117" t="s">
        <v>50</v>
      </c>
      <c r="K117" t="s">
        <v>51</v>
      </c>
      <c r="L117">
        <v>1</v>
      </c>
      <c r="M117" t="s">
        <v>52</v>
      </c>
      <c r="N117" t="s">
        <v>53</v>
      </c>
      <c r="Q117">
        <v>224.33330000000001</v>
      </c>
      <c r="R117">
        <v>0</v>
      </c>
      <c r="S117">
        <v>0.75</v>
      </c>
      <c r="T117">
        <v>0</v>
      </c>
      <c r="U117">
        <v>0</v>
      </c>
      <c r="W117" s="1">
        <v>46691</v>
      </c>
      <c r="X117" s="1">
        <v>46357</v>
      </c>
      <c r="Y117" t="s">
        <v>54</v>
      </c>
      <c r="Z117" t="s">
        <v>52</v>
      </c>
      <c r="AB117" t="s">
        <v>52</v>
      </c>
      <c r="AC117">
        <v>296</v>
      </c>
      <c r="AD117">
        <v>1</v>
      </c>
      <c r="AK117" t="s">
        <v>52</v>
      </c>
      <c r="AN117" t="s">
        <v>52</v>
      </c>
      <c r="AO117" t="s">
        <v>52</v>
      </c>
      <c r="AP117" t="s">
        <v>52</v>
      </c>
      <c r="AQ117" t="s">
        <v>52</v>
      </c>
      <c r="AR117" t="s">
        <v>55</v>
      </c>
    </row>
    <row r="118" spans="1:45" x14ac:dyDescent="0.25">
      <c r="A118" t="s">
        <v>47</v>
      </c>
      <c r="B118">
        <v>8</v>
      </c>
      <c r="C118" t="s">
        <v>102</v>
      </c>
      <c r="D118">
        <v>9</v>
      </c>
      <c r="E118" t="s">
        <v>70</v>
      </c>
      <c r="F118">
        <v>296</v>
      </c>
      <c r="G118" t="s">
        <v>71</v>
      </c>
      <c r="H118" t="s">
        <v>50</v>
      </c>
      <c r="K118" t="s">
        <v>52</v>
      </c>
      <c r="L118">
        <v>1</v>
      </c>
      <c r="M118" t="s">
        <v>52</v>
      </c>
      <c r="N118" t="s">
        <v>53</v>
      </c>
      <c r="Q118">
        <v>224.33330000000001</v>
      </c>
      <c r="R118">
        <v>0</v>
      </c>
      <c r="S118">
        <v>0.75</v>
      </c>
      <c r="T118">
        <v>0</v>
      </c>
      <c r="U118">
        <v>0</v>
      </c>
      <c r="W118" s="1">
        <v>46691</v>
      </c>
      <c r="X118" s="1">
        <v>46357</v>
      </c>
      <c r="Y118" t="s">
        <v>54</v>
      </c>
      <c r="Z118" t="s">
        <v>52</v>
      </c>
      <c r="AB118" t="s">
        <v>52</v>
      </c>
      <c r="AC118">
        <v>296</v>
      </c>
      <c r="AD118">
        <v>1</v>
      </c>
      <c r="AK118" t="s">
        <v>52</v>
      </c>
      <c r="AN118" t="s">
        <v>52</v>
      </c>
      <c r="AO118" t="s">
        <v>52</v>
      </c>
      <c r="AP118" t="s">
        <v>52</v>
      </c>
      <c r="AQ118" t="s">
        <v>52</v>
      </c>
      <c r="AR118" t="s">
        <v>55</v>
      </c>
    </row>
    <row r="119" spans="1:45" x14ac:dyDescent="0.25">
      <c r="A119" t="s">
        <v>47</v>
      </c>
      <c r="B119">
        <v>8</v>
      </c>
      <c r="C119" t="s">
        <v>102</v>
      </c>
      <c r="D119">
        <v>9</v>
      </c>
      <c r="E119" t="s">
        <v>70</v>
      </c>
      <c r="F119">
        <v>296</v>
      </c>
      <c r="G119" t="s">
        <v>72</v>
      </c>
      <c r="H119" t="s">
        <v>50</v>
      </c>
      <c r="K119" t="s">
        <v>51</v>
      </c>
      <c r="L119">
        <v>1</v>
      </c>
      <c r="M119" t="s">
        <v>52</v>
      </c>
      <c r="N119" t="s">
        <v>53</v>
      </c>
      <c r="R119">
        <v>0.5</v>
      </c>
      <c r="S119">
        <v>0.75</v>
      </c>
      <c r="U119">
        <v>0</v>
      </c>
      <c r="V119" s="1">
        <v>46497</v>
      </c>
      <c r="W119" s="1">
        <v>46691</v>
      </c>
      <c r="X119" s="1">
        <v>46357</v>
      </c>
      <c r="Z119" t="s">
        <v>52</v>
      </c>
      <c r="AB119" t="s">
        <v>52</v>
      </c>
      <c r="AC119">
        <v>296</v>
      </c>
      <c r="AD119">
        <v>1</v>
      </c>
      <c r="AK119" t="s">
        <v>52</v>
      </c>
      <c r="AN119" t="s">
        <v>52</v>
      </c>
      <c r="AO119" t="s">
        <v>52</v>
      </c>
      <c r="AP119" t="s">
        <v>52</v>
      </c>
      <c r="AQ119" t="s">
        <v>52</v>
      </c>
      <c r="AR119" t="s">
        <v>55</v>
      </c>
    </row>
    <row r="120" spans="1:45" x14ac:dyDescent="0.25">
      <c r="A120" t="s">
        <v>47</v>
      </c>
      <c r="B120">
        <v>8</v>
      </c>
      <c r="C120" t="s">
        <v>102</v>
      </c>
      <c r="D120">
        <v>9</v>
      </c>
      <c r="E120" t="s">
        <v>70</v>
      </c>
      <c r="F120">
        <v>296</v>
      </c>
      <c r="G120" t="s">
        <v>72</v>
      </c>
      <c r="H120" t="s">
        <v>50</v>
      </c>
      <c r="K120" t="s">
        <v>52</v>
      </c>
      <c r="L120">
        <v>1</v>
      </c>
      <c r="M120" t="s">
        <v>52</v>
      </c>
      <c r="N120" t="s">
        <v>53</v>
      </c>
      <c r="R120">
        <v>0.5</v>
      </c>
      <c r="S120">
        <v>0.75</v>
      </c>
      <c r="U120">
        <v>0</v>
      </c>
      <c r="V120" s="1">
        <v>46497</v>
      </c>
      <c r="W120" s="1">
        <v>46691</v>
      </c>
      <c r="X120" s="1">
        <v>46357</v>
      </c>
      <c r="Z120" t="s">
        <v>52</v>
      </c>
      <c r="AB120" t="s">
        <v>52</v>
      </c>
      <c r="AC120">
        <v>296</v>
      </c>
      <c r="AD120">
        <v>1</v>
      </c>
      <c r="AK120" t="s">
        <v>52</v>
      </c>
      <c r="AN120" t="s">
        <v>52</v>
      </c>
      <c r="AO120" t="s">
        <v>52</v>
      </c>
      <c r="AP120" t="s">
        <v>52</v>
      </c>
      <c r="AQ120" t="s">
        <v>52</v>
      </c>
      <c r="AR120" t="s">
        <v>55</v>
      </c>
    </row>
    <row r="121" spans="1:45" x14ac:dyDescent="0.25">
      <c r="A121" t="s">
        <v>47</v>
      </c>
      <c r="B121">
        <v>8</v>
      </c>
      <c r="C121" t="s">
        <v>102</v>
      </c>
      <c r="D121">
        <v>9</v>
      </c>
      <c r="E121" t="s">
        <v>70</v>
      </c>
      <c r="F121">
        <v>296</v>
      </c>
      <c r="G121" t="s">
        <v>74</v>
      </c>
      <c r="H121" t="s">
        <v>50</v>
      </c>
      <c r="K121" t="s">
        <v>52</v>
      </c>
      <c r="L121">
        <v>1</v>
      </c>
      <c r="M121" t="s">
        <v>52</v>
      </c>
      <c r="N121" t="s">
        <v>53</v>
      </c>
      <c r="R121">
        <v>0</v>
      </c>
      <c r="S121">
        <v>0.75</v>
      </c>
      <c r="U121">
        <v>0</v>
      </c>
      <c r="W121" s="1">
        <v>46691</v>
      </c>
      <c r="X121" s="1">
        <v>46357</v>
      </c>
      <c r="Z121" t="s">
        <v>52</v>
      </c>
      <c r="AB121" t="s">
        <v>52</v>
      </c>
      <c r="AC121">
        <v>102</v>
      </c>
      <c r="AD121">
        <v>1</v>
      </c>
      <c r="AK121" t="s">
        <v>52</v>
      </c>
      <c r="AN121" t="s">
        <v>52</v>
      </c>
      <c r="AO121" t="s">
        <v>52</v>
      </c>
      <c r="AP121" t="s">
        <v>52</v>
      </c>
      <c r="AQ121" t="s">
        <v>52</v>
      </c>
      <c r="AR121" t="s">
        <v>55</v>
      </c>
      <c r="AS121" t="s">
        <v>106</v>
      </c>
    </row>
    <row r="122" spans="1:45" x14ac:dyDescent="0.25">
      <c r="A122" t="s">
        <v>47</v>
      </c>
      <c r="B122">
        <v>8</v>
      </c>
      <c r="C122" t="s">
        <v>102</v>
      </c>
      <c r="D122">
        <v>9</v>
      </c>
      <c r="E122" t="s">
        <v>70</v>
      </c>
      <c r="F122">
        <v>296</v>
      </c>
      <c r="G122" t="s">
        <v>92</v>
      </c>
      <c r="H122" t="s">
        <v>50</v>
      </c>
      <c r="K122" t="s">
        <v>51</v>
      </c>
      <c r="L122">
        <v>1</v>
      </c>
      <c r="M122" t="s">
        <v>52</v>
      </c>
      <c r="N122" t="s">
        <v>53</v>
      </c>
      <c r="R122">
        <v>0.5</v>
      </c>
      <c r="S122">
        <v>0.75</v>
      </c>
      <c r="T122">
        <v>0</v>
      </c>
      <c r="U122">
        <v>0</v>
      </c>
      <c r="V122" s="1">
        <v>46583</v>
      </c>
      <c r="W122" s="1">
        <v>46675</v>
      </c>
      <c r="X122" s="1">
        <v>46357</v>
      </c>
      <c r="Z122" t="s">
        <v>52</v>
      </c>
      <c r="AB122" t="s">
        <v>52</v>
      </c>
      <c r="AC122">
        <v>102</v>
      </c>
      <c r="AD122">
        <v>1</v>
      </c>
      <c r="AK122" t="s">
        <v>52</v>
      </c>
      <c r="AN122" t="s">
        <v>52</v>
      </c>
      <c r="AO122" t="s">
        <v>52</v>
      </c>
      <c r="AP122" t="s">
        <v>52</v>
      </c>
      <c r="AQ122" t="s">
        <v>52</v>
      </c>
      <c r="AR122" t="s">
        <v>55</v>
      </c>
    </row>
    <row r="123" spans="1:45" x14ac:dyDescent="0.25">
      <c r="A123" t="s">
        <v>47</v>
      </c>
      <c r="B123">
        <v>8</v>
      </c>
      <c r="C123" t="s">
        <v>102</v>
      </c>
      <c r="D123">
        <v>9</v>
      </c>
      <c r="E123" t="s">
        <v>70</v>
      </c>
      <c r="F123">
        <v>296</v>
      </c>
      <c r="G123" t="s">
        <v>92</v>
      </c>
      <c r="H123" t="s">
        <v>50</v>
      </c>
      <c r="K123" t="s">
        <v>52</v>
      </c>
      <c r="L123">
        <v>1</v>
      </c>
      <c r="M123" t="s">
        <v>52</v>
      </c>
      <c r="N123" t="s">
        <v>53</v>
      </c>
      <c r="R123">
        <v>0.5</v>
      </c>
      <c r="S123">
        <v>0.75</v>
      </c>
      <c r="T123">
        <v>0</v>
      </c>
      <c r="U123">
        <v>0</v>
      </c>
      <c r="V123" s="1">
        <v>46583</v>
      </c>
      <c r="W123" s="1">
        <v>46675</v>
      </c>
      <c r="X123" s="1">
        <v>46357</v>
      </c>
      <c r="Z123" t="s">
        <v>52</v>
      </c>
      <c r="AB123" t="s">
        <v>52</v>
      </c>
      <c r="AC123">
        <v>102</v>
      </c>
      <c r="AD123">
        <v>1</v>
      </c>
      <c r="AK123" t="s">
        <v>52</v>
      </c>
      <c r="AN123" t="s">
        <v>52</v>
      </c>
      <c r="AO123" t="s">
        <v>52</v>
      </c>
      <c r="AP123" t="s">
        <v>52</v>
      </c>
      <c r="AQ123" t="s">
        <v>52</v>
      </c>
      <c r="AR123" t="s">
        <v>55</v>
      </c>
    </row>
    <row r="124" spans="1:45" x14ac:dyDescent="0.25">
      <c r="A124" t="s">
        <v>47</v>
      </c>
      <c r="B124">
        <v>8</v>
      </c>
      <c r="C124" t="s">
        <v>102</v>
      </c>
      <c r="D124">
        <v>9</v>
      </c>
      <c r="E124" t="s">
        <v>75</v>
      </c>
      <c r="F124">
        <v>16</v>
      </c>
      <c r="G124" t="s">
        <v>76</v>
      </c>
      <c r="H124" t="s">
        <v>50</v>
      </c>
      <c r="K124" t="s">
        <v>51</v>
      </c>
      <c r="L124">
        <v>1</v>
      </c>
      <c r="M124" t="s">
        <v>52</v>
      </c>
      <c r="N124" t="s">
        <v>53</v>
      </c>
      <c r="R124">
        <v>0.5</v>
      </c>
      <c r="S124">
        <v>0.75</v>
      </c>
      <c r="T124">
        <v>0</v>
      </c>
      <c r="U124">
        <v>0</v>
      </c>
      <c r="V124" s="1">
        <v>46497</v>
      </c>
      <c r="W124" s="1">
        <v>46599</v>
      </c>
      <c r="X124" s="1">
        <v>46461</v>
      </c>
      <c r="Z124" t="s">
        <v>52</v>
      </c>
      <c r="AB124" t="s">
        <v>52</v>
      </c>
      <c r="AC124">
        <v>16</v>
      </c>
      <c r="AD124">
        <v>2</v>
      </c>
      <c r="AK124" t="s">
        <v>52</v>
      </c>
      <c r="AN124" t="s">
        <v>52</v>
      </c>
      <c r="AO124" t="s">
        <v>52</v>
      </c>
      <c r="AP124" t="s">
        <v>52</v>
      </c>
      <c r="AQ124" t="s">
        <v>52</v>
      </c>
      <c r="AR124" t="s">
        <v>55</v>
      </c>
    </row>
    <row r="125" spans="1:45" x14ac:dyDescent="0.25">
      <c r="A125" t="s">
        <v>47</v>
      </c>
      <c r="B125">
        <v>8</v>
      </c>
      <c r="C125" t="s">
        <v>102</v>
      </c>
      <c r="D125">
        <v>9</v>
      </c>
      <c r="E125" t="s">
        <v>75</v>
      </c>
      <c r="F125">
        <v>16</v>
      </c>
      <c r="G125" t="s">
        <v>76</v>
      </c>
      <c r="H125" t="s">
        <v>50</v>
      </c>
      <c r="K125" t="s">
        <v>52</v>
      </c>
      <c r="L125">
        <v>1</v>
      </c>
      <c r="M125" t="s">
        <v>52</v>
      </c>
      <c r="N125" t="s">
        <v>53</v>
      </c>
      <c r="R125">
        <v>0.5</v>
      </c>
      <c r="S125">
        <v>0.75</v>
      </c>
      <c r="T125">
        <v>0</v>
      </c>
      <c r="U125">
        <v>0</v>
      </c>
      <c r="V125" s="1">
        <v>46497</v>
      </c>
      <c r="W125" s="1">
        <v>46599</v>
      </c>
      <c r="X125" s="1">
        <v>46461</v>
      </c>
      <c r="Z125" t="s">
        <v>52</v>
      </c>
      <c r="AB125" t="s">
        <v>52</v>
      </c>
      <c r="AC125">
        <v>16</v>
      </c>
      <c r="AD125">
        <v>2</v>
      </c>
      <c r="AK125" t="s">
        <v>52</v>
      </c>
      <c r="AN125" t="s">
        <v>52</v>
      </c>
      <c r="AO125" t="s">
        <v>52</v>
      </c>
      <c r="AP125" t="s">
        <v>52</v>
      </c>
      <c r="AQ125" t="s">
        <v>52</v>
      </c>
      <c r="AR125" t="s">
        <v>55</v>
      </c>
    </row>
    <row r="126" spans="1:45" x14ac:dyDescent="0.25">
      <c r="A126" t="s">
        <v>47</v>
      </c>
      <c r="B126">
        <v>8</v>
      </c>
      <c r="C126" t="s">
        <v>102</v>
      </c>
      <c r="D126">
        <v>9</v>
      </c>
      <c r="E126" t="s">
        <v>93</v>
      </c>
      <c r="F126">
        <v>94</v>
      </c>
      <c r="H126" t="s">
        <v>50</v>
      </c>
      <c r="K126" t="s">
        <v>52</v>
      </c>
      <c r="L126">
        <v>1</v>
      </c>
      <c r="M126" t="s">
        <v>52</v>
      </c>
      <c r="N126" t="s">
        <v>53</v>
      </c>
      <c r="R126">
        <v>0.77</v>
      </c>
      <c r="S126">
        <v>0.93</v>
      </c>
      <c r="U126">
        <v>0</v>
      </c>
      <c r="V126" s="1">
        <v>46326</v>
      </c>
      <c r="W126" s="1">
        <v>46599</v>
      </c>
      <c r="X126" s="1">
        <v>46266</v>
      </c>
      <c r="Z126" t="s">
        <v>52</v>
      </c>
      <c r="AB126" t="s">
        <v>52</v>
      </c>
      <c r="AC126">
        <v>94</v>
      </c>
      <c r="AD126">
        <v>2</v>
      </c>
      <c r="AK126" t="s">
        <v>52</v>
      </c>
      <c r="AN126" t="s">
        <v>52</v>
      </c>
      <c r="AO126" t="s">
        <v>52</v>
      </c>
      <c r="AP126" t="s">
        <v>52</v>
      </c>
      <c r="AQ126" t="s">
        <v>52</v>
      </c>
      <c r="AR126" t="s">
        <v>55</v>
      </c>
    </row>
    <row r="127" spans="1:45" x14ac:dyDescent="0.25">
      <c r="A127" t="s">
        <v>47</v>
      </c>
      <c r="B127">
        <v>8</v>
      </c>
      <c r="C127" t="s">
        <v>102</v>
      </c>
      <c r="D127">
        <v>9</v>
      </c>
      <c r="E127" t="s">
        <v>77</v>
      </c>
      <c r="F127">
        <v>51</v>
      </c>
      <c r="G127" t="s">
        <v>78</v>
      </c>
      <c r="H127" t="s">
        <v>50</v>
      </c>
      <c r="K127" t="s">
        <v>51</v>
      </c>
      <c r="L127">
        <v>1</v>
      </c>
      <c r="M127" t="s">
        <v>52</v>
      </c>
      <c r="N127" t="s">
        <v>53</v>
      </c>
      <c r="R127">
        <v>0.5</v>
      </c>
      <c r="S127">
        <v>0.73</v>
      </c>
      <c r="T127">
        <v>0</v>
      </c>
      <c r="U127">
        <v>0</v>
      </c>
      <c r="V127" s="1">
        <v>46569</v>
      </c>
      <c r="W127" s="1">
        <v>46675</v>
      </c>
      <c r="X127" s="1">
        <v>46461</v>
      </c>
      <c r="Z127" t="s">
        <v>52</v>
      </c>
      <c r="AB127" t="s">
        <v>52</v>
      </c>
      <c r="AC127">
        <v>51</v>
      </c>
      <c r="AD127">
        <v>2</v>
      </c>
      <c r="AK127" t="s">
        <v>52</v>
      </c>
      <c r="AN127" t="s">
        <v>52</v>
      </c>
      <c r="AO127" t="s">
        <v>52</v>
      </c>
      <c r="AP127" t="s">
        <v>52</v>
      </c>
      <c r="AQ127" t="s">
        <v>52</v>
      </c>
      <c r="AR127" t="s">
        <v>55</v>
      </c>
    </row>
    <row r="128" spans="1:45" x14ac:dyDescent="0.25">
      <c r="A128" t="s">
        <v>47</v>
      </c>
      <c r="B128">
        <v>8</v>
      </c>
      <c r="C128" t="s">
        <v>102</v>
      </c>
      <c r="D128">
        <v>9</v>
      </c>
      <c r="E128" t="s">
        <v>77</v>
      </c>
      <c r="F128">
        <v>51</v>
      </c>
      <c r="G128" t="s">
        <v>78</v>
      </c>
      <c r="H128" t="s">
        <v>50</v>
      </c>
      <c r="K128" t="s">
        <v>52</v>
      </c>
      <c r="L128">
        <v>1</v>
      </c>
      <c r="M128" t="s">
        <v>52</v>
      </c>
      <c r="N128" t="s">
        <v>53</v>
      </c>
      <c r="R128">
        <v>0.5</v>
      </c>
      <c r="S128">
        <v>0.73</v>
      </c>
      <c r="T128">
        <v>0</v>
      </c>
      <c r="U128">
        <v>0</v>
      </c>
      <c r="V128" s="1">
        <v>46569</v>
      </c>
      <c r="W128" s="1">
        <v>46675</v>
      </c>
      <c r="X128" s="1">
        <v>46461</v>
      </c>
      <c r="Z128" t="s">
        <v>52</v>
      </c>
      <c r="AB128" t="s">
        <v>52</v>
      </c>
      <c r="AC128">
        <v>51</v>
      </c>
      <c r="AD128">
        <v>2</v>
      </c>
      <c r="AK128" t="s">
        <v>52</v>
      </c>
      <c r="AN128" t="s">
        <v>52</v>
      </c>
      <c r="AO128" t="s">
        <v>52</v>
      </c>
      <c r="AP128" t="s">
        <v>52</v>
      </c>
      <c r="AQ128" t="s">
        <v>52</v>
      </c>
      <c r="AR128" t="s">
        <v>55</v>
      </c>
    </row>
    <row r="129" spans="1:45" x14ac:dyDescent="0.25">
      <c r="A129" t="s">
        <v>47</v>
      </c>
      <c r="B129">
        <v>8</v>
      </c>
      <c r="C129" t="s">
        <v>102</v>
      </c>
      <c r="D129">
        <v>9</v>
      </c>
      <c r="E129" t="s">
        <v>79</v>
      </c>
      <c r="F129">
        <v>50</v>
      </c>
      <c r="G129" t="s">
        <v>81</v>
      </c>
      <c r="H129" t="s">
        <v>50</v>
      </c>
      <c r="K129" t="s">
        <v>51</v>
      </c>
      <c r="L129">
        <v>1</v>
      </c>
      <c r="M129" t="s">
        <v>52</v>
      </c>
      <c r="N129" t="s">
        <v>53</v>
      </c>
      <c r="R129">
        <v>0.5</v>
      </c>
      <c r="S129">
        <v>0.75</v>
      </c>
      <c r="T129">
        <v>0</v>
      </c>
      <c r="U129">
        <v>0</v>
      </c>
      <c r="V129" s="1">
        <v>46583</v>
      </c>
      <c r="W129" s="1">
        <v>46752</v>
      </c>
      <c r="X129" s="1">
        <v>46461</v>
      </c>
      <c r="Z129" t="s">
        <v>52</v>
      </c>
      <c r="AB129" t="s">
        <v>52</v>
      </c>
      <c r="AC129">
        <v>50</v>
      </c>
      <c r="AD129">
        <v>1</v>
      </c>
      <c r="AK129" t="s">
        <v>52</v>
      </c>
      <c r="AN129" t="s">
        <v>52</v>
      </c>
      <c r="AO129" t="s">
        <v>52</v>
      </c>
      <c r="AP129" t="s">
        <v>52</v>
      </c>
      <c r="AQ129" t="s">
        <v>52</v>
      </c>
      <c r="AR129" t="s">
        <v>55</v>
      </c>
    </row>
    <row r="130" spans="1:45" x14ac:dyDescent="0.25">
      <c r="A130" t="s">
        <v>47</v>
      </c>
      <c r="B130">
        <v>8</v>
      </c>
      <c r="C130" t="s">
        <v>102</v>
      </c>
      <c r="D130">
        <v>9</v>
      </c>
      <c r="E130" t="s">
        <v>79</v>
      </c>
      <c r="F130">
        <v>50</v>
      </c>
      <c r="G130" t="s">
        <v>81</v>
      </c>
      <c r="H130" t="s">
        <v>50</v>
      </c>
      <c r="K130" t="s">
        <v>52</v>
      </c>
      <c r="L130">
        <v>1</v>
      </c>
      <c r="M130" t="s">
        <v>52</v>
      </c>
      <c r="N130" t="s">
        <v>53</v>
      </c>
      <c r="R130">
        <v>0.5</v>
      </c>
      <c r="S130">
        <v>0.75</v>
      </c>
      <c r="T130">
        <v>0</v>
      </c>
      <c r="U130">
        <v>0</v>
      </c>
      <c r="V130" s="1">
        <v>46583</v>
      </c>
      <c r="W130" s="1">
        <v>46752</v>
      </c>
      <c r="X130" s="1">
        <v>46461</v>
      </c>
      <c r="Z130" t="s">
        <v>52</v>
      </c>
      <c r="AB130" t="s">
        <v>52</v>
      </c>
      <c r="AC130">
        <v>50</v>
      </c>
      <c r="AD130">
        <v>1</v>
      </c>
      <c r="AK130" t="s">
        <v>52</v>
      </c>
      <c r="AN130" t="s">
        <v>52</v>
      </c>
      <c r="AO130" t="s">
        <v>52</v>
      </c>
      <c r="AP130" t="s">
        <v>52</v>
      </c>
      <c r="AQ130" t="s">
        <v>52</v>
      </c>
      <c r="AR130" t="s">
        <v>55</v>
      </c>
    </row>
    <row r="131" spans="1:45" x14ac:dyDescent="0.25">
      <c r="A131" t="s">
        <v>47</v>
      </c>
      <c r="B131">
        <v>8</v>
      </c>
      <c r="C131" t="s">
        <v>102</v>
      </c>
      <c r="D131">
        <v>9</v>
      </c>
      <c r="E131" t="s">
        <v>82</v>
      </c>
      <c r="F131">
        <v>52</v>
      </c>
      <c r="H131" t="s">
        <v>50</v>
      </c>
      <c r="K131" t="s">
        <v>51</v>
      </c>
      <c r="L131">
        <v>1</v>
      </c>
      <c r="M131" t="s">
        <v>52</v>
      </c>
      <c r="N131" t="s">
        <v>53</v>
      </c>
      <c r="R131">
        <v>0.5</v>
      </c>
      <c r="S131">
        <v>0.75</v>
      </c>
      <c r="U131">
        <v>0</v>
      </c>
      <c r="V131" s="1">
        <v>46569</v>
      </c>
      <c r="W131" s="1">
        <v>46752</v>
      </c>
      <c r="X131" s="1">
        <v>46461</v>
      </c>
      <c r="Z131" t="s">
        <v>52</v>
      </c>
      <c r="AB131" t="s">
        <v>52</v>
      </c>
      <c r="AC131">
        <v>50</v>
      </c>
      <c r="AD131">
        <v>1</v>
      </c>
      <c r="AK131" t="s">
        <v>52</v>
      </c>
      <c r="AN131" t="s">
        <v>52</v>
      </c>
      <c r="AO131" t="s">
        <v>52</v>
      </c>
      <c r="AP131" t="s">
        <v>52</v>
      </c>
      <c r="AQ131" t="s">
        <v>52</v>
      </c>
      <c r="AR131" t="s">
        <v>55</v>
      </c>
      <c r="AS131" t="s">
        <v>107</v>
      </c>
    </row>
    <row r="132" spans="1:45" x14ac:dyDescent="0.25">
      <c r="A132" t="s">
        <v>47</v>
      </c>
      <c r="B132">
        <v>8</v>
      </c>
      <c r="C132" t="s">
        <v>102</v>
      </c>
      <c r="D132">
        <v>9</v>
      </c>
      <c r="E132" t="s">
        <v>82</v>
      </c>
      <c r="F132">
        <v>52</v>
      </c>
      <c r="H132" t="s">
        <v>50</v>
      </c>
      <c r="K132" t="s">
        <v>52</v>
      </c>
      <c r="L132">
        <v>1</v>
      </c>
      <c r="M132" t="s">
        <v>52</v>
      </c>
      <c r="N132" t="s">
        <v>53</v>
      </c>
      <c r="R132">
        <v>0.5</v>
      </c>
      <c r="S132">
        <v>0.75</v>
      </c>
      <c r="U132">
        <v>0</v>
      </c>
      <c r="V132" s="1">
        <v>46569</v>
      </c>
      <c r="W132" s="1">
        <v>46752</v>
      </c>
      <c r="X132" s="1">
        <v>46461</v>
      </c>
      <c r="Z132" t="s">
        <v>52</v>
      </c>
      <c r="AB132" t="s">
        <v>52</v>
      </c>
      <c r="AC132">
        <v>50</v>
      </c>
      <c r="AD132">
        <v>1</v>
      </c>
      <c r="AK132" t="s">
        <v>52</v>
      </c>
      <c r="AN132" t="s">
        <v>52</v>
      </c>
      <c r="AO132" t="s">
        <v>52</v>
      </c>
      <c r="AP132" t="s">
        <v>52</v>
      </c>
      <c r="AQ132" t="s">
        <v>52</v>
      </c>
      <c r="AR132" t="s">
        <v>55</v>
      </c>
    </row>
    <row r="133" spans="1:45" x14ac:dyDescent="0.25">
      <c r="A133" t="s">
        <v>47</v>
      </c>
      <c r="B133">
        <v>8</v>
      </c>
      <c r="C133" t="s">
        <v>102</v>
      </c>
      <c r="D133">
        <v>9</v>
      </c>
      <c r="E133" t="s">
        <v>83</v>
      </c>
      <c r="F133">
        <v>158</v>
      </c>
      <c r="H133" t="s">
        <v>50</v>
      </c>
      <c r="K133" t="s">
        <v>51</v>
      </c>
      <c r="L133">
        <v>1</v>
      </c>
      <c r="M133" t="s">
        <v>52</v>
      </c>
      <c r="N133" t="s">
        <v>53</v>
      </c>
      <c r="P133">
        <v>1.63</v>
      </c>
      <c r="R133">
        <v>0.77</v>
      </c>
      <c r="S133">
        <v>0.93</v>
      </c>
      <c r="T133">
        <v>0</v>
      </c>
      <c r="U133">
        <v>0</v>
      </c>
      <c r="V133" s="1">
        <v>46371</v>
      </c>
      <c r="W133" s="1">
        <v>46599</v>
      </c>
      <c r="X133" s="1">
        <v>46266</v>
      </c>
      <c r="Z133" t="s">
        <v>52</v>
      </c>
      <c r="AA133" t="s">
        <v>54</v>
      </c>
      <c r="AB133" t="s">
        <v>52</v>
      </c>
      <c r="AC133">
        <v>158</v>
      </c>
      <c r="AD133">
        <v>2</v>
      </c>
      <c r="AK133" t="s">
        <v>52</v>
      </c>
      <c r="AN133" t="s">
        <v>52</v>
      </c>
      <c r="AO133" t="s">
        <v>52</v>
      </c>
      <c r="AP133" t="s">
        <v>52</v>
      </c>
      <c r="AQ133" t="s">
        <v>52</v>
      </c>
      <c r="AR133" t="s">
        <v>95</v>
      </c>
    </row>
    <row r="134" spans="1:45" x14ac:dyDescent="0.25">
      <c r="A134" t="s">
        <v>47</v>
      </c>
      <c r="B134">
        <v>8</v>
      </c>
      <c r="C134" t="s">
        <v>102</v>
      </c>
      <c r="D134">
        <v>9</v>
      </c>
      <c r="E134" t="s">
        <v>83</v>
      </c>
      <c r="F134">
        <v>158</v>
      </c>
      <c r="H134" t="s">
        <v>50</v>
      </c>
      <c r="K134" t="s">
        <v>52</v>
      </c>
      <c r="L134">
        <v>1</v>
      </c>
      <c r="M134" t="s">
        <v>52</v>
      </c>
      <c r="N134" t="s">
        <v>53</v>
      </c>
      <c r="R134">
        <v>0.77</v>
      </c>
      <c r="S134">
        <v>0.93</v>
      </c>
      <c r="T134">
        <v>0</v>
      </c>
      <c r="U134">
        <v>0</v>
      </c>
      <c r="V134" s="1">
        <v>46371</v>
      </c>
      <c r="W134" s="1">
        <v>46599</v>
      </c>
      <c r="X134" s="1">
        <v>46266</v>
      </c>
      <c r="Z134" t="s">
        <v>52</v>
      </c>
      <c r="AB134" t="s">
        <v>52</v>
      </c>
      <c r="AC134">
        <v>158</v>
      </c>
      <c r="AD134">
        <v>2</v>
      </c>
      <c r="AK134" t="s">
        <v>52</v>
      </c>
      <c r="AN134" t="s">
        <v>52</v>
      </c>
      <c r="AO134" t="s">
        <v>52</v>
      </c>
      <c r="AP134" t="s">
        <v>52</v>
      </c>
      <c r="AQ134" t="s">
        <v>52</v>
      </c>
      <c r="AR134" t="s">
        <v>55</v>
      </c>
    </row>
    <row r="135" spans="1:45" x14ac:dyDescent="0.25">
      <c r="A135" t="s">
        <v>47</v>
      </c>
      <c r="B135">
        <v>8</v>
      </c>
      <c r="C135" t="s">
        <v>102</v>
      </c>
      <c r="D135">
        <v>9</v>
      </c>
      <c r="E135" t="s">
        <v>84</v>
      </c>
      <c r="F135">
        <v>11</v>
      </c>
      <c r="G135" t="s">
        <v>96</v>
      </c>
      <c r="H135" t="s">
        <v>50</v>
      </c>
      <c r="K135" t="s">
        <v>51</v>
      </c>
      <c r="L135">
        <v>1</v>
      </c>
      <c r="M135" t="s">
        <v>52</v>
      </c>
      <c r="N135" t="s">
        <v>53</v>
      </c>
      <c r="R135">
        <v>0.5</v>
      </c>
      <c r="S135">
        <v>0.75</v>
      </c>
      <c r="T135">
        <v>0</v>
      </c>
      <c r="U135">
        <v>0</v>
      </c>
      <c r="V135" s="1">
        <v>46300</v>
      </c>
      <c r="W135" s="1">
        <v>46599</v>
      </c>
      <c r="X135" s="1">
        <v>46295</v>
      </c>
      <c r="Z135" t="s">
        <v>52</v>
      </c>
      <c r="AB135" t="s">
        <v>52</v>
      </c>
      <c r="AC135">
        <v>11</v>
      </c>
      <c r="AD135">
        <v>2</v>
      </c>
      <c r="AK135" t="s">
        <v>52</v>
      </c>
      <c r="AN135" t="s">
        <v>52</v>
      </c>
      <c r="AO135" t="s">
        <v>52</v>
      </c>
      <c r="AP135" t="s">
        <v>52</v>
      </c>
      <c r="AQ135" t="s">
        <v>52</v>
      </c>
      <c r="AR135" t="s">
        <v>55</v>
      </c>
    </row>
    <row r="136" spans="1:45" x14ac:dyDescent="0.25">
      <c r="A136" t="s">
        <v>47</v>
      </c>
      <c r="B136">
        <v>8</v>
      </c>
      <c r="C136" t="s">
        <v>102</v>
      </c>
      <c r="D136">
        <v>9</v>
      </c>
      <c r="E136" t="s">
        <v>84</v>
      </c>
      <c r="F136">
        <v>11</v>
      </c>
      <c r="G136" t="s">
        <v>108</v>
      </c>
      <c r="H136" t="s">
        <v>50</v>
      </c>
      <c r="K136" t="s">
        <v>51</v>
      </c>
      <c r="L136">
        <v>1</v>
      </c>
      <c r="M136" t="s">
        <v>52</v>
      </c>
      <c r="N136" t="s">
        <v>53</v>
      </c>
      <c r="R136">
        <v>0.5</v>
      </c>
      <c r="S136">
        <v>0.75</v>
      </c>
      <c r="U136">
        <v>0</v>
      </c>
      <c r="V136" s="1">
        <v>46300</v>
      </c>
      <c r="W136" s="1">
        <v>46599</v>
      </c>
      <c r="X136" s="1">
        <v>46295</v>
      </c>
      <c r="Z136" t="s">
        <v>52</v>
      </c>
      <c r="AB136" t="s">
        <v>52</v>
      </c>
      <c r="AC136">
        <v>11</v>
      </c>
      <c r="AD136">
        <v>2</v>
      </c>
      <c r="AK136" t="s">
        <v>52</v>
      </c>
      <c r="AN136" t="s">
        <v>52</v>
      </c>
      <c r="AO136" t="s">
        <v>52</v>
      </c>
      <c r="AP136" t="s">
        <v>52</v>
      </c>
      <c r="AQ136" t="s">
        <v>52</v>
      </c>
      <c r="AR136" t="s">
        <v>55</v>
      </c>
    </row>
    <row r="137" spans="1:45" x14ac:dyDescent="0.25">
      <c r="A137" t="s">
        <v>47</v>
      </c>
      <c r="B137">
        <v>8</v>
      </c>
      <c r="C137" t="s">
        <v>102</v>
      </c>
      <c r="D137">
        <v>9</v>
      </c>
      <c r="E137" t="s">
        <v>84</v>
      </c>
      <c r="F137">
        <v>11</v>
      </c>
      <c r="G137" t="s">
        <v>108</v>
      </c>
      <c r="H137" t="s">
        <v>50</v>
      </c>
      <c r="K137" t="s">
        <v>52</v>
      </c>
      <c r="L137">
        <v>1</v>
      </c>
      <c r="M137" t="s">
        <v>52</v>
      </c>
      <c r="N137" t="s">
        <v>53</v>
      </c>
      <c r="R137">
        <v>0.5</v>
      </c>
      <c r="S137">
        <v>0.75</v>
      </c>
      <c r="U137">
        <v>0</v>
      </c>
      <c r="V137" s="1">
        <v>46300</v>
      </c>
      <c r="W137" s="1">
        <v>46599</v>
      </c>
      <c r="X137" s="1">
        <v>46295</v>
      </c>
      <c r="Z137" t="s">
        <v>52</v>
      </c>
      <c r="AB137" t="s">
        <v>52</v>
      </c>
      <c r="AC137">
        <v>11</v>
      </c>
      <c r="AD137">
        <v>2</v>
      </c>
      <c r="AK137" t="s">
        <v>52</v>
      </c>
      <c r="AN137" t="s">
        <v>52</v>
      </c>
      <c r="AO137" t="s">
        <v>52</v>
      </c>
      <c r="AP137" t="s">
        <v>52</v>
      </c>
      <c r="AQ137" t="s">
        <v>52</v>
      </c>
      <c r="AR137" t="s">
        <v>55</v>
      </c>
    </row>
    <row r="138" spans="1:45" x14ac:dyDescent="0.25">
      <c r="A138" t="s">
        <v>47</v>
      </c>
      <c r="B138">
        <v>8</v>
      </c>
      <c r="C138" t="s">
        <v>109</v>
      </c>
      <c r="D138">
        <v>11</v>
      </c>
      <c r="E138" t="s">
        <v>49</v>
      </c>
      <c r="F138">
        <v>27</v>
      </c>
      <c r="H138" t="s">
        <v>50</v>
      </c>
      <c r="K138" t="s">
        <v>51</v>
      </c>
      <c r="L138">
        <v>1</v>
      </c>
      <c r="M138" t="s">
        <v>52</v>
      </c>
      <c r="N138" t="s">
        <v>53</v>
      </c>
      <c r="Q138">
        <v>230</v>
      </c>
      <c r="R138">
        <v>0</v>
      </c>
      <c r="S138">
        <v>0.75</v>
      </c>
      <c r="T138">
        <v>0</v>
      </c>
      <c r="U138">
        <v>0</v>
      </c>
      <c r="W138" s="1">
        <v>46675</v>
      </c>
      <c r="X138" s="1">
        <v>46357</v>
      </c>
      <c r="Y138" t="s">
        <v>54</v>
      </c>
      <c r="Z138" t="s">
        <v>52</v>
      </c>
      <c r="AB138" t="s">
        <v>52</v>
      </c>
      <c r="AC138">
        <v>27</v>
      </c>
      <c r="AD138">
        <v>1</v>
      </c>
      <c r="AE138">
        <v>0.97</v>
      </c>
      <c r="AG138">
        <v>0.97</v>
      </c>
      <c r="AK138" t="s">
        <v>52</v>
      </c>
      <c r="AN138" t="s">
        <v>52</v>
      </c>
      <c r="AO138" t="s">
        <v>52</v>
      </c>
      <c r="AP138" t="s">
        <v>52</v>
      </c>
      <c r="AQ138" t="s">
        <v>52</v>
      </c>
      <c r="AR138" t="s">
        <v>55</v>
      </c>
      <c r="AS138" t="s">
        <v>56</v>
      </c>
    </row>
    <row r="139" spans="1:45" x14ac:dyDescent="0.25">
      <c r="A139" t="s">
        <v>47</v>
      </c>
      <c r="B139">
        <v>8</v>
      </c>
      <c r="C139" t="s">
        <v>109</v>
      </c>
      <c r="D139">
        <v>11</v>
      </c>
      <c r="E139" t="s">
        <v>49</v>
      </c>
      <c r="F139">
        <v>27</v>
      </c>
      <c r="H139" t="s">
        <v>50</v>
      </c>
      <c r="K139" t="s">
        <v>52</v>
      </c>
      <c r="L139">
        <v>1</v>
      </c>
      <c r="M139" t="s">
        <v>52</v>
      </c>
      <c r="N139" t="s">
        <v>53</v>
      </c>
      <c r="Q139">
        <v>230</v>
      </c>
      <c r="R139">
        <v>0</v>
      </c>
      <c r="S139">
        <v>0.75</v>
      </c>
      <c r="T139">
        <v>0</v>
      </c>
      <c r="U139">
        <v>0</v>
      </c>
      <c r="W139" s="1">
        <v>46675</v>
      </c>
      <c r="X139" s="1">
        <v>46357</v>
      </c>
      <c r="Y139" t="s">
        <v>54</v>
      </c>
      <c r="Z139" t="s">
        <v>52</v>
      </c>
      <c r="AB139" t="s">
        <v>52</v>
      </c>
      <c r="AC139">
        <v>27</v>
      </c>
      <c r="AD139">
        <v>1</v>
      </c>
      <c r="AE139">
        <v>0.97</v>
      </c>
      <c r="AG139">
        <v>0.97</v>
      </c>
      <c r="AK139" t="s">
        <v>52</v>
      </c>
      <c r="AN139" t="s">
        <v>52</v>
      </c>
      <c r="AO139" t="s">
        <v>52</v>
      </c>
      <c r="AP139" t="s">
        <v>52</v>
      </c>
      <c r="AQ139" t="s">
        <v>52</v>
      </c>
      <c r="AR139" t="s">
        <v>55</v>
      </c>
      <c r="AS139" t="s">
        <v>57</v>
      </c>
    </row>
    <row r="140" spans="1:45" x14ac:dyDescent="0.25">
      <c r="A140" t="s">
        <v>47</v>
      </c>
      <c r="B140">
        <v>8</v>
      </c>
      <c r="C140" t="s">
        <v>109</v>
      </c>
      <c r="D140">
        <v>11</v>
      </c>
      <c r="E140" t="s">
        <v>110</v>
      </c>
      <c r="F140">
        <v>265</v>
      </c>
      <c r="G140" t="s">
        <v>111</v>
      </c>
      <c r="H140" t="s">
        <v>50</v>
      </c>
      <c r="K140" t="s">
        <v>51</v>
      </c>
      <c r="L140">
        <v>1</v>
      </c>
      <c r="M140" t="s">
        <v>52</v>
      </c>
      <c r="N140" t="s">
        <v>53</v>
      </c>
      <c r="R140">
        <v>0</v>
      </c>
      <c r="S140">
        <v>0.87</v>
      </c>
      <c r="T140">
        <v>0</v>
      </c>
      <c r="U140">
        <v>0</v>
      </c>
      <c r="W140" s="1">
        <v>46675</v>
      </c>
      <c r="X140" s="1">
        <v>46357</v>
      </c>
      <c r="Z140" t="s">
        <v>52</v>
      </c>
      <c r="AB140" t="s">
        <v>52</v>
      </c>
      <c r="AC140">
        <v>102</v>
      </c>
      <c r="AD140">
        <v>1</v>
      </c>
      <c r="AK140" t="s">
        <v>52</v>
      </c>
      <c r="AN140" t="s">
        <v>52</v>
      </c>
      <c r="AO140" t="s">
        <v>52</v>
      </c>
      <c r="AP140" t="s">
        <v>52</v>
      </c>
      <c r="AQ140" t="s">
        <v>52</v>
      </c>
      <c r="AR140" t="s">
        <v>55</v>
      </c>
      <c r="AS140" t="s">
        <v>60</v>
      </c>
    </row>
    <row r="141" spans="1:45" x14ac:dyDescent="0.25">
      <c r="A141" t="s">
        <v>47</v>
      </c>
      <c r="B141">
        <v>8</v>
      </c>
      <c r="C141" t="s">
        <v>109</v>
      </c>
      <c r="D141">
        <v>11</v>
      </c>
      <c r="E141" t="s">
        <v>110</v>
      </c>
      <c r="F141">
        <v>265</v>
      </c>
      <c r="G141" t="s">
        <v>111</v>
      </c>
      <c r="H141" t="s">
        <v>50</v>
      </c>
      <c r="K141" t="s">
        <v>52</v>
      </c>
      <c r="L141">
        <v>1</v>
      </c>
      <c r="M141" t="s">
        <v>52</v>
      </c>
      <c r="N141" t="s">
        <v>53</v>
      </c>
      <c r="R141">
        <v>0</v>
      </c>
      <c r="S141">
        <v>0.87</v>
      </c>
      <c r="T141">
        <v>0</v>
      </c>
      <c r="U141">
        <v>0</v>
      </c>
      <c r="W141" s="1">
        <v>46675</v>
      </c>
      <c r="X141" s="1">
        <v>46357</v>
      </c>
      <c r="Z141" t="s">
        <v>52</v>
      </c>
      <c r="AB141" t="s">
        <v>52</v>
      </c>
      <c r="AC141">
        <v>102</v>
      </c>
      <c r="AD141">
        <v>1</v>
      </c>
      <c r="AK141" t="s">
        <v>52</v>
      </c>
      <c r="AN141" t="s">
        <v>52</v>
      </c>
      <c r="AO141" t="s">
        <v>52</v>
      </c>
      <c r="AP141" t="s">
        <v>52</v>
      </c>
      <c r="AQ141" t="s">
        <v>52</v>
      </c>
      <c r="AR141" t="s">
        <v>55</v>
      </c>
      <c r="AS141" t="s">
        <v>60</v>
      </c>
    </row>
    <row r="142" spans="1:45" x14ac:dyDescent="0.25">
      <c r="A142" t="s">
        <v>47</v>
      </c>
      <c r="B142">
        <v>8</v>
      </c>
      <c r="C142" t="s">
        <v>109</v>
      </c>
      <c r="D142">
        <v>11</v>
      </c>
      <c r="E142" t="s">
        <v>58</v>
      </c>
      <c r="F142">
        <v>102</v>
      </c>
      <c r="G142" t="s">
        <v>112</v>
      </c>
      <c r="H142" t="s">
        <v>50</v>
      </c>
      <c r="K142" t="s">
        <v>51</v>
      </c>
      <c r="L142">
        <v>1</v>
      </c>
      <c r="M142" t="s">
        <v>52</v>
      </c>
      <c r="N142" t="s">
        <v>53</v>
      </c>
      <c r="R142">
        <v>0</v>
      </c>
      <c r="S142">
        <v>0.92</v>
      </c>
      <c r="T142">
        <v>0</v>
      </c>
      <c r="U142">
        <v>0</v>
      </c>
      <c r="W142" s="1">
        <v>46731</v>
      </c>
      <c r="X142" s="1">
        <v>46357</v>
      </c>
      <c r="Z142" t="s">
        <v>52</v>
      </c>
      <c r="AB142" t="s">
        <v>52</v>
      </c>
      <c r="AC142">
        <v>102</v>
      </c>
      <c r="AD142">
        <v>1</v>
      </c>
      <c r="AK142" t="s">
        <v>52</v>
      </c>
      <c r="AN142" t="s">
        <v>52</v>
      </c>
      <c r="AO142" t="s">
        <v>52</v>
      </c>
      <c r="AP142" t="s">
        <v>52</v>
      </c>
      <c r="AQ142" t="s">
        <v>52</v>
      </c>
      <c r="AR142" t="s">
        <v>55</v>
      </c>
    </row>
    <row r="143" spans="1:45" x14ac:dyDescent="0.25">
      <c r="A143" t="s">
        <v>47</v>
      </c>
      <c r="B143">
        <v>8</v>
      </c>
      <c r="C143" t="s">
        <v>109</v>
      </c>
      <c r="D143">
        <v>11</v>
      </c>
      <c r="E143" t="s">
        <v>58</v>
      </c>
      <c r="F143">
        <v>102</v>
      </c>
      <c r="G143" t="s">
        <v>112</v>
      </c>
      <c r="H143" t="s">
        <v>50</v>
      </c>
      <c r="K143" t="s">
        <v>52</v>
      </c>
      <c r="L143">
        <v>1</v>
      </c>
      <c r="M143" t="s">
        <v>52</v>
      </c>
      <c r="N143" t="s">
        <v>53</v>
      </c>
      <c r="R143">
        <v>0</v>
      </c>
      <c r="S143">
        <v>0.92</v>
      </c>
      <c r="T143">
        <v>0</v>
      </c>
      <c r="U143">
        <v>0</v>
      </c>
      <c r="W143" s="1">
        <v>46731</v>
      </c>
      <c r="X143" s="1">
        <v>46357</v>
      </c>
      <c r="Z143" t="s">
        <v>52</v>
      </c>
      <c r="AB143" t="s">
        <v>52</v>
      </c>
      <c r="AC143">
        <v>102</v>
      </c>
      <c r="AD143">
        <v>1</v>
      </c>
      <c r="AK143" t="s">
        <v>52</v>
      </c>
      <c r="AN143" t="s">
        <v>52</v>
      </c>
      <c r="AO143" t="s">
        <v>52</v>
      </c>
      <c r="AP143" t="s">
        <v>52</v>
      </c>
      <c r="AQ143" t="s">
        <v>52</v>
      </c>
      <c r="AR143" t="s">
        <v>55</v>
      </c>
    </row>
    <row r="144" spans="1:45" x14ac:dyDescent="0.25">
      <c r="A144" t="s">
        <v>47</v>
      </c>
      <c r="B144">
        <v>8</v>
      </c>
      <c r="C144" t="s">
        <v>109</v>
      </c>
      <c r="D144">
        <v>11</v>
      </c>
      <c r="E144" t="s">
        <v>58</v>
      </c>
      <c r="F144">
        <v>102</v>
      </c>
      <c r="G144" t="s">
        <v>113</v>
      </c>
      <c r="H144" t="s">
        <v>50</v>
      </c>
      <c r="K144" t="s">
        <v>51</v>
      </c>
      <c r="L144">
        <v>1</v>
      </c>
      <c r="M144" t="s">
        <v>52</v>
      </c>
      <c r="N144" t="s">
        <v>53</v>
      </c>
      <c r="R144">
        <v>0</v>
      </c>
      <c r="S144">
        <v>0.92</v>
      </c>
      <c r="T144">
        <v>0</v>
      </c>
      <c r="U144">
        <v>0</v>
      </c>
      <c r="W144" s="1">
        <v>46731</v>
      </c>
      <c r="X144" s="1">
        <v>46357</v>
      </c>
      <c r="Z144" t="s">
        <v>52</v>
      </c>
      <c r="AB144" t="s">
        <v>52</v>
      </c>
      <c r="AC144">
        <v>102</v>
      </c>
      <c r="AD144">
        <v>1</v>
      </c>
      <c r="AK144" t="s">
        <v>52</v>
      </c>
      <c r="AN144" t="s">
        <v>52</v>
      </c>
      <c r="AO144" t="s">
        <v>52</v>
      </c>
      <c r="AP144" t="s">
        <v>52</v>
      </c>
      <c r="AQ144" t="s">
        <v>52</v>
      </c>
      <c r="AR144" t="s">
        <v>55</v>
      </c>
    </row>
    <row r="145" spans="1:44" x14ac:dyDescent="0.25">
      <c r="A145" t="s">
        <v>47</v>
      </c>
      <c r="B145">
        <v>8</v>
      </c>
      <c r="C145" t="s">
        <v>109</v>
      </c>
      <c r="D145">
        <v>11</v>
      </c>
      <c r="E145" t="s">
        <v>58</v>
      </c>
      <c r="F145">
        <v>102</v>
      </c>
      <c r="G145" t="s">
        <v>62</v>
      </c>
      <c r="H145" t="s">
        <v>50</v>
      </c>
      <c r="K145" t="s">
        <v>52</v>
      </c>
      <c r="L145">
        <v>1</v>
      </c>
      <c r="M145" t="s">
        <v>52</v>
      </c>
      <c r="N145" t="s">
        <v>53</v>
      </c>
      <c r="R145">
        <v>0</v>
      </c>
      <c r="S145">
        <v>0.92</v>
      </c>
      <c r="T145">
        <v>0</v>
      </c>
      <c r="U145">
        <v>0</v>
      </c>
      <c r="W145" s="1">
        <v>46731</v>
      </c>
      <c r="X145" s="1">
        <v>46357</v>
      </c>
      <c r="Z145" t="s">
        <v>52</v>
      </c>
      <c r="AB145" t="s">
        <v>52</v>
      </c>
      <c r="AC145">
        <v>102</v>
      </c>
      <c r="AD145">
        <v>1</v>
      </c>
      <c r="AK145" t="s">
        <v>52</v>
      </c>
      <c r="AN145" t="s">
        <v>52</v>
      </c>
      <c r="AO145" t="s">
        <v>52</v>
      </c>
      <c r="AP145" t="s">
        <v>52</v>
      </c>
      <c r="AQ145" t="s">
        <v>52</v>
      </c>
      <c r="AR145" t="s">
        <v>55</v>
      </c>
    </row>
    <row r="146" spans="1:44" x14ac:dyDescent="0.25">
      <c r="A146" t="s">
        <v>47</v>
      </c>
      <c r="B146">
        <v>8</v>
      </c>
      <c r="C146" t="s">
        <v>109</v>
      </c>
      <c r="D146">
        <v>11</v>
      </c>
      <c r="E146" t="s">
        <v>58</v>
      </c>
      <c r="F146">
        <v>102</v>
      </c>
      <c r="G146" t="s">
        <v>114</v>
      </c>
      <c r="H146" t="s">
        <v>50</v>
      </c>
      <c r="K146" t="s">
        <v>51</v>
      </c>
      <c r="L146">
        <v>1</v>
      </c>
      <c r="M146" t="s">
        <v>52</v>
      </c>
      <c r="N146" t="s">
        <v>53</v>
      </c>
      <c r="R146">
        <v>0</v>
      </c>
      <c r="S146">
        <v>0.92</v>
      </c>
      <c r="T146">
        <v>0</v>
      </c>
      <c r="U146">
        <v>0</v>
      </c>
      <c r="W146" s="1">
        <v>46731</v>
      </c>
      <c r="X146" s="1">
        <v>46357</v>
      </c>
      <c r="Z146" t="s">
        <v>52</v>
      </c>
      <c r="AB146" t="s">
        <v>52</v>
      </c>
      <c r="AC146">
        <v>102</v>
      </c>
      <c r="AD146">
        <v>1</v>
      </c>
      <c r="AK146" t="s">
        <v>52</v>
      </c>
      <c r="AN146" t="s">
        <v>52</v>
      </c>
      <c r="AO146" t="s">
        <v>52</v>
      </c>
      <c r="AP146" t="s">
        <v>52</v>
      </c>
      <c r="AQ146" t="s">
        <v>52</v>
      </c>
      <c r="AR146" t="s">
        <v>55</v>
      </c>
    </row>
    <row r="147" spans="1:44" x14ac:dyDescent="0.25">
      <c r="A147" t="s">
        <v>47</v>
      </c>
      <c r="B147">
        <v>8</v>
      </c>
      <c r="C147" t="s">
        <v>109</v>
      </c>
      <c r="D147">
        <v>11</v>
      </c>
      <c r="E147" t="s">
        <v>58</v>
      </c>
      <c r="F147">
        <v>102</v>
      </c>
      <c r="G147" t="s">
        <v>114</v>
      </c>
      <c r="H147" t="s">
        <v>50</v>
      </c>
      <c r="K147" t="s">
        <v>52</v>
      </c>
      <c r="L147">
        <v>1</v>
      </c>
      <c r="M147" t="s">
        <v>52</v>
      </c>
      <c r="N147" t="s">
        <v>53</v>
      </c>
      <c r="R147">
        <v>0</v>
      </c>
      <c r="S147">
        <v>0.92</v>
      </c>
      <c r="T147">
        <v>0</v>
      </c>
      <c r="U147">
        <v>0</v>
      </c>
      <c r="W147" s="1">
        <v>46731</v>
      </c>
      <c r="X147" s="1">
        <v>46357</v>
      </c>
      <c r="Z147" t="s">
        <v>52</v>
      </c>
      <c r="AB147" t="s">
        <v>52</v>
      </c>
      <c r="AC147">
        <v>102</v>
      </c>
      <c r="AD147">
        <v>1</v>
      </c>
      <c r="AK147" t="s">
        <v>52</v>
      </c>
      <c r="AN147" t="s">
        <v>52</v>
      </c>
      <c r="AO147" t="s">
        <v>52</v>
      </c>
      <c r="AP147" t="s">
        <v>52</v>
      </c>
      <c r="AQ147" t="s">
        <v>52</v>
      </c>
      <c r="AR147" t="s">
        <v>55</v>
      </c>
    </row>
    <row r="148" spans="1:44" x14ac:dyDescent="0.25">
      <c r="A148" t="s">
        <v>47</v>
      </c>
      <c r="B148">
        <v>8</v>
      </c>
      <c r="C148" t="s">
        <v>109</v>
      </c>
      <c r="D148">
        <v>11</v>
      </c>
      <c r="E148" t="s">
        <v>68</v>
      </c>
      <c r="F148">
        <v>80</v>
      </c>
      <c r="G148" t="s">
        <v>69</v>
      </c>
      <c r="H148" t="s">
        <v>50</v>
      </c>
      <c r="K148" t="s">
        <v>51</v>
      </c>
      <c r="L148">
        <v>1</v>
      </c>
      <c r="M148" t="s">
        <v>52</v>
      </c>
      <c r="N148" t="s">
        <v>53</v>
      </c>
      <c r="R148">
        <v>0.5</v>
      </c>
      <c r="S148">
        <v>0.75</v>
      </c>
      <c r="T148">
        <v>0</v>
      </c>
      <c r="U148">
        <v>0</v>
      </c>
      <c r="V148" s="1">
        <v>46600</v>
      </c>
      <c r="W148" s="1">
        <v>46675</v>
      </c>
      <c r="X148" s="1">
        <v>46461</v>
      </c>
      <c r="Z148" t="s">
        <v>52</v>
      </c>
      <c r="AB148" t="s">
        <v>52</v>
      </c>
      <c r="AC148">
        <v>80</v>
      </c>
      <c r="AD148">
        <v>1</v>
      </c>
      <c r="AK148" t="s">
        <v>52</v>
      </c>
      <c r="AN148" t="s">
        <v>52</v>
      </c>
      <c r="AO148" t="s">
        <v>52</v>
      </c>
      <c r="AP148" t="s">
        <v>52</v>
      </c>
      <c r="AQ148" t="s">
        <v>52</v>
      </c>
      <c r="AR148" t="s">
        <v>55</v>
      </c>
    </row>
    <row r="149" spans="1:44" x14ac:dyDescent="0.25">
      <c r="A149" t="s">
        <v>47</v>
      </c>
      <c r="B149">
        <v>8</v>
      </c>
      <c r="C149" t="s">
        <v>109</v>
      </c>
      <c r="D149">
        <v>11</v>
      </c>
      <c r="E149" t="s">
        <v>68</v>
      </c>
      <c r="F149">
        <v>80</v>
      </c>
      <c r="G149" t="s">
        <v>69</v>
      </c>
      <c r="H149" t="s">
        <v>50</v>
      </c>
      <c r="K149" t="s">
        <v>52</v>
      </c>
      <c r="L149">
        <v>1</v>
      </c>
      <c r="M149" t="s">
        <v>52</v>
      </c>
      <c r="N149" t="s">
        <v>53</v>
      </c>
      <c r="R149">
        <v>0.5</v>
      </c>
      <c r="S149">
        <v>0.75</v>
      </c>
      <c r="T149">
        <v>0</v>
      </c>
      <c r="U149">
        <v>0</v>
      </c>
      <c r="V149" s="1">
        <v>46600</v>
      </c>
      <c r="W149" s="1">
        <v>46675</v>
      </c>
      <c r="X149" s="1">
        <v>46461</v>
      </c>
      <c r="Z149" t="s">
        <v>52</v>
      </c>
      <c r="AB149" t="s">
        <v>52</v>
      </c>
      <c r="AC149">
        <v>80</v>
      </c>
      <c r="AD149">
        <v>1</v>
      </c>
      <c r="AK149" t="s">
        <v>52</v>
      </c>
      <c r="AN149" t="s">
        <v>52</v>
      </c>
      <c r="AO149" t="s">
        <v>52</v>
      </c>
      <c r="AP149" t="s">
        <v>52</v>
      </c>
      <c r="AQ149" t="s">
        <v>52</v>
      </c>
      <c r="AR149" t="s">
        <v>55</v>
      </c>
    </row>
    <row r="150" spans="1:44" x14ac:dyDescent="0.25">
      <c r="A150" t="s">
        <v>47</v>
      </c>
      <c r="B150">
        <v>8</v>
      </c>
      <c r="C150" t="s">
        <v>109</v>
      </c>
      <c r="D150">
        <v>11</v>
      </c>
      <c r="E150" t="s">
        <v>68</v>
      </c>
      <c r="F150">
        <v>80</v>
      </c>
      <c r="G150" t="s">
        <v>105</v>
      </c>
      <c r="H150" t="s">
        <v>50</v>
      </c>
      <c r="K150" t="s">
        <v>51</v>
      </c>
      <c r="L150">
        <v>1</v>
      </c>
      <c r="M150" t="s">
        <v>52</v>
      </c>
      <c r="N150" t="s">
        <v>53</v>
      </c>
      <c r="R150">
        <v>0.5</v>
      </c>
      <c r="S150">
        <v>0.75</v>
      </c>
      <c r="T150">
        <v>0</v>
      </c>
      <c r="U150">
        <v>0</v>
      </c>
      <c r="V150" s="1">
        <v>46600</v>
      </c>
      <c r="W150" s="1">
        <v>46675</v>
      </c>
      <c r="X150" s="1">
        <v>46461</v>
      </c>
      <c r="Z150" t="s">
        <v>52</v>
      </c>
      <c r="AB150" t="s">
        <v>52</v>
      </c>
      <c r="AC150">
        <v>80</v>
      </c>
      <c r="AD150">
        <v>1</v>
      </c>
      <c r="AK150" t="s">
        <v>52</v>
      </c>
      <c r="AN150" t="s">
        <v>52</v>
      </c>
      <c r="AO150" t="s">
        <v>52</v>
      </c>
      <c r="AP150" t="s">
        <v>52</v>
      </c>
      <c r="AQ150" t="s">
        <v>52</v>
      </c>
      <c r="AR150" t="s">
        <v>55</v>
      </c>
    </row>
    <row r="151" spans="1:44" x14ac:dyDescent="0.25">
      <c r="A151" t="s">
        <v>47</v>
      </c>
      <c r="B151">
        <v>8</v>
      </c>
      <c r="C151" t="s">
        <v>109</v>
      </c>
      <c r="D151">
        <v>11</v>
      </c>
      <c r="E151" t="s">
        <v>68</v>
      </c>
      <c r="F151">
        <v>80</v>
      </c>
      <c r="G151" t="s">
        <v>105</v>
      </c>
      <c r="H151" t="s">
        <v>50</v>
      </c>
      <c r="K151" t="s">
        <v>52</v>
      </c>
      <c r="L151">
        <v>1</v>
      </c>
      <c r="M151" t="s">
        <v>52</v>
      </c>
      <c r="N151" t="s">
        <v>53</v>
      </c>
      <c r="R151">
        <v>0.5</v>
      </c>
      <c r="S151">
        <v>0.75</v>
      </c>
      <c r="T151">
        <v>0</v>
      </c>
      <c r="U151">
        <v>0</v>
      </c>
      <c r="V151" s="1">
        <v>46600</v>
      </c>
      <c r="W151" s="1">
        <v>46675</v>
      </c>
      <c r="X151" s="1">
        <v>46461</v>
      </c>
      <c r="Z151" t="s">
        <v>52</v>
      </c>
      <c r="AB151" t="s">
        <v>52</v>
      </c>
      <c r="AC151">
        <v>80</v>
      </c>
      <c r="AD151">
        <v>1</v>
      </c>
      <c r="AK151" t="s">
        <v>52</v>
      </c>
      <c r="AN151" t="s">
        <v>52</v>
      </c>
      <c r="AO151" t="s">
        <v>52</v>
      </c>
      <c r="AP151" t="s">
        <v>52</v>
      </c>
      <c r="AQ151" t="s">
        <v>52</v>
      </c>
      <c r="AR151" t="s">
        <v>55</v>
      </c>
    </row>
    <row r="152" spans="1:44" x14ac:dyDescent="0.25">
      <c r="A152" t="s">
        <v>47</v>
      </c>
      <c r="B152">
        <v>8</v>
      </c>
      <c r="C152" t="s">
        <v>109</v>
      </c>
      <c r="D152">
        <v>11</v>
      </c>
      <c r="E152" t="s">
        <v>70</v>
      </c>
      <c r="F152">
        <v>296</v>
      </c>
      <c r="G152" t="s">
        <v>71</v>
      </c>
      <c r="H152" t="s">
        <v>50</v>
      </c>
      <c r="K152" t="s">
        <v>51</v>
      </c>
      <c r="L152">
        <v>1</v>
      </c>
      <c r="M152" t="s">
        <v>52</v>
      </c>
      <c r="N152" t="s">
        <v>53</v>
      </c>
      <c r="Q152">
        <v>224.33330000000001</v>
      </c>
      <c r="R152">
        <v>0</v>
      </c>
      <c r="S152">
        <v>0.75</v>
      </c>
      <c r="T152">
        <v>0</v>
      </c>
      <c r="U152">
        <v>0</v>
      </c>
      <c r="W152" s="1">
        <v>46675</v>
      </c>
      <c r="X152" s="1">
        <v>46357</v>
      </c>
      <c r="Y152" t="s">
        <v>54</v>
      </c>
      <c r="Z152" t="s">
        <v>52</v>
      </c>
      <c r="AB152" t="s">
        <v>52</v>
      </c>
      <c r="AC152">
        <v>296</v>
      </c>
      <c r="AD152">
        <v>1</v>
      </c>
      <c r="AK152" t="s">
        <v>52</v>
      </c>
      <c r="AN152" t="s">
        <v>52</v>
      </c>
      <c r="AO152" t="s">
        <v>52</v>
      </c>
      <c r="AP152" t="s">
        <v>52</v>
      </c>
      <c r="AQ152" t="s">
        <v>52</v>
      </c>
      <c r="AR152" t="s">
        <v>55</v>
      </c>
    </row>
    <row r="153" spans="1:44" x14ac:dyDescent="0.25">
      <c r="A153" t="s">
        <v>47</v>
      </c>
      <c r="B153">
        <v>8</v>
      </c>
      <c r="C153" t="s">
        <v>109</v>
      </c>
      <c r="D153">
        <v>11</v>
      </c>
      <c r="E153" t="s">
        <v>70</v>
      </c>
      <c r="F153">
        <v>296</v>
      </c>
      <c r="G153" t="s">
        <v>71</v>
      </c>
      <c r="H153" t="s">
        <v>50</v>
      </c>
      <c r="K153" t="s">
        <v>52</v>
      </c>
      <c r="L153">
        <v>1</v>
      </c>
      <c r="M153" t="s">
        <v>52</v>
      </c>
      <c r="N153" t="s">
        <v>53</v>
      </c>
      <c r="Q153">
        <v>224.33330000000001</v>
      </c>
      <c r="R153">
        <v>0</v>
      </c>
      <c r="S153">
        <v>0.75</v>
      </c>
      <c r="T153">
        <v>0</v>
      </c>
      <c r="U153">
        <v>0</v>
      </c>
      <c r="W153" s="1">
        <v>46675</v>
      </c>
      <c r="X153" s="1">
        <v>46357</v>
      </c>
      <c r="Y153" t="s">
        <v>54</v>
      </c>
      <c r="Z153" t="s">
        <v>52</v>
      </c>
      <c r="AB153" t="s">
        <v>52</v>
      </c>
      <c r="AC153">
        <v>296</v>
      </c>
      <c r="AD153">
        <v>1</v>
      </c>
      <c r="AK153" t="s">
        <v>52</v>
      </c>
      <c r="AN153" t="s">
        <v>52</v>
      </c>
      <c r="AO153" t="s">
        <v>52</v>
      </c>
      <c r="AP153" t="s">
        <v>52</v>
      </c>
      <c r="AQ153" t="s">
        <v>52</v>
      </c>
      <c r="AR153" t="s">
        <v>55</v>
      </c>
    </row>
    <row r="154" spans="1:44" x14ac:dyDescent="0.25">
      <c r="A154" t="s">
        <v>47</v>
      </c>
      <c r="B154">
        <v>8</v>
      </c>
      <c r="C154" t="s">
        <v>109</v>
      </c>
      <c r="D154">
        <v>11</v>
      </c>
      <c r="E154" t="s">
        <v>70</v>
      </c>
      <c r="F154">
        <v>296</v>
      </c>
      <c r="G154" t="s">
        <v>72</v>
      </c>
      <c r="H154" t="s">
        <v>50</v>
      </c>
      <c r="K154" t="s">
        <v>51</v>
      </c>
      <c r="L154">
        <v>1</v>
      </c>
      <c r="M154" t="s">
        <v>52</v>
      </c>
      <c r="N154" t="s">
        <v>53</v>
      </c>
      <c r="R154">
        <v>0.5</v>
      </c>
      <c r="S154">
        <v>0.75</v>
      </c>
      <c r="T154">
        <v>0</v>
      </c>
      <c r="U154">
        <v>0</v>
      </c>
      <c r="V154" s="1">
        <v>46522</v>
      </c>
      <c r="W154" s="1">
        <v>46675</v>
      </c>
      <c r="X154" s="1">
        <v>46357</v>
      </c>
      <c r="Z154" t="s">
        <v>52</v>
      </c>
      <c r="AB154" t="s">
        <v>52</v>
      </c>
      <c r="AC154">
        <v>296</v>
      </c>
      <c r="AD154">
        <v>1</v>
      </c>
      <c r="AK154" t="s">
        <v>52</v>
      </c>
      <c r="AN154" t="s">
        <v>52</v>
      </c>
      <c r="AO154" t="s">
        <v>52</v>
      </c>
      <c r="AP154" t="s">
        <v>52</v>
      </c>
      <c r="AQ154" t="s">
        <v>52</v>
      </c>
      <c r="AR154" t="s">
        <v>55</v>
      </c>
    </row>
    <row r="155" spans="1:44" x14ac:dyDescent="0.25">
      <c r="A155" t="s">
        <v>47</v>
      </c>
      <c r="B155">
        <v>8</v>
      </c>
      <c r="C155" t="s">
        <v>109</v>
      </c>
      <c r="D155">
        <v>11</v>
      </c>
      <c r="E155" t="s">
        <v>70</v>
      </c>
      <c r="F155">
        <v>296</v>
      </c>
      <c r="G155" t="s">
        <v>72</v>
      </c>
      <c r="H155" t="s">
        <v>50</v>
      </c>
      <c r="K155" t="s">
        <v>52</v>
      </c>
      <c r="L155">
        <v>1</v>
      </c>
      <c r="M155" t="s">
        <v>52</v>
      </c>
      <c r="N155" t="s">
        <v>53</v>
      </c>
      <c r="R155">
        <v>0.5</v>
      </c>
      <c r="S155">
        <v>0.75</v>
      </c>
      <c r="T155">
        <v>0</v>
      </c>
      <c r="U155">
        <v>0</v>
      </c>
      <c r="V155" s="1">
        <v>46522</v>
      </c>
      <c r="W155" s="1">
        <v>46675</v>
      </c>
      <c r="X155" s="1">
        <v>46357</v>
      </c>
      <c r="Z155" t="s">
        <v>52</v>
      </c>
      <c r="AB155" t="s">
        <v>52</v>
      </c>
      <c r="AC155">
        <v>296</v>
      </c>
      <c r="AD155">
        <v>1</v>
      </c>
      <c r="AK155" t="s">
        <v>52</v>
      </c>
      <c r="AN155" t="s">
        <v>52</v>
      </c>
      <c r="AO155" t="s">
        <v>52</v>
      </c>
      <c r="AP155" t="s">
        <v>52</v>
      </c>
      <c r="AQ155" t="s">
        <v>52</v>
      </c>
      <c r="AR155" t="s">
        <v>55</v>
      </c>
    </row>
    <row r="156" spans="1:44" x14ac:dyDescent="0.25">
      <c r="A156" t="s">
        <v>47</v>
      </c>
      <c r="B156">
        <v>8</v>
      </c>
      <c r="C156" t="s">
        <v>109</v>
      </c>
      <c r="D156">
        <v>11</v>
      </c>
      <c r="E156" t="s">
        <v>70</v>
      </c>
      <c r="F156">
        <v>296</v>
      </c>
      <c r="G156" t="s">
        <v>73</v>
      </c>
      <c r="H156" t="s">
        <v>50</v>
      </c>
      <c r="K156" t="s">
        <v>51</v>
      </c>
      <c r="L156">
        <v>1</v>
      </c>
      <c r="M156" t="s">
        <v>52</v>
      </c>
      <c r="N156" t="s">
        <v>53</v>
      </c>
      <c r="R156">
        <v>0</v>
      </c>
      <c r="S156">
        <v>0.75</v>
      </c>
      <c r="T156">
        <v>0</v>
      </c>
      <c r="U156">
        <v>0</v>
      </c>
      <c r="W156" s="1">
        <v>46675</v>
      </c>
      <c r="X156" s="1">
        <v>46357</v>
      </c>
      <c r="Z156" t="s">
        <v>52</v>
      </c>
      <c r="AB156" t="s">
        <v>52</v>
      </c>
      <c r="AC156">
        <v>296</v>
      </c>
      <c r="AD156">
        <v>1</v>
      </c>
      <c r="AK156" t="s">
        <v>52</v>
      </c>
      <c r="AN156" t="s">
        <v>52</v>
      </c>
      <c r="AO156" t="s">
        <v>52</v>
      </c>
      <c r="AP156" t="s">
        <v>52</v>
      </c>
      <c r="AQ156" t="s">
        <v>52</v>
      </c>
      <c r="AR156" t="s">
        <v>55</v>
      </c>
    </row>
    <row r="157" spans="1:44" x14ac:dyDescent="0.25">
      <c r="A157" t="s">
        <v>47</v>
      </c>
      <c r="B157">
        <v>8</v>
      </c>
      <c r="C157" t="s">
        <v>109</v>
      </c>
      <c r="D157">
        <v>11</v>
      </c>
      <c r="E157" t="s">
        <v>70</v>
      </c>
      <c r="F157">
        <v>296</v>
      </c>
      <c r="G157" t="s">
        <v>73</v>
      </c>
      <c r="H157" t="s">
        <v>50</v>
      </c>
      <c r="K157" t="s">
        <v>52</v>
      </c>
      <c r="L157">
        <v>1</v>
      </c>
      <c r="M157" t="s">
        <v>52</v>
      </c>
      <c r="N157" t="s">
        <v>53</v>
      </c>
      <c r="R157">
        <v>0</v>
      </c>
      <c r="S157">
        <v>0.75</v>
      </c>
      <c r="T157">
        <v>0</v>
      </c>
      <c r="U157">
        <v>0</v>
      </c>
      <c r="W157" s="1">
        <v>46675</v>
      </c>
      <c r="X157" s="1">
        <v>46357</v>
      </c>
      <c r="Z157" t="s">
        <v>52</v>
      </c>
      <c r="AB157" t="s">
        <v>52</v>
      </c>
      <c r="AC157">
        <v>296</v>
      </c>
      <c r="AD157">
        <v>1</v>
      </c>
      <c r="AK157" t="s">
        <v>52</v>
      </c>
      <c r="AN157" t="s">
        <v>52</v>
      </c>
      <c r="AO157" t="s">
        <v>52</v>
      </c>
      <c r="AP157" t="s">
        <v>52</v>
      </c>
      <c r="AQ157" t="s">
        <v>52</v>
      </c>
      <c r="AR157" t="s">
        <v>55</v>
      </c>
    </row>
    <row r="158" spans="1:44" x14ac:dyDescent="0.25">
      <c r="A158" t="s">
        <v>47</v>
      </c>
      <c r="B158">
        <v>8</v>
      </c>
      <c r="C158" t="s">
        <v>109</v>
      </c>
      <c r="D158">
        <v>11</v>
      </c>
      <c r="E158" t="s">
        <v>70</v>
      </c>
      <c r="F158">
        <v>296</v>
      </c>
      <c r="G158" t="s">
        <v>115</v>
      </c>
      <c r="H158" t="s">
        <v>50</v>
      </c>
      <c r="K158" t="s">
        <v>51</v>
      </c>
      <c r="L158">
        <v>1</v>
      </c>
      <c r="M158" t="s">
        <v>52</v>
      </c>
      <c r="N158" t="s">
        <v>53</v>
      </c>
      <c r="R158">
        <v>0.5</v>
      </c>
      <c r="S158">
        <v>0.75</v>
      </c>
      <c r="T158">
        <v>0</v>
      </c>
      <c r="U158">
        <v>0</v>
      </c>
      <c r="V158" s="1">
        <v>46600</v>
      </c>
      <c r="W158" s="1">
        <v>46675</v>
      </c>
      <c r="X158" s="1">
        <v>46357</v>
      </c>
      <c r="Z158" t="s">
        <v>52</v>
      </c>
      <c r="AB158" t="s">
        <v>52</v>
      </c>
      <c r="AC158">
        <v>102</v>
      </c>
      <c r="AD158">
        <v>1</v>
      </c>
      <c r="AK158" t="s">
        <v>52</v>
      </c>
      <c r="AN158" t="s">
        <v>52</v>
      </c>
      <c r="AO158" t="s">
        <v>52</v>
      </c>
      <c r="AP158" t="s">
        <v>52</v>
      </c>
      <c r="AQ158" t="s">
        <v>52</v>
      </c>
      <c r="AR158" t="s">
        <v>55</v>
      </c>
    </row>
    <row r="159" spans="1:44" x14ac:dyDescent="0.25">
      <c r="A159" t="s">
        <v>47</v>
      </c>
      <c r="B159">
        <v>8</v>
      </c>
      <c r="C159" t="s">
        <v>109</v>
      </c>
      <c r="D159">
        <v>11</v>
      </c>
      <c r="E159" t="s">
        <v>70</v>
      </c>
      <c r="F159">
        <v>296</v>
      </c>
      <c r="G159" t="s">
        <v>115</v>
      </c>
      <c r="H159" t="s">
        <v>50</v>
      </c>
      <c r="K159" t="s">
        <v>52</v>
      </c>
      <c r="L159">
        <v>1</v>
      </c>
      <c r="M159" t="s">
        <v>52</v>
      </c>
      <c r="N159" t="s">
        <v>53</v>
      </c>
      <c r="R159">
        <v>0.5</v>
      </c>
      <c r="S159">
        <v>0.75</v>
      </c>
      <c r="T159">
        <v>0</v>
      </c>
      <c r="U159">
        <v>0</v>
      </c>
      <c r="V159" s="1">
        <v>46600</v>
      </c>
      <c r="W159" s="1">
        <v>46675</v>
      </c>
      <c r="X159" s="1">
        <v>46357</v>
      </c>
      <c r="Z159" t="s">
        <v>52</v>
      </c>
      <c r="AB159" t="s">
        <v>52</v>
      </c>
      <c r="AC159">
        <v>102</v>
      </c>
      <c r="AD159">
        <v>1</v>
      </c>
      <c r="AK159" t="s">
        <v>52</v>
      </c>
      <c r="AN159" t="s">
        <v>52</v>
      </c>
      <c r="AO159" t="s">
        <v>52</v>
      </c>
      <c r="AP159" t="s">
        <v>52</v>
      </c>
      <c r="AQ159" t="s">
        <v>52</v>
      </c>
      <c r="AR159" t="s">
        <v>55</v>
      </c>
    </row>
    <row r="160" spans="1:44" x14ac:dyDescent="0.25">
      <c r="A160" t="s">
        <v>47</v>
      </c>
      <c r="B160">
        <v>8</v>
      </c>
      <c r="C160" t="s">
        <v>109</v>
      </c>
      <c r="D160">
        <v>11</v>
      </c>
      <c r="E160" t="s">
        <v>70</v>
      </c>
      <c r="F160">
        <v>296</v>
      </c>
      <c r="G160" t="s">
        <v>74</v>
      </c>
      <c r="H160" t="s">
        <v>50</v>
      </c>
      <c r="K160" t="s">
        <v>51</v>
      </c>
      <c r="L160">
        <v>1</v>
      </c>
      <c r="M160" t="s">
        <v>52</v>
      </c>
      <c r="N160" t="s">
        <v>53</v>
      </c>
      <c r="R160">
        <v>0</v>
      </c>
      <c r="S160">
        <v>0.75</v>
      </c>
      <c r="T160">
        <v>0</v>
      </c>
      <c r="U160">
        <v>0</v>
      </c>
      <c r="W160" s="1">
        <v>46675</v>
      </c>
      <c r="X160" s="1">
        <v>46357</v>
      </c>
      <c r="Z160" t="s">
        <v>52</v>
      </c>
      <c r="AB160" t="s">
        <v>52</v>
      </c>
      <c r="AC160">
        <v>102</v>
      </c>
      <c r="AD160">
        <v>1</v>
      </c>
      <c r="AK160" t="s">
        <v>52</v>
      </c>
      <c r="AN160" t="s">
        <v>52</v>
      </c>
      <c r="AO160" t="s">
        <v>52</v>
      </c>
      <c r="AP160" t="s">
        <v>52</v>
      </c>
      <c r="AQ160" t="s">
        <v>52</v>
      </c>
      <c r="AR160" t="s">
        <v>55</v>
      </c>
    </row>
    <row r="161" spans="1:45" x14ac:dyDescent="0.25">
      <c r="A161" t="s">
        <v>47</v>
      </c>
      <c r="B161">
        <v>8</v>
      </c>
      <c r="C161" t="s">
        <v>109</v>
      </c>
      <c r="D161">
        <v>11</v>
      </c>
      <c r="E161" t="s">
        <v>70</v>
      </c>
      <c r="F161">
        <v>296</v>
      </c>
      <c r="G161" t="s">
        <v>74</v>
      </c>
      <c r="H161" t="s">
        <v>50</v>
      </c>
      <c r="K161" t="s">
        <v>52</v>
      </c>
      <c r="L161">
        <v>1</v>
      </c>
      <c r="M161" t="s">
        <v>52</v>
      </c>
      <c r="N161" t="s">
        <v>53</v>
      </c>
      <c r="R161">
        <v>0</v>
      </c>
      <c r="S161">
        <v>0.75</v>
      </c>
      <c r="U161">
        <v>0</v>
      </c>
      <c r="W161" s="1">
        <v>46675</v>
      </c>
      <c r="X161" s="1">
        <v>46357</v>
      </c>
      <c r="Z161" t="s">
        <v>52</v>
      </c>
      <c r="AB161" t="s">
        <v>52</v>
      </c>
      <c r="AC161">
        <v>102</v>
      </c>
      <c r="AD161">
        <v>1</v>
      </c>
      <c r="AK161" t="s">
        <v>52</v>
      </c>
      <c r="AN161" t="s">
        <v>52</v>
      </c>
      <c r="AO161" t="s">
        <v>52</v>
      </c>
      <c r="AP161" t="s">
        <v>52</v>
      </c>
      <c r="AQ161" t="s">
        <v>52</v>
      </c>
      <c r="AR161" t="s">
        <v>55</v>
      </c>
      <c r="AS161" t="s">
        <v>106</v>
      </c>
    </row>
    <row r="162" spans="1:45" x14ac:dyDescent="0.25">
      <c r="A162" t="s">
        <v>47</v>
      </c>
      <c r="B162">
        <v>8</v>
      </c>
      <c r="C162" t="s">
        <v>109</v>
      </c>
      <c r="D162">
        <v>11</v>
      </c>
      <c r="E162" t="s">
        <v>70</v>
      </c>
      <c r="F162">
        <v>296</v>
      </c>
      <c r="G162" t="s">
        <v>91</v>
      </c>
      <c r="H162" t="s">
        <v>50</v>
      </c>
      <c r="K162" t="s">
        <v>51</v>
      </c>
      <c r="L162">
        <v>1</v>
      </c>
      <c r="M162" t="s">
        <v>52</v>
      </c>
      <c r="N162" t="s">
        <v>53</v>
      </c>
      <c r="R162">
        <v>0.5</v>
      </c>
      <c r="S162">
        <v>0.75</v>
      </c>
      <c r="T162">
        <v>0</v>
      </c>
      <c r="U162">
        <v>0</v>
      </c>
      <c r="V162" s="1">
        <v>46522</v>
      </c>
      <c r="W162" s="1">
        <v>46675</v>
      </c>
      <c r="X162" s="1">
        <v>46357</v>
      </c>
      <c r="Z162" t="s">
        <v>52</v>
      </c>
      <c r="AB162" t="s">
        <v>52</v>
      </c>
      <c r="AC162">
        <v>102</v>
      </c>
      <c r="AD162">
        <v>1</v>
      </c>
      <c r="AK162" t="s">
        <v>52</v>
      </c>
      <c r="AN162" t="s">
        <v>52</v>
      </c>
      <c r="AO162" t="s">
        <v>52</v>
      </c>
      <c r="AP162" t="s">
        <v>52</v>
      </c>
      <c r="AQ162" t="s">
        <v>52</v>
      </c>
      <c r="AR162" t="s">
        <v>55</v>
      </c>
    </row>
    <row r="163" spans="1:45" x14ac:dyDescent="0.25">
      <c r="A163" t="s">
        <v>47</v>
      </c>
      <c r="B163">
        <v>8</v>
      </c>
      <c r="C163" t="s">
        <v>109</v>
      </c>
      <c r="D163">
        <v>11</v>
      </c>
      <c r="E163" t="s">
        <v>70</v>
      </c>
      <c r="F163">
        <v>296</v>
      </c>
      <c r="G163" t="s">
        <v>91</v>
      </c>
      <c r="H163" t="s">
        <v>50</v>
      </c>
      <c r="K163" t="s">
        <v>52</v>
      </c>
      <c r="L163">
        <v>1</v>
      </c>
      <c r="M163" t="s">
        <v>52</v>
      </c>
      <c r="N163" t="s">
        <v>53</v>
      </c>
      <c r="R163">
        <v>0.5</v>
      </c>
      <c r="S163">
        <v>0.75</v>
      </c>
      <c r="T163">
        <v>0</v>
      </c>
      <c r="U163">
        <v>0</v>
      </c>
      <c r="V163" s="1">
        <v>46522</v>
      </c>
      <c r="W163" s="1">
        <v>46675</v>
      </c>
      <c r="X163" s="1">
        <v>46357</v>
      </c>
      <c r="Z163" t="s">
        <v>52</v>
      </c>
      <c r="AB163" t="s">
        <v>52</v>
      </c>
      <c r="AC163">
        <v>102</v>
      </c>
      <c r="AD163">
        <v>1</v>
      </c>
      <c r="AK163" t="s">
        <v>52</v>
      </c>
      <c r="AN163" t="s">
        <v>52</v>
      </c>
      <c r="AO163" t="s">
        <v>52</v>
      </c>
      <c r="AP163" t="s">
        <v>52</v>
      </c>
      <c r="AQ163" t="s">
        <v>52</v>
      </c>
      <c r="AR163" t="s">
        <v>55</v>
      </c>
    </row>
    <row r="164" spans="1:45" x14ac:dyDescent="0.25">
      <c r="A164" t="s">
        <v>47</v>
      </c>
      <c r="B164">
        <v>8</v>
      </c>
      <c r="C164" t="s">
        <v>109</v>
      </c>
      <c r="D164">
        <v>11</v>
      </c>
      <c r="E164" t="s">
        <v>70</v>
      </c>
      <c r="F164">
        <v>296</v>
      </c>
      <c r="G164" t="s">
        <v>116</v>
      </c>
      <c r="H164" t="s">
        <v>50</v>
      </c>
      <c r="K164" t="s">
        <v>51</v>
      </c>
      <c r="L164">
        <v>1</v>
      </c>
      <c r="M164" t="s">
        <v>52</v>
      </c>
      <c r="N164" t="s">
        <v>53</v>
      </c>
      <c r="R164">
        <v>0.5</v>
      </c>
      <c r="S164">
        <v>0.75</v>
      </c>
      <c r="T164">
        <v>0</v>
      </c>
      <c r="U164">
        <v>0</v>
      </c>
      <c r="V164" s="1">
        <v>46522</v>
      </c>
      <c r="W164" s="1">
        <v>46675</v>
      </c>
      <c r="X164" s="1">
        <v>46357</v>
      </c>
      <c r="Z164" t="s">
        <v>52</v>
      </c>
      <c r="AB164" t="s">
        <v>52</v>
      </c>
      <c r="AC164">
        <v>102</v>
      </c>
      <c r="AD164">
        <v>1</v>
      </c>
      <c r="AK164" t="s">
        <v>52</v>
      </c>
      <c r="AN164" t="s">
        <v>52</v>
      </c>
      <c r="AO164" t="s">
        <v>52</v>
      </c>
      <c r="AP164" t="s">
        <v>52</v>
      </c>
      <c r="AQ164" t="s">
        <v>52</v>
      </c>
      <c r="AR164" t="s">
        <v>55</v>
      </c>
    </row>
    <row r="165" spans="1:45" x14ac:dyDescent="0.25">
      <c r="A165" t="s">
        <v>47</v>
      </c>
      <c r="B165">
        <v>8</v>
      </c>
      <c r="C165" t="s">
        <v>109</v>
      </c>
      <c r="D165">
        <v>11</v>
      </c>
      <c r="E165" t="s">
        <v>70</v>
      </c>
      <c r="F165">
        <v>296</v>
      </c>
      <c r="G165" t="s">
        <v>116</v>
      </c>
      <c r="H165" t="s">
        <v>50</v>
      </c>
      <c r="K165" t="s">
        <v>52</v>
      </c>
      <c r="L165">
        <v>1</v>
      </c>
      <c r="M165" t="s">
        <v>52</v>
      </c>
      <c r="N165" t="s">
        <v>53</v>
      </c>
      <c r="R165">
        <v>0.5</v>
      </c>
      <c r="S165">
        <v>0.75</v>
      </c>
      <c r="T165">
        <v>0</v>
      </c>
      <c r="U165">
        <v>0</v>
      </c>
      <c r="V165" s="1">
        <v>46522</v>
      </c>
      <c r="W165" s="1">
        <v>46675</v>
      </c>
      <c r="X165" s="1">
        <v>46357</v>
      </c>
      <c r="Z165" t="s">
        <v>52</v>
      </c>
      <c r="AB165" t="s">
        <v>52</v>
      </c>
      <c r="AC165">
        <v>102</v>
      </c>
      <c r="AD165">
        <v>1</v>
      </c>
      <c r="AK165" t="s">
        <v>52</v>
      </c>
      <c r="AN165" t="s">
        <v>52</v>
      </c>
      <c r="AO165" t="s">
        <v>52</v>
      </c>
      <c r="AP165" t="s">
        <v>52</v>
      </c>
      <c r="AQ165" t="s">
        <v>52</v>
      </c>
      <c r="AR165" t="s">
        <v>55</v>
      </c>
    </row>
    <row r="166" spans="1:45" x14ac:dyDescent="0.25">
      <c r="A166" t="s">
        <v>47</v>
      </c>
      <c r="B166">
        <v>8</v>
      </c>
      <c r="C166" t="s">
        <v>109</v>
      </c>
      <c r="D166">
        <v>11</v>
      </c>
      <c r="E166" t="s">
        <v>75</v>
      </c>
      <c r="F166">
        <v>16</v>
      </c>
      <c r="G166" t="s">
        <v>76</v>
      </c>
      <c r="H166" t="s">
        <v>50</v>
      </c>
      <c r="K166" t="s">
        <v>51</v>
      </c>
      <c r="L166">
        <v>1</v>
      </c>
      <c r="M166" t="s">
        <v>52</v>
      </c>
      <c r="N166" t="s">
        <v>53</v>
      </c>
      <c r="R166">
        <v>0.5</v>
      </c>
      <c r="S166">
        <v>0.75</v>
      </c>
      <c r="T166">
        <v>0</v>
      </c>
      <c r="U166">
        <v>0</v>
      </c>
      <c r="V166" s="1">
        <v>46522</v>
      </c>
      <c r="W166" s="1">
        <v>46691</v>
      </c>
      <c r="X166" s="1">
        <v>46461</v>
      </c>
      <c r="Z166" t="s">
        <v>52</v>
      </c>
      <c r="AB166" t="s">
        <v>52</v>
      </c>
      <c r="AC166">
        <v>16</v>
      </c>
      <c r="AD166">
        <v>2</v>
      </c>
      <c r="AK166" t="s">
        <v>52</v>
      </c>
      <c r="AN166" t="s">
        <v>52</v>
      </c>
      <c r="AO166" t="s">
        <v>52</v>
      </c>
      <c r="AP166" t="s">
        <v>52</v>
      </c>
      <c r="AQ166" t="s">
        <v>52</v>
      </c>
      <c r="AR166" t="s">
        <v>55</v>
      </c>
    </row>
    <row r="167" spans="1:45" x14ac:dyDescent="0.25">
      <c r="A167" t="s">
        <v>47</v>
      </c>
      <c r="B167">
        <v>8</v>
      </c>
      <c r="C167" t="s">
        <v>109</v>
      </c>
      <c r="D167">
        <v>11</v>
      </c>
      <c r="E167" t="s">
        <v>75</v>
      </c>
      <c r="F167">
        <v>16</v>
      </c>
      <c r="G167" t="s">
        <v>76</v>
      </c>
      <c r="H167" t="s">
        <v>50</v>
      </c>
      <c r="K167" t="s">
        <v>52</v>
      </c>
      <c r="L167">
        <v>1</v>
      </c>
      <c r="M167" t="s">
        <v>52</v>
      </c>
      <c r="N167" t="s">
        <v>53</v>
      </c>
      <c r="R167">
        <v>0.5</v>
      </c>
      <c r="S167">
        <v>0.75</v>
      </c>
      <c r="T167">
        <v>0</v>
      </c>
      <c r="U167">
        <v>0</v>
      </c>
      <c r="V167" s="1">
        <v>46522</v>
      </c>
      <c r="W167" s="1">
        <v>46691</v>
      </c>
      <c r="X167" s="1">
        <v>46461</v>
      </c>
      <c r="Z167" t="s">
        <v>52</v>
      </c>
      <c r="AB167" t="s">
        <v>52</v>
      </c>
      <c r="AC167">
        <v>16</v>
      </c>
      <c r="AD167">
        <v>2</v>
      </c>
      <c r="AK167" t="s">
        <v>52</v>
      </c>
      <c r="AN167" t="s">
        <v>52</v>
      </c>
      <c r="AO167" t="s">
        <v>52</v>
      </c>
      <c r="AP167" t="s">
        <v>52</v>
      </c>
      <c r="AQ167" t="s">
        <v>52</v>
      </c>
      <c r="AR167" t="s">
        <v>55</v>
      </c>
    </row>
    <row r="168" spans="1:45" x14ac:dyDescent="0.25">
      <c r="A168" t="s">
        <v>47</v>
      </c>
      <c r="B168">
        <v>8</v>
      </c>
      <c r="C168" t="s">
        <v>109</v>
      </c>
      <c r="D168">
        <v>11</v>
      </c>
      <c r="E168" t="s">
        <v>79</v>
      </c>
      <c r="F168">
        <v>50</v>
      </c>
      <c r="G168" t="s">
        <v>80</v>
      </c>
      <c r="H168" t="s">
        <v>50</v>
      </c>
      <c r="K168" t="s">
        <v>51</v>
      </c>
      <c r="L168">
        <v>1</v>
      </c>
      <c r="M168" t="s">
        <v>52</v>
      </c>
      <c r="N168" t="s">
        <v>53</v>
      </c>
      <c r="R168">
        <v>0.5</v>
      </c>
      <c r="S168">
        <v>0.75</v>
      </c>
      <c r="T168">
        <v>0</v>
      </c>
      <c r="U168">
        <v>0</v>
      </c>
      <c r="V168" s="1">
        <v>46583</v>
      </c>
      <c r="W168" s="1">
        <v>46675</v>
      </c>
      <c r="X168" s="1">
        <v>46461</v>
      </c>
      <c r="Z168" t="s">
        <v>52</v>
      </c>
      <c r="AB168" t="s">
        <v>52</v>
      </c>
      <c r="AC168">
        <v>50</v>
      </c>
      <c r="AD168">
        <v>1</v>
      </c>
      <c r="AK168" t="s">
        <v>52</v>
      </c>
      <c r="AN168" t="s">
        <v>52</v>
      </c>
      <c r="AO168" t="s">
        <v>52</v>
      </c>
      <c r="AP168" t="s">
        <v>52</v>
      </c>
      <c r="AQ168" t="s">
        <v>52</v>
      </c>
      <c r="AR168" t="s">
        <v>55</v>
      </c>
    </row>
    <row r="169" spans="1:45" x14ac:dyDescent="0.25">
      <c r="A169" t="s">
        <v>47</v>
      </c>
      <c r="B169">
        <v>8</v>
      </c>
      <c r="C169" t="s">
        <v>109</v>
      </c>
      <c r="D169">
        <v>11</v>
      </c>
      <c r="E169" t="s">
        <v>79</v>
      </c>
      <c r="F169">
        <v>50</v>
      </c>
      <c r="G169" t="s">
        <v>80</v>
      </c>
      <c r="H169" t="s">
        <v>50</v>
      </c>
      <c r="K169" t="s">
        <v>52</v>
      </c>
      <c r="L169">
        <v>1</v>
      </c>
      <c r="M169" t="s">
        <v>52</v>
      </c>
      <c r="N169" t="s">
        <v>53</v>
      </c>
      <c r="R169">
        <v>0.5</v>
      </c>
      <c r="S169">
        <v>0.75</v>
      </c>
      <c r="T169">
        <v>0</v>
      </c>
      <c r="U169">
        <v>0</v>
      </c>
      <c r="V169" s="1">
        <v>46583</v>
      </c>
      <c r="W169" s="1">
        <v>46675</v>
      </c>
      <c r="X169" s="1">
        <v>46461</v>
      </c>
      <c r="Z169" t="s">
        <v>52</v>
      </c>
      <c r="AB169" t="s">
        <v>52</v>
      </c>
      <c r="AC169">
        <v>50</v>
      </c>
      <c r="AD169">
        <v>1</v>
      </c>
      <c r="AK169" t="s">
        <v>52</v>
      </c>
      <c r="AN169" t="s">
        <v>52</v>
      </c>
      <c r="AO169" t="s">
        <v>52</v>
      </c>
      <c r="AP169" t="s">
        <v>52</v>
      </c>
      <c r="AQ169" t="s">
        <v>52</v>
      </c>
      <c r="AR169" t="s">
        <v>55</v>
      </c>
    </row>
    <row r="170" spans="1:45" x14ac:dyDescent="0.25">
      <c r="A170" t="s">
        <v>47</v>
      </c>
      <c r="B170">
        <v>8</v>
      </c>
      <c r="C170" t="s">
        <v>109</v>
      </c>
      <c r="D170">
        <v>11</v>
      </c>
      <c r="E170" t="s">
        <v>79</v>
      </c>
      <c r="F170">
        <v>50</v>
      </c>
      <c r="G170" t="s">
        <v>81</v>
      </c>
      <c r="H170" t="s">
        <v>50</v>
      </c>
      <c r="K170" t="s">
        <v>51</v>
      </c>
      <c r="L170">
        <v>1</v>
      </c>
      <c r="M170" t="s">
        <v>52</v>
      </c>
      <c r="N170" t="s">
        <v>53</v>
      </c>
      <c r="R170">
        <v>0.5</v>
      </c>
      <c r="S170">
        <v>0.75</v>
      </c>
      <c r="T170">
        <v>0</v>
      </c>
      <c r="U170">
        <v>0</v>
      </c>
      <c r="V170" s="1">
        <v>46583</v>
      </c>
      <c r="W170" s="1">
        <v>46675</v>
      </c>
      <c r="X170" s="1">
        <v>46461</v>
      </c>
      <c r="Z170" t="s">
        <v>52</v>
      </c>
      <c r="AB170" t="s">
        <v>52</v>
      </c>
      <c r="AC170">
        <v>50</v>
      </c>
      <c r="AD170">
        <v>1</v>
      </c>
      <c r="AK170" t="s">
        <v>52</v>
      </c>
      <c r="AN170" t="s">
        <v>52</v>
      </c>
      <c r="AO170" t="s">
        <v>52</v>
      </c>
      <c r="AP170" t="s">
        <v>52</v>
      </c>
      <c r="AQ170" t="s">
        <v>52</v>
      </c>
      <c r="AR170" t="s">
        <v>55</v>
      </c>
    </row>
    <row r="171" spans="1:45" x14ac:dyDescent="0.25">
      <c r="A171" t="s">
        <v>47</v>
      </c>
      <c r="B171">
        <v>8</v>
      </c>
      <c r="C171" t="s">
        <v>109</v>
      </c>
      <c r="D171">
        <v>11</v>
      </c>
      <c r="E171" t="s">
        <v>79</v>
      </c>
      <c r="F171">
        <v>50</v>
      </c>
      <c r="G171" t="s">
        <v>81</v>
      </c>
      <c r="H171" t="s">
        <v>50</v>
      </c>
      <c r="K171" t="s">
        <v>52</v>
      </c>
      <c r="L171">
        <v>1</v>
      </c>
      <c r="M171" t="s">
        <v>52</v>
      </c>
      <c r="N171" t="s">
        <v>53</v>
      </c>
      <c r="R171">
        <v>0.5</v>
      </c>
      <c r="S171">
        <v>0.75</v>
      </c>
      <c r="T171">
        <v>0</v>
      </c>
      <c r="U171">
        <v>0</v>
      </c>
      <c r="V171" s="1">
        <v>46583</v>
      </c>
      <c r="W171" s="1">
        <v>46675</v>
      </c>
      <c r="X171" s="1">
        <v>46461</v>
      </c>
      <c r="Z171" t="s">
        <v>52</v>
      </c>
      <c r="AB171" t="s">
        <v>52</v>
      </c>
      <c r="AC171">
        <v>50</v>
      </c>
      <c r="AD171">
        <v>1</v>
      </c>
      <c r="AK171" t="s">
        <v>52</v>
      </c>
      <c r="AN171" t="s">
        <v>52</v>
      </c>
      <c r="AO171" t="s">
        <v>52</v>
      </c>
      <c r="AP171" t="s">
        <v>52</v>
      </c>
      <c r="AQ171" t="s">
        <v>52</v>
      </c>
      <c r="AR171" t="s">
        <v>55</v>
      </c>
    </row>
    <row r="172" spans="1:45" x14ac:dyDescent="0.25">
      <c r="A172" t="s">
        <v>47</v>
      </c>
      <c r="B172">
        <v>8</v>
      </c>
      <c r="C172" t="s">
        <v>109</v>
      </c>
      <c r="D172">
        <v>11</v>
      </c>
      <c r="E172" t="s">
        <v>82</v>
      </c>
      <c r="F172">
        <v>52</v>
      </c>
      <c r="H172" t="s">
        <v>50</v>
      </c>
      <c r="K172" t="s">
        <v>51</v>
      </c>
      <c r="L172">
        <v>1</v>
      </c>
      <c r="M172" t="s">
        <v>52</v>
      </c>
      <c r="N172" t="s">
        <v>53</v>
      </c>
      <c r="R172">
        <v>0.5</v>
      </c>
      <c r="S172">
        <v>0.75</v>
      </c>
      <c r="U172">
        <v>0</v>
      </c>
      <c r="V172" s="1">
        <v>46583</v>
      </c>
      <c r="W172" s="1">
        <v>46675</v>
      </c>
      <c r="X172" s="1">
        <v>46461</v>
      </c>
      <c r="Z172" t="s">
        <v>52</v>
      </c>
      <c r="AB172" t="s">
        <v>52</v>
      </c>
      <c r="AC172">
        <v>50</v>
      </c>
      <c r="AD172">
        <v>1</v>
      </c>
      <c r="AK172" t="s">
        <v>52</v>
      </c>
      <c r="AN172" t="s">
        <v>52</v>
      </c>
      <c r="AO172" t="s">
        <v>52</v>
      </c>
      <c r="AP172" t="s">
        <v>52</v>
      </c>
      <c r="AQ172" t="s">
        <v>52</v>
      </c>
      <c r="AR172" t="s">
        <v>55</v>
      </c>
    </row>
    <row r="173" spans="1:45" x14ac:dyDescent="0.25">
      <c r="A173" t="s">
        <v>47</v>
      </c>
      <c r="B173">
        <v>8</v>
      </c>
      <c r="C173" t="s">
        <v>109</v>
      </c>
      <c r="D173">
        <v>11</v>
      </c>
      <c r="E173" t="s">
        <v>82</v>
      </c>
      <c r="F173">
        <v>52</v>
      </c>
      <c r="H173" t="s">
        <v>50</v>
      </c>
      <c r="K173" t="s">
        <v>52</v>
      </c>
      <c r="L173">
        <v>1</v>
      </c>
      <c r="M173" t="s">
        <v>52</v>
      </c>
      <c r="N173" t="s">
        <v>53</v>
      </c>
      <c r="R173">
        <v>0.5</v>
      </c>
      <c r="S173">
        <v>0.75</v>
      </c>
      <c r="U173">
        <v>0</v>
      </c>
      <c r="V173" s="1">
        <v>46583</v>
      </c>
      <c r="W173" s="1">
        <v>46675</v>
      </c>
      <c r="X173" s="1">
        <v>46461</v>
      </c>
      <c r="Z173" t="s">
        <v>52</v>
      </c>
      <c r="AB173" t="s">
        <v>52</v>
      </c>
      <c r="AC173">
        <v>50</v>
      </c>
      <c r="AD173">
        <v>1</v>
      </c>
      <c r="AK173" t="s">
        <v>52</v>
      </c>
      <c r="AN173" t="s">
        <v>52</v>
      </c>
      <c r="AO173" t="s">
        <v>52</v>
      </c>
      <c r="AP173" t="s">
        <v>52</v>
      </c>
      <c r="AQ173" t="s">
        <v>52</v>
      </c>
      <c r="AR173" t="s">
        <v>55</v>
      </c>
    </row>
    <row r="174" spans="1:45" x14ac:dyDescent="0.25">
      <c r="A174" t="s">
        <v>47</v>
      </c>
      <c r="B174">
        <v>8</v>
      </c>
      <c r="C174" t="s">
        <v>109</v>
      </c>
      <c r="D174">
        <v>11</v>
      </c>
      <c r="E174" t="s">
        <v>83</v>
      </c>
      <c r="F174">
        <v>158</v>
      </c>
      <c r="H174" t="s">
        <v>50</v>
      </c>
      <c r="K174" t="s">
        <v>51</v>
      </c>
      <c r="L174">
        <v>1</v>
      </c>
      <c r="M174" t="s">
        <v>52</v>
      </c>
      <c r="N174" t="s">
        <v>53</v>
      </c>
      <c r="P174">
        <v>1.3</v>
      </c>
      <c r="R174">
        <v>0.77</v>
      </c>
      <c r="S174">
        <v>0.93</v>
      </c>
      <c r="T174">
        <v>0</v>
      </c>
      <c r="U174">
        <v>0</v>
      </c>
      <c r="V174" s="1">
        <v>46326</v>
      </c>
      <c r="W174" s="1">
        <v>46691</v>
      </c>
      <c r="X174" s="1">
        <v>46266</v>
      </c>
      <c r="Z174" t="s">
        <v>52</v>
      </c>
      <c r="AA174" t="s">
        <v>54</v>
      </c>
      <c r="AB174" t="s">
        <v>52</v>
      </c>
      <c r="AC174">
        <v>158</v>
      </c>
      <c r="AD174">
        <v>2</v>
      </c>
      <c r="AK174" t="s">
        <v>52</v>
      </c>
      <c r="AN174" t="s">
        <v>52</v>
      </c>
      <c r="AO174" t="s">
        <v>52</v>
      </c>
      <c r="AP174" t="s">
        <v>52</v>
      </c>
      <c r="AQ174" t="s">
        <v>52</v>
      </c>
      <c r="AR174" t="s">
        <v>95</v>
      </c>
    </row>
    <row r="175" spans="1:45" x14ac:dyDescent="0.25">
      <c r="A175" t="s">
        <v>47</v>
      </c>
      <c r="B175">
        <v>8</v>
      </c>
      <c r="C175" t="s">
        <v>109</v>
      </c>
      <c r="D175">
        <v>11</v>
      </c>
      <c r="E175" t="s">
        <v>83</v>
      </c>
      <c r="F175">
        <v>158</v>
      </c>
      <c r="H175" t="s">
        <v>50</v>
      </c>
      <c r="K175" t="s">
        <v>52</v>
      </c>
      <c r="L175">
        <v>1</v>
      </c>
      <c r="M175" t="s">
        <v>52</v>
      </c>
      <c r="N175" t="s">
        <v>53</v>
      </c>
      <c r="R175">
        <v>0.77</v>
      </c>
      <c r="S175">
        <v>0.93</v>
      </c>
      <c r="T175">
        <v>0</v>
      </c>
      <c r="U175">
        <v>0</v>
      </c>
      <c r="V175" s="1">
        <v>46326</v>
      </c>
      <c r="W175" s="1">
        <v>46691</v>
      </c>
      <c r="X175" s="1">
        <v>46266</v>
      </c>
      <c r="Z175" t="s">
        <v>52</v>
      </c>
      <c r="AB175" t="s">
        <v>52</v>
      </c>
      <c r="AC175">
        <v>158</v>
      </c>
      <c r="AD175">
        <v>2</v>
      </c>
      <c r="AK175" t="s">
        <v>52</v>
      </c>
      <c r="AN175" t="s">
        <v>52</v>
      </c>
      <c r="AO175" t="s">
        <v>52</v>
      </c>
      <c r="AP175" t="s">
        <v>52</v>
      </c>
      <c r="AQ175" t="s">
        <v>52</v>
      </c>
      <c r="AR175" t="s">
        <v>55</v>
      </c>
    </row>
    <row r="176" spans="1:45" x14ac:dyDescent="0.25">
      <c r="A176" t="s">
        <v>47</v>
      </c>
      <c r="B176">
        <v>8</v>
      </c>
      <c r="C176" t="s">
        <v>109</v>
      </c>
      <c r="D176">
        <v>11</v>
      </c>
      <c r="E176" t="s">
        <v>84</v>
      </c>
      <c r="F176">
        <v>11</v>
      </c>
      <c r="G176" t="s">
        <v>85</v>
      </c>
      <c r="H176" t="s">
        <v>50</v>
      </c>
      <c r="K176" t="s">
        <v>51</v>
      </c>
      <c r="L176">
        <v>1</v>
      </c>
      <c r="M176" t="s">
        <v>52</v>
      </c>
      <c r="N176" t="s">
        <v>53</v>
      </c>
      <c r="R176">
        <v>0.5</v>
      </c>
      <c r="S176">
        <v>0.75</v>
      </c>
      <c r="U176">
        <v>0</v>
      </c>
      <c r="V176" s="1">
        <v>46461</v>
      </c>
      <c r="W176" s="1">
        <v>46691</v>
      </c>
      <c r="X176" s="1">
        <v>46295</v>
      </c>
      <c r="Z176" t="s">
        <v>52</v>
      </c>
      <c r="AB176" t="s">
        <v>52</v>
      </c>
      <c r="AC176">
        <v>11</v>
      </c>
      <c r="AD176">
        <v>2</v>
      </c>
      <c r="AK176" t="s">
        <v>52</v>
      </c>
      <c r="AN176" t="s">
        <v>52</v>
      </c>
      <c r="AO176" t="s">
        <v>52</v>
      </c>
      <c r="AP176" t="s">
        <v>52</v>
      </c>
      <c r="AQ176" t="s">
        <v>52</v>
      </c>
      <c r="AR176" t="s">
        <v>55</v>
      </c>
    </row>
    <row r="177" spans="1:45" x14ac:dyDescent="0.25">
      <c r="A177" t="s">
        <v>47</v>
      </c>
      <c r="B177">
        <v>8</v>
      </c>
      <c r="C177" t="s">
        <v>109</v>
      </c>
      <c r="D177">
        <v>11</v>
      </c>
      <c r="E177" t="s">
        <v>84</v>
      </c>
      <c r="F177">
        <v>11</v>
      </c>
      <c r="G177" t="s">
        <v>96</v>
      </c>
      <c r="H177" t="s">
        <v>50</v>
      </c>
      <c r="K177" t="s">
        <v>51</v>
      </c>
      <c r="L177">
        <v>1</v>
      </c>
      <c r="M177" t="s">
        <v>52</v>
      </c>
      <c r="N177" t="s">
        <v>53</v>
      </c>
      <c r="R177">
        <v>0.5</v>
      </c>
      <c r="S177">
        <v>0.75</v>
      </c>
      <c r="T177">
        <v>0</v>
      </c>
      <c r="U177">
        <v>0</v>
      </c>
      <c r="V177" s="1">
        <v>46300</v>
      </c>
      <c r="W177" s="1">
        <v>46691</v>
      </c>
      <c r="X177" s="1">
        <v>46295</v>
      </c>
      <c r="Z177" t="s">
        <v>52</v>
      </c>
      <c r="AB177" t="s">
        <v>52</v>
      </c>
      <c r="AC177">
        <v>11</v>
      </c>
      <c r="AD177">
        <v>2</v>
      </c>
      <c r="AK177" t="s">
        <v>52</v>
      </c>
      <c r="AN177" t="s">
        <v>52</v>
      </c>
      <c r="AO177" t="s">
        <v>52</v>
      </c>
      <c r="AP177" t="s">
        <v>52</v>
      </c>
      <c r="AQ177" t="s">
        <v>52</v>
      </c>
      <c r="AR177" t="s">
        <v>55</v>
      </c>
    </row>
    <row r="178" spans="1:45" x14ac:dyDescent="0.25">
      <c r="A178" t="s">
        <v>47</v>
      </c>
      <c r="B178">
        <v>8</v>
      </c>
      <c r="C178" t="s">
        <v>109</v>
      </c>
      <c r="D178">
        <v>11</v>
      </c>
      <c r="E178" t="s">
        <v>84</v>
      </c>
      <c r="F178">
        <v>11</v>
      </c>
      <c r="G178" t="s">
        <v>96</v>
      </c>
      <c r="H178" t="s">
        <v>50</v>
      </c>
      <c r="K178" t="s">
        <v>52</v>
      </c>
      <c r="L178">
        <v>1</v>
      </c>
      <c r="M178" t="s">
        <v>52</v>
      </c>
      <c r="N178" t="s">
        <v>53</v>
      </c>
      <c r="R178">
        <v>0.5</v>
      </c>
      <c r="S178">
        <v>0.75</v>
      </c>
      <c r="T178">
        <v>0</v>
      </c>
      <c r="U178">
        <v>0</v>
      </c>
      <c r="V178" s="1">
        <v>46300</v>
      </c>
      <c r="W178" s="1">
        <v>46691</v>
      </c>
      <c r="X178" s="1">
        <v>46295</v>
      </c>
      <c r="Z178" t="s">
        <v>52</v>
      </c>
      <c r="AB178" t="s">
        <v>52</v>
      </c>
      <c r="AC178">
        <v>11</v>
      </c>
      <c r="AD178">
        <v>2</v>
      </c>
      <c r="AK178" t="s">
        <v>52</v>
      </c>
      <c r="AN178" t="s">
        <v>52</v>
      </c>
      <c r="AO178" t="s">
        <v>52</v>
      </c>
      <c r="AP178" t="s">
        <v>52</v>
      </c>
      <c r="AQ178" t="s">
        <v>52</v>
      </c>
      <c r="AR178" t="s">
        <v>55</v>
      </c>
    </row>
    <row r="179" spans="1:45" x14ac:dyDescent="0.25">
      <c r="A179" t="s">
        <v>47</v>
      </c>
      <c r="B179">
        <v>8</v>
      </c>
      <c r="C179" t="s">
        <v>109</v>
      </c>
      <c r="D179">
        <v>11</v>
      </c>
      <c r="E179" t="s">
        <v>84</v>
      </c>
      <c r="F179">
        <v>11</v>
      </c>
      <c r="G179" t="s">
        <v>108</v>
      </c>
      <c r="H179" t="s">
        <v>50</v>
      </c>
      <c r="K179" t="s">
        <v>51</v>
      </c>
      <c r="L179">
        <v>1</v>
      </c>
      <c r="M179" t="s">
        <v>52</v>
      </c>
      <c r="N179" t="s">
        <v>53</v>
      </c>
      <c r="R179">
        <v>0.5</v>
      </c>
      <c r="S179">
        <v>0.75</v>
      </c>
      <c r="T179">
        <v>0</v>
      </c>
      <c r="U179">
        <v>0</v>
      </c>
      <c r="V179" s="1">
        <v>46300</v>
      </c>
      <c r="W179" s="1">
        <v>46691</v>
      </c>
      <c r="X179" s="1">
        <v>46295</v>
      </c>
      <c r="Z179" t="s">
        <v>52</v>
      </c>
      <c r="AB179" t="s">
        <v>52</v>
      </c>
      <c r="AC179">
        <v>11</v>
      </c>
      <c r="AD179">
        <v>2</v>
      </c>
      <c r="AK179" t="s">
        <v>52</v>
      </c>
      <c r="AN179" t="s">
        <v>52</v>
      </c>
      <c r="AO179" t="s">
        <v>52</v>
      </c>
      <c r="AP179" t="s">
        <v>52</v>
      </c>
      <c r="AQ179" t="s">
        <v>52</v>
      </c>
      <c r="AR179" t="s">
        <v>55</v>
      </c>
    </row>
    <row r="180" spans="1:45" x14ac:dyDescent="0.25">
      <c r="A180" t="s">
        <v>47</v>
      </c>
      <c r="B180">
        <v>8</v>
      </c>
      <c r="C180" t="s">
        <v>109</v>
      </c>
      <c r="D180">
        <v>11</v>
      </c>
      <c r="E180" t="s">
        <v>84</v>
      </c>
      <c r="F180">
        <v>11</v>
      </c>
      <c r="G180" t="s">
        <v>108</v>
      </c>
      <c r="H180" t="s">
        <v>50</v>
      </c>
      <c r="K180" t="s">
        <v>52</v>
      </c>
      <c r="L180">
        <v>1</v>
      </c>
      <c r="M180" t="s">
        <v>52</v>
      </c>
      <c r="N180" t="s">
        <v>53</v>
      </c>
      <c r="R180">
        <v>0.5</v>
      </c>
      <c r="S180">
        <v>0.75</v>
      </c>
      <c r="T180">
        <v>0</v>
      </c>
      <c r="U180">
        <v>0</v>
      </c>
      <c r="V180" s="1">
        <v>46300</v>
      </c>
      <c r="W180" s="1">
        <v>46691</v>
      </c>
      <c r="X180" s="1">
        <v>46295</v>
      </c>
      <c r="Z180" t="s">
        <v>52</v>
      </c>
      <c r="AB180" t="s">
        <v>52</v>
      </c>
      <c r="AC180">
        <v>11</v>
      </c>
      <c r="AD180">
        <v>2</v>
      </c>
      <c r="AK180" t="s">
        <v>52</v>
      </c>
      <c r="AN180" t="s">
        <v>52</v>
      </c>
      <c r="AO180" t="s">
        <v>52</v>
      </c>
      <c r="AP180" t="s">
        <v>52</v>
      </c>
      <c r="AQ180" t="s">
        <v>52</v>
      </c>
      <c r="AR180" t="s">
        <v>55</v>
      </c>
    </row>
    <row r="181" spans="1:45" x14ac:dyDescent="0.25">
      <c r="A181" t="s">
        <v>47</v>
      </c>
      <c r="B181">
        <v>8</v>
      </c>
      <c r="C181" t="s">
        <v>117</v>
      </c>
      <c r="D181">
        <v>13</v>
      </c>
      <c r="E181" t="s">
        <v>49</v>
      </c>
      <c r="F181">
        <v>27</v>
      </c>
      <c r="H181" t="s">
        <v>50</v>
      </c>
      <c r="K181" t="s">
        <v>51</v>
      </c>
      <c r="L181">
        <v>1</v>
      </c>
      <c r="M181" t="s">
        <v>52</v>
      </c>
      <c r="N181" t="s">
        <v>53</v>
      </c>
      <c r="Q181">
        <v>230</v>
      </c>
      <c r="R181">
        <v>0</v>
      </c>
      <c r="S181">
        <v>0.75</v>
      </c>
      <c r="T181">
        <v>0</v>
      </c>
      <c r="U181">
        <v>0</v>
      </c>
      <c r="W181" s="1">
        <v>46675</v>
      </c>
      <c r="X181" s="1">
        <v>46357</v>
      </c>
      <c r="Y181" t="s">
        <v>54</v>
      </c>
      <c r="Z181" t="s">
        <v>52</v>
      </c>
      <c r="AB181" t="s">
        <v>52</v>
      </c>
      <c r="AC181">
        <v>27</v>
      </c>
      <c r="AD181">
        <v>1</v>
      </c>
      <c r="AE181">
        <v>0.97</v>
      </c>
      <c r="AG181">
        <v>0.97</v>
      </c>
      <c r="AK181" t="s">
        <v>52</v>
      </c>
      <c r="AN181" t="s">
        <v>52</v>
      </c>
      <c r="AO181" t="s">
        <v>52</v>
      </c>
      <c r="AP181" t="s">
        <v>52</v>
      </c>
      <c r="AQ181" t="s">
        <v>52</v>
      </c>
      <c r="AR181" t="s">
        <v>55</v>
      </c>
      <c r="AS181" t="s">
        <v>56</v>
      </c>
    </row>
    <row r="182" spans="1:45" x14ac:dyDescent="0.25">
      <c r="A182" t="s">
        <v>47</v>
      </c>
      <c r="B182">
        <v>8</v>
      </c>
      <c r="C182" t="s">
        <v>117</v>
      </c>
      <c r="D182">
        <v>13</v>
      </c>
      <c r="E182" t="s">
        <v>49</v>
      </c>
      <c r="F182">
        <v>27</v>
      </c>
      <c r="H182" t="s">
        <v>50</v>
      </c>
      <c r="K182" t="s">
        <v>52</v>
      </c>
      <c r="L182">
        <v>1</v>
      </c>
      <c r="M182" t="s">
        <v>52</v>
      </c>
      <c r="N182" t="s">
        <v>53</v>
      </c>
      <c r="Q182">
        <v>230</v>
      </c>
      <c r="R182">
        <v>0</v>
      </c>
      <c r="S182">
        <v>0.75</v>
      </c>
      <c r="T182">
        <v>0</v>
      </c>
      <c r="U182">
        <v>0</v>
      </c>
      <c r="W182" s="1">
        <v>46675</v>
      </c>
      <c r="X182" s="1">
        <v>46357</v>
      </c>
      <c r="Y182" t="s">
        <v>54</v>
      </c>
      <c r="Z182" t="s">
        <v>52</v>
      </c>
      <c r="AB182" t="s">
        <v>52</v>
      </c>
      <c r="AC182">
        <v>27</v>
      </c>
      <c r="AD182">
        <v>1</v>
      </c>
      <c r="AE182">
        <v>0.97</v>
      </c>
      <c r="AG182">
        <v>0.97</v>
      </c>
      <c r="AK182" t="s">
        <v>52</v>
      </c>
      <c r="AN182" t="s">
        <v>52</v>
      </c>
      <c r="AO182" t="s">
        <v>52</v>
      </c>
      <c r="AP182" t="s">
        <v>52</v>
      </c>
      <c r="AQ182" t="s">
        <v>52</v>
      </c>
      <c r="AR182" t="s">
        <v>55</v>
      </c>
      <c r="AS182" t="s">
        <v>57</v>
      </c>
    </row>
    <row r="183" spans="1:45" x14ac:dyDescent="0.25">
      <c r="A183" t="s">
        <v>47</v>
      </c>
      <c r="B183">
        <v>8</v>
      </c>
      <c r="C183" t="s">
        <v>117</v>
      </c>
      <c r="D183">
        <v>13</v>
      </c>
      <c r="E183" t="s">
        <v>58</v>
      </c>
      <c r="F183">
        <v>102</v>
      </c>
      <c r="G183" t="s">
        <v>61</v>
      </c>
      <c r="H183" t="s">
        <v>50</v>
      </c>
      <c r="K183" t="s">
        <v>51</v>
      </c>
      <c r="L183">
        <v>1</v>
      </c>
      <c r="M183" t="s">
        <v>52</v>
      </c>
      <c r="N183" t="s">
        <v>53</v>
      </c>
      <c r="R183">
        <v>0</v>
      </c>
      <c r="S183">
        <v>0.92</v>
      </c>
      <c r="T183">
        <v>0</v>
      </c>
      <c r="U183">
        <v>0</v>
      </c>
      <c r="W183" s="1">
        <v>46731</v>
      </c>
      <c r="X183" s="1">
        <v>46357</v>
      </c>
      <c r="Z183" t="s">
        <v>52</v>
      </c>
      <c r="AB183" t="s">
        <v>52</v>
      </c>
      <c r="AC183">
        <v>102</v>
      </c>
      <c r="AD183">
        <v>1</v>
      </c>
      <c r="AK183" t="s">
        <v>52</v>
      </c>
      <c r="AN183" t="s">
        <v>52</v>
      </c>
      <c r="AO183" t="s">
        <v>52</v>
      </c>
      <c r="AP183" t="s">
        <v>52</v>
      </c>
      <c r="AQ183" t="s">
        <v>52</v>
      </c>
      <c r="AR183" t="s">
        <v>55</v>
      </c>
    </row>
    <row r="184" spans="1:45" x14ac:dyDescent="0.25">
      <c r="A184" t="s">
        <v>47</v>
      </c>
      <c r="B184">
        <v>8</v>
      </c>
      <c r="C184" t="s">
        <v>117</v>
      </c>
      <c r="D184">
        <v>13</v>
      </c>
      <c r="E184" t="s">
        <v>58</v>
      </c>
      <c r="F184">
        <v>102</v>
      </c>
      <c r="G184" t="s">
        <v>61</v>
      </c>
      <c r="H184" t="s">
        <v>50</v>
      </c>
      <c r="K184" t="s">
        <v>52</v>
      </c>
      <c r="L184">
        <v>1</v>
      </c>
      <c r="M184" t="s">
        <v>52</v>
      </c>
      <c r="N184" t="s">
        <v>53</v>
      </c>
      <c r="R184">
        <v>0</v>
      </c>
      <c r="S184">
        <v>0.92</v>
      </c>
      <c r="T184">
        <v>0</v>
      </c>
      <c r="U184">
        <v>0</v>
      </c>
      <c r="W184" s="1">
        <v>46731</v>
      </c>
      <c r="X184" s="1">
        <v>46357</v>
      </c>
      <c r="Z184" t="s">
        <v>52</v>
      </c>
      <c r="AB184" t="s">
        <v>52</v>
      </c>
      <c r="AC184">
        <v>102</v>
      </c>
      <c r="AD184">
        <v>1</v>
      </c>
      <c r="AK184" t="s">
        <v>52</v>
      </c>
      <c r="AN184" t="s">
        <v>52</v>
      </c>
      <c r="AO184" t="s">
        <v>52</v>
      </c>
      <c r="AP184" t="s">
        <v>52</v>
      </c>
      <c r="AQ184" t="s">
        <v>52</v>
      </c>
      <c r="AR184" t="s">
        <v>55</v>
      </c>
    </row>
    <row r="185" spans="1:45" x14ac:dyDescent="0.25">
      <c r="A185" t="s">
        <v>47</v>
      </c>
      <c r="B185">
        <v>8</v>
      </c>
      <c r="C185" t="s">
        <v>117</v>
      </c>
      <c r="D185">
        <v>13</v>
      </c>
      <c r="E185" t="s">
        <v>58</v>
      </c>
      <c r="F185">
        <v>102</v>
      </c>
      <c r="G185" t="s">
        <v>113</v>
      </c>
      <c r="H185" t="s">
        <v>50</v>
      </c>
      <c r="K185" t="s">
        <v>51</v>
      </c>
      <c r="L185">
        <v>1</v>
      </c>
      <c r="M185" t="s">
        <v>52</v>
      </c>
      <c r="N185" t="s">
        <v>53</v>
      </c>
      <c r="R185">
        <v>0</v>
      </c>
      <c r="S185">
        <v>0.92</v>
      </c>
      <c r="T185">
        <v>0</v>
      </c>
      <c r="U185">
        <v>0</v>
      </c>
      <c r="W185" s="1">
        <v>46731</v>
      </c>
      <c r="X185" s="1">
        <v>46357</v>
      </c>
      <c r="Z185" t="s">
        <v>52</v>
      </c>
      <c r="AB185" t="s">
        <v>52</v>
      </c>
      <c r="AC185">
        <v>102</v>
      </c>
      <c r="AD185">
        <v>1</v>
      </c>
      <c r="AK185" t="s">
        <v>52</v>
      </c>
      <c r="AN185" t="s">
        <v>52</v>
      </c>
      <c r="AO185" t="s">
        <v>52</v>
      </c>
      <c r="AP185" t="s">
        <v>52</v>
      </c>
      <c r="AQ185" t="s">
        <v>52</v>
      </c>
      <c r="AR185" t="s">
        <v>55</v>
      </c>
    </row>
    <row r="186" spans="1:45" x14ac:dyDescent="0.25">
      <c r="A186" t="s">
        <v>47</v>
      </c>
      <c r="B186">
        <v>8</v>
      </c>
      <c r="C186" t="s">
        <v>117</v>
      </c>
      <c r="D186">
        <v>13</v>
      </c>
      <c r="E186" t="s">
        <v>58</v>
      </c>
      <c r="F186">
        <v>102</v>
      </c>
      <c r="G186" t="s">
        <v>113</v>
      </c>
      <c r="H186" t="s">
        <v>50</v>
      </c>
      <c r="K186" t="s">
        <v>52</v>
      </c>
      <c r="L186">
        <v>1</v>
      </c>
      <c r="M186" t="s">
        <v>52</v>
      </c>
      <c r="N186" t="s">
        <v>53</v>
      </c>
      <c r="R186">
        <v>0</v>
      </c>
      <c r="S186">
        <v>0.92</v>
      </c>
      <c r="T186">
        <v>0</v>
      </c>
      <c r="U186">
        <v>0</v>
      </c>
      <c r="W186" s="1">
        <v>46731</v>
      </c>
      <c r="X186" s="1">
        <v>46357</v>
      </c>
      <c r="Z186" t="s">
        <v>52</v>
      </c>
      <c r="AB186" t="s">
        <v>52</v>
      </c>
      <c r="AC186">
        <v>102</v>
      </c>
      <c r="AD186">
        <v>1</v>
      </c>
      <c r="AK186" t="s">
        <v>52</v>
      </c>
      <c r="AN186" t="s">
        <v>52</v>
      </c>
      <c r="AO186" t="s">
        <v>52</v>
      </c>
      <c r="AP186" t="s">
        <v>52</v>
      </c>
      <c r="AQ186" t="s">
        <v>52</v>
      </c>
      <c r="AR186" t="s">
        <v>55</v>
      </c>
    </row>
    <row r="187" spans="1:45" x14ac:dyDescent="0.25">
      <c r="A187" t="s">
        <v>47</v>
      </c>
      <c r="B187">
        <v>8</v>
      </c>
      <c r="C187" t="s">
        <v>117</v>
      </c>
      <c r="D187">
        <v>13</v>
      </c>
      <c r="E187" t="s">
        <v>58</v>
      </c>
      <c r="F187">
        <v>102</v>
      </c>
      <c r="G187" t="s">
        <v>62</v>
      </c>
      <c r="H187" t="s">
        <v>50</v>
      </c>
      <c r="K187" t="s">
        <v>51</v>
      </c>
      <c r="L187">
        <v>1</v>
      </c>
      <c r="M187" t="s">
        <v>52</v>
      </c>
      <c r="N187" t="s">
        <v>53</v>
      </c>
      <c r="R187">
        <v>0</v>
      </c>
      <c r="S187">
        <v>0.92</v>
      </c>
      <c r="T187">
        <v>0</v>
      </c>
      <c r="U187">
        <v>0</v>
      </c>
      <c r="W187" s="1">
        <v>46731</v>
      </c>
      <c r="X187" s="1">
        <v>46357</v>
      </c>
      <c r="Z187" t="s">
        <v>52</v>
      </c>
      <c r="AB187" t="s">
        <v>52</v>
      </c>
      <c r="AC187">
        <v>102</v>
      </c>
      <c r="AD187">
        <v>1</v>
      </c>
      <c r="AK187" t="s">
        <v>52</v>
      </c>
      <c r="AN187" t="s">
        <v>52</v>
      </c>
      <c r="AO187" t="s">
        <v>52</v>
      </c>
      <c r="AP187" t="s">
        <v>52</v>
      </c>
      <c r="AQ187" t="s">
        <v>52</v>
      </c>
      <c r="AR187" t="s">
        <v>55</v>
      </c>
    </row>
    <row r="188" spans="1:45" x14ac:dyDescent="0.25">
      <c r="A188" t="s">
        <v>47</v>
      </c>
      <c r="B188">
        <v>8</v>
      </c>
      <c r="C188" t="s">
        <v>117</v>
      </c>
      <c r="D188">
        <v>13</v>
      </c>
      <c r="E188" t="s">
        <v>58</v>
      </c>
      <c r="F188">
        <v>102</v>
      </c>
      <c r="G188" t="s">
        <v>63</v>
      </c>
      <c r="H188" t="s">
        <v>50</v>
      </c>
      <c r="K188" t="s">
        <v>51</v>
      </c>
      <c r="L188">
        <v>1</v>
      </c>
      <c r="M188" t="s">
        <v>52</v>
      </c>
      <c r="N188" t="s">
        <v>53</v>
      </c>
      <c r="R188">
        <v>0</v>
      </c>
      <c r="S188">
        <v>0.92</v>
      </c>
      <c r="T188">
        <v>0</v>
      </c>
      <c r="U188">
        <v>0</v>
      </c>
      <c r="W188" s="1">
        <v>46731</v>
      </c>
      <c r="X188" s="1">
        <v>46357</v>
      </c>
      <c r="Z188" t="s">
        <v>52</v>
      </c>
      <c r="AB188" t="s">
        <v>52</v>
      </c>
      <c r="AC188">
        <v>102</v>
      </c>
      <c r="AD188">
        <v>1</v>
      </c>
      <c r="AK188" t="s">
        <v>52</v>
      </c>
      <c r="AN188" t="s">
        <v>52</v>
      </c>
      <c r="AO188" t="s">
        <v>52</v>
      </c>
      <c r="AP188" t="s">
        <v>52</v>
      </c>
      <c r="AQ188" t="s">
        <v>52</v>
      </c>
      <c r="AR188" t="s">
        <v>55</v>
      </c>
    </row>
    <row r="189" spans="1:45" x14ac:dyDescent="0.25">
      <c r="A189" t="s">
        <v>47</v>
      </c>
      <c r="B189">
        <v>8</v>
      </c>
      <c r="C189" t="s">
        <v>117</v>
      </c>
      <c r="D189">
        <v>13</v>
      </c>
      <c r="E189" t="s">
        <v>58</v>
      </c>
      <c r="F189">
        <v>102</v>
      </c>
      <c r="G189" t="s">
        <v>63</v>
      </c>
      <c r="H189" t="s">
        <v>50</v>
      </c>
      <c r="K189" t="s">
        <v>52</v>
      </c>
      <c r="L189">
        <v>1</v>
      </c>
      <c r="M189" t="s">
        <v>52</v>
      </c>
      <c r="N189" t="s">
        <v>53</v>
      </c>
      <c r="R189">
        <v>0</v>
      </c>
      <c r="S189">
        <v>0.92</v>
      </c>
      <c r="T189">
        <v>0</v>
      </c>
      <c r="U189">
        <v>0</v>
      </c>
      <c r="W189" s="1">
        <v>46731</v>
      </c>
      <c r="X189" s="1">
        <v>46357</v>
      </c>
      <c r="Z189" t="s">
        <v>52</v>
      </c>
      <c r="AB189" t="s">
        <v>52</v>
      </c>
      <c r="AC189">
        <v>102</v>
      </c>
      <c r="AD189">
        <v>1</v>
      </c>
      <c r="AK189" t="s">
        <v>52</v>
      </c>
      <c r="AN189" t="s">
        <v>52</v>
      </c>
      <c r="AO189" t="s">
        <v>52</v>
      </c>
      <c r="AP189" t="s">
        <v>52</v>
      </c>
      <c r="AQ189" t="s">
        <v>52</v>
      </c>
      <c r="AR189" t="s">
        <v>55</v>
      </c>
    </row>
    <row r="190" spans="1:45" x14ac:dyDescent="0.25">
      <c r="A190" t="s">
        <v>47</v>
      </c>
      <c r="B190">
        <v>8</v>
      </c>
      <c r="C190" t="s">
        <v>117</v>
      </c>
      <c r="D190">
        <v>13</v>
      </c>
      <c r="E190" t="s">
        <v>58</v>
      </c>
      <c r="F190">
        <v>102</v>
      </c>
      <c r="G190" t="s">
        <v>64</v>
      </c>
      <c r="H190" t="s">
        <v>50</v>
      </c>
      <c r="K190" t="s">
        <v>51</v>
      </c>
      <c r="L190">
        <v>1</v>
      </c>
      <c r="M190" t="s">
        <v>52</v>
      </c>
      <c r="N190" t="s">
        <v>53</v>
      </c>
      <c r="R190">
        <v>0</v>
      </c>
      <c r="S190">
        <v>0.92</v>
      </c>
      <c r="T190">
        <v>0</v>
      </c>
      <c r="U190">
        <v>0</v>
      </c>
      <c r="W190" s="1">
        <v>46731</v>
      </c>
      <c r="X190" s="1">
        <v>46357</v>
      </c>
      <c r="Z190" t="s">
        <v>52</v>
      </c>
      <c r="AB190" t="s">
        <v>52</v>
      </c>
      <c r="AC190">
        <v>102</v>
      </c>
      <c r="AD190">
        <v>1</v>
      </c>
      <c r="AK190" t="s">
        <v>52</v>
      </c>
      <c r="AN190" t="s">
        <v>52</v>
      </c>
      <c r="AO190" t="s">
        <v>52</v>
      </c>
      <c r="AP190" t="s">
        <v>52</v>
      </c>
      <c r="AQ190" t="s">
        <v>52</v>
      </c>
      <c r="AR190" t="s">
        <v>55</v>
      </c>
    </row>
    <row r="191" spans="1:45" x14ac:dyDescent="0.25">
      <c r="A191" t="s">
        <v>47</v>
      </c>
      <c r="B191">
        <v>8</v>
      </c>
      <c r="C191" t="s">
        <v>117</v>
      </c>
      <c r="D191">
        <v>13</v>
      </c>
      <c r="E191" t="s">
        <v>58</v>
      </c>
      <c r="F191">
        <v>102</v>
      </c>
      <c r="G191" t="s">
        <v>64</v>
      </c>
      <c r="H191" t="s">
        <v>50</v>
      </c>
      <c r="K191" t="s">
        <v>52</v>
      </c>
      <c r="L191">
        <v>1</v>
      </c>
      <c r="M191" t="s">
        <v>52</v>
      </c>
      <c r="N191" t="s">
        <v>53</v>
      </c>
      <c r="R191">
        <v>0</v>
      </c>
      <c r="S191">
        <v>0.92</v>
      </c>
      <c r="T191">
        <v>0</v>
      </c>
      <c r="U191">
        <v>0</v>
      </c>
      <c r="W191" s="1">
        <v>46731</v>
      </c>
      <c r="X191" s="1">
        <v>46357</v>
      </c>
      <c r="Z191" t="s">
        <v>52</v>
      </c>
      <c r="AB191" t="s">
        <v>52</v>
      </c>
      <c r="AC191">
        <v>102</v>
      </c>
      <c r="AD191">
        <v>1</v>
      </c>
      <c r="AK191" t="s">
        <v>52</v>
      </c>
      <c r="AN191" t="s">
        <v>52</v>
      </c>
      <c r="AO191" t="s">
        <v>52</v>
      </c>
      <c r="AP191" t="s">
        <v>52</v>
      </c>
      <c r="AQ191" t="s">
        <v>52</v>
      </c>
      <c r="AR191" t="s">
        <v>55</v>
      </c>
    </row>
    <row r="192" spans="1:45" x14ac:dyDescent="0.25">
      <c r="A192" t="s">
        <v>47</v>
      </c>
      <c r="B192">
        <v>8</v>
      </c>
      <c r="C192" t="s">
        <v>117</v>
      </c>
      <c r="D192">
        <v>13</v>
      </c>
      <c r="E192" t="s">
        <v>58</v>
      </c>
      <c r="F192">
        <v>102</v>
      </c>
      <c r="G192" t="s">
        <v>66</v>
      </c>
      <c r="H192" t="s">
        <v>50</v>
      </c>
      <c r="K192" t="s">
        <v>51</v>
      </c>
      <c r="L192">
        <v>1</v>
      </c>
      <c r="M192" t="s">
        <v>52</v>
      </c>
      <c r="N192" t="s">
        <v>53</v>
      </c>
      <c r="R192">
        <v>0</v>
      </c>
      <c r="S192">
        <v>0.92</v>
      </c>
      <c r="T192">
        <v>0</v>
      </c>
      <c r="U192">
        <v>0</v>
      </c>
      <c r="W192" s="1">
        <v>46731</v>
      </c>
      <c r="X192" s="1">
        <v>46357</v>
      </c>
      <c r="Z192" t="s">
        <v>52</v>
      </c>
      <c r="AB192" t="s">
        <v>52</v>
      </c>
      <c r="AC192">
        <v>102</v>
      </c>
      <c r="AD192">
        <v>1</v>
      </c>
      <c r="AK192" t="s">
        <v>52</v>
      </c>
      <c r="AN192" t="s">
        <v>52</v>
      </c>
      <c r="AO192" t="s">
        <v>52</v>
      </c>
      <c r="AP192" t="s">
        <v>52</v>
      </c>
      <c r="AQ192" t="s">
        <v>52</v>
      </c>
      <c r="AR192" t="s">
        <v>55</v>
      </c>
      <c r="AS192" t="s">
        <v>60</v>
      </c>
    </row>
    <row r="193" spans="1:45" x14ac:dyDescent="0.25">
      <c r="A193" t="s">
        <v>47</v>
      </c>
      <c r="B193">
        <v>8</v>
      </c>
      <c r="C193" t="s">
        <v>117</v>
      </c>
      <c r="D193">
        <v>13</v>
      </c>
      <c r="E193" t="s">
        <v>58</v>
      </c>
      <c r="F193">
        <v>102</v>
      </c>
      <c r="G193" t="s">
        <v>66</v>
      </c>
      <c r="H193" t="s">
        <v>50</v>
      </c>
      <c r="K193" t="s">
        <v>52</v>
      </c>
      <c r="L193">
        <v>1</v>
      </c>
      <c r="M193" t="s">
        <v>52</v>
      </c>
      <c r="N193" t="s">
        <v>53</v>
      </c>
      <c r="R193">
        <v>0</v>
      </c>
      <c r="S193">
        <v>0.92</v>
      </c>
      <c r="T193">
        <v>0</v>
      </c>
      <c r="U193">
        <v>0</v>
      </c>
      <c r="W193" s="1">
        <v>46731</v>
      </c>
      <c r="X193" s="1">
        <v>46357</v>
      </c>
      <c r="Z193" t="s">
        <v>52</v>
      </c>
      <c r="AB193" t="s">
        <v>52</v>
      </c>
      <c r="AC193">
        <v>102</v>
      </c>
      <c r="AD193">
        <v>1</v>
      </c>
      <c r="AK193" t="s">
        <v>52</v>
      </c>
      <c r="AN193" t="s">
        <v>52</v>
      </c>
      <c r="AO193" t="s">
        <v>52</v>
      </c>
      <c r="AP193" t="s">
        <v>52</v>
      </c>
      <c r="AQ193" t="s">
        <v>52</v>
      </c>
      <c r="AR193" t="s">
        <v>55</v>
      </c>
      <c r="AS193" t="s">
        <v>60</v>
      </c>
    </row>
    <row r="194" spans="1:45" x14ac:dyDescent="0.25">
      <c r="A194" t="s">
        <v>47</v>
      </c>
      <c r="B194">
        <v>8</v>
      </c>
      <c r="C194" t="s">
        <v>117</v>
      </c>
      <c r="D194">
        <v>13</v>
      </c>
      <c r="E194" t="s">
        <v>58</v>
      </c>
      <c r="F194">
        <v>102</v>
      </c>
      <c r="G194" t="s">
        <v>118</v>
      </c>
      <c r="H194" t="s">
        <v>50</v>
      </c>
      <c r="K194" t="s">
        <v>51</v>
      </c>
      <c r="L194">
        <v>1</v>
      </c>
      <c r="M194" t="s">
        <v>52</v>
      </c>
      <c r="N194" t="s">
        <v>53</v>
      </c>
      <c r="R194">
        <v>0</v>
      </c>
      <c r="S194">
        <v>0.92</v>
      </c>
      <c r="T194">
        <v>0</v>
      </c>
      <c r="U194">
        <v>0</v>
      </c>
      <c r="W194" s="1">
        <v>46731</v>
      </c>
      <c r="X194" s="1">
        <v>46357</v>
      </c>
      <c r="Z194" t="s">
        <v>52</v>
      </c>
      <c r="AB194" t="s">
        <v>52</v>
      </c>
      <c r="AC194">
        <v>102</v>
      </c>
      <c r="AD194">
        <v>1</v>
      </c>
      <c r="AK194" t="s">
        <v>52</v>
      </c>
      <c r="AN194" t="s">
        <v>52</v>
      </c>
      <c r="AO194" t="s">
        <v>52</v>
      </c>
      <c r="AP194" t="s">
        <v>52</v>
      </c>
      <c r="AQ194" t="s">
        <v>52</v>
      </c>
      <c r="AR194" t="s">
        <v>55</v>
      </c>
      <c r="AS194" t="s">
        <v>60</v>
      </c>
    </row>
    <row r="195" spans="1:45" x14ac:dyDescent="0.25">
      <c r="A195" t="s">
        <v>47</v>
      </c>
      <c r="B195">
        <v>8</v>
      </c>
      <c r="C195" t="s">
        <v>117</v>
      </c>
      <c r="D195">
        <v>13</v>
      </c>
      <c r="E195" t="s">
        <v>58</v>
      </c>
      <c r="F195">
        <v>102</v>
      </c>
      <c r="G195" t="s">
        <v>118</v>
      </c>
      <c r="H195" t="s">
        <v>50</v>
      </c>
      <c r="K195" t="s">
        <v>52</v>
      </c>
      <c r="L195">
        <v>1</v>
      </c>
      <c r="M195" t="s">
        <v>52</v>
      </c>
      <c r="N195" t="s">
        <v>53</v>
      </c>
      <c r="R195">
        <v>0</v>
      </c>
      <c r="S195">
        <v>0.92</v>
      </c>
      <c r="T195">
        <v>0</v>
      </c>
      <c r="U195">
        <v>0</v>
      </c>
      <c r="W195" s="1">
        <v>46731</v>
      </c>
      <c r="X195" s="1">
        <v>46357</v>
      </c>
      <c r="Z195" t="s">
        <v>52</v>
      </c>
      <c r="AB195" t="s">
        <v>52</v>
      </c>
      <c r="AC195">
        <v>102</v>
      </c>
      <c r="AD195">
        <v>1</v>
      </c>
      <c r="AK195" t="s">
        <v>52</v>
      </c>
      <c r="AN195" t="s">
        <v>52</v>
      </c>
      <c r="AO195" t="s">
        <v>52</v>
      </c>
      <c r="AP195" t="s">
        <v>52</v>
      </c>
      <c r="AQ195" t="s">
        <v>52</v>
      </c>
      <c r="AR195" t="s">
        <v>55</v>
      </c>
      <c r="AS195" t="s">
        <v>60</v>
      </c>
    </row>
    <row r="196" spans="1:45" x14ac:dyDescent="0.25">
      <c r="A196" t="s">
        <v>47</v>
      </c>
      <c r="B196">
        <v>8</v>
      </c>
      <c r="C196" t="s">
        <v>117</v>
      </c>
      <c r="D196">
        <v>13</v>
      </c>
      <c r="E196" t="s">
        <v>58</v>
      </c>
      <c r="F196">
        <v>102</v>
      </c>
      <c r="G196" t="s">
        <v>119</v>
      </c>
      <c r="H196" t="s">
        <v>50</v>
      </c>
      <c r="K196" t="s">
        <v>51</v>
      </c>
      <c r="L196">
        <v>1</v>
      </c>
      <c r="M196" t="s">
        <v>52</v>
      </c>
      <c r="N196" t="s">
        <v>53</v>
      </c>
      <c r="R196">
        <v>0</v>
      </c>
      <c r="S196">
        <v>0.92</v>
      </c>
      <c r="T196">
        <v>0</v>
      </c>
      <c r="U196">
        <v>0</v>
      </c>
      <c r="W196" s="1">
        <v>46731</v>
      </c>
      <c r="X196" s="1">
        <v>46357</v>
      </c>
      <c r="Z196" t="s">
        <v>52</v>
      </c>
      <c r="AB196" t="s">
        <v>52</v>
      </c>
      <c r="AC196">
        <v>102</v>
      </c>
      <c r="AD196">
        <v>1</v>
      </c>
      <c r="AK196" t="s">
        <v>52</v>
      </c>
      <c r="AN196" t="s">
        <v>52</v>
      </c>
      <c r="AO196" t="s">
        <v>52</v>
      </c>
      <c r="AP196" t="s">
        <v>52</v>
      </c>
      <c r="AQ196" t="s">
        <v>52</v>
      </c>
      <c r="AR196" t="s">
        <v>55</v>
      </c>
      <c r="AS196" t="s">
        <v>60</v>
      </c>
    </row>
    <row r="197" spans="1:45" x14ac:dyDescent="0.25">
      <c r="A197" t="s">
        <v>47</v>
      </c>
      <c r="B197">
        <v>8</v>
      </c>
      <c r="C197" t="s">
        <v>117</v>
      </c>
      <c r="D197">
        <v>13</v>
      </c>
      <c r="E197" t="s">
        <v>58</v>
      </c>
      <c r="F197">
        <v>102</v>
      </c>
      <c r="G197" t="s">
        <v>119</v>
      </c>
      <c r="H197" t="s">
        <v>50</v>
      </c>
      <c r="K197" t="s">
        <v>52</v>
      </c>
      <c r="L197">
        <v>1</v>
      </c>
      <c r="M197" t="s">
        <v>52</v>
      </c>
      <c r="N197" t="s">
        <v>53</v>
      </c>
      <c r="R197">
        <v>0</v>
      </c>
      <c r="S197">
        <v>0.92</v>
      </c>
      <c r="T197">
        <v>0</v>
      </c>
      <c r="U197">
        <v>0</v>
      </c>
      <c r="W197" s="1">
        <v>46731</v>
      </c>
      <c r="X197" s="1">
        <v>46357</v>
      </c>
      <c r="Z197" t="s">
        <v>52</v>
      </c>
      <c r="AB197" t="s">
        <v>52</v>
      </c>
      <c r="AC197">
        <v>102</v>
      </c>
      <c r="AD197">
        <v>1</v>
      </c>
      <c r="AK197" t="s">
        <v>52</v>
      </c>
      <c r="AN197" t="s">
        <v>52</v>
      </c>
      <c r="AO197" t="s">
        <v>52</v>
      </c>
      <c r="AP197" t="s">
        <v>52</v>
      </c>
      <c r="AQ197" t="s">
        <v>52</v>
      </c>
      <c r="AR197" t="s">
        <v>55</v>
      </c>
      <c r="AS197" t="s">
        <v>60</v>
      </c>
    </row>
    <row r="198" spans="1:45" x14ac:dyDescent="0.25">
      <c r="A198" t="s">
        <v>47</v>
      </c>
      <c r="B198">
        <v>8</v>
      </c>
      <c r="C198" t="s">
        <v>117</v>
      </c>
      <c r="D198">
        <v>13</v>
      </c>
      <c r="E198" t="s">
        <v>68</v>
      </c>
      <c r="F198">
        <v>80</v>
      </c>
      <c r="G198" t="s">
        <v>69</v>
      </c>
      <c r="H198" t="s">
        <v>50</v>
      </c>
      <c r="K198" t="s">
        <v>51</v>
      </c>
      <c r="L198">
        <v>1</v>
      </c>
      <c r="M198" t="s">
        <v>52</v>
      </c>
      <c r="N198" t="s">
        <v>53</v>
      </c>
      <c r="R198">
        <v>0.5</v>
      </c>
      <c r="S198">
        <v>0.75</v>
      </c>
      <c r="T198">
        <v>0</v>
      </c>
      <c r="U198">
        <v>0</v>
      </c>
      <c r="V198" s="1">
        <v>46583</v>
      </c>
      <c r="W198" s="1">
        <v>46675</v>
      </c>
      <c r="X198" s="1">
        <v>46461</v>
      </c>
      <c r="Z198" t="s">
        <v>52</v>
      </c>
      <c r="AB198" t="s">
        <v>52</v>
      </c>
      <c r="AC198">
        <v>80</v>
      </c>
      <c r="AD198">
        <v>1</v>
      </c>
      <c r="AK198" t="s">
        <v>52</v>
      </c>
      <c r="AN198" t="s">
        <v>52</v>
      </c>
      <c r="AO198" t="s">
        <v>52</v>
      </c>
      <c r="AP198" t="s">
        <v>52</v>
      </c>
      <c r="AQ198" t="s">
        <v>52</v>
      </c>
      <c r="AR198" t="s">
        <v>55</v>
      </c>
      <c r="AS198" t="s">
        <v>88</v>
      </c>
    </row>
    <row r="199" spans="1:45" x14ac:dyDescent="0.25">
      <c r="A199" t="s">
        <v>47</v>
      </c>
      <c r="B199">
        <v>8</v>
      </c>
      <c r="C199" t="s">
        <v>117</v>
      </c>
      <c r="D199">
        <v>13</v>
      </c>
      <c r="E199" t="s">
        <v>68</v>
      </c>
      <c r="F199">
        <v>80</v>
      </c>
      <c r="G199" t="s">
        <v>69</v>
      </c>
      <c r="H199" t="s">
        <v>50</v>
      </c>
      <c r="K199" t="s">
        <v>52</v>
      </c>
      <c r="L199">
        <v>1</v>
      </c>
      <c r="M199" t="s">
        <v>52</v>
      </c>
      <c r="N199" t="s">
        <v>53</v>
      </c>
      <c r="R199">
        <v>0.5</v>
      </c>
      <c r="S199">
        <v>0.75</v>
      </c>
      <c r="T199">
        <v>0</v>
      </c>
      <c r="U199">
        <v>0</v>
      </c>
      <c r="V199" s="1">
        <v>46583</v>
      </c>
      <c r="W199" s="1">
        <v>46675</v>
      </c>
      <c r="X199" s="1">
        <v>46461</v>
      </c>
      <c r="Z199" t="s">
        <v>52</v>
      </c>
      <c r="AB199" t="s">
        <v>52</v>
      </c>
      <c r="AC199">
        <v>80</v>
      </c>
      <c r="AD199">
        <v>1</v>
      </c>
      <c r="AK199" t="s">
        <v>52</v>
      </c>
      <c r="AN199" t="s">
        <v>52</v>
      </c>
      <c r="AO199" t="s">
        <v>52</v>
      </c>
      <c r="AP199" t="s">
        <v>52</v>
      </c>
      <c r="AQ199" t="s">
        <v>52</v>
      </c>
      <c r="AR199" t="s">
        <v>55</v>
      </c>
      <c r="AS199" t="s">
        <v>88</v>
      </c>
    </row>
    <row r="200" spans="1:45" x14ac:dyDescent="0.25">
      <c r="A200" t="s">
        <v>47</v>
      </c>
      <c r="B200">
        <v>8</v>
      </c>
      <c r="C200" t="s">
        <v>117</v>
      </c>
      <c r="D200">
        <v>13</v>
      </c>
      <c r="E200" t="s">
        <v>68</v>
      </c>
      <c r="F200">
        <v>80</v>
      </c>
      <c r="G200" t="s">
        <v>105</v>
      </c>
      <c r="H200" t="s">
        <v>50</v>
      </c>
      <c r="K200" t="s">
        <v>52</v>
      </c>
      <c r="L200">
        <v>1</v>
      </c>
      <c r="M200" t="s">
        <v>52</v>
      </c>
      <c r="N200" t="s">
        <v>53</v>
      </c>
      <c r="R200">
        <v>0.5</v>
      </c>
      <c r="S200">
        <v>0.75</v>
      </c>
      <c r="T200">
        <v>0</v>
      </c>
      <c r="U200">
        <v>0</v>
      </c>
      <c r="V200" s="1">
        <v>46583</v>
      </c>
      <c r="W200" s="1">
        <v>46675</v>
      </c>
      <c r="X200" s="1">
        <v>46461</v>
      </c>
      <c r="Z200" t="s">
        <v>52</v>
      </c>
      <c r="AB200" t="s">
        <v>52</v>
      </c>
      <c r="AC200">
        <v>80</v>
      </c>
      <c r="AD200">
        <v>1</v>
      </c>
      <c r="AK200" t="s">
        <v>52</v>
      </c>
      <c r="AN200" t="s">
        <v>52</v>
      </c>
      <c r="AO200" t="s">
        <v>52</v>
      </c>
      <c r="AP200" t="s">
        <v>52</v>
      </c>
      <c r="AQ200" t="s">
        <v>52</v>
      </c>
      <c r="AR200" t="s">
        <v>55</v>
      </c>
      <c r="AS200" t="s">
        <v>60</v>
      </c>
    </row>
    <row r="201" spans="1:45" x14ac:dyDescent="0.25">
      <c r="A201" t="s">
        <v>47</v>
      </c>
      <c r="B201">
        <v>8</v>
      </c>
      <c r="C201" t="s">
        <v>117</v>
      </c>
      <c r="D201">
        <v>13</v>
      </c>
      <c r="E201" t="s">
        <v>70</v>
      </c>
      <c r="F201">
        <v>296</v>
      </c>
      <c r="G201" t="s">
        <v>71</v>
      </c>
      <c r="H201" t="s">
        <v>50</v>
      </c>
      <c r="K201" t="s">
        <v>51</v>
      </c>
      <c r="L201">
        <v>1</v>
      </c>
      <c r="M201" t="s">
        <v>52</v>
      </c>
      <c r="N201" t="s">
        <v>53</v>
      </c>
      <c r="Q201">
        <v>224.33330000000001</v>
      </c>
      <c r="R201">
        <v>0</v>
      </c>
      <c r="S201">
        <v>0.75</v>
      </c>
      <c r="T201">
        <v>0</v>
      </c>
      <c r="U201">
        <v>0</v>
      </c>
      <c r="W201" s="1">
        <v>46675</v>
      </c>
      <c r="X201" s="1">
        <v>46357</v>
      </c>
      <c r="Y201" t="s">
        <v>54</v>
      </c>
      <c r="Z201" t="s">
        <v>52</v>
      </c>
      <c r="AB201" t="s">
        <v>52</v>
      </c>
      <c r="AC201">
        <v>296</v>
      </c>
      <c r="AD201">
        <v>1</v>
      </c>
      <c r="AK201" t="s">
        <v>52</v>
      </c>
      <c r="AN201" t="s">
        <v>52</v>
      </c>
      <c r="AO201" t="s">
        <v>52</v>
      </c>
      <c r="AP201" t="s">
        <v>52</v>
      </c>
      <c r="AQ201" t="s">
        <v>52</v>
      </c>
      <c r="AR201" t="s">
        <v>55</v>
      </c>
      <c r="AS201" t="s">
        <v>60</v>
      </c>
    </row>
    <row r="202" spans="1:45" x14ac:dyDescent="0.25">
      <c r="A202" t="s">
        <v>47</v>
      </c>
      <c r="B202">
        <v>8</v>
      </c>
      <c r="C202" t="s">
        <v>117</v>
      </c>
      <c r="D202">
        <v>13</v>
      </c>
      <c r="E202" t="s">
        <v>70</v>
      </c>
      <c r="F202">
        <v>296</v>
      </c>
      <c r="G202" t="s">
        <v>71</v>
      </c>
      <c r="H202" t="s">
        <v>50</v>
      </c>
      <c r="K202" t="s">
        <v>52</v>
      </c>
      <c r="L202">
        <v>1</v>
      </c>
      <c r="M202" t="s">
        <v>52</v>
      </c>
      <c r="N202" t="s">
        <v>53</v>
      </c>
      <c r="Q202">
        <v>224.33330000000001</v>
      </c>
      <c r="R202">
        <v>0</v>
      </c>
      <c r="S202">
        <v>0.75</v>
      </c>
      <c r="T202">
        <v>0</v>
      </c>
      <c r="U202">
        <v>0</v>
      </c>
      <c r="W202" s="1">
        <v>46675</v>
      </c>
      <c r="X202" s="1">
        <v>46357</v>
      </c>
      <c r="Y202" t="s">
        <v>54</v>
      </c>
      <c r="Z202" t="s">
        <v>52</v>
      </c>
      <c r="AB202" t="s">
        <v>52</v>
      </c>
      <c r="AC202">
        <v>296</v>
      </c>
      <c r="AD202">
        <v>1</v>
      </c>
      <c r="AK202" t="s">
        <v>52</v>
      </c>
      <c r="AN202" t="s">
        <v>52</v>
      </c>
      <c r="AO202" t="s">
        <v>52</v>
      </c>
      <c r="AP202" t="s">
        <v>52</v>
      </c>
      <c r="AQ202" t="s">
        <v>52</v>
      </c>
      <c r="AR202" t="s">
        <v>55</v>
      </c>
      <c r="AS202" t="s">
        <v>60</v>
      </c>
    </row>
    <row r="203" spans="1:45" x14ac:dyDescent="0.25">
      <c r="A203" t="s">
        <v>47</v>
      </c>
      <c r="B203">
        <v>8</v>
      </c>
      <c r="C203" t="s">
        <v>117</v>
      </c>
      <c r="D203">
        <v>13</v>
      </c>
      <c r="E203" t="s">
        <v>70</v>
      </c>
      <c r="F203">
        <v>296</v>
      </c>
      <c r="G203" t="s">
        <v>72</v>
      </c>
      <c r="H203" t="s">
        <v>50</v>
      </c>
      <c r="K203" t="s">
        <v>51</v>
      </c>
      <c r="L203">
        <v>1</v>
      </c>
      <c r="M203" t="s">
        <v>52</v>
      </c>
      <c r="N203" t="s">
        <v>53</v>
      </c>
      <c r="R203">
        <v>0.5</v>
      </c>
      <c r="S203">
        <v>0.75</v>
      </c>
      <c r="T203">
        <v>0</v>
      </c>
      <c r="U203">
        <v>0</v>
      </c>
      <c r="W203" s="1">
        <v>46675</v>
      </c>
      <c r="X203" s="1">
        <v>46357</v>
      </c>
      <c r="Z203" t="s">
        <v>52</v>
      </c>
      <c r="AB203" t="s">
        <v>52</v>
      </c>
      <c r="AC203">
        <v>296</v>
      </c>
      <c r="AD203">
        <v>1</v>
      </c>
      <c r="AK203" t="s">
        <v>52</v>
      </c>
      <c r="AN203" t="s">
        <v>52</v>
      </c>
      <c r="AO203" t="s">
        <v>52</v>
      </c>
      <c r="AP203" t="s">
        <v>52</v>
      </c>
      <c r="AQ203" t="s">
        <v>52</v>
      </c>
      <c r="AR203" t="s">
        <v>55</v>
      </c>
      <c r="AS203" t="s">
        <v>60</v>
      </c>
    </row>
    <row r="204" spans="1:45" x14ac:dyDescent="0.25">
      <c r="A204" t="s">
        <v>47</v>
      </c>
      <c r="B204">
        <v>8</v>
      </c>
      <c r="C204" t="s">
        <v>117</v>
      </c>
      <c r="D204">
        <v>13</v>
      </c>
      <c r="E204" t="s">
        <v>70</v>
      </c>
      <c r="F204">
        <v>296</v>
      </c>
      <c r="G204" t="s">
        <v>72</v>
      </c>
      <c r="H204" t="s">
        <v>50</v>
      </c>
      <c r="K204" t="s">
        <v>52</v>
      </c>
      <c r="L204">
        <v>1</v>
      </c>
      <c r="M204" t="s">
        <v>52</v>
      </c>
      <c r="N204" t="s">
        <v>53</v>
      </c>
      <c r="R204">
        <v>0.5</v>
      </c>
      <c r="S204">
        <v>0.75</v>
      </c>
      <c r="T204">
        <v>0</v>
      </c>
      <c r="U204">
        <v>0</v>
      </c>
      <c r="W204" s="1">
        <v>46675</v>
      </c>
      <c r="X204" s="1">
        <v>46357</v>
      </c>
      <c r="Z204" t="s">
        <v>52</v>
      </c>
      <c r="AB204" t="s">
        <v>52</v>
      </c>
      <c r="AC204">
        <v>296</v>
      </c>
      <c r="AD204">
        <v>1</v>
      </c>
      <c r="AK204" t="s">
        <v>52</v>
      </c>
      <c r="AN204" t="s">
        <v>52</v>
      </c>
      <c r="AO204" t="s">
        <v>52</v>
      </c>
      <c r="AP204" t="s">
        <v>52</v>
      </c>
      <c r="AQ204" t="s">
        <v>52</v>
      </c>
      <c r="AR204" t="s">
        <v>55</v>
      </c>
      <c r="AS204" t="s">
        <v>60</v>
      </c>
    </row>
    <row r="205" spans="1:45" x14ac:dyDescent="0.25">
      <c r="A205" t="s">
        <v>47</v>
      </c>
      <c r="B205">
        <v>8</v>
      </c>
      <c r="C205" t="s">
        <v>117</v>
      </c>
      <c r="D205">
        <v>13</v>
      </c>
      <c r="E205" t="s">
        <v>70</v>
      </c>
      <c r="F205">
        <v>296</v>
      </c>
      <c r="G205" t="s">
        <v>73</v>
      </c>
      <c r="H205" t="s">
        <v>50</v>
      </c>
      <c r="K205" t="s">
        <v>51</v>
      </c>
      <c r="L205">
        <v>1</v>
      </c>
      <c r="M205" t="s">
        <v>52</v>
      </c>
      <c r="N205" t="s">
        <v>53</v>
      </c>
      <c r="R205">
        <v>0</v>
      </c>
      <c r="S205">
        <v>0.75</v>
      </c>
      <c r="T205">
        <v>0</v>
      </c>
      <c r="U205">
        <v>0</v>
      </c>
      <c r="W205" s="1">
        <v>46675</v>
      </c>
      <c r="X205" s="1">
        <v>46357</v>
      </c>
      <c r="Z205" t="s">
        <v>52</v>
      </c>
      <c r="AB205" t="s">
        <v>52</v>
      </c>
      <c r="AC205">
        <v>296</v>
      </c>
      <c r="AD205">
        <v>1</v>
      </c>
      <c r="AK205" t="s">
        <v>52</v>
      </c>
      <c r="AN205" t="s">
        <v>52</v>
      </c>
      <c r="AO205" t="s">
        <v>52</v>
      </c>
      <c r="AP205" t="s">
        <v>52</v>
      </c>
      <c r="AQ205" t="s">
        <v>52</v>
      </c>
      <c r="AR205" t="s">
        <v>55</v>
      </c>
      <c r="AS205" t="s">
        <v>60</v>
      </c>
    </row>
    <row r="206" spans="1:45" x14ac:dyDescent="0.25">
      <c r="A206" t="s">
        <v>47</v>
      </c>
      <c r="B206">
        <v>8</v>
      </c>
      <c r="C206" t="s">
        <v>117</v>
      </c>
      <c r="D206">
        <v>13</v>
      </c>
      <c r="E206" t="s">
        <v>70</v>
      </c>
      <c r="F206">
        <v>296</v>
      </c>
      <c r="G206" t="s">
        <v>73</v>
      </c>
      <c r="H206" t="s">
        <v>50</v>
      </c>
      <c r="K206" t="s">
        <v>52</v>
      </c>
      <c r="L206">
        <v>1</v>
      </c>
      <c r="M206" t="s">
        <v>52</v>
      </c>
      <c r="N206" t="s">
        <v>53</v>
      </c>
      <c r="R206">
        <v>0</v>
      </c>
      <c r="S206">
        <v>0.75</v>
      </c>
      <c r="T206">
        <v>0</v>
      </c>
      <c r="U206">
        <v>0</v>
      </c>
      <c r="W206" s="1">
        <v>46675</v>
      </c>
      <c r="X206" s="1">
        <v>46357</v>
      </c>
      <c r="Z206" t="s">
        <v>52</v>
      </c>
      <c r="AB206" t="s">
        <v>52</v>
      </c>
      <c r="AC206">
        <v>296</v>
      </c>
      <c r="AD206">
        <v>1</v>
      </c>
      <c r="AK206" t="s">
        <v>52</v>
      </c>
      <c r="AN206" t="s">
        <v>52</v>
      </c>
      <c r="AO206" t="s">
        <v>52</v>
      </c>
      <c r="AP206" t="s">
        <v>52</v>
      </c>
      <c r="AQ206" t="s">
        <v>52</v>
      </c>
      <c r="AR206" t="s">
        <v>55</v>
      </c>
      <c r="AS206" t="s">
        <v>60</v>
      </c>
    </row>
    <row r="207" spans="1:45" x14ac:dyDescent="0.25">
      <c r="A207" t="s">
        <v>47</v>
      </c>
      <c r="B207">
        <v>8</v>
      </c>
      <c r="C207" t="s">
        <v>117</v>
      </c>
      <c r="D207">
        <v>13</v>
      </c>
      <c r="E207" t="s">
        <v>70</v>
      </c>
      <c r="F207">
        <v>296</v>
      </c>
      <c r="G207" t="s">
        <v>74</v>
      </c>
      <c r="H207" t="s">
        <v>50</v>
      </c>
      <c r="K207" t="s">
        <v>51</v>
      </c>
      <c r="L207">
        <v>1</v>
      </c>
      <c r="M207" t="s">
        <v>52</v>
      </c>
      <c r="N207" t="s">
        <v>53</v>
      </c>
      <c r="R207">
        <v>0</v>
      </c>
      <c r="S207">
        <v>0.75</v>
      </c>
      <c r="T207">
        <v>0</v>
      </c>
      <c r="U207">
        <v>0</v>
      </c>
      <c r="W207" s="1">
        <v>46675</v>
      </c>
      <c r="X207" s="1">
        <v>46357</v>
      </c>
      <c r="Z207" t="s">
        <v>52</v>
      </c>
      <c r="AB207" t="s">
        <v>52</v>
      </c>
      <c r="AC207">
        <v>102</v>
      </c>
      <c r="AD207">
        <v>1</v>
      </c>
      <c r="AK207" t="s">
        <v>52</v>
      </c>
      <c r="AN207" t="s">
        <v>52</v>
      </c>
      <c r="AO207" t="s">
        <v>52</v>
      </c>
      <c r="AP207" t="s">
        <v>52</v>
      </c>
      <c r="AQ207" t="s">
        <v>52</v>
      </c>
      <c r="AR207" t="s">
        <v>55</v>
      </c>
    </row>
    <row r="208" spans="1:45" x14ac:dyDescent="0.25">
      <c r="A208" t="s">
        <v>47</v>
      </c>
      <c r="B208">
        <v>8</v>
      </c>
      <c r="C208" t="s">
        <v>117</v>
      </c>
      <c r="D208">
        <v>13</v>
      </c>
      <c r="E208" t="s">
        <v>70</v>
      </c>
      <c r="F208">
        <v>296</v>
      </c>
      <c r="G208" t="s">
        <v>74</v>
      </c>
      <c r="H208" t="s">
        <v>50</v>
      </c>
      <c r="K208" t="s">
        <v>52</v>
      </c>
      <c r="L208">
        <v>1</v>
      </c>
      <c r="M208" t="s">
        <v>52</v>
      </c>
      <c r="N208" t="s">
        <v>53</v>
      </c>
      <c r="R208">
        <v>0</v>
      </c>
      <c r="S208">
        <v>0.75</v>
      </c>
      <c r="T208">
        <v>0</v>
      </c>
      <c r="U208">
        <v>0</v>
      </c>
      <c r="W208" s="1">
        <v>46675</v>
      </c>
      <c r="X208" s="1">
        <v>46357</v>
      </c>
      <c r="Z208" t="s">
        <v>52</v>
      </c>
      <c r="AB208" t="s">
        <v>52</v>
      </c>
      <c r="AC208">
        <v>102</v>
      </c>
      <c r="AD208">
        <v>1</v>
      </c>
      <c r="AK208" t="s">
        <v>52</v>
      </c>
      <c r="AN208" t="s">
        <v>52</v>
      </c>
      <c r="AO208" t="s">
        <v>52</v>
      </c>
      <c r="AP208" t="s">
        <v>52</v>
      </c>
      <c r="AQ208" t="s">
        <v>52</v>
      </c>
      <c r="AR208" t="s">
        <v>55</v>
      </c>
      <c r="AS208" t="s">
        <v>60</v>
      </c>
    </row>
    <row r="209" spans="1:45" x14ac:dyDescent="0.25">
      <c r="A209" t="s">
        <v>47</v>
      </c>
      <c r="B209">
        <v>8</v>
      </c>
      <c r="C209" t="s">
        <v>117</v>
      </c>
      <c r="D209">
        <v>13</v>
      </c>
      <c r="E209" t="s">
        <v>70</v>
      </c>
      <c r="F209">
        <v>296</v>
      </c>
      <c r="G209" t="s">
        <v>90</v>
      </c>
      <c r="H209" t="s">
        <v>50</v>
      </c>
      <c r="K209" t="s">
        <v>51</v>
      </c>
      <c r="L209">
        <v>1</v>
      </c>
      <c r="M209" t="s">
        <v>52</v>
      </c>
      <c r="N209" t="s">
        <v>53</v>
      </c>
      <c r="R209">
        <v>0.5</v>
      </c>
      <c r="S209">
        <v>0.75</v>
      </c>
      <c r="T209">
        <v>0</v>
      </c>
      <c r="U209">
        <v>0</v>
      </c>
      <c r="V209" s="1">
        <v>46593</v>
      </c>
      <c r="W209" s="1">
        <v>46675</v>
      </c>
      <c r="X209" s="1">
        <v>46357</v>
      </c>
      <c r="Z209" t="s">
        <v>52</v>
      </c>
      <c r="AB209" t="s">
        <v>52</v>
      </c>
      <c r="AC209">
        <v>102</v>
      </c>
      <c r="AD209">
        <v>1</v>
      </c>
      <c r="AK209" t="s">
        <v>52</v>
      </c>
      <c r="AN209" t="s">
        <v>52</v>
      </c>
      <c r="AO209" t="s">
        <v>52</v>
      </c>
      <c r="AP209" t="s">
        <v>52</v>
      </c>
      <c r="AQ209" t="s">
        <v>52</v>
      </c>
      <c r="AR209" t="s">
        <v>55</v>
      </c>
      <c r="AS209" t="s">
        <v>60</v>
      </c>
    </row>
    <row r="210" spans="1:45" x14ac:dyDescent="0.25">
      <c r="A210" t="s">
        <v>47</v>
      </c>
      <c r="B210">
        <v>8</v>
      </c>
      <c r="C210" t="s">
        <v>117</v>
      </c>
      <c r="D210">
        <v>13</v>
      </c>
      <c r="E210" t="s">
        <v>70</v>
      </c>
      <c r="F210">
        <v>296</v>
      </c>
      <c r="G210" t="s">
        <v>90</v>
      </c>
      <c r="H210" t="s">
        <v>50</v>
      </c>
      <c r="K210" t="s">
        <v>52</v>
      </c>
      <c r="L210">
        <v>1</v>
      </c>
      <c r="M210" t="s">
        <v>52</v>
      </c>
      <c r="N210" t="s">
        <v>53</v>
      </c>
      <c r="R210">
        <v>0.5</v>
      </c>
      <c r="S210">
        <v>0.75</v>
      </c>
      <c r="T210">
        <v>0</v>
      </c>
      <c r="U210">
        <v>0</v>
      </c>
      <c r="V210" s="1">
        <v>46593</v>
      </c>
      <c r="W210" s="1">
        <v>46675</v>
      </c>
      <c r="X210" s="1">
        <v>46357</v>
      </c>
      <c r="Z210" t="s">
        <v>52</v>
      </c>
      <c r="AB210" t="s">
        <v>52</v>
      </c>
      <c r="AC210">
        <v>102</v>
      </c>
      <c r="AD210">
        <v>1</v>
      </c>
      <c r="AK210" t="s">
        <v>52</v>
      </c>
      <c r="AN210" t="s">
        <v>52</v>
      </c>
      <c r="AO210" t="s">
        <v>52</v>
      </c>
      <c r="AP210" t="s">
        <v>52</v>
      </c>
      <c r="AQ210" t="s">
        <v>52</v>
      </c>
      <c r="AR210" t="s">
        <v>55</v>
      </c>
      <c r="AS210" t="s">
        <v>60</v>
      </c>
    </row>
    <row r="211" spans="1:45" x14ac:dyDescent="0.25">
      <c r="A211" t="s">
        <v>47</v>
      </c>
      <c r="B211">
        <v>8</v>
      </c>
      <c r="C211" t="s">
        <v>117</v>
      </c>
      <c r="D211">
        <v>13</v>
      </c>
      <c r="E211" t="s">
        <v>75</v>
      </c>
      <c r="F211">
        <v>16</v>
      </c>
      <c r="G211" t="s">
        <v>76</v>
      </c>
      <c r="H211" t="s">
        <v>50</v>
      </c>
      <c r="K211" t="s">
        <v>51</v>
      </c>
      <c r="L211">
        <v>1</v>
      </c>
      <c r="M211" t="s">
        <v>52</v>
      </c>
      <c r="N211" t="s">
        <v>53</v>
      </c>
      <c r="R211">
        <v>0.5</v>
      </c>
      <c r="S211">
        <v>0.75</v>
      </c>
      <c r="T211">
        <v>0</v>
      </c>
      <c r="U211">
        <v>0</v>
      </c>
      <c r="V211" s="1">
        <v>46507</v>
      </c>
      <c r="W211" s="1">
        <v>46691</v>
      </c>
      <c r="X211" s="1">
        <v>46461</v>
      </c>
      <c r="Z211" t="s">
        <v>52</v>
      </c>
      <c r="AB211" t="s">
        <v>52</v>
      </c>
      <c r="AC211">
        <v>16</v>
      </c>
      <c r="AD211">
        <v>2</v>
      </c>
      <c r="AE211">
        <v>0.95</v>
      </c>
      <c r="AG211">
        <v>0.95</v>
      </c>
      <c r="AK211" t="s">
        <v>52</v>
      </c>
      <c r="AN211" t="s">
        <v>52</v>
      </c>
      <c r="AO211" t="s">
        <v>52</v>
      </c>
      <c r="AP211" t="s">
        <v>52</v>
      </c>
      <c r="AQ211" t="s">
        <v>52</v>
      </c>
      <c r="AR211" t="s">
        <v>55</v>
      </c>
      <c r="AS211" t="s">
        <v>60</v>
      </c>
    </row>
    <row r="212" spans="1:45" x14ac:dyDescent="0.25">
      <c r="A212" t="s">
        <v>47</v>
      </c>
      <c r="B212">
        <v>8</v>
      </c>
      <c r="C212" t="s">
        <v>117</v>
      </c>
      <c r="D212">
        <v>13</v>
      </c>
      <c r="E212" t="s">
        <v>75</v>
      </c>
      <c r="F212">
        <v>16</v>
      </c>
      <c r="G212" t="s">
        <v>76</v>
      </c>
      <c r="H212" t="s">
        <v>50</v>
      </c>
      <c r="K212" t="s">
        <v>52</v>
      </c>
      <c r="L212">
        <v>1</v>
      </c>
      <c r="M212" t="s">
        <v>52</v>
      </c>
      <c r="N212" t="s">
        <v>53</v>
      </c>
      <c r="R212">
        <v>0.5</v>
      </c>
      <c r="S212">
        <v>0.75</v>
      </c>
      <c r="T212">
        <v>0</v>
      </c>
      <c r="U212">
        <v>0</v>
      </c>
      <c r="V212" s="1">
        <v>46507</v>
      </c>
      <c r="W212" s="1">
        <v>46691</v>
      </c>
      <c r="X212" s="1">
        <v>46461</v>
      </c>
      <c r="Z212" t="s">
        <v>52</v>
      </c>
      <c r="AB212" t="s">
        <v>52</v>
      </c>
      <c r="AC212">
        <v>16</v>
      </c>
      <c r="AD212">
        <v>2</v>
      </c>
      <c r="AE212">
        <v>0.95</v>
      </c>
      <c r="AG212">
        <v>0.95</v>
      </c>
      <c r="AK212" t="s">
        <v>52</v>
      </c>
      <c r="AN212" t="s">
        <v>52</v>
      </c>
      <c r="AO212" t="s">
        <v>52</v>
      </c>
      <c r="AP212" t="s">
        <v>52</v>
      </c>
      <c r="AQ212" t="s">
        <v>52</v>
      </c>
      <c r="AR212" t="s">
        <v>55</v>
      </c>
      <c r="AS212" t="s">
        <v>60</v>
      </c>
    </row>
    <row r="213" spans="1:45" x14ac:dyDescent="0.25">
      <c r="A213" t="s">
        <v>47</v>
      </c>
      <c r="B213">
        <v>8</v>
      </c>
      <c r="C213" t="s">
        <v>117</v>
      </c>
      <c r="D213">
        <v>13</v>
      </c>
      <c r="E213" t="s">
        <v>93</v>
      </c>
      <c r="F213">
        <v>94</v>
      </c>
      <c r="H213" t="s">
        <v>50</v>
      </c>
      <c r="K213" t="s">
        <v>51</v>
      </c>
      <c r="L213">
        <v>1</v>
      </c>
      <c r="M213" t="s">
        <v>52</v>
      </c>
      <c r="N213" t="s">
        <v>53</v>
      </c>
      <c r="R213">
        <v>0.77</v>
      </c>
      <c r="S213">
        <v>0.93</v>
      </c>
      <c r="T213">
        <v>0</v>
      </c>
      <c r="U213">
        <v>0</v>
      </c>
      <c r="V213" s="1">
        <v>46326</v>
      </c>
      <c r="W213" s="1">
        <v>46691</v>
      </c>
      <c r="X213" s="1">
        <v>46266</v>
      </c>
      <c r="Z213" t="s">
        <v>52</v>
      </c>
      <c r="AB213" t="s">
        <v>52</v>
      </c>
      <c r="AC213">
        <v>94</v>
      </c>
      <c r="AD213">
        <v>2</v>
      </c>
      <c r="AK213" t="s">
        <v>52</v>
      </c>
      <c r="AN213" t="s">
        <v>52</v>
      </c>
      <c r="AO213" t="s">
        <v>52</v>
      </c>
      <c r="AP213" t="s">
        <v>52</v>
      </c>
      <c r="AQ213" t="s">
        <v>52</v>
      </c>
      <c r="AR213" t="s">
        <v>55</v>
      </c>
      <c r="AS213" t="s">
        <v>60</v>
      </c>
    </row>
    <row r="214" spans="1:45" x14ac:dyDescent="0.25">
      <c r="A214" t="s">
        <v>47</v>
      </c>
      <c r="B214">
        <v>8</v>
      </c>
      <c r="C214" t="s">
        <v>117</v>
      </c>
      <c r="D214">
        <v>13</v>
      </c>
      <c r="E214" t="s">
        <v>93</v>
      </c>
      <c r="F214">
        <v>94</v>
      </c>
      <c r="H214" t="s">
        <v>50</v>
      </c>
      <c r="K214" t="s">
        <v>52</v>
      </c>
      <c r="L214">
        <v>1</v>
      </c>
      <c r="M214" t="s">
        <v>52</v>
      </c>
      <c r="N214" t="s">
        <v>53</v>
      </c>
      <c r="R214">
        <v>0.77</v>
      </c>
      <c r="S214">
        <v>0.93</v>
      </c>
      <c r="T214">
        <v>0</v>
      </c>
      <c r="U214">
        <v>0</v>
      </c>
      <c r="V214" s="1">
        <v>46326</v>
      </c>
      <c r="W214" s="1">
        <v>46691</v>
      </c>
      <c r="X214" s="1">
        <v>46266</v>
      </c>
      <c r="Z214" t="s">
        <v>52</v>
      </c>
      <c r="AB214" t="s">
        <v>52</v>
      </c>
      <c r="AC214">
        <v>94</v>
      </c>
      <c r="AD214">
        <v>2</v>
      </c>
      <c r="AK214" t="s">
        <v>52</v>
      </c>
      <c r="AN214" t="s">
        <v>52</v>
      </c>
      <c r="AO214" t="s">
        <v>52</v>
      </c>
      <c r="AP214" t="s">
        <v>52</v>
      </c>
      <c r="AQ214" t="s">
        <v>52</v>
      </c>
      <c r="AR214" t="s">
        <v>55</v>
      </c>
      <c r="AS214" t="s">
        <v>60</v>
      </c>
    </row>
    <row r="215" spans="1:45" x14ac:dyDescent="0.25">
      <c r="A215" t="s">
        <v>47</v>
      </c>
      <c r="B215">
        <v>8</v>
      </c>
      <c r="C215" t="s">
        <v>117</v>
      </c>
      <c r="D215">
        <v>13</v>
      </c>
      <c r="E215" t="s">
        <v>79</v>
      </c>
      <c r="F215">
        <v>50</v>
      </c>
      <c r="G215" t="s">
        <v>80</v>
      </c>
      <c r="H215" t="s">
        <v>50</v>
      </c>
      <c r="K215" t="s">
        <v>51</v>
      </c>
      <c r="L215">
        <v>1</v>
      </c>
      <c r="M215" t="s">
        <v>52</v>
      </c>
      <c r="N215" t="s">
        <v>53</v>
      </c>
      <c r="R215">
        <v>0.5</v>
      </c>
      <c r="S215">
        <v>0.75</v>
      </c>
      <c r="T215">
        <v>0</v>
      </c>
      <c r="U215">
        <v>0</v>
      </c>
      <c r="V215" s="1">
        <v>46583</v>
      </c>
      <c r="W215" s="1">
        <v>46675</v>
      </c>
      <c r="X215" s="1">
        <v>46461</v>
      </c>
      <c r="Z215" t="s">
        <v>52</v>
      </c>
      <c r="AB215" t="s">
        <v>52</v>
      </c>
      <c r="AC215">
        <v>50</v>
      </c>
      <c r="AD215">
        <v>1</v>
      </c>
      <c r="AK215" t="s">
        <v>52</v>
      </c>
      <c r="AN215" t="s">
        <v>52</v>
      </c>
      <c r="AO215" t="s">
        <v>52</v>
      </c>
      <c r="AP215" t="s">
        <v>52</v>
      </c>
      <c r="AQ215" t="s">
        <v>52</v>
      </c>
      <c r="AR215" t="s">
        <v>55</v>
      </c>
      <c r="AS215" t="s">
        <v>60</v>
      </c>
    </row>
    <row r="216" spans="1:45" x14ac:dyDescent="0.25">
      <c r="A216" t="s">
        <v>47</v>
      </c>
      <c r="B216">
        <v>8</v>
      </c>
      <c r="C216" t="s">
        <v>117</v>
      </c>
      <c r="D216">
        <v>13</v>
      </c>
      <c r="E216" t="s">
        <v>79</v>
      </c>
      <c r="F216">
        <v>50</v>
      </c>
      <c r="G216" t="s">
        <v>80</v>
      </c>
      <c r="H216" t="s">
        <v>50</v>
      </c>
      <c r="K216" t="s">
        <v>52</v>
      </c>
      <c r="L216">
        <v>1</v>
      </c>
      <c r="M216" t="s">
        <v>52</v>
      </c>
      <c r="N216" t="s">
        <v>53</v>
      </c>
      <c r="R216">
        <v>0.5</v>
      </c>
      <c r="S216">
        <v>0.75</v>
      </c>
      <c r="T216">
        <v>0</v>
      </c>
      <c r="U216">
        <v>0</v>
      </c>
      <c r="V216" s="1">
        <v>46583</v>
      </c>
      <c r="W216" s="1">
        <v>46675</v>
      </c>
      <c r="X216" s="1">
        <v>46461</v>
      </c>
      <c r="Z216" t="s">
        <v>52</v>
      </c>
      <c r="AB216" t="s">
        <v>52</v>
      </c>
      <c r="AC216">
        <v>50</v>
      </c>
      <c r="AD216">
        <v>1</v>
      </c>
      <c r="AK216" t="s">
        <v>52</v>
      </c>
      <c r="AN216" t="s">
        <v>52</v>
      </c>
      <c r="AO216" t="s">
        <v>52</v>
      </c>
      <c r="AP216" t="s">
        <v>52</v>
      </c>
      <c r="AQ216" t="s">
        <v>52</v>
      </c>
      <c r="AR216" t="s">
        <v>55</v>
      </c>
      <c r="AS216" t="s">
        <v>107</v>
      </c>
    </row>
    <row r="217" spans="1:45" x14ac:dyDescent="0.25">
      <c r="A217" t="s">
        <v>47</v>
      </c>
      <c r="B217">
        <v>8</v>
      </c>
      <c r="C217" t="s">
        <v>117</v>
      </c>
      <c r="D217">
        <v>13</v>
      </c>
      <c r="E217" t="s">
        <v>79</v>
      </c>
      <c r="F217">
        <v>50</v>
      </c>
      <c r="G217" t="s">
        <v>65</v>
      </c>
      <c r="H217" t="s">
        <v>50</v>
      </c>
      <c r="K217" t="s">
        <v>51</v>
      </c>
      <c r="L217">
        <v>1</v>
      </c>
      <c r="M217" t="s">
        <v>52</v>
      </c>
      <c r="N217" t="s">
        <v>53</v>
      </c>
      <c r="R217">
        <v>0.5</v>
      </c>
      <c r="S217">
        <v>0.75</v>
      </c>
      <c r="T217">
        <v>0</v>
      </c>
      <c r="U217">
        <v>0</v>
      </c>
      <c r="V217" s="1">
        <v>46583</v>
      </c>
      <c r="W217" s="1">
        <v>46675</v>
      </c>
      <c r="X217" s="1">
        <v>46461</v>
      </c>
      <c r="Z217" t="s">
        <v>52</v>
      </c>
      <c r="AB217" t="s">
        <v>52</v>
      </c>
      <c r="AC217">
        <v>50</v>
      </c>
      <c r="AD217">
        <v>1</v>
      </c>
      <c r="AK217" t="s">
        <v>52</v>
      </c>
      <c r="AN217" t="s">
        <v>52</v>
      </c>
      <c r="AO217" t="s">
        <v>52</v>
      </c>
      <c r="AP217" t="s">
        <v>52</v>
      </c>
      <c r="AQ217" t="s">
        <v>52</v>
      </c>
      <c r="AR217" t="s">
        <v>55</v>
      </c>
      <c r="AS217" t="s">
        <v>88</v>
      </c>
    </row>
    <row r="218" spans="1:45" x14ac:dyDescent="0.25">
      <c r="A218" t="s">
        <v>47</v>
      </c>
      <c r="B218">
        <v>8</v>
      </c>
      <c r="C218" t="s">
        <v>117</v>
      </c>
      <c r="D218">
        <v>13</v>
      </c>
      <c r="E218" t="s">
        <v>79</v>
      </c>
      <c r="F218">
        <v>50</v>
      </c>
      <c r="G218" t="s">
        <v>65</v>
      </c>
      <c r="H218" t="s">
        <v>50</v>
      </c>
      <c r="K218" t="s">
        <v>52</v>
      </c>
      <c r="L218">
        <v>1</v>
      </c>
      <c r="M218" t="s">
        <v>52</v>
      </c>
      <c r="N218" t="s">
        <v>53</v>
      </c>
      <c r="R218">
        <v>0.5</v>
      </c>
      <c r="S218">
        <v>0.75</v>
      </c>
      <c r="T218">
        <v>0</v>
      </c>
      <c r="U218">
        <v>0</v>
      </c>
      <c r="V218" s="1">
        <v>46583</v>
      </c>
      <c r="W218" s="1">
        <v>46675</v>
      </c>
      <c r="X218" s="1">
        <v>46461</v>
      </c>
      <c r="Z218" t="s">
        <v>52</v>
      </c>
      <c r="AB218" t="s">
        <v>52</v>
      </c>
      <c r="AC218">
        <v>50</v>
      </c>
      <c r="AD218">
        <v>1</v>
      </c>
      <c r="AK218" t="s">
        <v>52</v>
      </c>
      <c r="AN218" t="s">
        <v>52</v>
      </c>
      <c r="AO218" t="s">
        <v>52</v>
      </c>
      <c r="AP218" t="s">
        <v>52</v>
      </c>
      <c r="AQ218" t="s">
        <v>52</v>
      </c>
      <c r="AR218" t="s">
        <v>55</v>
      </c>
      <c r="AS218" t="s">
        <v>60</v>
      </c>
    </row>
    <row r="219" spans="1:45" x14ac:dyDescent="0.25">
      <c r="A219" t="s">
        <v>47</v>
      </c>
      <c r="B219">
        <v>8</v>
      </c>
      <c r="C219" t="s">
        <v>117</v>
      </c>
      <c r="D219">
        <v>13</v>
      </c>
      <c r="E219" t="s">
        <v>79</v>
      </c>
      <c r="F219">
        <v>50</v>
      </c>
      <c r="G219" t="s">
        <v>81</v>
      </c>
      <c r="H219" t="s">
        <v>50</v>
      </c>
      <c r="K219" t="s">
        <v>51</v>
      </c>
      <c r="L219">
        <v>1</v>
      </c>
      <c r="M219" t="s">
        <v>52</v>
      </c>
      <c r="N219" t="s">
        <v>53</v>
      </c>
      <c r="R219">
        <v>0.5</v>
      </c>
      <c r="S219">
        <v>0.75</v>
      </c>
      <c r="T219">
        <v>0</v>
      </c>
      <c r="U219">
        <v>0</v>
      </c>
      <c r="V219" s="1">
        <v>46583</v>
      </c>
      <c r="W219" s="1">
        <v>46675</v>
      </c>
      <c r="X219" s="1">
        <v>46461</v>
      </c>
      <c r="Z219" t="s">
        <v>52</v>
      </c>
      <c r="AB219" t="s">
        <v>52</v>
      </c>
      <c r="AC219">
        <v>50</v>
      </c>
      <c r="AD219">
        <v>1</v>
      </c>
      <c r="AK219" t="s">
        <v>52</v>
      </c>
      <c r="AN219" t="s">
        <v>52</v>
      </c>
      <c r="AO219" t="s">
        <v>52</v>
      </c>
      <c r="AP219" t="s">
        <v>52</v>
      </c>
      <c r="AQ219" t="s">
        <v>52</v>
      </c>
      <c r="AR219" t="s">
        <v>55</v>
      </c>
      <c r="AS219" t="s">
        <v>60</v>
      </c>
    </row>
    <row r="220" spans="1:45" x14ac:dyDescent="0.25">
      <c r="A220" t="s">
        <v>47</v>
      </c>
      <c r="B220">
        <v>8</v>
      </c>
      <c r="C220" t="s">
        <v>117</v>
      </c>
      <c r="D220">
        <v>13</v>
      </c>
      <c r="E220" t="s">
        <v>79</v>
      </c>
      <c r="F220">
        <v>50</v>
      </c>
      <c r="G220" t="s">
        <v>81</v>
      </c>
      <c r="H220" t="s">
        <v>50</v>
      </c>
      <c r="K220" t="s">
        <v>52</v>
      </c>
      <c r="L220">
        <v>1</v>
      </c>
      <c r="M220" t="s">
        <v>52</v>
      </c>
      <c r="N220" t="s">
        <v>53</v>
      </c>
      <c r="R220">
        <v>0.5</v>
      </c>
      <c r="S220">
        <v>0.75</v>
      </c>
      <c r="T220">
        <v>0</v>
      </c>
      <c r="U220">
        <v>0</v>
      </c>
      <c r="V220" s="1">
        <v>46583</v>
      </c>
      <c r="W220" s="1">
        <v>46675</v>
      </c>
      <c r="X220" s="1">
        <v>46461</v>
      </c>
      <c r="Z220" t="s">
        <v>52</v>
      </c>
      <c r="AB220" t="s">
        <v>52</v>
      </c>
      <c r="AC220">
        <v>50</v>
      </c>
      <c r="AD220">
        <v>1</v>
      </c>
      <c r="AK220" t="s">
        <v>52</v>
      </c>
      <c r="AN220" t="s">
        <v>52</v>
      </c>
      <c r="AO220" t="s">
        <v>52</v>
      </c>
      <c r="AP220" t="s">
        <v>52</v>
      </c>
      <c r="AQ220" t="s">
        <v>52</v>
      </c>
      <c r="AR220" t="s">
        <v>55</v>
      </c>
      <c r="AS220" t="s">
        <v>60</v>
      </c>
    </row>
    <row r="221" spans="1:45" x14ac:dyDescent="0.25">
      <c r="A221" t="s">
        <v>47</v>
      </c>
      <c r="B221">
        <v>8</v>
      </c>
      <c r="C221" t="s">
        <v>117</v>
      </c>
      <c r="D221">
        <v>13</v>
      </c>
      <c r="E221" t="s">
        <v>83</v>
      </c>
      <c r="F221">
        <v>158</v>
      </c>
      <c r="H221" t="s">
        <v>50</v>
      </c>
      <c r="K221" t="s">
        <v>51</v>
      </c>
      <c r="L221">
        <v>1</v>
      </c>
      <c r="M221" t="s">
        <v>52</v>
      </c>
      <c r="N221" t="s">
        <v>53</v>
      </c>
      <c r="R221">
        <v>0.77</v>
      </c>
      <c r="S221">
        <v>0.93</v>
      </c>
      <c r="T221">
        <v>0</v>
      </c>
      <c r="U221">
        <v>0</v>
      </c>
      <c r="V221" s="1">
        <v>46326</v>
      </c>
      <c r="W221" s="1">
        <v>46691</v>
      </c>
      <c r="X221" s="1">
        <v>46266</v>
      </c>
      <c r="Z221" t="s">
        <v>52</v>
      </c>
      <c r="AB221" t="s">
        <v>52</v>
      </c>
      <c r="AC221">
        <v>158</v>
      </c>
      <c r="AD221">
        <v>2</v>
      </c>
      <c r="AK221" t="s">
        <v>52</v>
      </c>
      <c r="AN221" t="s">
        <v>52</v>
      </c>
      <c r="AO221" t="s">
        <v>52</v>
      </c>
      <c r="AP221" t="s">
        <v>52</v>
      </c>
      <c r="AQ221" t="s">
        <v>52</v>
      </c>
      <c r="AR221" t="s">
        <v>55</v>
      </c>
      <c r="AS221" t="s">
        <v>60</v>
      </c>
    </row>
    <row r="222" spans="1:45" x14ac:dyDescent="0.25">
      <c r="A222" t="s">
        <v>47</v>
      </c>
      <c r="B222">
        <v>8</v>
      </c>
      <c r="C222" t="s">
        <v>117</v>
      </c>
      <c r="D222">
        <v>13</v>
      </c>
      <c r="E222" t="s">
        <v>83</v>
      </c>
      <c r="F222">
        <v>158</v>
      </c>
      <c r="H222" t="s">
        <v>50</v>
      </c>
      <c r="K222" t="s">
        <v>52</v>
      </c>
      <c r="L222">
        <v>1</v>
      </c>
      <c r="M222" t="s">
        <v>52</v>
      </c>
      <c r="N222" t="s">
        <v>53</v>
      </c>
      <c r="R222">
        <v>0.77</v>
      </c>
      <c r="S222">
        <v>0.93</v>
      </c>
      <c r="T222">
        <v>0</v>
      </c>
      <c r="U222">
        <v>0</v>
      </c>
      <c r="V222" s="1">
        <v>46326</v>
      </c>
      <c r="W222" s="1">
        <v>46691</v>
      </c>
      <c r="X222" s="1">
        <v>46266</v>
      </c>
      <c r="Z222" t="s">
        <v>52</v>
      </c>
      <c r="AB222" t="s">
        <v>52</v>
      </c>
      <c r="AC222">
        <v>158</v>
      </c>
      <c r="AD222">
        <v>2</v>
      </c>
      <c r="AK222" t="s">
        <v>52</v>
      </c>
      <c r="AN222" t="s">
        <v>52</v>
      </c>
      <c r="AO222" t="s">
        <v>52</v>
      </c>
      <c r="AP222" t="s">
        <v>52</v>
      </c>
      <c r="AQ222" t="s">
        <v>52</v>
      </c>
      <c r="AR222" t="s">
        <v>55</v>
      </c>
      <c r="AS222" t="s">
        <v>60</v>
      </c>
    </row>
    <row r="223" spans="1:45" x14ac:dyDescent="0.25">
      <c r="A223" t="s">
        <v>47</v>
      </c>
      <c r="B223">
        <v>8</v>
      </c>
      <c r="C223" t="s">
        <v>120</v>
      </c>
      <c r="D223">
        <v>14</v>
      </c>
      <c r="E223" t="s">
        <v>49</v>
      </c>
      <c r="F223">
        <v>27</v>
      </c>
      <c r="H223" t="s">
        <v>50</v>
      </c>
      <c r="K223" t="s">
        <v>51</v>
      </c>
      <c r="L223">
        <v>1</v>
      </c>
      <c r="M223" t="s">
        <v>52</v>
      </c>
      <c r="N223" t="s">
        <v>53</v>
      </c>
      <c r="Q223">
        <v>230</v>
      </c>
      <c r="R223">
        <v>0</v>
      </c>
      <c r="S223">
        <v>0.75</v>
      </c>
      <c r="T223">
        <v>0</v>
      </c>
      <c r="U223">
        <v>0</v>
      </c>
      <c r="W223" s="1">
        <v>46675</v>
      </c>
      <c r="X223" s="1">
        <v>46357</v>
      </c>
      <c r="Y223" t="s">
        <v>54</v>
      </c>
      <c r="Z223" t="s">
        <v>52</v>
      </c>
      <c r="AB223" t="s">
        <v>52</v>
      </c>
      <c r="AC223">
        <v>27</v>
      </c>
      <c r="AD223">
        <v>1</v>
      </c>
      <c r="AE223">
        <v>0.97</v>
      </c>
      <c r="AG223">
        <v>0.97</v>
      </c>
      <c r="AK223" t="s">
        <v>52</v>
      </c>
      <c r="AN223" t="s">
        <v>52</v>
      </c>
      <c r="AO223" t="s">
        <v>52</v>
      </c>
      <c r="AP223" t="s">
        <v>52</v>
      </c>
      <c r="AQ223" t="s">
        <v>52</v>
      </c>
      <c r="AR223" t="s">
        <v>55</v>
      </c>
      <c r="AS223" t="s">
        <v>56</v>
      </c>
    </row>
    <row r="224" spans="1:45" x14ac:dyDescent="0.25">
      <c r="A224" t="s">
        <v>47</v>
      </c>
      <c r="B224">
        <v>8</v>
      </c>
      <c r="C224" t="s">
        <v>120</v>
      </c>
      <c r="D224">
        <v>14</v>
      </c>
      <c r="E224" t="s">
        <v>49</v>
      </c>
      <c r="F224">
        <v>27</v>
      </c>
      <c r="H224" t="s">
        <v>50</v>
      </c>
      <c r="K224" t="s">
        <v>52</v>
      </c>
      <c r="L224">
        <v>1</v>
      </c>
      <c r="M224" t="s">
        <v>52</v>
      </c>
      <c r="N224" t="s">
        <v>53</v>
      </c>
      <c r="Q224">
        <v>230</v>
      </c>
      <c r="R224">
        <v>0</v>
      </c>
      <c r="S224">
        <v>0.75</v>
      </c>
      <c r="T224">
        <v>0</v>
      </c>
      <c r="U224">
        <v>0</v>
      </c>
      <c r="W224" s="1">
        <v>46675</v>
      </c>
      <c r="X224" s="1">
        <v>46357</v>
      </c>
      <c r="Y224" t="s">
        <v>54</v>
      </c>
      <c r="Z224" t="s">
        <v>52</v>
      </c>
      <c r="AB224" t="s">
        <v>52</v>
      </c>
      <c r="AC224">
        <v>27</v>
      </c>
      <c r="AD224">
        <v>1</v>
      </c>
      <c r="AE224">
        <v>0.97</v>
      </c>
      <c r="AG224">
        <v>0.97</v>
      </c>
      <c r="AK224" t="s">
        <v>52</v>
      </c>
      <c r="AN224" t="s">
        <v>52</v>
      </c>
      <c r="AO224" t="s">
        <v>52</v>
      </c>
      <c r="AP224" t="s">
        <v>52</v>
      </c>
      <c r="AQ224" t="s">
        <v>52</v>
      </c>
      <c r="AR224" t="s">
        <v>55</v>
      </c>
      <c r="AS224" t="s">
        <v>57</v>
      </c>
    </row>
    <row r="225" spans="1:45" x14ac:dyDescent="0.25">
      <c r="A225" t="s">
        <v>47</v>
      </c>
      <c r="B225">
        <v>8</v>
      </c>
      <c r="C225" t="s">
        <v>120</v>
      </c>
      <c r="D225">
        <v>14</v>
      </c>
      <c r="E225" t="s">
        <v>58</v>
      </c>
      <c r="F225">
        <v>102</v>
      </c>
      <c r="G225" t="s">
        <v>59</v>
      </c>
      <c r="H225" t="s">
        <v>50</v>
      </c>
      <c r="K225" t="s">
        <v>51</v>
      </c>
      <c r="L225">
        <v>1</v>
      </c>
      <c r="M225" t="s">
        <v>52</v>
      </c>
      <c r="N225" t="s">
        <v>53</v>
      </c>
      <c r="R225">
        <v>0</v>
      </c>
      <c r="S225">
        <v>0.92</v>
      </c>
      <c r="T225">
        <v>0</v>
      </c>
      <c r="U225">
        <v>0</v>
      </c>
      <c r="W225" s="1">
        <v>46731</v>
      </c>
      <c r="X225" s="1">
        <v>46357</v>
      </c>
      <c r="Z225" t="s">
        <v>52</v>
      </c>
      <c r="AB225" t="s">
        <v>52</v>
      </c>
      <c r="AC225">
        <v>102</v>
      </c>
      <c r="AD225">
        <v>1</v>
      </c>
      <c r="AK225" t="s">
        <v>52</v>
      </c>
      <c r="AN225" t="s">
        <v>52</v>
      </c>
      <c r="AO225" t="s">
        <v>52</v>
      </c>
      <c r="AP225" t="s">
        <v>52</v>
      </c>
      <c r="AQ225" t="s">
        <v>52</v>
      </c>
      <c r="AR225" t="s">
        <v>55</v>
      </c>
      <c r="AS225" t="s">
        <v>60</v>
      </c>
    </row>
    <row r="226" spans="1:45" x14ac:dyDescent="0.25">
      <c r="A226" t="s">
        <v>47</v>
      </c>
      <c r="B226">
        <v>8</v>
      </c>
      <c r="C226" t="s">
        <v>120</v>
      </c>
      <c r="D226">
        <v>14</v>
      </c>
      <c r="E226" t="s">
        <v>58</v>
      </c>
      <c r="F226">
        <v>102</v>
      </c>
      <c r="G226" t="s">
        <v>59</v>
      </c>
      <c r="H226" t="s">
        <v>50</v>
      </c>
      <c r="K226" t="s">
        <v>52</v>
      </c>
      <c r="L226">
        <v>1</v>
      </c>
      <c r="M226" t="s">
        <v>52</v>
      </c>
      <c r="N226" t="s">
        <v>53</v>
      </c>
      <c r="R226">
        <v>0</v>
      </c>
      <c r="S226">
        <v>0.92</v>
      </c>
      <c r="T226">
        <v>0</v>
      </c>
      <c r="U226">
        <v>0</v>
      </c>
      <c r="W226" s="1">
        <v>46731</v>
      </c>
      <c r="X226" s="1">
        <v>46357</v>
      </c>
      <c r="Z226" t="s">
        <v>52</v>
      </c>
      <c r="AB226" t="s">
        <v>52</v>
      </c>
      <c r="AC226">
        <v>102</v>
      </c>
      <c r="AD226">
        <v>1</v>
      </c>
      <c r="AK226" t="s">
        <v>52</v>
      </c>
      <c r="AN226" t="s">
        <v>52</v>
      </c>
      <c r="AO226" t="s">
        <v>52</v>
      </c>
      <c r="AP226" t="s">
        <v>52</v>
      </c>
      <c r="AQ226" t="s">
        <v>52</v>
      </c>
      <c r="AR226" t="s">
        <v>55</v>
      </c>
      <c r="AS226" t="s">
        <v>60</v>
      </c>
    </row>
    <row r="227" spans="1:45" x14ac:dyDescent="0.25">
      <c r="A227" t="s">
        <v>47</v>
      </c>
      <c r="B227">
        <v>8</v>
      </c>
      <c r="C227" t="s">
        <v>120</v>
      </c>
      <c r="D227">
        <v>14</v>
      </c>
      <c r="E227" t="s">
        <v>58</v>
      </c>
      <c r="F227">
        <v>102</v>
      </c>
      <c r="G227" t="s">
        <v>61</v>
      </c>
      <c r="H227" t="s">
        <v>50</v>
      </c>
      <c r="K227" t="s">
        <v>51</v>
      </c>
      <c r="L227">
        <v>1</v>
      </c>
      <c r="M227" t="s">
        <v>52</v>
      </c>
      <c r="N227" t="s">
        <v>53</v>
      </c>
      <c r="R227">
        <v>0</v>
      </c>
      <c r="S227">
        <v>0.92</v>
      </c>
      <c r="T227">
        <v>0</v>
      </c>
      <c r="U227">
        <v>0</v>
      </c>
      <c r="W227" s="1">
        <v>46731</v>
      </c>
      <c r="X227" s="1">
        <v>46357</v>
      </c>
      <c r="Z227" t="s">
        <v>52</v>
      </c>
      <c r="AB227" t="s">
        <v>52</v>
      </c>
      <c r="AC227">
        <v>102</v>
      </c>
      <c r="AD227">
        <v>1</v>
      </c>
      <c r="AK227" t="s">
        <v>52</v>
      </c>
      <c r="AN227" t="s">
        <v>52</v>
      </c>
      <c r="AO227" t="s">
        <v>52</v>
      </c>
      <c r="AP227" t="s">
        <v>52</v>
      </c>
      <c r="AQ227" t="s">
        <v>52</v>
      </c>
      <c r="AR227" t="s">
        <v>55</v>
      </c>
      <c r="AS227" t="s">
        <v>60</v>
      </c>
    </row>
    <row r="228" spans="1:45" x14ac:dyDescent="0.25">
      <c r="A228" t="s">
        <v>47</v>
      </c>
      <c r="B228">
        <v>8</v>
      </c>
      <c r="C228" t="s">
        <v>120</v>
      </c>
      <c r="D228">
        <v>14</v>
      </c>
      <c r="E228" t="s">
        <v>58</v>
      </c>
      <c r="F228">
        <v>102</v>
      </c>
      <c r="G228" t="s">
        <v>61</v>
      </c>
      <c r="H228" t="s">
        <v>50</v>
      </c>
      <c r="K228" t="s">
        <v>52</v>
      </c>
      <c r="L228">
        <v>1</v>
      </c>
      <c r="M228" t="s">
        <v>52</v>
      </c>
      <c r="N228" t="s">
        <v>53</v>
      </c>
      <c r="R228">
        <v>0</v>
      </c>
      <c r="S228">
        <v>0.92</v>
      </c>
      <c r="T228">
        <v>0</v>
      </c>
      <c r="U228">
        <v>0</v>
      </c>
      <c r="W228" s="1">
        <v>46731</v>
      </c>
      <c r="X228" s="1">
        <v>46357</v>
      </c>
      <c r="Z228" t="s">
        <v>52</v>
      </c>
      <c r="AB228" t="s">
        <v>52</v>
      </c>
      <c r="AC228">
        <v>102</v>
      </c>
      <c r="AD228">
        <v>1</v>
      </c>
      <c r="AK228" t="s">
        <v>52</v>
      </c>
      <c r="AN228" t="s">
        <v>52</v>
      </c>
      <c r="AO228" t="s">
        <v>52</v>
      </c>
      <c r="AP228" t="s">
        <v>52</v>
      </c>
      <c r="AQ228" t="s">
        <v>52</v>
      </c>
      <c r="AR228" t="s">
        <v>55</v>
      </c>
      <c r="AS228" t="s">
        <v>60</v>
      </c>
    </row>
    <row r="229" spans="1:45" x14ac:dyDescent="0.25">
      <c r="A229" t="s">
        <v>47</v>
      </c>
      <c r="B229">
        <v>8</v>
      </c>
      <c r="C229" t="s">
        <v>120</v>
      </c>
      <c r="D229">
        <v>14</v>
      </c>
      <c r="E229" t="s">
        <v>58</v>
      </c>
      <c r="F229">
        <v>102</v>
      </c>
      <c r="G229" t="s">
        <v>62</v>
      </c>
      <c r="H229" t="s">
        <v>50</v>
      </c>
      <c r="K229" t="s">
        <v>51</v>
      </c>
      <c r="L229">
        <v>1</v>
      </c>
      <c r="M229" t="s">
        <v>52</v>
      </c>
      <c r="N229" t="s">
        <v>53</v>
      </c>
      <c r="R229">
        <v>0</v>
      </c>
      <c r="S229">
        <v>0.92</v>
      </c>
      <c r="T229">
        <v>0</v>
      </c>
      <c r="U229">
        <v>0</v>
      </c>
      <c r="W229" s="1">
        <v>46731</v>
      </c>
      <c r="X229" s="1">
        <v>46357</v>
      </c>
      <c r="Z229" t="s">
        <v>52</v>
      </c>
      <c r="AB229" t="s">
        <v>52</v>
      </c>
      <c r="AC229">
        <v>102</v>
      </c>
      <c r="AD229">
        <v>1</v>
      </c>
      <c r="AK229" t="s">
        <v>52</v>
      </c>
      <c r="AN229" t="s">
        <v>52</v>
      </c>
      <c r="AO229" t="s">
        <v>52</v>
      </c>
      <c r="AP229" t="s">
        <v>52</v>
      </c>
      <c r="AQ229" t="s">
        <v>52</v>
      </c>
      <c r="AR229" t="s">
        <v>55</v>
      </c>
    </row>
    <row r="230" spans="1:45" x14ac:dyDescent="0.25">
      <c r="A230" t="s">
        <v>47</v>
      </c>
      <c r="B230">
        <v>8</v>
      </c>
      <c r="C230" t="s">
        <v>120</v>
      </c>
      <c r="D230">
        <v>14</v>
      </c>
      <c r="E230" t="s">
        <v>58</v>
      </c>
      <c r="F230">
        <v>102</v>
      </c>
      <c r="G230" t="s">
        <v>62</v>
      </c>
      <c r="H230" t="s">
        <v>50</v>
      </c>
      <c r="K230" t="s">
        <v>52</v>
      </c>
      <c r="L230">
        <v>1</v>
      </c>
      <c r="M230" t="s">
        <v>52</v>
      </c>
      <c r="N230" t="s">
        <v>53</v>
      </c>
      <c r="R230">
        <v>0</v>
      </c>
      <c r="S230">
        <v>0.92</v>
      </c>
      <c r="T230">
        <v>0</v>
      </c>
      <c r="U230">
        <v>0</v>
      </c>
      <c r="W230" s="1">
        <v>46731</v>
      </c>
      <c r="X230" s="1">
        <v>46357</v>
      </c>
      <c r="Z230" t="s">
        <v>52</v>
      </c>
      <c r="AB230" t="s">
        <v>52</v>
      </c>
      <c r="AC230">
        <v>102</v>
      </c>
      <c r="AD230">
        <v>1</v>
      </c>
      <c r="AK230" t="s">
        <v>52</v>
      </c>
      <c r="AN230" t="s">
        <v>52</v>
      </c>
      <c r="AO230" t="s">
        <v>52</v>
      </c>
      <c r="AP230" t="s">
        <v>52</v>
      </c>
      <c r="AQ230" t="s">
        <v>52</v>
      </c>
      <c r="AR230" t="s">
        <v>55</v>
      </c>
      <c r="AS230" t="s">
        <v>60</v>
      </c>
    </row>
    <row r="231" spans="1:45" x14ac:dyDescent="0.25">
      <c r="A231" t="s">
        <v>47</v>
      </c>
      <c r="B231">
        <v>8</v>
      </c>
      <c r="C231" t="s">
        <v>120</v>
      </c>
      <c r="D231">
        <v>14</v>
      </c>
      <c r="E231" t="s">
        <v>58</v>
      </c>
      <c r="F231">
        <v>102</v>
      </c>
      <c r="G231" t="s">
        <v>63</v>
      </c>
      <c r="H231" t="s">
        <v>50</v>
      </c>
      <c r="K231" t="s">
        <v>51</v>
      </c>
      <c r="L231">
        <v>1</v>
      </c>
      <c r="M231" t="s">
        <v>52</v>
      </c>
      <c r="N231" t="s">
        <v>53</v>
      </c>
      <c r="R231">
        <v>0</v>
      </c>
      <c r="S231">
        <v>0.92</v>
      </c>
      <c r="T231">
        <v>0</v>
      </c>
      <c r="U231">
        <v>0</v>
      </c>
      <c r="W231" s="1">
        <v>46731</v>
      </c>
      <c r="X231" s="1">
        <v>46357</v>
      </c>
      <c r="Z231" t="s">
        <v>52</v>
      </c>
      <c r="AB231" t="s">
        <v>52</v>
      </c>
      <c r="AC231">
        <v>102</v>
      </c>
      <c r="AD231">
        <v>1</v>
      </c>
      <c r="AK231" t="s">
        <v>52</v>
      </c>
      <c r="AN231" t="s">
        <v>52</v>
      </c>
      <c r="AO231" t="s">
        <v>52</v>
      </c>
      <c r="AP231" t="s">
        <v>52</v>
      </c>
      <c r="AQ231" t="s">
        <v>52</v>
      </c>
      <c r="AR231" t="s">
        <v>55</v>
      </c>
    </row>
    <row r="232" spans="1:45" x14ac:dyDescent="0.25">
      <c r="A232" t="s">
        <v>47</v>
      </c>
      <c r="B232">
        <v>8</v>
      </c>
      <c r="C232" t="s">
        <v>120</v>
      </c>
      <c r="D232">
        <v>14</v>
      </c>
      <c r="E232" t="s">
        <v>58</v>
      </c>
      <c r="F232">
        <v>102</v>
      </c>
      <c r="G232" t="s">
        <v>63</v>
      </c>
      <c r="H232" t="s">
        <v>50</v>
      </c>
      <c r="K232" t="s">
        <v>52</v>
      </c>
      <c r="L232">
        <v>1</v>
      </c>
      <c r="M232" t="s">
        <v>52</v>
      </c>
      <c r="N232" t="s">
        <v>53</v>
      </c>
      <c r="R232">
        <v>0</v>
      </c>
      <c r="S232">
        <v>0.92</v>
      </c>
      <c r="T232">
        <v>0</v>
      </c>
      <c r="U232">
        <v>0</v>
      </c>
      <c r="W232" s="1">
        <v>46731</v>
      </c>
      <c r="X232" s="1">
        <v>46357</v>
      </c>
      <c r="Z232" t="s">
        <v>52</v>
      </c>
      <c r="AB232" t="s">
        <v>52</v>
      </c>
      <c r="AC232">
        <v>102</v>
      </c>
      <c r="AD232">
        <v>1</v>
      </c>
      <c r="AK232" t="s">
        <v>52</v>
      </c>
      <c r="AN232" t="s">
        <v>52</v>
      </c>
      <c r="AO232" t="s">
        <v>52</v>
      </c>
      <c r="AP232" t="s">
        <v>52</v>
      </c>
      <c r="AQ232" t="s">
        <v>52</v>
      </c>
      <c r="AR232" t="s">
        <v>55</v>
      </c>
      <c r="AS232" t="s">
        <v>60</v>
      </c>
    </row>
    <row r="233" spans="1:45" x14ac:dyDescent="0.25">
      <c r="A233" t="s">
        <v>47</v>
      </c>
      <c r="B233">
        <v>8</v>
      </c>
      <c r="C233" t="s">
        <v>120</v>
      </c>
      <c r="D233">
        <v>14</v>
      </c>
      <c r="E233" t="s">
        <v>58</v>
      </c>
      <c r="F233">
        <v>102</v>
      </c>
      <c r="G233" t="s">
        <v>64</v>
      </c>
      <c r="H233" t="s">
        <v>50</v>
      </c>
      <c r="K233" t="s">
        <v>52</v>
      </c>
      <c r="L233">
        <v>1</v>
      </c>
      <c r="M233" t="s">
        <v>52</v>
      </c>
      <c r="N233" t="s">
        <v>53</v>
      </c>
      <c r="R233">
        <v>0</v>
      </c>
      <c r="S233">
        <v>0.92</v>
      </c>
      <c r="T233">
        <v>0</v>
      </c>
      <c r="U233">
        <v>0</v>
      </c>
      <c r="W233" s="1">
        <v>46731</v>
      </c>
      <c r="X233" s="1">
        <v>46357</v>
      </c>
      <c r="Z233" t="s">
        <v>52</v>
      </c>
      <c r="AB233" t="s">
        <v>52</v>
      </c>
      <c r="AC233">
        <v>102</v>
      </c>
      <c r="AD233">
        <v>1</v>
      </c>
      <c r="AK233" t="s">
        <v>52</v>
      </c>
      <c r="AN233" t="s">
        <v>52</v>
      </c>
      <c r="AO233" t="s">
        <v>52</v>
      </c>
      <c r="AP233" t="s">
        <v>52</v>
      </c>
      <c r="AQ233" t="s">
        <v>52</v>
      </c>
      <c r="AR233" t="s">
        <v>55</v>
      </c>
      <c r="AS233" t="s">
        <v>60</v>
      </c>
    </row>
    <row r="234" spans="1:45" x14ac:dyDescent="0.25">
      <c r="A234" t="s">
        <v>47</v>
      </c>
      <c r="B234">
        <v>8</v>
      </c>
      <c r="C234" t="s">
        <v>120</v>
      </c>
      <c r="D234">
        <v>14</v>
      </c>
      <c r="E234" t="s">
        <v>58</v>
      </c>
      <c r="F234">
        <v>102</v>
      </c>
      <c r="G234" t="s">
        <v>65</v>
      </c>
      <c r="H234" t="s">
        <v>50</v>
      </c>
      <c r="K234" t="s">
        <v>51</v>
      </c>
      <c r="L234">
        <v>1</v>
      </c>
      <c r="M234" t="s">
        <v>52</v>
      </c>
      <c r="N234" t="s">
        <v>53</v>
      </c>
      <c r="R234">
        <v>0</v>
      </c>
      <c r="S234">
        <v>0.92</v>
      </c>
      <c r="T234">
        <v>0</v>
      </c>
      <c r="U234">
        <v>0</v>
      </c>
      <c r="W234" s="1">
        <v>46731</v>
      </c>
      <c r="X234" s="1">
        <v>46357</v>
      </c>
      <c r="Z234" t="s">
        <v>52</v>
      </c>
      <c r="AB234" t="s">
        <v>52</v>
      </c>
      <c r="AC234">
        <v>102</v>
      </c>
      <c r="AD234">
        <v>1</v>
      </c>
      <c r="AK234" t="s">
        <v>52</v>
      </c>
      <c r="AN234" t="s">
        <v>52</v>
      </c>
      <c r="AO234" t="s">
        <v>52</v>
      </c>
      <c r="AP234" t="s">
        <v>52</v>
      </c>
      <c r="AQ234" t="s">
        <v>52</v>
      </c>
      <c r="AR234" t="s">
        <v>55</v>
      </c>
    </row>
    <row r="235" spans="1:45" x14ac:dyDescent="0.25">
      <c r="A235" t="s">
        <v>47</v>
      </c>
      <c r="B235">
        <v>8</v>
      </c>
      <c r="C235" t="s">
        <v>120</v>
      </c>
      <c r="D235">
        <v>14</v>
      </c>
      <c r="E235" t="s">
        <v>58</v>
      </c>
      <c r="F235">
        <v>102</v>
      </c>
      <c r="G235" t="s">
        <v>65</v>
      </c>
      <c r="H235" t="s">
        <v>50</v>
      </c>
      <c r="K235" t="s">
        <v>52</v>
      </c>
      <c r="L235">
        <v>1</v>
      </c>
      <c r="M235" t="s">
        <v>52</v>
      </c>
      <c r="N235" t="s">
        <v>53</v>
      </c>
      <c r="R235">
        <v>0</v>
      </c>
      <c r="S235">
        <v>0.92</v>
      </c>
      <c r="T235">
        <v>0</v>
      </c>
      <c r="U235">
        <v>0</v>
      </c>
      <c r="W235" s="1">
        <v>46731</v>
      </c>
      <c r="X235" s="1">
        <v>46357</v>
      </c>
      <c r="Z235" t="s">
        <v>52</v>
      </c>
      <c r="AB235" t="s">
        <v>52</v>
      </c>
      <c r="AC235">
        <v>102</v>
      </c>
      <c r="AD235">
        <v>1</v>
      </c>
      <c r="AK235" t="s">
        <v>52</v>
      </c>
      <c r="AN235" t="s">
        <v>52</v>
      </c>
      <c r="AO235" t="s">
        <v>52</v>
      </c>
      <c r="AP235" t="s">
        <v>52</v>
      </c>
      <c r="AQ235" t="s">
        <v>52</v>
      </c>
      <c r="AR235" t="s">
        <v>55</v>
      </c>
      <c r="AS235" t="s">
        <v>60</v>
      </c>
    </row>
    <row r="236" spans="1:45" x14ac:dyDescent="0.25">
      <c r="A236" t="s">
        <v>47</v>
      </c>
      <c r="B236">
        <v>8</v>
      </c>
      <c r="C236" t="s">
        <v>120</v>
      </c>
      <c r="D236">
        <v>14</v>
      </c>
      <c r="E236" t="s">
        <v>58</v>
      </c>
      <c r="F236">
        <v>102</v>
      </c>
      <c r="G236" t="s">
        <v>66</v>
      </c>
      <c r="H236" t="s">
        <v>50</v>
      </c>
      <c r="K236" t="s">
        <v>51</v>
      </c>
      <c r="L236">
        <v>1</v>
      </c>
      <c r="M236" t="s">
        <v>52</v>
      </c>
      <c r="N236" t="s">
        <v>53</v>
      </c>
      <c r="R236">
        <v>0</v>
      </c>
      <c r="S236">
        <v>0.92</v>
      </c>
      <c r="T236">
        <v>0</v>
      </c>
      <c r="U236">
        <v>0</v>
      </c>
      <c r="W236" s="1">
        <v>46731</v>
      </c>
      <c r="X236" s="1">
        <v>46357</v>
      </c>
      <c r="Z236" t="s">
        <v>52</v>
      </c>
      <c r="AB236" t="s">
        <v>52</v>
      </c>
      <c r="AC236">
        <v>102</v>
      </c>
      <c r="AD236">
        <v>1</v>
      </c>
      <c r="AK236" t="s">
        <v>52</v>
      </c>
      <c r="AN236" t="s">
        <v>52</v>
      </c>
      <c r="AO236" t="s">
        <v>52</v>
      </c>
      <c r="AP236" t="s">
        <v>52</v>
      </c>
      <c r="AQ236" t="s">
        <v>52</v>
      </c>
      <c r="AR236" t="s">
        <v>55</v>
      </c>
      <c r="AS236" t="s">
        <v>60</v>
      </c>
    </row>
    <row r="237" spans="1:45" x14ac:dyDescent="0.25">
      <c r="A237" t="s">
        <v>47</v>
      </c>
      <c r="B237">
        <v>8</v>
      </c>
      <c r="C237" t="s">
        <v>120</v>
      </c>
      <c r="D237">
        <v>14</v>
      </c>
      <c r="E237" t="s">
        <v>58</v>
      </c>
      <c r="F237">
        <v>102</v>
      </c>
      <c r="G237" t="s">
        <v>66</v>
      </c>
      <c r="H237" t="s">
        <v>50</v>
      </c>
      <c r="K237" t="s">
        <v>52</v>
      </c>
      <c r="L237">
        <v>1</v>
      </c>
      <c r="M237" t="s">
        <v>52</v>
      </c>
      <c r="N237" t="s">
        <v>53</v>
      </c>
      <c r="R237">
        <v>0</v>
      </c>
      <c r="S237">
        <v>0.92</v>
      </c>
      <c r="T237">
        <v>0</v>
      </c>
      <c r="U237">
        <v>0</v>
      </c>
      <c r="W237" s="1">
        <v>46731</v>
      </c>
      <c r="X237" s="1">
        <v>46357</v>
      </c>
      <c r="Z237" t="s">
        <v>52</v>
      </c>
      <c r="AB237" t="s">
        <v>52</v>
      </c>
      <c r="AC237">
        <v>102</v>
      </c>
      <c r="AD237">
        <v>1</v>
      </c>
      <c r="AK237" t="s">
        <v>52</v>
      </c>
      <c r="AN237" t="s">
        <v>52</v>
      </c>
      <c r="AO237" t="s">
        <v>52</v>
      </c>
      <c r="AP237" t="s">
        <v>52</v>
      </c>
      <c r="AQ237" t="s">
        <v>52</v>
      </c>
      <c r="AR237" t="s">
        <v>55</v>
      </c>
      <c r="AS237" t="s">
        <v>60</v>
      </c>
    </row>
    <row r="238" spans="1:45" x14ac:dyDescent="0.25">
      <c r="A238" t="s">
        <v>47</v>
      </c>
      <c r="B238">
        <v>8</v>
      </c>
      <c r="C238" t="s">
        <v>120</v>
      </c>
      <c r="D238">
        <v>14</v>
      </c>
      <c r="E238" t="s">
        <v>68</v>
      </c>
      <c r="F238">
        <v>80</v>
      </c>
      <c r="G238" t="s">
        <v>69</v>
      </c>
      <c r="H238" t="s">
        <v>50</v>
      </c>
      <c r="K238" t="s">
        <v>51</v>
      </c>
      <c r="L238">
        <v>1</v>
      </c>
      <c r="M238" t="s">
        <v>52</v>
      </c>
      <c r="N238" t="s">
        <v>53</v>
      </c>
      <c r="R238">
        <v>0.5</v>
      </c>
      <c r="S238">
        <v>0.75</v>
      </c>
      <c r="T238">
        <v>0</v>
      </c>
      <c r="U238">
        <v>0</v>
      </c>
      <c r="V238" s="1">
        <v>46583</v>
      </c>
      <c r="W238" s="1">
        <v>46675</v>
      </c>
      <c r="X238" s="1">
        <v>46461</v>
      </c>
      <c r="Z238" t="s">
        <v>52</v>
      </c>
      <c r="AB238" t="s">
        <v>52</v>
      </c>
      <c r="AC238">
        <v>80</v>
      </c>
      <c r="AD238">
        <v>1</v>
      </c>
      <c r="AK238" t="s">
        <v>52</v>
      </c>
      <c r="AN238" t="s">
        <v>52</v>
      </c>
      <c r="AO238" t="s">
        <v>52</v>
      </c>
      <c r="AP238" t="s">
        <v>52</v>
      </c>
      <c r="AQ238" t="s">
        <v>52</v>
      </c>
      <c r="AR238" t="s">
        <v>55</v>
      </c>
      <c r="AS238" t="s">
        <v>88</v>
      </c>
    </row>
    <row r="239" spans="1:45" x14ac:dyDescent="0.25">
      <c r="A239" t="s">
        <v>47</v>
      </c>
      <c r="B239">
        <v>8</v>
      </c>
      <c r="C239" t="s">
        <v>120</v>
      </c>
      <c r="D239">
        <v>14</v>
      </c>
      <c r="E239" t="s">
        <v>68</v>
      </c>
      <c r="F239">
        <v>80</v>
      </c>
      <c r="G239" t="s">
        <v>69</v>
      </c>
      <c r="H239" t="s">
        <v>50</v>
      </c>
      <c r="K239" t="s">
        <v>52</v>
      </c>
      <c r="L239">
        <v>1</v>
      </c>
      <c r="M239" t="s">
        <v>52</v>
      </c>
      <c r="N239" t="s">
        <v>53</v>
      </c>
      <c r="R239">
        <v>0.5</v>
      </c>
      <c r="S239">
        <v>0.75</v>
      </c>
      <c r="T239">
        <v>0</v>
      </c>
      <c r="U239">
        <v>0</v>
      </c>
      <c r="V239" s="1">
        <v>46583</v>
      </c>
      <c r="W239" s="1">
        <v>46675</v>
      </c>
      <c r="X239" s="1">
        <v>46461</v>
      </c>
      <c r="Z239" t="s">
        <v>52</v>
      </c>
      <c r="AB239" t="s">
        <v>52</v>
      </c>
      <c r="AC239">
        <v>80</v>
      </c>
      <c r="AD239">
        <v>1</v>
      </c>
      <c r="AK239" t="s">
        <v>52</v>
      </c>
      <c r="AN239" t="s">
        <v>52</v>
      </c>
      <c r="AO239" t="s">
        <v>52</v>
      </c>
      <c r="AP239" t="s">
        <v>52</v>
      </c>
      <c r="AQ239" t="s">
        <v>52</v>
      </c>
      <c r="AR239" t="s">
        <v>55</v>
      </c>
      <c r="AS239" t="s">
        <v>88</v>
      </c>
    </row>
    <row r="240" spans="1:45" x14ac:dyDescent="0.25">
      <c r="A240" t="s">
        <v>47</v>
      </c>
      <c r="B240">
        <v>8</v>
      </c>
      <c r="C240" t="s">
        <v>120</v>
      </c>
      <c r="D240">
        <v>14</v>
      </c>
      <c r="E240" t="s">
        <v>70</v>
      </c>
      <c r="F240">
        <v>296</v>
      </c>
      <c r="G240" t="s">
        <v>71</v>
      </c>
      <c r="H240" t="s">
        <v>50</v>
      </c>
      <c r="K240" t="s">
        <v>51</v>
      </c>
      <c r="L240">
        <v>1</v>
      </c>
      <c r="M240" t="s">
        <v>52</v>
      </c>
      <c r="N240" t="s">
        <v>53</v>
      </c>
      <c r="Q240">
        <v>224.33330000000001</v>
      </c>
      <c r="R240">
        <v>0</v>
      </c>
      <c r="S240">
        <v>0.75</v>
      </c>
      <c r="T240">
        <v>0</v>
      </c>
      <c r="U240">
        <v>0</v>
      </c>
      <c r="W240" s="1">
        <v>46675</v>
      </c>
      <c r="X240" s="1">
        <v>46357</v>
      </c>
      <c r="Y240" t="s">
        <v>54</v>
      </c>
      <c r="Z240" t="s">
        <v>52</v>
      </c>
      <c r="AB240" t="s">
        <v>52</v>
      </c>
      <c r="AC240">
        <v>296</v>
      </c>
      <c r="AD240">
        <v>1</v>
      </c>
      <c r="AK240" t="s">
        <v>52</v>
      </c>
      <c r="AN240" t="s">
        <v>52</v>
      </c>
      <c r="AO240" t="s">
        <v>52</v>
      </c>
      <c r="AP240" t="s">
        <v>52</v>
      </c>
      <c r="AQ240" t="s">
        <v>52</v>
      </c>
      <c r="AR240" t="s">
        <v>55</v>
      </c>
      <c r="AS240" t="s">
        <v>60</v>
      </c>
    </row>
    <row r="241" spans="1:45" x14ac:dyDescent="0.25">
      <c r="A241" t="s">
        <v>47</v>
      </c>
      <c r="B241">
        <v>8</v>
      </c>
      <c r="C241" t="s">
        <v>120</v>
      </c>
      <c r="D241">
        <v>14</v>
      </c>
      <c r="E241" t="s">
        <v>70</v>
      </c>
      <c r="F241">
        <v>296</v>
      </c>
      <c r="G241" t="s">
        <v>71</v>
      </c>
      <c r="H241" t="s">
        <v>50</v>
      </c>
      <c r="K241" t="s">
        <v>52</v>
      </c>
      <c r="L241">
        <v>1</v>
      </c>
      <c r="M241" t="s">
        <v>52</v>
      </c>
      <c r="N241" t="s">
        <v>53</v>
      </c>
      <c r="Q241">
        <v>224.33330000000001</v>
      </c>
      <c r="R241">
        <v>0</v>
      </c>
      <c r="S241">
        <v>0.75</v>
      </c>
      <c r="T241">
        <v>0</v>
      </c>
      <c r="U241">
        <v>0</v>
      </c>
      <c r="W241" s="1">
        <v>46675</v>
      </c>
      <c r="X241" s="1">
        <v>46357</v>
      </c>
      <c r="Y241" t="s">
        <v>54</v>
      </c>
      <c r="Z241" t="s">
        <v>52</v>
      </c>
      <c r="AB241" t="s">
        <v>52</v>
      </c>
      <c r="AC241">
        <v>296</v>
      </c>
      <c r="AD241">
        <v>1</v>
      </c>
      <c r="AK241" t="s">
        <v>52</v>
      </c>
      <c r="AN241" t="s">
        <v>52</v>
      </c>
      <c r="AO241" t="s">
        <v>52</v>
      </c>
      <c r="AP241" t="s">
        <v>52</v>
      </c>
      <c r="AQ241" t="s">
        <v>52</v>
      </c>
      <c r="AR241" t="s">
        <v>55</v>
      </c>
      <c r="AS241" t="s">
        <v>60</v>
      </c>
    </row>
    <row r="242" spans="1:45" x14ac:dyDescent="0.25">
      <c r="A242" t="s">
        <v>47</v>
      </c>
      <c r="B242">
        <v>8</v>
      </c>
      <c r="C242" t="s">
        <v>120</v>
      </c>
      <c r="D242">
        <v>14</v>
      </c>
      <c r="E242" t="s">
        <v>70</v>
      </c>
      <c r="F242">
        <v>296</v>
      </c>
      <c r="G242" t="s">
        <v>72</v>
      </c>
      <c r="H242" t="s">
        <v>50</v>
      </c>
      <c r="K242" t="s">
        <v>51</v>
      </c>
      <c r="L242">
        <v>1</v>
      </c>
      <c r="M242" t="s">
        <v>52</v>
      </c>
      <c r="N242" t="s">
        <v>53</v>
      </c>
      <c r="R242">
        <v>0.5</v>
      </c>
      <c r="S242">
        <v>0.75</v>
      </c>
      <c r="T242">
        <v>0</v>
      </c>
      <c r="U242">
        <v>0</v>
      </c>
      <c r="W242" s="1">
        <v>46675</v>
      </c>
      <c r="X242" s="1">
        <v>46357</v>
      </c>
      <c r="Z242" t="s">
        <v>52</v>
      </c>
      <c r="AB242" t="s">
        <v>52</v>
      </c>
      <c r="AC242">
        <v>296</v>
      </c>
      <c r="AD242">
        <v>1</v>
      </c>
      <c r="AK242" t="s">
        <v>52</v>
      </c>
      <c r="AN242" t="s">
        <v>52</v>
      </c>
      <c r="AO242" t="s">
        <v>52</v>
      </c>
      <c r="AP242" t="s">
        <v>52</v>
      </c>
      <c r="AQ242" t="s">
        <v>52</v>
      </c>
      <c r="AR242" t="s">
        <v>55</v>
      </c>
      <c r="AS242" t="s">
        <v>60</v>
      </c>
    </row>
    <row r="243" spans="1:45" x14ac:dyDescent="0.25">
      <c r="A243" t="s">
        <v>47</v>
      </c>
      <c r="B243">
        <v>8</v>
      </c>
      <c r="C243" t="s">
        <v>120</v>
      </c>
      <c r="D243">
        <v>14</v>
      </c>
      <c r="E243" t="s">
        <v>70</v>
      </c>
      <c r="F243">
        <v>296</v>
      </c>
      <c r="G243" t="s">
        <v>72</v>
      </c>
      <c r="H243" t="s">
        <v>50</v>
      </c>
      <c r="K243" t="s">
        <v>52</v>
      </c>
      <c r="L243">
        <v>1</v>
      </c>
      <c r="M243" t="s">
        <v>52</v>
      </c>
      <c r="N243" t="s">
        <v>53</v>
      </c>
      <c r="R243">
        <v>0.5</v>
      </c>
      <c r="S243">
        <v>0.75</v>
      </c>
      <c r="T243">
        <v>0</v>
      </c>
      <c r="U243">
        <v>0</v>
      </c>
      <c r="W243" s="1">
        <v>46675</v>
      </c>
      <c r="X243" s="1">
        <v>46357</v>
      </c>
      <c r="Z243" t="s">
        <v>52</v>
      </c>
      <c r="AB243" t="s">
        <v>52</v>
      </c>
      <c r="AC243">
        <v>296</v>
      </c>
      <c r="AD243">
        <v>1</v>
      </c>
      <c r="AK243" t="s">
        <v>52</v>
      </c>
      <c r="AN243" t="s">
        <v>52</v>
      </c>
      <c r="AO243" t="s">
        <v>52</v>
      </c>
      <c r="AP243" t="s">
        <v>52</v>
      </c>
      <c r="AQ243" t="s">
        <v>52</v>
      </c>
      <c r="AR243" t="s">
        <v>55</v>
      </c>
      <c r="AS243" t="s">
        <v>60</v>
      </c>
    </row>
    <row r="244" spans="1:45" x14ac:dyDescent="0.25">
      <c r="A244" t="s">
        <v>47</v>
      </c>
      <c r="B244">
        <v>8</v>
      </c>
      <c r="C244" t="s">
        <v>120</v>
      </c>
      <c r="D244">
        <v>14</v>
      </c>
      <c r="E244" t="s">
        <v>70</v>
      </c>
      <c r="F244">
        <v>296</v>
      </c>
      <c r="G244" t="s">
        <v>73</v>
      </c>
      <c r="H244" t="s">
        <v>50</v>
      </c>
      <c r="K244" t="s">
        <v>51</v>
      </c>
      <c r="L244">
        <v>1</v>
      </c>
      <c r="M244" t="s">
        <v>52</v>
      </c>
      <c r="N244" t="s">
        <v>53</v>
      </c>
      <c r="R244">
        <v>0</v>
      </c>
      <c r="S244">
        <v>0.75</v>
      </c>
      <c r="T244">
        <v>0</v>
      </c>
      <c r="U244">
        <v>0</v>
      </c>
      <c r="W244" s="1">
        <v>46675</v>
      </c>
      <c r="X244" s="1">
        <v>46357</v>
      </c>
      <c r="Z244" t="s">
        <v>52</v>
      </c>
      <c r="AB244" t="s">
        <v>52</v>
      </c>
      <c r="AC244">
        <v>296</v>
      </c>
      <c r="AD244">
        <v>1</v>
      </c>
      <c r="AK244" t="s">
        <v>52</v>
      </c>
      <c r="AN244" t="s">
        <v>52</v>
      </c>
      <c r="AO244" t="s">
        <v>52</v>
      </c>
      <c r="AP244" t="s">
        <v>52</v>
      </c>
      <c r="AQ244" t="s">
        <v>52</v>
      </c>
      <c r="AR244" t="s">
        <v>55</v>
      </c>
      <c r="AS244" t="s">
        <v>60</v>
      </c>
    </row>
    <row r="245" spans="1:45" x14ac:dyDescent="0.25">
      <c r="A245" t="s">
        <v>47</v>
      </c>
      <c r="B245">
        <v>8</v>
      </c>
      <c r="C245" t="s">
        <v>120</v>
      </c>
      <c r="D245">
        <v>14</v>
      </c>
      <c r="E245" t="s">
        <v>70</v>
      </c>
      <c r="F245">
        <v>296</v>
      </c>
      <c r="G245" t="s">
        <v>73</v>
      </c>
      <c r="H245" t="s">
        <v>50</v>
      </c>
      <c r="K245" t="s">
        <v>52</v>
      </c>
      <c r="L245">
        <v>1</v>
      </c>
      <c r="M245" t="s">
        <v>52</v>
      </c>
      <c r="N245" t="s">
        <v>53</v>
      </c>
      <c r="R245">
        <v>0</v>
      </c>
      <c r="S245">
        <v>0.75</v>
      </c>
      <c r="T245">
        <v>0</v>
      </c>
      <c r="U245">
        <v>0</v>
      </c>
      <c r="W245" s="1">
        <v>46675</v>
      </c>
      <c r="X245" s="1">
        <v>46357</v>
      </c>
      <c r="Z245" t="s">
        <v>52</v>
      </c>
      <c r="AB245" t="s">
        <v>52</v>
      </c>
      <c r="AC245">
        <v>296</v>
      </c>
      <c r="AD245">
        <v>1</v>
      </c>
      <c r="AK245" t="s">
        <v>52</v>
      </c>
      <c r="AN245" t="s">
        <v>52</v>
      </c>
      <c r="AO245" t="s">
        <v>52</v>
      </c>
      <c r="AP245" t="s">
        <v>52</v>
      </c>
      <c r="AQ245" t="s">
        <v>52</v>
      </c>
      <c r="AR245" t="s">
        <v>55</v>
      </c>
      <c r="AS245" t="s">
        <v>60</v>
      </c>
    </row>
    <row r="246" spans="1:45" x14ac:dyDescent="0.25">
      <c r="A246" t="s">
        <v>47</v>
      </c>
      <c r="B246">
        <v>8</v>
      </c>
      <c r="C246" t="s">
        <v>120</v>
      </c>
      <c r="D246">
        <v>14</v>
      </c>
      <c r="E246" t="s">
        <v>70</v>
      </c>
      <c r="F246">
        <v>296</v>
      </c>
      <c r="G246" t="s">
        <v>74</v>
      </c>
      <c r="H246" t="s">
        <v>50</v>
      </c>
      <c r="K246" t="s">
        <v>51</v>
      </c>
      <c r="L246">
        <v>1</v>
      </c>
      <c r="M246" t="s">
        <v>52</v>
      </c>
      <c r="N246" t="s">
        <v>53</v>
      </c>
      <c r="R246">
        <v>0</v>
      </c>
      <c r="S246">
        <v>0.75</v>
      </c>
      <c r="T246">
        <v>0</v>
      </c>
      <c r="U246">
        <v>0</v>
      </c>
      <c r="W246" s="1">
        <v>46675</v>
      </c>
      <c r="X246" s="1">
        <v>46357</v>
      </c>
      <c r="Z246" t="s">
        <v>52</v>
      </c>
      <c r="AB246" t="s">
        <v>52</v>
      </c>
      <c r="AC246">
        <v>102</v>
      </c>
      <c r="AD246">
        <v>1</v>
      </c>
      <c r="AK246" t="s">
        <v>52</v>
      </c>
      <c r="AN246" t="s">
        <v>52</v>
      </c>
      <c r="AO246" t="s">
        <v>52</v>
      </c>
      <c r="AP246" t="s">
        <v>52</v>
      </c>
      <c r="AQ246" t="s">
        <v>52</v>
      </c>
      <c r="AR246" t="s">
        <v>55</v>
      </c>
      <c r="AS246" t="s">
        <v>60</v>
      </c>
    </row>
    <row r="247" spans="1:45" x14ac:dyDescent="0.25">
      <c r="A247" t="s">
        <v>47</v>
      </c>
      <c r="B247">
        <v>8</v>
      </c>
      <c r="C247" t="s">
        <v>120</v>
      </c>
      <c r="D247">
        <v>14</v>
      </c>
      <c r="E247" t="s">
        <v>70</v>
      </c>
      <c r="F247">
        <v>296</v>
      </c>
      <c r="G247" t="s">
        <v>74</v>
      </c>
      <c r="H247" t="s">
        <v>50</v>
      </c>
      <c r="K247" t="s">
        <v>52</v>
      </c>
      <c r="L247">
        <v>1</v>
      </c>
      <c r="M247" t="s">
        <v>52</v>
      </c>
      <c r="N247" t="s">
        <v>53</v>
      </c>
      <c r="R247">
        <v>0</v>
      </c>
      <c r="S247">
        <v>0.75</v>
      </c>
      <c r="T247">
        <v>0</v>
      </c>
      <c r="U247">
        <v>0</v>
      </c>
      <c r="W247" s="1">
        <v>46675</v>
      </c>
      <c r="X247" s="1">
        <v>46357</v>
      </c>
      <c r="Z247" t="s">
        <v>52</v>
      </c>
      <c r="AB247" t="s">
        <v>52</v>
      </c>
      <c r="AC247">
        <v>102</v>
      </c>
      <c r="AD247">
        <v>1</v>
      </c>
      <c r="AK247" t="s">
        <v>52</v>
      </c>
      <c r="AN247" t="s">
        <v>52</v>
      </c>
      <c r="AO247" t="s">
        <v>52</v>
      </c>
      <c r="AP247" t="s">
        <v>52</v>
      </c>
      <c r="AQ247" t="s">
        <v>52</v>
      </c>
      <c r="AR247" t="s">
        <v>55</v>
      </c>
      <c r="AS247" t="s">
        <v>60</v>
      </c>
    </row>
    <row r="248" spans="1:45" x14ac:dyDescent="0.25">
      <c r="A248" t="s">
        <v>47</v>
      </c>
      <c r="B248">
        <v>8</v>
      </c>
      <c r="C248" t="s">
        <v>120</v>
      </c>
      <c r="D248">
        <v>14</v>
      </c>
      <c r="E248" t="s">
        <v>75</v>
      </c>
      <c r="F248">
        <v>16</v>
      </c>
      <c r="G248" t="s">
        <v>76</v>
      </c>
      <c r="H248" t="s">
        <v>50</v>
      </c>
      <c r="K248" t="s">
        <v>51</v>
      </c>
      <c r="L248">
        <v>1</v>
      </c>
      <c r="M248" t="s">
        <v>52</v>
      </c>
      <c r="N248" t="s">
        <v>53</v>
      </c>
      <c r="R248">
        <v>0.5</v>
      </c>
      <c r="S248">
        <v>0.75</v>
      </c>
      <c r="T248">
        <v>0</v>
      </c>
      <c r="U248">
        <v>0</v>
      </c>
      <c r="V248" s="1">
        <v>46507</v>
      </c>
      <c r="W248" s="1">
        <v>46691</v>
      </c>
      <c r="X248" s="1">
        <v>46461</v>
      </c>
      <c r="Z248" t="s">
        <v>52</v>
      </c>
      <c r="AB248" t="s">
        <v>52</v>
      </c>
      <c r="AC248">
        <v>16</v>
      </c>
      <c r="AD248">
        <v>2</v>
      </c>
      <c r="AE248">
        <v>0.95</v>
      </c>
      <c r="AG248">
        <v>0.95</v>
      </c>
      <c r="AK248" t="s">
        <v>52</v>
      </c>
      <c r="AN248" t="s">
        <v>52</v>
      </c>
      <c r="AO248" t="s">
        <v>52</v>
      </c>
      <c r="AP248" t="s">
        <v>52</v>
      </c>
      <c r="AQ248" t="s">
        <v>52</v>
      </c>
      <c r="AR248" t="s">
        <v>55</v>
      </c>
      <c r="AS248" t="s">
        <v>60</v>
      </c>
    </row>
    <row r="249" spans="1:45" x14ac:dyDescent="0.25">
      <c r="A249" t="s">
        <v>47</v>
      </c>
      <c r="B249">
        <v>8</v>
      </c>
      <c r="C249" t="s">
        <v>120</v>
      </c>
      <c r="D249">
        <v>14</v>
      </c>
      <c r="E249" t="s">
        <v>75</v>
      </c>
      <c r="F249">
        <v>16</v>
      </c>
      <c r="G249" t="s">
        <v>76</v>
      </c>
      <c r="H249" t="s">
        <v>50</v>
      </c>
      <c r="K249" t="s">
        <v>52</v>
      </c>
      <c r="L249">
        <v>1</v>
      </c>
      <c r="M249" t="s">
        <v>52</v>
      </c>
      <c r="N249" t="s">
        <v>53</v>
      </c>
      <c r="R249">
        <v>0.5</v>
      </c>
      <c r="S249">
        <v>0.75</v>
      </c>
      <c r="T249">
        <v>0</v>
      </c>
      <c r="U249">
        <v>0</v>
      </c>
      <c r="V249" s="1">
        <v>46507</v>
      </c>
      <c r="W249" s="1">
        <v>46691</v>
      </c>
      <c r="X249" s="1">
        <v>46461</v>
      </c>
      <c r="Z249" t="s">
        <v>52</v>
      </c>
      <c r="AB249" t="s">
        <v>52</v>
      </c>
      <c r="AC249">
        <v>16</v>
      </c>
      <c r="AD249">
        <v>2</v>
      </c>
      <c r="AE249">
        <v>0.95</v>
      </c>
      <c r="AG249">
        <v>0.95</v>
      </c>
      <c r="AK249" t="s">
        <v>52</v>
      </c>
      <c r="AN249" t="s">
        <v>52</v>
      </c>
      <c r="AO249" t="s">
        <v>52</v>
      </c>
      <c r="AP249" t="s">
        <v>52</v>
      </c>
      <c r="AQ249" t="s">
        <v>52</v>
      </c>
      <c r="AR249" t="s">
        <v>55</v>
      </c>
      <c r="AS249" t="s">
        <v>60</v>
      </c>
    </row>
    <row r="250" spans="1:45" x14ac:dyDescent="0.25">
      <c r="A250" t="s">
        <v>47</v>
      </c>
      <c r="B250">
        <v>8</v>
      </c>
      <c r="C250" t="s">
        <v>120</v>
      </c>
      <c r="D250">
        <v>14</v>
      </c>
      <c r="E250" t="s">
        <v>79</v>
      </c>
      <c r="F250">
        <v>50</v>
      </c>
      <c r="G250" t="s">
        <v>80</v>
      </c>
      <c r="H250" t="s">
        <v>50</v>
      </c>
      <c r="K250" t="s">
        <v>51</v>
      </c>
      <c r="L250">
        <v>1</v>
      </c>
      <c r="M250" t="s">
        <v>52</v>
      </c>
      <c r="N250" t="s">
        <v>53</v>
      </c>
      <c r="R250">
        <v>0.5</v>
      </c>
      <c r="S250">
        <v>0.75</v>
      </c>
      <c r="T250">
        <v>0</v>
      </c>
      <c r="U250">
        <v>0</v>
      </c>
      <c r="V250" s="1">
        <v>46583</v>
      </c>
      <c r="W250" s="1">
        <v>46675</v>
      </c>
      <c r="X250" s="1">
        <v>46461</v>
      </c>
      <c r="Z250" t="s">
        <v>52</v>
      </c>
      <c r="AB250" t="s">
        <v>52</v>
      </c>
      <c r="AC250">
        <v>50</v>
      </c>
      <c r="AD250">
        <v>1</v>
      </c>
      <c r="AK250" t="s">
        <v>52</v>
      </c>
      <c r="AN250" t="s">
        <v>52</v>
      </c>
      <c r="AO250" t="s">
        <v>52</v>
      </c>
      <c r="AP250" t="s">
        <v>52</v>
      </c>
      <c r="AQ250" t="s">
        <v>52</v>
      </c>
      <c r="AR250" t="s">
        <v>55</v>
      </c>
      <c r="AS250" t="s">
        <v>60</v>
      </c>
    </row>
    <row r="251" spans="1:45" x14ac:dyDescent="0.25">
      <c r="A251" t="s">
        <v>47</v>
      </c>
      <c r="B251">
        <v>8</v>
      </c>
      <c r="C251" t="s">
        <v>120</v>
      </c>
      <c r="D251">
        <v>14</v>
      </c>
      <c r="E251" t="s">
        <v>79</v>
      </c>
      <c r="F251">
        <v>50</v>
      </c>
      <c r="G251" t="s">
        <v>80</v>
      </c>
      <c r="H251" t="s">
        <v>50</v>
      </c>
      <c r="K251" t="s">
        <v>52</v>
      </c>
      <c r="L251">
        <v>1</v>
      </c>
      <c r="M251" t="s">
        <v>52</v>
      </c>
      <c r="N251" t="s">
        <v>53</v>
      </c>
      <c r="R251">
        <v>0.5</v>
      </c>
      <c r="S251">
        <v>0.75</v>
      </c>
      <c r="T251">
        <v>0</v>
      </c>
      <c r="U251">
        <v>0</v>
      </c>
      <c r="V251" s="1">
        <v>46583</v>
      </c>
      <c r="W251" s="1">
        <v>46675</v>
      </c>
      <c r="X251" s="1">
        <v>46461</v>
      </c>
      <c r="Z251" t="s">
        <v>52</v>
      </c>
      <c r="AB251" t="s">
        <v>52</v>
      </c>
      <c r="AC251">
        <v>50</v>
      </c>
      <c r="AD251">
        <v>1</v>
      </c>
      <c r="AK251" t="s">
        <v>52</v>
      </c>
      <c r="AN251" t="s">
        <v>52</v>
      </c>
      <c r="AO251" t="s">
        <v>52</v>
      </c>
      <c r="AP251" t="s">
        <v>52</v>
      </c>
      <c r="AQ251" t="s">
        <v>52</v>
      </c>
      <c r="AR251" t="s">
        <v>55</v>
      </c>
    </row>
    <row r="252" spans="1:45" x14ac:dyDescent="0.25">
      <c r="A252" t="s">
        <v>47</v>
      </c>
      <c r="B252">
        <v>8</v>
      </c>
      <c r="C252" t="s">
        <v>120</v>
      </c>
      <c r="D252">
        <v>14</v>
      </c>
      <c r="E252" t="s">
        <v>79</v>
      </c>
      <c r="F252">
        <v>50</v>
      </c>
      <c r="G252" t="s">
        <v>65</v>
      </c>
      <c r="H252" t="s">
        <v>50</v>
      </c>
      <c r="K252" t="s">
        <v>51</v>
      </c>
      <c r="L252">
        <v>1</v>
      </c>
      <c r="M252" t="s">
        <v>52</v>
      </c>
      <c r="N252" t="s">
        <v>53</v>
      </c>
      <c r="R252">
        <v>0.5</v>
      </c>
      <c r="S252">
        <v>0.75</v>
      </c>
      <c r="T252">
        <v>0</v>
      </c>
      <c r="U252">
        <v>0</v>
      </c>
      <c r="V252" s="1">
        <v>46583</v>
      </c>
      <c r="W252" s="1">
        <v>46675</v>
      </c>
      <c r="X252" s="1">
        <v>46461</v>
      </c>
      <c r="Z252" t="s">
        <v>52</v>
      </c>
      <c r="AB252" t="s">
        <v>52</v>
      </c>
      <c r="AC252">
        <v>50</v>
      </c>
      <c r="AD252">
        <v>1</v>
      </c>
      <c r="AK252" t="s">
        <v>52</v>
      </c>
      <c r="AN252" t="s">
        <v>52</v>
      </c>
      <c r="AO252" t="s">
        <v>52</v>
      </c>
      <c r="AP252" t="s">
        <v>52</v>
      </c>
      <c r="AQ252" t="s">
        <v>52</v>
      </c>
      <c r="AR252" t="s">
        <v>55</v>
      </c>
      <c r="AS252" t="s">
        <v>88</v>
      </c>
    </row>
    <row r="253" spans="1:45" x14ac:dyDescent="0.25">
      <c r="A253" t="s">
        <v>47</v>
      </c>
      <c r="B253">
        <v>8</v>
      </c>
      <c r="C253" t="s">
        <v>120</v>
      </c>
      <c r="D253">
        <v>14</v>
      </c>
      <c r="E253" t="s">
        <v>79</v>
      </c>
      <c r="F253">
        <v>50</v>
      </c>
      <c r="G253" t="s">
        <v>65</v>
      </c>
      <c r="H253" t="s">
        <v>50</v>
      </c>
      <c r="K253" t="s">
        <v>52</v>
      </c>
      <c r="L253">
        <v>1</v>
      </c>
      <c r="M253" t="s">
        <v>52</v>
      </c>
      <c r="N253" t="s">
        <v>53</v>
      </c>
      <c r="R253">
        <v>0.5</v>
      </c>
      <c r="S253">
        <v>0.75</v>
      </c>
      <c r="T253">
        <v>0</v>
      </c>
      <c r="U253">
        <v>0</v>
      </c>
      <c r="V253" s="1">
        <v>46583</v>
      </c>
      <c r="W253" s="1">
        <v>46675</v>
      </c>
      <c r="X253" s="1">
        <v>46461</v>
      </c>
      <c r="Z253" t="s">
        <v>52</v>
      </c>
      <c r="AB253" t="s">
        <v>52</v>
      </c>
      <c r="AC253">
        <v>50</v>
      </c>
      <c r="AD253">
        <v>1</v>
      </c>
      <c r="AK253" t="s">
        <v>52</v>
      </c>
      <c r="AN253" t="s">
        <v>52</v>
      </c>
      <c r="AO253" t="s">
        <v>52</v>
      </c>
      <c r="AP253" t="s">
        <v>52</v>
      </c>
      <c r="AQ253" t="s">
        <v>52</v>
      </c>
      <c r="AR253" t="s">
        <v>55</v>
      </c>
      <c r="AS253" t="s">
        <v>60</v>
      </c>
    </row>
    <row r="254" spans="1:45" x14ac:dyDescent="0.25">
      <c r="A254" t="s">
        <v>47</v>
      </c>
      <c r="B254">
        <v>8</v>
      </c>
      <c r="C254" t="s">
        <v>120</v>
      </c>
      <c r="D254">
        <v>14</v>
      </c>
      <c r="E254" t="s">
        <v>79</v>
      </c>
      <c r="F254">
        <v>50</v>
      </c>
      <c r="G254" t="s">
        <v>81</v>
      </c>
      <c r="H254" t="s">
        <v>50</v>
      </c>
      <c r="K254" t="s">
        <v>51</v>
      </c>
      <c r="L254">
        <v>1</v>
      </c>
      <c r="M254" t="s">
        <v>52</v>
      </c>
      <c r="N254" t="s">
        <v>53</v>
      </c>
      <c r="R254">
        <v>0.5</v>
      </c>
      <c r="S254">
        <v>0.75</v>
      </c>
      <c r="T254">
        <v>0</v>
      </c>
      <c r="U254">
        <v>0</v>
      </c>
      <c r="V254" s="1">
        <v>46583</v>
      </c>
      <c r="W254" s="1">
        <v>46675</v>
      </c>
      <c r="X254" s="1">
        <v>46461</v>
      </c>
      <c r="Z254" t="s">
        <v>52</v>
      </c>
      <c r="AB254" t="s">
        <v>52</v>
      </c>
      <c r="AC254">
        <v>50</v>
      </c>
      <c r="AD254">
        <v>1</v>
      </c>
      <c r="AK254" t="s">
        <v>52</v>
      </c>
      <c r="AN254" t="s">
        <v>52</v>
      </c>
      <c r="AO254" t="s">
        <v>52</v>
      </c>
      <c r="AP254" t="s">
        <v>52</v>
      </c>
      <c r="AQ254" t="s">
        <v>52</v>
      </c>
      <c r="AR254" t="s">
        <v>55</v>
      </c>
      <c r="AS254" t="s">
        <v>60</v>
      </c>
    </row>
    <row r="255" spans="1:45" x14ac:dyDescent="0.25">
      <c r="A255" t="s">
        <v>47</v>
      </c>
      <c r="B255">
        <v>8</v>
      </c>
      <c r="C255" t="s">
        <v>120</v>
      </c>
      <c r="D255">
        <v>14</v>
      </c>
      <c r="E255" t="s">
        <v>79</v>
      </c>
      <c r="F255">
        <v>50</v>
      </c>
      <c r="G255" t="s">
        <v>81</v>
      </c>
      <c r="H255" t="s">
        <v>50</v>
      </c>
      <c r="K255" t="s">
        <v>52</v>
      </c>
      <c r="L255">
        <v>1</v>
      </c>
      <c r="M255" t="s">
        <v>52</v>
      </c>
      <c r="N255" t="s">
        <v>53</v>
      </c>
      <c r="R255">
        <v>0.5</v>
      </c>
      <c r="S255">
        <v>0.75</v>
      </c>
      <c r="T255">
        <v>0</v>
      </c>
      <c r="U255">
        <v>0</v>
      </c>
      <c r="V255" s="1">
        <v>46583</v>
      </c>
      <c r="W255" s="1">
        <v>46675</v>
      </c>
      <c r="X255" s="1">
        <v>46461</v>
      </c>
      <c r="Z255" t="s">
        <v>52</v>
      </c>
      <c r="AB255" t="s">
        <v>52</v>
      </c>
      <c r="AC255">
        <v>50</v>
      </c>
      <c r="AD255">
        <v>1</v>
      </c>
      <c r="AK255" t="s">
        <v>52</v>
      </c>
      <c r="AN255" t="s">
        <v>52</v>
      </c>
      <c r="AO255" t="s">
        <v>52</v>
      </c>
      <c r="AP255" t="s">
        <v>52</v>
      </c>
      <c r="AQ255" t="s">
        <v>52</v>
      </c>
      <c r="AR255" t="s">
        <v>55</v>
      </c>
      <c r="AS255" t="s">
        <v>60</v>
      </c>
    </row>
    <row r="256" spans="1:45" x14ac:dyDescent="0.25">
      <c r="A256" t="s">
        <v>47</v>
      </c>
      <c r="B256">
        <v>8</v>
      </c>
      <c r="C256" t="s">
        <v>120</v>
      </c>
      <c r="D256">
        <v>14</v>
      </c>
      <c r="E256" t="s">
        <v>82</v>
      </c>
      <c r="F256">
        <v>52</v>
      </c>
      <c r="H256" t="s">
        <v>50</v>
      </c>
      <c r="K256" t="s">
        <v>52</v>
      </c>
      <c r="L256">
        <v>1</v>
      </c>
      <c r="M256" t="s">
        <v>52</v>
      </c>
      <c r="N256" t="s">
        <v>53</v>
      </c>
      <c r="R256">
        <v>0.5</v>
      </c>
      <c r="S256">
        <v>0.75</v>
      </c>
      <c r="U256">
        <v>0</v>
      </c>
      <c r="V256" s="1">
        <v>46569</v>
      </c>
      <c r="W256" s="1">
        <v>46675</v>
      </c>
      <c r="X256" s="1">
        <v>46461</v>
      </c>
      <c r="Z256" t="s">
        <v>52</v>
      </c>
      <c r="AB256" t="s">
        <v>52</v>
      </c>
      <c r="AC256">
        <v>50</v>
      </c>
      <c r="AD256">
        <v>1</v>
      </c>
      <c r="AK256" t="s">
        <v>52</v>
      </c>
      <c r="AN256" t="s">
        <v>52</v>
      </c>
      <c r="AO256" t="s">
        <v>52</v>
      </c>
      <c r="AP256" t="s">
        <v>52</v>
      </c>
      <c r="AQ256" t="s">
        <v>52</v>
      </c>
      <c r="AR256" t="s">
        <v>55</v>
      </c>
    </row>
    <row r="257" spans="1:45" x14ac:dyDescent="0.25">
      <c r="A257" t="s">
        <v>47</v>
      </c>
      <c r="B257">
        <v>8</v>
      </c>
      <c r="C257" t="s">
        <v>120</v>
      </c>
      <c r="D257">
        <v>14</v>
      </c>
      <c r="E257" t="s">
        <v>83</v>
      </c>
      <c r="F257">
        <v>158</v>
      </c>
      <c r="H257" t="s">
        <v>50</v>
      </c>
      <c r="K257" t="s">
        <v>52</v>
      </c>
      <c r="L257">
        <v>1</v>
      </c>
      <c r="M257" t="s">
        <v>52</v>
      </c>
      <c r="N257" t="s">
        <v>53</v>
      </c>
      <c r="R257">
        <v>0.77</v>
      </c>
      <c r="S257">
        <v>0.93</v>
      </c>
      <c r="T257">
        <v>0</v>
      </c>
      <c r="U257">
        <v>0</v>
      </c>
      <c r="V257" s="1">
        <v>46326</v>
      </c>
      <c r="W257" s="1">
        <v>46691</v>
      </c>
      <c r="X257" s="1">
        <v>46266</v>
      </c>
      <c r="Z257" t="s">
        <v>52</v>
      </c>
      <c r="AB257" t="s">
        <v>52</v>
      </c>
      <c r="AC257">
        <v>158</v>
      </c>
      <c r="AD257">
        <v>2</v>
      </c>
      <c r="AK257" t="s">
        <v>52</v>
      </c>
      <c r="AN257" t="s">
        <v>52</v>
      </c>
      <c r="AO257" t="s">
        <v>52</v>
      </c>
      <c r="AP257" t="s">
        <v>52</v>
      </c>
      <c r="AQ257" t="s">
        <v>52</v>
      </c>
      <c r="AR257" t="s">
        <v>55</v>
      </c>
      <c r="AS257" t="s">
        <v>60</v>
      </c>
    </row>
    <row r="258" spans="1:45" x14ac:dyDescent="0.25">
      <c r="A258" t="s">
        <v>47</v>
      </c>
      <c r="B258">
        <v>8</v>
      </c>
      <c r="C258" t="s">
        <v>120</v>
      </c>
      <c r="D258">
        <v>14</v>
      </c>
      <c r="E258" t="s">
        <v>84</v>
      </c>
      <c r="F258">
        <v>11</v>
      </c>
      <c r="G258" t="s">
        <v>85</v>
      </c>
      <c r="H258" t="s">
        <v>50</v>
      </c>
      <c r="K258" t="s">
        <v>51</v>
      </c>
      <c r="L258">
        <v>1</v>
      </c>
      <c r="M258" t="s">
        <v>52</v>
      </c>
      <c r="N258" t="s">
        <v>53</v>
      </c>
      <c r="R258">
        <v>0.5</v>
      </c>
      <c r="S258">
        <v>0.75</v>
      </c>
      <c r="T258">
        <v>0</v>
      </c>
      <c r="U258">
        <v>0</v>
      </c>
      <c r="V258" s="1">
        <v>46548</v>
      </c>
      <c r="W258" s="1">
        <v>46691</v>
      </c>
      <c r="X258" s="1">
        <v>46295</v>
      </c>
      <c r="Z258" t="s">
        <v>52</v>
      </c>
      <c r="AB258" t="s">
        <v>52</v>
      </c>
      <c r="AC258">
        <v>11</v>
      </c>
      <c r="AD258">
        <v>2</v>
      </c>
      <c r="AK258" t="s">
        <v>52</v>
      </c>
      <c r="AN258" t="s">
        <v>52</v>
      </c>
      <c r="AO258" t="s">
        <v>52</v>
      </c>
      <c r="AP258" t="s">
        <v>52</v>
      </c>
      <c r="AQ258" t="s">
        <v>52</v>
      </c>
      <c r="AR258" t="s">
        <v>55</v>
      </c>
      <c r="AS258" t="s">
        <v>60</v>
      </c>
    </row>
    <row r="259" spans="1:45" x14ac:dyDescent="0.25">
      <c r="A259" t="s">
        <v>47</v>
      </c>
      <c r="B259">
        <v>8</v>
      </c>
      <c r="C259" t="s">
        <v>121</v>
      </c>
      <c r="D259">
        <v>15</v>
      </c>
      <c r="E259" t="s">
        <v>49</v>
      </c>
      <c r="F259">
        <v>27</v>
      </c>
      <c r="H259" t="s">
        <v>50</v>
      </c>
      <c r="K259" t="s">
        <v>51</v>
      </c>
      <c r="L259">
        <v>1</v>
      </c>
      <c r="M259" t="s">
        <v>52</v>
      </c>
      <c r="N259" t="s">
        <v>53</v>
      </c>
      <c r="Q259">
        <v>230</v>
      </c>
      <c r="R259">
        <v>0</v>
      </c>
      <c r="S259">
        <v>0.75</v>
      </c>
      <c r="T259">
        <v>0</v>
      </c>
      <c r="U259">
        <v>0</v>
      </c>
      <c r="W259" s="1">
        <v>46675</v>
      </c>
      <c r="X259" s="1">
        <v>46357</v>
      </c>
      <c r="Y259" t="s">
        <v>54</v>
      </c>
      <c r="Z259" t="s">
        <v>52</v>
      </c>
      <c r="AB259" t="s">
        <v>52</v>
      </c>
      <c r="AC259">
        <v>27</v>
      </c>
      <c r="AD259">
        <v>1</v>
      </c>
      <c r="AE259">
        <v>0.97</v>
      </c>
      <c r="AG259">
        <v>0.97</v>
      </c>
      <c r="AK259" t="s">
        <v>52</v>
      </c>
      <c r="AN259" t="s">
        <v>52</v>
      </c>
      <c r="AO259" t="s">
        <v>52</v>
      </c>
      <c r="AP259" t="s">
        <v>52</v>
      </c>
      <c r="AQ259" t="s">
        <v>52</v>
      </c>
      <c r="AR259" t="s">
        <v>55</v>
      </c>
      <c r="AS259" t="s">
        <v>56</v>
      </c>
    </row>
    <row r="260" spans="1:45" x14ac:dyDescent="0.25">
      <c r="A260" t="s">
        <v>47</v>
      </c>
      <c r="B260">
        <v>8</v>
      </c>
      <c r="C260" t="s">
        <v>121</v>
      </c>
      <c r="D260">
        <v>15</v>
      </c>
      <c r="E260" t="s">
        <v>58</v>
      </c>
      <c r="F260">
        <v>102</v>
      </c>
      <c r="G260" t="s">
        <v>62</v>
      </c>
      <c r="H260" t="s">
        <v>50</v>
      </c>
      <c r="K260" t="s">
        <v>51</v>
      </c>
      <c r="L260">
        <v>1</v>
      </c>
      <c r="M260" t="s">
        <v>52</v>
      </c>
      <c r="N260" t="s">
        <v>53</v>
      </c>
      <c r="R260">
        <v>0</v>
      </c>
      <c r="S260">
        <v>0.92</v>
      </c>
      <c r="T260">
        <v>0</v>
      </c>
      <c r="U260">
        <v>0</v>
      </c>
      <c r="W260" s="1">
        <v>46731</v>
      </c>
      <c r="X260" s="1">
        <v>46357</v>
      </c>
      <c r="Z260" t="s">
        <v>52</v>
      </c>
      <c r="AB260" t="s">
        <v>52</v>
      </c>
      <c r="AC260">
        <v>102</v>
      </c>
      <c r="AD260">
        <v>1</v>
      </c>
      <c r="AK260" t="s">
        <v>52</v>
      </c>
      <c r="AN260" t="s">
        <v>52</v>
      </c>
      <c r="AO260" t="s">
        <v>52</v>
      </c>
      <c r="AP260" t="s">
        <v>52</v>
      </c>
      <c r="AQ260" t="s">
        <v>52</v>
      </c>
      <c r="AR260" t="s">
        <v>55</v>
      </c>
    </row>
    <row r="261" spans="1:45" x14ac:dyDescent="0.25">
      <c r="A261" t="s">
        <v>47</v>
      </c>
      <c r="B261">
        <v>8</v>
      </c>
      <c r="C261" t="s">
        <v>121</v>
      </c>
      <c r="D261">
        <v>15</v>
      </c>
      <c r="E261" t="s">
        <v>58</v>
      </c>
      <c r="F261">
        <v>102</v>
      </c>
      <c r="G261" t="s">
        <v>62</v>
      </c>
      <c r="H261" t="s">
        <v>50</v>
      </c>
      <c r="K261" t="s">
        <v>52</v>
      </c>
      <c r="L261">
        <v>1</v>
      </c>
      <c r="M261" t="s">
        <v>52</v>
      </c>
      <c r="N261" t="s">
        <v>53</v>
      </c>
      <c r="R261">
        <v>0</v>
      </c>
      <c r="S261">
        <v>0.92</v>
      </c>
      <c r="T261">
        <v>0</v>
      </c>
      <c r="U261">
        <v>0</v>
      </c>
      <c r="W261" s="1">
        <v>46731</v>
      </c>
      <c r="X261" s="1">
        <v>46357</v>
      </c>
      <c r="Z261" t="s">
        <v>52</v>
      </c>
      <c r="AB261" t="s">
        <v>52</v>
      </c>
      <c r="AC261">
        <v>102</v>
      </c>
      <c r="AD261">
        <v>1</v>
      </c>
      <c r="AK261" t="s">
        <v>52</v>
      </c>
      <c r="AN261" t="s">
        <v>52</v>
      </c>
      <c r="AO261" t="s">
        <v>52</v>
      </c>
      <c r="AP261" t="s">
        <v>52</v>
      </c>
      <c r="AQ261" t="s">
        <v>52</v>
      </c>
      <c r="AR261" t="s">
        <v>55</v>
      </c>
    </row>
    <row r="262" spans="1:45" x14ac:dyDescent="0.25">
      <c r="A262" t="s">
        <v>47</v>
      </c>
      <c r="B262">
        <v>8</v>
      </c>
      <c r="C262" t="s">
        <v>121</v>
      </c>
      <c r="D262">
        <v>15</v>
      </c>
      <c r="E262" t="s">
        <v>70</v>
      </c>
      <c r="F262">
        <v>296</v>
      </c>
      <c r="G262" t="s">
        <v>71</v>
      </c>
      <c r="H262" t="s">
        <v>50</v>
      </c>
      <c r="K262" t="s">
        <v>51</v>
      </c>
      <c r="L262">
        <v>1</v>
      </c>
      <c r="M262" t="s">
        <v>52</v>
      </c>
      <c r="N262" t="s">
        <v>53</v>
      </c>
      <c r="Q262">
        <v>224.33330000000001</v>
      </c>
      <c r="R262">
        <v>0</v>
      </c>
      <c r="S262">
        <v>0.75</v>
      </c>
      <c r="T262">
        <v>0</v>
      </c>
      <c r="U262">
        <v>0</v>
      </c>
      <c r="W262" s="1">
        <v>46675</v>
      </c>
      <c r="X262" s="1">
        <v>46357</v>
      </c>
      <c r="Y262" t="s">
        <v>54</v>
      </c>
      <c r="Z262" t="s">
        <v>52</v>
      </c>
      <c r="AB262" t="s">
        <v>52</v>
      </c>
      <c r="AC262">
        <v>296</v>
      </c>
      <c r="AD262">
        <v>1</v>
      </c>
      <c r="AK262" t="s">
        <v>52</v>
      </c>
      <c r="AN262" t="s">
        <v>52</v>
      </c>
      <c r="AO262" t="s">
        <v>52</v>
      </c>
      <c r="AP262" t="s">
        <v>52</v>
      </c>
      <c r="AQ262" t="s">
        <v>52</v>
      </c>
      <c r="AR262" t="s">
        <v>55</v>
      </c>
    </row>
    <row r="263" spans="1:45" x14ac:dyDescent="0.25">
      <c r="A263" t="s">
        <v>47</v>
      </c>
      <c r="B263">
        <v>8</v>
      </c>
      <c r="C263" t="s">
        <v>121</v>
      </c>
      <c r="D263">
        <v>15</v>
      </c>
      <c r="E263" t="s">
        <v>70</v>
      </c>
      <c r="F263">
        <v>296</v>
      </c>
      <c r="G263" t="s">
        <v>72</v>
      </c>
      <c r="H263" t="s">
        <v>50</v>
      </c>
      <c r="K263" t="s">
        <v>51</v>
      </c>
      <c r="L263">
        <v>1</v>
      </c>
      <c r="M263" t="s">
        <v>52</v>
      </c>
      <c r="N263" t="s">
        <v>53</v>
      </c>
      <c r="R263">
        <v>0.5</v>
      </c>
      <c r="S263">
        <v>0.75</v>
      </c>
      <c r="T263">
        <v>0</v>
      </c>
      <c r="U263">
        <v>0</v>
      </c>
      <c r="V263" s="1">
        <v>46522</v>
      </c>
      <c r="W263" s="1">
        <v>46675</v>
      </c>
      <c r="X263" s="1">
        <v>46357</v>
      </c>
      <c r="Z263" t="s">
        <v>52</v>
      </c>
      <c r="AB263" t="s">
        <v>52</v>
      </c>
      <c r="AC263">
        <v>296</v>
      </c>
      <c r="AD263">
        <v>1</v>
      </c>
      <c r="AK263" t="s">
        <v>52</v>
      </c>
      <c r="AN263" t="s">
        <v>52</v>
      </c>
      <c r="AO263" t="s">
        <v>52</v>
      </c>
      <c r="AP263" t="s">
        <v>52</v>
      </c>
      <c r="AQ263" t="s">
        <v>52</v>
      </c>
      <c r="AR263" t="s">
        <v>55</v>
      </c>
    </row>
    <row r="264" spans="1:45" x14ac:dyDescent="0.25">
      <c r="A264" t="s">
        <v>47</v>
      </c>
      <c r="B264">
        <v>8</v>
      </c>
      <c r="C264" t="s">
        <v>121</v>
      </c>
      <c r="D264">
        <v>15</v>
      </c>
      <c r="E264" t="s">
        <v>70</v>
      </c>
      <c r="F264">
        <v>296</v>
      </c>
      <c r="G264" t="s">
        <v>74</v>
      </c>
      <c r="H264" t="s">
        <v>50</v>
      </c>
      <c r="K264" t="s">
        <v>51</v>
      </c>
      <c r="L264">
        <v>1</v>
      </c>
      <c r="M264" t="s">
        <v>52</v>
      </c>
      <c r="N264" t="s">
        <v>53</v>
      </c>
      <c r="R264">
        <v>0</v>
      </c>
      <c r="S264">
        <v>0.75</v>
      </c>
      <c r="T264">
        <v>0</v>
      </c>
      <c r="U264">
        <v>0</v>
      </c>
      <c r="W264" s="1">
        <v>46675</v>
      </c>
      <c r="X264" s="1">
        <v>46357</v>
      </c>
      <c r="Z264" t="s">
        <v>52</v>
      </c>
      <c r="AB264" t="s">
        <v>52</v>
      </c>
      <c r="AC264">
        <v>102</v>
      </c>
      <c r="AD264">
        <v>1</v>
      </c>
      <c r="AK264" t="s">
        <v>52</v>
      </c>
      <c r="AN264" t="s">
        <v>52</v>
      </c>
      <c r="AO264" t="s">
        <v>52</v>
      </c>
      <c r="AP264" t="s">
        <v>52</v>
      </c>
      <c r="AQ264" t="s">
        <v>52</v>
      </c>
      <c r="AR264" t="s">
        <v>55</v>
      </c>
    </row>
    <row r="265" spans="1:45" x14ac:dyDescent="0.25">
      <c r="A265" t="s">
        <v>47</v>
      </c>
      <c r="B265">
        <v>8</v>
      </c>
      <c r="C265" t="s">
        <v>121</v>
      </c>
      <c r="D265">
        <v>15</v>
      </c>
      <c r="E265" t="s">
        <v>70</v>
      </c>
      <c r="F265">
        <v>296</v>
      </c>
      <c r="G265" t="s">
        <v>74</v>
      </c>
      <c r="H265" t="s">
        <v>50</v>
      </c>
      <c r="K265" t="s">
        <v>52</v>
      </c>
      <c r="L265">
        <v>1</v>
      </c>
      <c r="M265" t="s">
        <v>52</v>
      </c>
      <c r="N265" t="s">
        <v>53</v>
      </c>
      <c r="R265">
        <v>0</v>
      </c>
      <c r="S265">
        <v>0.75</v>
      </c>
      <c r="T265">
        <v>0</v>
      </c>
      <c r="U265">
        <v>0</v>
      </c>
      <c r="W265" s="1">
        <v>46675</v>
      </c>
      <c r="X265" s="1">
        <v>46357</v>
      </c>
      <c r="Z265" t="s">
        <v>52</v>
      </c>
      <c r="AB265" t="s">
        <v>52</v>
      </c>
      <c r="AC265">
        <v>102</v>
      </c>
      <c r="AD265">
        <v>1</v>
      </c>
      <c r="AK265" t="s">
        <v>52</v>
      </c>
      <c r="AN265" t="s">
        <v>52</v>
      </c>
      <c r="AO265" t="s">
        <v>52</v>
      </c>
      <c r="AP265" t="s">
        <v>52</v>
      </c>
      <c r="AQ265" t="s">
        <v>52</v>
      </c>
      <c r="AR265" t="s">
        <v>55</v>
      </c>
      <c r="AS265" t="s">
        <v>106</v>
      </c>
    </row>
    <row r="266" spans="1:45" x14ac:dyDescent="0.25">
      <c r="A266" t="s">
        <v>47</v>
      </c>
      <c r="B266">
        <v>8</v>
      </c>
      <c r="C266" t="s">
        <v>121</v>
      </c>
      <c r="D266">
        <v>15</v>
      </c>
      <c r="E266" t="s">
        <v>70</v>
      </c>
      <c r="F266">
        <v>296</v>
      </c>
      <c r="G266" t="s">
        <v>122</v>
      </c>
      <c r="H266" t="s">
        <v>50</v>
      </c>
      <c r="K266" t="s">
        <v>51</v>
      </c>
      <c r="L266">
        <v>1</v>
      </c>
      <c r="M266" t="s">
        <v>52</v>
      </c>
      <c r="N266" t="s">
        <v>53</v>
      </c>
      <c r="R266">
        <v>0</v>
      </c>
      <c r="S266">
        <v>0.75</v>
      </c>
      <c r="T266">
        <v>0</v>
      </c>
      <c r="U266">
        <v>0</v>
      </c>
      <c r="W266" s="1">
        <v>46675</v>
      </c>
      <c r="X266" s="1">
        <v>46357</v>
      </c>
      <c r="Z266" t="s">
        <v>52</v>
      </c>
      <c r="AB266" t="s">
        <v>52</v>
      </c>
      <c r="AC266">
        <v>102</v>
      </c>
      <c r="AD266">
        <v>1</v>
      </c>
      <c r="AK266" t="s">
        <v>52</v>
      </c>
      <c r="AN266" t="s">
        <v>52</v>
      </c>
      <c r="AO266" t="s">
        <v>52</v>
      </c>
      <c r="AP266" t="s">
        <v>52</v>
      </c>
      <c r="AQ266" t="s">
        <v>52</v>
      </c>
      <c r="AR266" t="s">
        <v>55</v>
      </c>
    </row>
    <row r="267" spans="1:45" x14ac:dyDescent="0.25">
      <c r="A267" t="s">
        <v>47</v>
      </c>
      <c r="B267">
        <v>8</v>
      </c>
      <c r="C267" t="s">
        <v>121</v>
      </c>
      <c r="D267">
        <v>15</v>
      </c>
      <c r="E267" t="s">
        <v>70</v>
      </c>
      <c r="F267">
        <v>296</v>
      </c>
      <c r="G267" t="s">
        <v>122</v>
      </c>
      <c r="H267" t="s">
        <v>50</v>
      </c>
      <c r="K267" t="s">
        <v>52</v>
      </c>
      <c r="L267">
        <v>1</v>
      </c>
      <c r="M267" t="s">
        <v>52</v>
      </c>
      <c r="N267" t="s">
        <v>53</v>
      </c>
      <c r="R267">
        <v>0</v>
      </c>
      <c r="S267">
        <v>0.75</v>
      </c>
      <c r="T267">
        <v>0</v>
      </c>
      <c r="U267">
        <v>0</v>
      </c>
      <c r="W267" s="1">
        <v>46675</v>
      </c>
      <c r="X267" s="1">
        <v>46357</v>
      </c>
      <c r="Z267" t="s">
        <v>52</v>
      </c>
      <c r="AB267" t="s">
        <v>52</v>
      </c>
      <c r="AC267">
        <v>102</v>
      </c>
      <c r="AD267">
        <v>1</v>
      </c>
      <c r="AK267" t="s">
        <v>52</v>
      </c>
      <c r="AN267" t="s">
        <v>52</v>
      </c>
      <c r="AO267" t="s">
        <v>52</v>
      </c>
      <c r="AP267" t="s">
        <v>52</v>
      </c>
      <c r="AQ267" t="s">
        <v>52</v>
      </c>
      <c r="AR267" t="s">
        <v>55</v>
      </c>
    </row>
    <row r="268" spans="1:45" x14ac:dyDescent="0.25">
      <c r="A268" t="s">
        <v>47</v>
      </c>
      <c r="B268">
        <v>8</v>
      </c>
      <c r="C268" t="s">
        <v>121</v>
      </c>
      <c r="D268">
        <v>15</v>
      </c>
      <c r="E268" t="s">
        <v>70</v>
      </c>
      <c r="F268">
        <v>296</v>
      </c>
      <c r="G268" t="s">
        <v>90</v>
      </c>
      <c r="H268" t="s">
        <v>50</v>
      </c>
      <c r="K268" t="s">
        <v>51</v>
      </c>
      <c r="L268">
        <v>1</v>
      </c>
      <c r="M268" t="s">
        <v>52</v>
      </c>
      <c r="N268" t="s">
        <v>53</v>
      </c>
      <c r="R268">
        <v>0.5</v>
      </c>
      <c r="S268">
        <v>0.75</v>
      </c>
      <c r="U268">
        <v>0</v>
      </c>
      <c r="V268" s="1">
        <v>46593</v>
      </c>
      <c r="W268" s="1">
        <v>46675</v>
      </c>
      <c r="X268" s="1">
        <v>46357</v>
      </c>
      <c r="Z268" t="s">
        <v>52</v>
      </c>
      <c r="AB268" t="s">
        <v>52</v>
      </c>
      <c r="AC268">
        <v>102</v>
      </c>
      <c r="AD268">
        <v>1</v>
      </c>
      <c r="AK268" t="s">
        <v>52</v>
      </c>
      <c r="AN268" t="s">
        <v>52</v>
      </c>
      <c r="AO268" t="s">
        <v>52</v>
      </c>
      <c r="AP268" t="s">
        <v>52</v>
      </c>
      <c r="AQ268" t="s">
        <v>52</v>
      </c>
      <c r="AR268" t="s">
        <v>55</v>
      </c>
      <c r="AS268" t="s">
        <v>60</v>
      </c>
    </row>
    <row r="269" spans="1:45" x14ac:dyDescent="0.25">
      <c r="A269" t="s">
        <v>47</v>
      </c>
      <c r="B269">
        <v>8</v>
      </c>
      <c r="C269" t="s">
        <v>121</v>
      </c>
      <c r="D269">
        <v>15</v>
      </c>
      <c r="E269" t="s">
        <v>70</v>
      </c>
      <c r="F269">
        <v>296</v>
      </c>
      <c r="G269" t="s">
        <v>90</v>
      </c>
      <c r="H269" t="s">
        <v>50</v>
      </c>
      <c r="K269" t="s">
        <v>52</v>
      </c>
      <c r="L269">
        <v>1</v>
      </c>
      <c r="M269" t="s">
        <v>52</v>
      </c>
      <c r="N269" t="s">
        <v>53</v>
      </c>
      <c r="R269">
        <v>0.5</v>
      </c>
      <c r="S269">
        <v>0.75</v>
      </c>
      <c r="U269">
        <v>0</v>
      </c>
      <c r="V269" s="1">
        <v>46593</v>
      </c>
      <c r="W269" s="1">
        <v>46675</v>
      </c>
      <c r="X269" s="1">
        <v>46357</v>
      </c>
      <c r="Z269" t="s">
        <v>52</v>
      </c>
      <c r="AB269" t="s">
        <v>52</v>
      </c>
      <c r="AC269">
        <v>102</v>
      </c>
      <c r="AD269">
        <v>1</v>
      </c>
      <c r="AK269" t="s">
        <v>52</v>
      </c>
      <c r="AN269" t="s">
        <v>52</v>
      </c>
      <c r="AO269" t="s">
        <v>52</v>
      </c>
      <c r="AP269" t="s">
        <v>52</v>
      </c>
      <c r="AQ269" t="s">
        <v>52</v>
      </c>
      <c r="AR269" t="s">
        <v>55</v>
      </c>
      <c r="AS269" t="s">
        <v>60</v>
      </c>
    </row>
    <row r="270" spans="1:45" x14ac:dyDescent="0.25">
      <c r="A270" t="s">
        <v>47</v>
      </c>
      <c r="B270">
        <v>8</v>
      </c>
      <c r="C270" t="s">
        <v>121</v>
      </c>
      <c r="D270">
        <v>15</v>
      </c>
      <c r="E270" t="s">
        <v>70</v>
      </c>
      <c r="F270">
        <v>296</v>
      </c>
      <c r="G270" t="s">
        <v>116</v>
      </c>
      <c r="H270" t="s">
        <v>50</v>
      </c>
      <c r="K270" t="s">
        <v>51</v>
      </c>
      <c r="L270">
        <v>1</v>
      </c>
      <c r="M270" t="s">
        <v>52</v>
      </c>
      <c r="N270" t="s">
        <v>53</v>
      </c>
      <c r="R270">
        <v>0.5</v>
      </c>
      <c r="S270">
        <v>0.75</v>
      </c>
      <c r="U270">
        <v>0</v>
      </c>
      <c r="W270" s="1">
        <v>46675</v>
      </c>
      <c r="X270" s="1">
        <v>46357</v>
      </c>
      <c r="Z270" t="s">
        <v>52</v>
      </c>
      <c r="AB270" t="s">
        <v>52</v>
      </c>
      <c r="AC270">
        <v>102</v>
      </c>
      <c r="AD270">
        <v>1</v>
      </c>
      <c r="AK270" t="s">
        <v>52</v>
      </c>
      <c r="AN270" t="s">
        <v>52</v>
      </c>
      <c r="AO270" t="s">
        <v>52</v>
      </c>
      <c r="AP270" t="s">
        <v>52</v>
      </c>
      <c r="AQ270" t="s">
        <v>52</v>
      </c>
      <c r="AR270" t="s">
        <v>55</v>
      </c>
      <c r="AS270" t="s">
        <v>60</v>
      </c>
    </row>
    <row r="271" spans="1:45" x14ac:dyDescent="0.25">
      <c r="A271" t="s">
        <v>47</v>
      </c>
      <c r="B271">
        <v>8</v>
      </c>
      <c r="C271" t="s">
        <v>121</v>
      </c>
      <c r="D271">
        <v>15</v>
      </c>
      <c r="E271" t="s">
        <v>75</v>
      </c>
      <c r="F271">
        <v>16</v>
      </c>
      <c r="G271" t="s">
        <v>76</v>
      </c>
      <c r="H271" t="s">
        <v>50</v>
      </c>
      <c r="K271" t="s">
        <v>51</v>
      </c>
      <c r="L271">
        <v>1</v>
      </c>
      <c r="M271" t="s">
        <v>52</v>
      </c>
      <c r="N271" t="s">
        <v>53</v>
      </c>
      <c r="R271">
        <v>0.5</v>
      </c>
      <c r="S271">
        <v>0.75</v>
      </c>
      <c r="T271">
        <v>0</v>
      </c>
      <c r="U271">
        <v>0</v>
      </c>
      <c r="V271" s="1">
        <v>46522</v>
      </c>
      <c r="W271" s="1">
        <v>46691</v>
      </c>
      <c r="X271" s="1">
        <v>46461</v>
      </c>
      <c r="Z271" t="s">
        <v>52</v>
      </c>
      <c r="AB271" t="s">
        <v>52</v>
      </c>
      <c r="AC271">
        <v>16</v>
      </c>
      <c r="AD271">
        <v>2</v>
      </c>
      <c r="AE271">
        <v>0.95</v>
      </c>
      <c r="AG271">
        <v>0.95</v>
      </c>
      <c r="AK271" t="s">
        <v>52</v>
      </c>
      <c r="AN271" t="s">
        <v>52</v>
      </c>
      <c r="AO271" t="s">
        <v>52</v>
      </c>
      <c r="AP271" t="s">
        <v>52</v>
      </c>
      <c r="AQ271" t="s">
        <v>52</v>
      </c>
      <c r="AR271" t="s">
        <v>55</v>
      </c>
    </row>
    <row r="272" spans="1:45" x14ac:dyDescent="0.25">
      <c r="A272" t="s">
        <v>47</v>
      </c>
      <c r="B272">
        <v>8</v>
      </c>
      <c r="C272" t="s">
        <v>121</v>
      </c>
      <c r="D272">
        <v>15</v>
      </c>
      <c r="E272" t="s">
        <v>75</v>
      </c>
      <c r="F272">
        <v>16</v>
      </c>
      <c r="G272" t="s">
        <v>103</v>
      </c>
      <c r="H272" t="s">
        <v>50</v>
      </c>
      <c r="K272" t="s">
        <v>51</v>
      </c>
      <c r="L272">
        <v>1</v>
      </c>
      <c r="M272" t="s">
        <v>52</v>
      </c>
      <c r="N272" t="s">
        <v>53</v>
      </c>
      <c r="R272">
        <v>0.5</v>
      </c>
      <c r="S272">
        <v>0.75</v>
      </c>
      <c r="T272">
        <v>0</v>
      </c>
      <c r="U272">
        <v>0</v>
      </c>
      <c r="V272" s="1">
        <v>46522</v>
      </c>
      <c r="W272" s="1">
        <v>46691</v>
      </c>
      <c r="X272" s="1">
        <v>46461</v>
      </c>
      <c r="Z272" t="s">
        <v>52</v>
      </c>
      <c r="AB272" t="s">
        <v>52</v>
      </c>
      <c r="AC272">
        <v>16</v>
      </c>
      <c r="AD272">
        <v>2</v>
      </c>
      <c r="AE272">
        <v>0.95</v>
      </c>
      <c r="AG272">
        <v>0.95</v>
      </c>
      <c r="AK272" t="s">
        <v>52</v>
      </c>
      <c r="AN272" t="s">
        <v>52</v>
      </c>
      <c r="AO272" t="s">
        <v>52</v>
      </c>
      <c r="AP272" t="s">
        <v>52</v>
      </c>
      <c r="AQ272" t="s">
        <v>52</v>
      </c>
      <c r="AR272" t="s">
        <v>55</v>
      </c>
    </row>
    <row r="273" spans="1:45" x14ac:dyDescent="0.25">
      <c r="A273" t="s">
        <v>47</v>
      </c>
      <c r="B273">
        <v>8</v>
      </c>
      <c r="C273" t="s">
        <v>121</v>
      </c>
      <c r="D273">
        <v>15</v>
      </c>
      <c r="E273" t="s">
        <v>79</v>
      </c>
      <c r="F273">
        <v>50</v>
      </c>
      <c r="G273" t="s">
        <v>65</v>
      </c>
      <c r="H273" t="s">
        <v>50</v>
      </c>
      <c r="K273" t="s">
        <v>51</v>
      </c>
      <c r="L273">
        <v>1</v>
      </c>
      <c r="M273" t="s">
        <v>52</v>
      </c>
      <c r="N273" t="s">
        <v>53</v>
      </c>
      <c r="R273">
        <v>0.5</v>
      </c>
      <c r="S273">
        <v>0.75</v>
      </c>
      <c r="T273">
        <v>0</v>
      </c>
      <c r="U273">
        <v>0</v>
      </c>
      <c r="V273" s="1">
        <v>46583</v>
      </c>
      <c r="W273" s="1">
        <v>46675</v>
      </c>
      <c r="X273" s="1">
        <v>46461</v>
      </c>
      <c r="Z273" t="s">
        <v>52</v>
      </c>
      <c r="AB273" t="s">
        <v>52</v>
      </c>
      <c r="AC273">
        <v>50</v>
      </c>
      <c r="AD273">
        <v>1</v>
      </c>
      <c r="AK273" t="s">
        <v>52</v>
      </c>
      <c r="AN273" t="s">
        <v>52</v>
      </c>
      <c r="AO273" t="s">
        <v>52</v>
      </c>
      <c r="AP273" t="s">
        <v>52</v>
      </c>
      <c r="AQ273" t="s">
        <v>52</v>
      </c>
      <c r="AR273" t="s">
        <v>55</v>
      </c>
    </row>
    <row r="274" spans="1:45" x14ac:dyDescent="0.25">
      <c r="A274" t="s">
        <v>47</v>
      </c>
      <c r="B274">
        <v>8</v>
      </c>
      <c r="C274" t="s">
        <v>121</v>
      </c>
      <c r="D274">
        <v>15</v>
      </c>
      <c r="E274" t="s">
        <v>79</v>
      </c>
      <c r="F274">
        <v>50</v>
      </c>
      <c r="G274" t="s">
        <v>81</v>
      </c>
      <c r="H274" t="s">
        <v>50</v>
      </c>
      <c r="K274" t="s">
        <v>51</v>
      </c>
      <c r="L274">
        <v>1</v>
      </c>
      <c r="M274" t="s">
        <v>52</v>
      </c>
      <c r="N274" t="s">
        <v>53</v>
      </c>
      <c r="R274">
        <v>0.5</v>
      </c>
      <c r="S274">
        <v>0.75</v>
      </c>
      <c r="T274">
        <v>0</v>
      </c>
      <c r="U274">
        <v>0</v>
      </c>
      <c r="V274" s="1">
        <v>46583</v>
      </c>
      <c r="W274" s="1">
        <v>46675</v>
      </c>
      <c r="X274" s="1">
        <v>46461</v>
      </c>
      <c r="Z274" t="s">
        <v>52</v>
      </c>
      <c r="AB274" t="s">
        <v>52</v>
      </c>
      <c r="AC274">
        <v>50</v>
      </c>
      <c r="AD274">
        <v>1</v>
      </c>
      <c r="AK274" t="s">
        <v>52</v>
      </c>
      <c r="AN274" t="s">
        <v>52</v>
      </c>
      <c r="AO274" t="s">
        <v>52</v>
      </c>
      <c r="AP274" t="s">
        <v>52</v>
      </c>
      <c r="AQ274" t="s">
        <v>52</v>
      </c>
      <c r="AR274" t="s">
        <v>55</v>
      </c>
      <c r="AS274" t="s">
        <v>60</v>
      </c>
    </row>
    <row r="275" spans="1:45" x14ac:dyDescent="0.25">
      <c r="A275" t="s">
        <v>47</v>
      </c>
      <c r="B275">
        <v>8</v>
      </c>
      <c r="C275" t="s">
        <v>121</v>
      </c>
      <c r="D275">
        <v>15</v>
      </c>
      <c r="E275" t="s">
        <v>83</v>
      </c>
      <c r="F275">
        <v>158</v>
      </c>
      <c r="H275" t="s">
        <v>50</v>
      </c>
      <c r="K275" t="s">
        <v>51</v>
      </c>
      <c r="L275">
        <v>1</v>
      </c>
      <c r="M275" t="s">
        <v>52</v>
      </c>
      <c r="N275" t="s">
        <v>53</v>
      </c>
      <c r="P275">
        <v>1.3</v>
      </c>
      <c r="R275">
        <v>0.77</v>
      </c>
      <c r="S275">
        <v>0.93</v>
      </c>
      <c r="T275">
        <v>0</v>
      </c>
      <c r="U275">
        <v>0</v>
      </c>
      <c r="V275" s="1">
        <v>46326</v>
      </c>
      <c r="W275" s="1">
        <v>46691</v>
      </c>
      <c r="X275" s="1">
        <v>46266</v>
      </c>
      <c r="Z275" t="s">
        <v>52</v>
      </c>
      <c r="AA275" t="s">
        <v>54</v>
      </c>
      <c r="AB275" t="s">
        <v>52</v>
      </c>
      <c r="AC275">
        <v>158</v>
      </c>
      <c r="AD275">
        <v>2</v>
      </c>
      <c r="AK275" t="s">
        <v>52</v>
      </c>
      <c r="AN275" t="s">
        <v>52</v>
      </c>
      <c r="AO275" t="s">
        <v>52</v>
      </c>
      <c r="AP275" t="s">
        <v>52</v>
      </c>
      <c r="AQ275" t="s">
        <v>52</v>
      </c>
      <c r="AR275" t="s">
        <v>95</v>
      </c>
    </row>
    <row r="276" spans="1:45" x14ac:dyDescent="0.25">
      <c r="A276" t="s">
        <v>47</v>
      </c>
      <c r="B276">
        <v>8</v>
      </c>
      <c r="C276" t="s">
        <v>121</v>
      </c>
      <c r="D276">
        <v>15</v>
      </c>
      <c r="E276" t="s">
        <v>84</v>
      </c>
      <c r="F276">
        <v>11</v>
      </c>
      <c r="G276" t="s">
        <v>96</v>
      </c>
      <c r="H276" t="s">
        <v>50</v>
      </c>
      <c r="K276" t="s">
        <v>51</v>
      </c>
      <c r="L276">
        <v>1</v>
      </c>
      <c r="M276" t="s">
        <v>52</v>
      </c>
      <c r="N276" t="s">
        <v>53</v>
      </c>
      <c r="R276">
        <v>0.5</v>
      </c>
      <c r="S276">
        <v>0.75</v>
      </c>
      <c r="T276">
        <v>0</v>
      </c>
      <c r="U276">
        <v>0</v>
      </c>
      <c r="V276" s="1">
        <v>46310</v>
      </c>
      <c r="W276" s="1">
        <v>46691</v>
      </c>
      <c r="X276" s="1">
        <v>46295</v>
      </c>
      <c r="Z276" t="s">
        <v>52</v>
      </c>
      <c r="AB276" t="s">
        <v>52</v>
      </c>
      <c r="AC276">
        <v>11</v>
      </c>
      <c r="AD276">
        <v>2</v>
      </c>
      <c r="AK276" t="s">
        <v>52</v>
      </c>
      <c r="AN276" t="s">
        <v>52</v>
      </c>
      <c r="AO276" t="s">
        <v>52</v>
      </c>
      <c r="AP276" t="s">
        <v>52</v>
      </c>
      <c r="AQ276" t="s">
        <v>52</v>
      </c>
      <c r="AR276" t="s">
        <v>55</v>
      </c>
      <c r="AS276" t="s">
        <v>60</v>
      </c>
    </row>
    <row r="277" spans="1:45" x14ac:dyDescent="0.25">
      <c r="A277" t="s">
        <v>47</v>
      </c>
      <c r="B277">
        <v>8</v>
      </c>
      <c r="C277" t="s">
        <v>123</v>
      </c>
      <c r="D277">
        <v>17</v>
      </c>
      <c r="E277" t="s">
        <v>49</v>
      </c>
      <c r="F277">
        <v>27</v>
      </c>
      <c r="H277" t="s">
        <v>50</v>
      </c>
      <c r="K277" t="s">
        <v>51</v>
      </c>
      <c r="L277">
        <v>1</v>
      </c>
      <c r="M277" t="s">
        <v>52</v>
      </c>
      <c r="N277" t="s">
        <v>53</v>
      </c>
      <c r="Q277">
        <v>230</v>
      </c>
      <c r="R277">
        <v>0</v>
      </c>
      <c r="S277">
        <v>0.75</v>
      </c>
      <c r="T277">
        <v>0</v>
      </c>
      <c r="U277">
        <v>0</v>
      </c>
      <c r="W277" s="1">
        <v>46675</v>
      </c>
      <c r="X277" s="1">
        <v>46357</v>
      </c>
      <c r="Y277" t="s">
        <v>54</v>
      </c>
      <c r="Z277" t="s">
        <v>52</v>
      </c>
      <c r="AB277" t="s">
        <v>52</v>
      </c>
      <c r="AC277">
        <v>27</v>
      </c>
      <c r="AD277">
        <v>1</v>
      </c>
      <c r="AE277">
        <v>0.97</v>
      </c>
      <c r="AG277">
        <v>0.97</v>
      </c>
      <c r="AK277" t="s">
        <v>52</v>
      </c>
      <c r="AN277" t="s">
        <v>52</v>
      </c>
      <c r="AO277" t="s">
        <v>52</v>
      </c>
      <c r="AP277" t="s">
        <v>52</v>
      </c>
      <c r="AQ277" t="s">
        <v>52</v>
      </c>
      <c r="AR277" t="s">
        <v>55</v>
      </c>
      <c r="AS277" t="s">
        <v>56</v>
      </c>
    </row>
    <row r="278" spans="1:45" x14ac:dyDescent="0.25">
      <c r="A278" t="s">
        <v>47</v>
      </c>
      <c r="B278">
        <v>8</v>
      </c>
      <c r="C278" t="s">
        <v>123</v>
      </c>
      <c r="D278">
        <v>17</v>
      </c>
      <c r="E278" t="s">
        <v>49</v>
      </c>
      <c r="F278">
        <v>27</v>
      </c>
      <c r="H278" t="s">
        <v>50</v>
      </c>
      <c r="K278" t="s">
        <v>52</v>
      </c>
      <c r="L278">
        <v>1</v>
      </c>
      <c r="M278" t="s">
        <v>52</v>
      </c>
      <c r="N278" t="s">
        <v>53</v>
      </c>
      <c r="Q278">
        <v>230</v>
      </c>
      <c r="R278">
        <v>0</v>
      </c>
      <c r="S278">
        <v>0.75</v>
      </c>
      <c r="T278">
        <v>0</v>
      </c>
      <c r="U278">
        <v>0</v>
      </c>
      <c r="W278" s="1">
        <v>46675</v>
      </c>
      <c r="X278" s="1">
        <v>46357</v>
      </c>
      <c r="Y278" t="s">
        <v>54</v>
      </c>
      <c r="Z278" t="s">
        <v>52</v>
      </c>
      <c r="AB278" t="s">
        <v>52</v>
      </c>
      <c r="AC278">
        <v>27</v>
      </c>
      <c r="AD278">
        <v>1</v>
      </c>
      <c r="AE278">
        <v>0.97</v>
      </c>
      <c r="AG278">
        <v>0.97</v>
      </c>
      <c r="AK278" t="s">
        <v>52</v>
      </c>
      <c r="AN278" t="s">
        <v>52</v>
      </c>
      <c r="AO278" t="s">
        <v>52</v>
      </c>
      <c r="AP278" t="s">
        <v>52</v>
      </c>
      <c r="AQ278" t="s">
        <v>52</v>
      </c>
      <c r="AR278" t="s">
        <v>55</v>
      </c>
      <c r="AS278" t="s">
        <v>57</v>
      </c>
    </row>
    <row r="279" spans="1:45" x14ac:dyDescent="0.25">
      <c r="A279" t="s">
        <v>47</v>
      </c>
      <c r="B279">
        <v>8</v>
      </c>
      <c r="C279" t="s">
        <v>123</v>
      </c>
      <c r="D279">
        <v>17</v>
      </c>
      <c r="E279" t="s">
        <v>58</v>
      </c>
      <c r="F279">
        <v>102</v>
      </c>
      <c r="G279" t="s">
        <v>62</v>
      </c>
      <c r="H279" t="s">
        <v>50</v>
      </c>
      <c r="K279" t="s">
        <v>52</v>
      </c>
      <c r="L279">
        <v>1</v>
      </c>
      <c r="M279" t="s">
        <v>52</v>
      </c>
      <c r="N279" t="s">
        <v>53</v>
      </c>
      <c r="R279">
        <v>0</v>
      </c>
      <c r="S279">
        <v>0.92</v>
      </c>
      <c r="T279">
        <v>0</v>
      </c>
      <c r="U279">
        <v>0</v>
      </c>
      <c r="W279" s="1">
        <v>46731</v>
      </c>
      <c r="X279" s="1">
        <v>46357</v>
      </c>
      <c r="Z279" t="s">
        <v>52</v>
      </c>
      <c r="AB279" t="s">
        <v>52</v>
      </c>
      <c r="AC279">
        <v>102</v>
      </c>
      <c r="AD279">
        <v>1</v>
      </c>
      <c r="AK279" t="s">
        <v>52</v>
      </c>
      <c r="AN279" t="s">
        <v>52</v>
      </c>
      <c r="AO279" t="s">
        <v>52</v>
      </c>
      <c r="AP279" t="s">
        <v>52</v>
      </c>
      <c r="AQ279" t="s">
        <v>52</v>
      </c>
      <c r="AR279" t="s">
        <v>55</v>
      </c>
    </row>
    <row r="280" spans="1:45" x14ac:dyDescent="0.25">
      <c r="A280" t="s">
        <v>47</v>
      </c>
      <c r="B280">
        <v>8</v>
      </c>
      <c r="C280" t="s">
        <v>123</v>
      </c>
      <c r="D280">
        <v>17</v>
      </c>
      <c r="E280" t="s">
        <v>68</v>
      </c>
      <c r="F280">
        <v>80</v>
      </c>
      <c r="G280" t="s">
        <v>69</v>
      </c>
      <c r="H280" t="s">
        <v>50</v>
      </c>
      <c r="K280" t="s">
        <v>51</v>
      </c>
      <c r="L280">
        <v>1</v>
      </c>
      <c r="M280" t="s">
        <v>52</v>
      </c>
      <c r="N280" t="s">
        <v>53</v>
      </c>
      <c r="R280">
        <v>0.5</v>
      </c>
      <c r="S280">
        <v>0.75</v>
      </c>
      <c r="T280">
        <v>0</v>
      </c>
      <c r="U280">
        <v>0</v>
      </c>
      <c r="V280" s="1">
        <v>46600</v>
      </c>
      <c r="W280" s="1">
        <v>46675</v>
      </c>
      <c r="X280" s="1">
        <v>46461</v>
      </c>
      <c r="Z280" t="s">
        <v>52</v>
      </c>
      <c r="AB280" t="s">
        <v>52</v>
      </c>
      <c r="AC280">
        <v>80</v>
      </c>
      <c r="AD280">
        <v>1</v>
      </c>
      <c r="AK280" t="s">
        <v>52</v>
      </c>
      <c r="AN280" t="s">
        <v>52</v>
      </c>
      <c r="AO280" t="s">
        <v>52</v>
      </c>
      <c r="AP280" t="s">
        <v>52</v>
      </c>
      <c r="AQ280" t="s">
        <v>52</v>
      </c>
      <c r="AR280" t="s">
        <v>55</v>
      </c>
    </row>
    <row r="281" spans="1:45" x14ac:dyDescent="0.25">
      <c r="A281" t="s">
        <v>47</v>
      </c>
      <c r="B281">
        <v>8</v>
      </c>
      <c r="C281" t="s">
        <v>123</v>
      </c>
      <c r="D281">
        <v>17</v>
      </c>
      <c r="E281" t="s">
        <v>68</v>
      </c>
      <c r="F281">
        <v>80</v>
      </c>
      <c r="G281" t="s">
        <v>69</v>
      </c>
      <c r="H281" t="s">
        <v>50</v>
      </c>
      <c r="K281" t="s">
        <v>52</v>
      </c>
      <c r="L281">
        <v>1</v>
      </c>
      <c r="M281" t="s">
        <v>52</v>
      </c>
      <c r="N281" t="s">
        <v>53</v>
      </c>
      <c r="R281">
        <v>0.5</v>
      </c>
      <c r="S281">
        <v>0.75</v>
      </c>
      <c r="T281">
        <v>0</v>
      </c>
      <c r="U281">
        <v>0</v>
      </c>
      <c r="V281" s="1">
        <v>46600</v>
      </c>
      <c r="W281" s="1">
        <v>46675</v>
      </c>
      <c r="X281" s="1">
        <v>46461</v>
      </c>
      <c r="Z281" t="s">
        <v>52</v>
      </c>
      <c r="AB281" t="s">
        <v>52</v>
      </c>
      <c r="AC281">
        <v>80</v>
      </c>
      <c r="AD281">
        <v>1</v>
      </c>
      <c r="AK281" t="s">
        <v>52</v>
      </c>
      <c r="AN281" t="s">
        <v>52</v>
      </c>
      <c r="AO281" t="s">
        <v>52</v>
      </c>
      <c r="AP281" t="s">
        <v>52</v>
      </c>
      <c r="AQ281" t="s">
        <v>52</v>
      </c>
      <c r="AR281" t="s">
        <v>55</v>
      </c>
    </row>
    <row r="282" spans="1:45" x14ac:dyDescent="0.25">
      <c r="A282" t="s">
        <v>47</v>
      </c>
      <c r="B282">
        <v>8</v>
      </c>
      <c r="C282" t="s">
        <v>123</v>
      </c>
      <c r="D282">
        <v>17</v>
      </c>
      <c r="E282" t="s">
        <v>70</v>
      </c>
      <c r="F282">
        <v>296</v>
      </c>
      <c r="G282" t="s">
        <v>74</v>
      </c>
      <c r="H282" t="s">
        <v>50</v>
      </c>
      <c r="K282" t="s">
        <v>52</v>
      </c>
      <c r="L282">
        <v>1</v>
      </c>
      <c r="M282" t="s">
        <v>52</v>
      </c>
      <c r="N282" t="s">
        <v>53</v>
      </c>
      <c r="R282">
        <v>0</v>
      </c>
      <c r="S282">
        <v>0.75</v>
      </c>
      <c r="T282">
        <v>0</v>
      </c>
      <c r="U282">
        <v>0</v>
      </c>
      <c r="W282" s="1">
        <v>46675</v>
      </c>
      <c r="X282" s="1">
        <v>46357</v>
      </c>
      <c r="Z282" t="s">
        <v>52</v>
      </c>
      <c r="AB282" t="s">
        <v>52</v>
      </c>
      <c r="AC282">
        <v>102</v>
      </c>
      <c r="AD282">
        <v>1</v>
      </c>
      <c r="AK282" t="s">
        <v>52</v>
      </c>
      <c r="AN282" t="s">
        <v>52</v>
      </c>
      <c r="AO282" t="s">
        <v>52</v>
      </c>
      <c r="AP282" t="s">
        <v>52</v>
      </c>
      <c r="AQ282" t="s">
        <v>52</v>
      </c>
      <c r="AR282" t="s">
        <v>55</v>
      </c>
      <c r="AS282" t="s">
        <v>60</v>
      </c>
    </row>
    <row r="283" spans="1:45" x14ac:dyDescent="0.25">
      <c r="A283" t="s">
        <v>47</v>
      </c>
      <c r="B283">
        <v>8</v>
      </c>
      <c r="C283" t="s">
        <v>123</v>
      </c>
      <c r="D283">
        <v>17</v>
      </c>
      <c r="E283" t="s">
        <v>70</v>
      </c>
      <c r="F283">
        <v>296</v>
      </c>
      <c r="G283" t="s">
        <v>122</v>
      </c>
      <c r="H283" t="s">
        <v>50</v>
      </c>
      <c r="K283" t="s">
        <v>51</v>
      </c>
      <c r="L283">
        <v>1</v>
      </c>
      <c r="M283" t="s">
        <v>52</v>
      </c>
      <c r="N283" t="s">
        <v>53</v>
      </c>
      <c r="R283">
        <v>0</v>
      </c>
      <c r="S283">
        <v>0.75</v>
      </c>
      <c r="U283">
        <v>0</v>
      </c>
      <c r="W283" s="1">
        <v>46675</v>
      </c>
      <c r="X283" s="1">
        <v>46357</v>
      </c>
      <c r="Z283" t="s">
        <v>52</v>
      </c>
      <c r="AB283" t="s">
        <v>52</v>
      </c>
      <c r="AC283">
        <v>102</v>
      </c>
      <c r="AD283">
        <v>1</v>
      </c>
      <c r="AK283" t="s">
        <v>52</v>
      </c>
      <c r="AN283" t="s">
        <v>52</v>
      </c>
      <c r="AO283" t="s">
        <v>52</v>
      </c>
      <c r="AP283" t="s">
        <v>52</v>
      </c>
      <c r="AQ283" t="s">
        <v>52</v>
      </c>
      <c r="AR283" t="s">
        <v>55</v>
      </c>
      <c r="AS283" t="s">
        <v>88</v>
      </c>
    </row>
    <row r="284" spans="1:45" x14ac:dyDescent="0.25">
      <c r="A284" t="s">
        <v>47</v>
      </c>
      <c r="B284">
        <v>8</v>
      </c>
      <c r="C284" t="s">
        <v>123</v>
      </c>
      <c r="D284">
        <v>17</v>
      </c>
      <c r="E284" t="s">
        <v>70</v>
      </c>
      <c r="F284">
        <v>296</v>
      </c>
      <c r="G284" t="s">
        <v>122</v>
      </c>
      <c r="H284" t="s">
        <v>50</v>
      </c>
      <c r="K284" t="s">
        <v>52</v>
      </c>
      <c r="L284">
        <v>1</v>
      </c>
      <c r="M284" t="s">
        <v>52</v>
      </c>
      <c r="N284" t="s">
        <v>53</v>
      </c>
      <c r="R284">
        <v>0</v>
      </c>
      <c r="S284">
        <v>0.75</v>
      </c>
      <c r="T284">
        <v>0</v>
      </c>
      <c r="U284">
        <v>0</v>
      </c>
      <c r="W284" s="1">
        <v>46675</v>
      </c>
      <c r="X284" s="1">
        <v>46357</v>
      </c>
      <c r="Z284" t="s">
        <v>52</v>
      </c>
      <c r="AB284" t="s">
        <v>52</v>
      </c>
      <c r="AC284">
        <v>102</v>
      </c>
      <c r="AD284">
        <v>1</v>
      </c>
      <c r="AK284" t="s">
        <v>52</v>
      </c>
      <c r="AN284" t="s">
        <v>52</v>
      </c>
      <c r="AO284" t="s">
        <v>52</v>
      </c>
      <c r="AP284" t="s">
        <v>52</v>
      </c>
      <c r="AQ284" t="s">
        <v>52</v>
      </c>
      <c r="AR284" t="s">
        <v>55</v>
      </c>
    </row>
    <row r="285" spans="1:45" x14ac:dyDescent="0.25">
      <c r="A285" t="s">
        <v>47</v>
      </c>
      <c r="B285">
        <v>8</v>
      </c>
      <c r="C285" t="s">
        <v>123</v>
      </c>
      <c r="D285">
        <v>17</v>
      </c>
      <c r="E285" t="s">
        <v>70</v>
      </c>
      <c r="F285">
        <v>296</v>
      </c>
      <c r="G285" t="s">
        <v>90</v>
      </c>
      <c r="H285" t="s">
        <v>50</v>
      </c>
      <c r="K285" t="s">
        <v>52</v>
      </c>
      <c r="L285">
        <v>1</v>
      </c>
      <c r="M285" t="s">
        <v>52</v>
      </c>
      <c r="N285" t="s">
        <v>53</v>
      </c>
      <c r="R285">
        <v>0.5</v>
      </c>
      <c r="S285">
        <v>0.75</v>
      </c>
      <c r="T285">
        <v>0</v>
      </c>
      <c r="U285">
        <v>0</v>
      </c>
      <c r="V285" s="1">
        <v>46593</v>
      </c>
      <c r="W285" s="1">
        <v>46675</v>
      </c>
      <c r="X285" s="1">
        <v>46357</v>
      </c>
      <c r="Z285" t="s">
        <v>52</v>
      </c>
      <c r="AB285" t="s">
        <v>52</v>
      </c>
      <c r="AC285">
        <v>102</v>
      </c>
      <c r="AD285">
        <v>1</v>
      </c>
      <c r="AK285" t="s">
        <v>52</v>
      </c>
      <c r="AN285" t="s">
        <v>52</v>
      </c>
      <c r="AO285" t="s">
        <v>52</v>
      </c>
      <c r="AP285" t="s">
        <v>52</v>
      </c>
      <c r="AQ285" t="s">
        <v>52</v>
      </c>
      <c r="AR285" t="s">
        <v>55</v>
      </c>
      <c r="AS285" t="s">
        <v>60</v>
      </c>
    </row>
    <row r="286" spans="1:45" x14ac:dyDescent="0.25">
      <c r="A286" t="s">
        <v>47</v>
      </c>
      <c r="B286">
        <v>8</v>
      </c>
      <c r="C286" t="s">
        <v>123</v>
      </c>
      <c r="D286">
        <v>17</v>
      </c>
      <c r="E286" t="s">
        <v>70</v>
      </c>
      <c r="F286">
        <v>296</v>
      </c>
      <c r="G286" t="s">
        <v>124</v>
      </c>
      <c r="H286" t="s">
        <v>50</v>
      </c>
      <c r="K286" t="s">
        <v>52</v>
      </c>
      <c r="L286">
        <v>1</v>
      </c>
      <c r="M286" t="s">
        <v>52</v>
      </c>
      <c r="N286" t="s">
        <v>53</v>
      </c>
      <c r="R286">
        <v>0</v>
      </c>
      <c r="S286">
        <v>0.75</v>
      </c>
      <c r="T286">
        <v>0</v>
      </c>
      <c r="U286">
        <v>0</v>
      </c>
      <c r="W286" s="1">
        <v>46675</v>
      </c>
      <c r="X286" s="1">
        <v>46357</v>
      </c>
      <c r="Z286" t="s">
        <v>52</v>
      </c>
      <c r="AB286" t="s">
        <v>52</v>
      </c>
      <c r="AC286">
        <v>102</v>
      </c>
      <c r="AD286">
        <v>1</v>
      </c>
      <c r="AK286" t="s">
        <v>52</v>
      </c>
      <c r="AN286" t="s">
        <v>52</v>
      </c>
      <c r="AO286" t="s">
        <v>52</v>
      </c>
      <c r="AP286" t="s">
        <v>52</v>
      </c>
      <c r="AQ286" t="s">
        <v>52</v>
      </c>
      <c r="AR286" t="s">
        <v>55</v>
      </c>
    </row>
    <row r="287" spans="1:45" x14ac:dyDescent="0.25">
      <c r="A287" t="s">
        <v>47</v>
      </c>
      <c r="B287">
        <v>8</v>
      </c>
      <c r="C287" t="s">
        <v>123</v>
      </c>
      <c r="D287">
        <v>17</v>
      </c>
      <c r="E287" t="s">
        <v>70</v>
      </c>
      <c r="F287">
        <v>296</v>
      </c>
      <c r="G287" t="s">
        <v>92</v>
      </c>
      <c r="H287" t="s">
        <v>50</v>
      </c>
      <c r="K287" t="s">
        <v>52</v>
      </c>
      <c r="L287">
        <v>1</v>
      </c>
      <c r="M287" t="s">
        <v>52</v>
      </c>
      <c r="N287" t="s">
        <v>53</v>
      </c>
      <c r="R287">
        <v>0.5</v>
      </c>
      <c r="S287">
        <v>0.75</v>
      </c>
      <c r="U287">
        <v>0</v>
      </c>
      <c r="V287" s="1">
        <v>46583</v>
      </c>
      <c r="W287" s="1">
        <v>46675</v>
      </c>
      <c r="X287" s="1">
        <v>46357</v>
      </c>
      <c r="Z287" t="s">
        <v>52</v>
      </c>
      <c r="AB287" t="s">
        <v>52</v>
      </c>
      <c r="AC287">
        <v>102</v>
      </c>
      <c r="AD287">
        <v>1</v>
      </c>
      <c r="AK287" t="s">
        <v>52</v>
      </c>
      <c r="AN287" t="s">
        <v>52</v>
      </c>
      <c r="AO287" t="s">
        <v>52</v>
      </c>
      <c r="AP287" t="s">
        <v>52</v>
      </c>
      <c r="AQ287" t="s">
        <v>52</v>
      </c>
      <c r="AR287" t="s">
        <v>55</v>
      </c>
      <c r="AS287" t="s">
        <v>60</v>
      </c>
    </row>
    <row r="288" spans="1:45" x14ac:dyDescent="0.25">
      <c r="A288" t="s">
        <v>47</v>
      </c>
      <c r="B288">
        <v>8</v>
      </c>
      <c r="C288" t="s">
        <v>123</v>
      </c>
      <c r="D288">
        <v>17</v>
      </c>
      <c r="E288" t="s">
        <v>75</v>
      </c>
      <c r="F288">
        <v>16</v>
      </c>
      <c r="G288" t="s">
        <v>76</v>
      </c>
      <c r="H288" t="s">
        <v>50</v>
      </c>
      <c r="K288" t="s">
        <v>51</v>
      </c>
      <c r="L288">
        <v>1</v>
      </c>
      <c r="M288" t="s">
        <v>52</v>
      </c>
      <c r="N288" t="s">
        <v>53</v>
      </c>
      <c r="R288">
        <v>0.5</v>
      </c>
      <c r="S288">
        <v>0.75</v>
      </c>
      <c r="T288">
        <v>0</v>
      </c>
      <c r="U288">
        <v>0</v>
      </c>
      <c r="V288" s="1">
        <v>46507</v>
      </c>
      <c r="W288" s="1">
        <v>46691</v>
      </c>
      <c r="X288" s="1">
        <v>46461</v>
      </c>
      <c r="Z288" t="s">
        <v>52</v>
      </c>
      <c r="AB288" t="s">
        <v>52</v>
      </c>
      <c r="AC288">
        <v>16</v>
      </c>
      <c r="AD288">
        <v>2</v>
      </c>
      <c r="AK288" t="s">
        <v>52</v>
      </c>
      <c r="AN288" t="s">
        <v>52</v>
      </c>
      <c r="AO288" t="s">
        <v>52</v>
      </c>
      <c r="AP288" t="s">
        <v>52</v>
      </c>
      <c r="AQ288" t="s">
        <v>52</v>
      </c>
      <c r="AR288" t="s">
        <v>55</v>
      </c>
    </row>
    <row r="289" spans="1:45" x14ac:dyDescent="0.25">
      <c r="A289" t="s">
        <v>47</v>
      </c>
      <c r="B289">
        <v>8</v>
      </c>
      <c r="C289" t="s">
        <v>123</v>
      </c>
      <c r="D289">
        <v>17</v>
      </c>
      <c r="E289" t="s">
        <v>75</v>
      </c>
      <c r="F289">
        <v>16</v>
      </c>
      <c r="G289" t="s">
        <v>76</v>
      </c>
      <c r="H289" t="s">
        <v>50</v>
      </c>
      <c r="K289" t="s">
        <v>52</v>
      </c>
      <c r="L289">
        <v>1</v>
      </c>
      <c r="M289" t="s">
        <v>52</v>
      </c>
      <c r="N289" t="s">
        <v>53</v>
      </c>
      <c r="R289">
        <v>0.5</v>
      </c>
      <c r="S289">
        <v>0.75</v>
      </c>
      <c r="T289">
        <v>0</v>
      </c>
      <c r="U289">
        <v>0</v>
      </c>
      <c r="V289" s="1">
        <v>46507</v>
      </c>
      <c r="W289" s="1">
        <v>46691</v>
      </c>
      <c r="X289" s="1">
        <v>46461</v>
      </c>
      <c r="Z289" t="s">
        <v>52</v>
      </c>
      <c r="AB289" t="s">
        <v>52</v>
      </c>
      <c r="AC289">
        <v>16</v>
      </c>
      <c r="AD289">
        <v>2</v>
      </c>
      <c r="AK289" t="s">
        <v>52</v>
      </c>
      <c r="AN289" t="s">
        <v>52</v>
      </c>
      <c r="AO289" t="s">
        <v>52</v>
      </c>
      <c r="AP289" t="s">
        <v>52</v>
      </c>
      <c r="AQ289" t="s">
        <v>52</v>
      </c>
      <c r="AR289" t="s">
        <v>55</v>
      </c>
    </row>
    <row r="290" spans="1:45" x14ac:dyDescent="0.25">
      <c r="A290" t="s">
        <v>47</v>
      </c>
      <c r="B290">
        <v>8</v>
      </c>
      <c r="C290" t="s">
        <v>123</v>
      </c>
      <c r="D290">
        <v>17</v>
      </c>
      <c r="E290" t="s">
        <v>125</v>
      </c>
      <c r="F290">
        <v>67</v>
      </c>
      <c r="G290" t="s">
        <v>111</v>
      </c>
      <c r="H290" t="s">
        <v>50</v>
      </c>
      <c r="K290" t="s">
        <v>51</v>
      </c>
      <c r="L290">
        <v>1</v>
      </c>
      <c r="M290" t="s">
        <v>52</v>
      </c>
      <c r="N290" t="s">
        <v>53</v>
      </c>
      <c r="R290">
        <v>0.5</v>
      </c>
      <c r="S290">
        <v>0.87</v>
      </c>
      <c r="U290">
        <v>0</v>
      </c>
      <c r="V290" s="1">
        <v>46583</v>
      </c>
      <c r="W290" s="1">
        <v>46691</v>
      </c>
      <c r="X290" s="1">
        <v>46461</v>
      </c>
      <c r="Z290" t="s">
        <v>52</v>
      </c>
      <c r="AB290" t="s">
        <v>52</v>
      </c>
      <c r="AC290">
        <v>67</v>
      </c>
      <c r="AD290">
        <v>1</v>
      </c>
      <c r="AK290" t="s">
        <v>52</v>
      </c>
      <c r="AN290" t="s">
        <v>52</v>
      </c>
      <c r="AO290" t="s">
        <v>52</v>
      </c>
      <c r="AP290" t="s">
        <v>52</v>
      </c>
      <c r="AQ290" t="s">
        <v>52</v>
      </c>
      <c r="AR290" t="s">
        <v>55</v>
      </c>
      <c r="AS290" t="s">
        <v>60</v>
      </c>
    </row>
    <row r="291" spans="1:45" x14ac:dyDescent="0.25">
      <c r="A291" t="s">
        <v>47</v>
      </c>
      <c r="B291">
        <v>8</v>
      </c>
      <c r="C291" t="s">
        <v>123</v>
      </c>
      <c r="D291">
        <v>17</v>
      </c>
      <c r="E291" t="s">
        <v>125</v>
      </c>
      <c r="F291">
        <v>67</v>
      </c>
      <c r="G291" t="s">
        <v>111</v>
      </c>
      <c r="H291" t="s">
        <v>50</v>
      </c>
      <c r="K291" t="s">
        <v>52</v>
      </c>
      <c r="L291">
        <v>1</v>
      </c>
      <c r="M291" t="s">
        <v>52</v>
      </c>
      <c r="N291" t="s">
        <v>53</v>
      </c>
      <c r="R291">
        <v>0.5</v>
      </c>
      <c r="S291">
        <v>0.87</v>
      </c>
      <c r="U291">
        <v>0</v>
      </c>
      <c r="V291" s="1">
        <v>46583</v>
      </c>
      <c r="W291" s="1">
        <v>46691</v>
      </c>
      <c r="X291" s="1">
        <v>46461</v>
      </c>
      <c r="Z291" t="s">
        <v>52</v>
      </c>
      <c r="AB291" t="s">
        <v>52</v>
      </c>
      <c r="AC291">
        <v>67</v>
      </c>
      <c r="AD291">
        <v>1</v>
      </c>
      <c r="AK291" t="s">
        <v>52</v>
      </c>
      <c r="AN291" t="s">
        <v>52</v>
      </c>
      <c r="AO291" t="s">
        <v>52</v>
      </c>
      <c r="AP291" t="s">
        <v>52</v>
      </c>
      <c r="AQ291" t="s">
        <v>52</v>
      </c>
      <c r="AR291" t="s">
        <v>55</v>
      </c>
      <c r="AS291" t="s">
        <v>60</v>
      </c>
    </row>
    <row r="292" spans="1:45" x14ac:dyDescent="0.25">
      <c r="A292" t="s">
        <v>47</v>
      </c>
      <c r="B292">
        <v>8</v>
      </c>
      <c r="C292" t="s">
        <v>123</v>
      </c>
      <c r="D292">
        <v>17</v>
      </c>
      <c r="E292" t="s">
        <v>77</v>
      </c>
      <c r="F292">
        <v>51</v>
      </c>
      <c r="G292" t="s">
        <v>78</v>
      </c>
      <c r="H292" t="s">
        <v>50</v>
      </c>
      <c r="K292" t="s">
        <v>51</v>
      </c>
      <c r="L292">
        <v>1</v>
      </c>
      <c r="M292" t="s">
        <v>52</v>
      </c>
      <c r="N292" t="s">
        <v>53</v>
      </c>
      <c r="R292">
        <v>0.5</v>
      </c>
      <c r="S292">
        <v>0.73</v>
      </c>
      <c r="T292">
        <v>0</v>
      </c>
      <c r="U292">
        <v>0</v>
      </c>
      <c r="V292" s="1">
        <v>46569</v>
      </c>
      <c r="W292" s="1">
        <v>46675</v>
      </c>
      <c r="X292" s="1">
        <v>46461</v>
      </c>
      <c r="Z292" t="s">
        <v>52</v>
      </c>
      <c r="AB292" t="s">
        <v>52</v>
      </c>
      <c r="AC292">
        <v>51</v>
      </c>
      <c r="AD292">
        <v>2</v>
      </c>
      <c r="AK292" t="s">
        <v>52</v>
      </c>
      <c r="AN292" t="s">
        <v>52</v>
      </c>
      <c r="AO292" t="s">
        <v>52</v>
      </c>
      <c r="AP292" t="s">
        <v>52</v>
      </c>
      <c r="AQ292" t="s">
        <v>52</v>
      </c>
      <c r="AR292" t="s">
        <v>55</v>
      </c>
      <c r="AS292" t="s">
        <v>60</v>
      </c>
    </row>
    <row r="293" spans="1:45" x14ac:dyDescent="0.25">
      <c r="A293" t="s">
        <v>47</v>
      </c>
      <c r="B293">
        <v>8</v>
      </c>
      <c r="C293" t="s">
        <v>123</v>
      </c>
      <c r="D293">
        <v>17</v>
      </c>
      <c r="E293" t="s">
        <v>77</v>
      </c>
      <c r="F293">
        <v>51</v>
      </c>
      <c r="G293" t="s">
        <v>78</v>
      </c>
      <c r="H293" t="s">
        <v>50</v>
      </c>
      <c r="K293" t="s">
        <v>52</v>
      </c>
      <c r="L293">
        <v>1</v>
      </c>
      <c r="M293" t="s">
        <v>52</v>
      </c>
      <c r="N293" t="s">
        <v>53</v>
      </c>
      <c r="R293">
        <v>0.5</v>
      </c>
      <c r="S293">
        <v>0.73</v>
      </c>
      <c r="T293">
        <v>0</v>
      </c>
      <c r="U293">
        <v>0</v>
      </c>
      <c r="V293" s="1">
        <v>46569</v>
      </c>
      <c r="W293" s="1">
        <v>46675</v>
      </c>
      <c r="X293" s="1">
        <v>46461</v>
      </c>
      <c r="Z293" t="s">
        <v>52</v>
      </c>
      <c r="AB293" t="s">
        <v>52</v>
      </c>
      <c r="AC293">
        <v>51</v>
      </c>
      <c r="AD293">
        <v>2</v>
      </c>
      <c r="AK293" t="s">
        <v>52</v>
      </c>
      <c r="AN293" t="s">
        <v>52</v>
      </c>
      <c r="AO293" t="s">
        <v>52</v>
      </c>
      <c r="AP293" t="s">
        <v>52</v>
      </c>
      <c r="AQ293" t="s">
        <v>52</v>
      </c>
      <c r="AR293" t="s">
        <v>55</v>
      </c>
      <c r="AS293" t="s">
        <v>60</v>
      </c>
    </row>
    <row r="294" spans="1:45" x14ac:dyDescent="0.25">
      <c r="A294" t="s">
        <v>47</v>
      </c>
      <c r="B294">
        <v>8</v>
      </c>
      <c r="C294" t="s">
        <v>123</v>
      </c>
      <c r="D294">
        <v>17</v>
      </c>
      <c r="E294" t="s">
        <v>79</v>
      </c>
      <c r="F294">
        <v>50</v>
      </c>
      <c r="G294" t="s">
        <v>81</v>
      </c>
      <c r="H294" t="s">
        <v>50</v>
      </c>
      <c r="K294" t="s">
        <v>51</v>
      </c>
      <c r="L294">
        <v>1</v>
      </c>
      <c r="M294" t="s">
        <v>52</v>
      </c>
      <c r="N294" t="s">
        <v>53</v>
      </c>
      <c r="R294">
        <v>0.5</v>
      </c>
      <c r="S294">
        <v>0.75</v>
      </c>
      <c r="T294">
        <v>0</v>
      </c>
      <c r="U294">
        <v>0</v>
      </c>
      <c r="V294" s="1">
        <v>46583</v>
      </c>
      <c r="W294" s="1">
        <v>46675</v>
      </c>
      <c r="X294" s="1">
        <v>46461</v>
      </c>
      <c r="Z294" t="s">
        <v>52</v>
      </c>
      <c r="AB294" t="s">
        <v>52</v>
      </c>
      <c r="AC294">
        <v>50</v>
      </c>
      <c r="AD294">
        <v>1</v>
      </c>
      <c r="AK294" t="s">
        <v>52</v>
      </c>
      <c r="AN294" t="s">
        <v>52</v>
      </c>
      <c r="AO294" t="s">
        <v>52</v>
      </c>
      <c r="AP294" t="s">
        <v>52</v>
      </c>
      <c r="AQ294" t="s">
        <v>52</v>
      </c>
      <c r="AR294" t="s">
        <v>55</v>
      </c>
    </row>
    <row r="295" spans="1:45" x14ac:dyDescent="0.25">
      <c r="A295" t="s">
        <v>47</v>
      </c>
      <c r="B295">
        <v>8</v>
      </c>
      <c r="C295" t="s">
        <v>123</v>
      </c>
      <c r="D295">
        <v>17</v>
      </c>
      <c r="E295" t="s">
        <v>79</v>
      </c>
      <c r="F295">
        <v>50</v>
      </c>
      <c r="G295" t="s">
        <v>81</v>
      </c>
      <c r="H295" t="s">
        <v>50</v>
      </c>
      <c r="K295" t="s">
        <v>52</v>
      </c>
      <c r="L295">
        <v>1</v>
      </c>
      <c r="M295" t="s">
        <v>52</v>
      </c>
      <c r="N295" t="s">
        <v>53</v>
      </c>
      <c r="R295">
        <v>0.5</v>
      </c>
      <c r="S295">
        <v>0.75</v>
      </c>
      <c r="T295">
        <v>0</v>
      </c>
      <c r="U295">
        <v>0</v>
      </c>
      <c r="V295" s="1">
        <v>46583</v>
      </c>
      <c r="W295" s="1">
        <v>46675</v>
      </c>
      <c r="X295" s="1">
        <v>46461</v>
      </c>
      <c r="Z295" t="s">
        <v>52</v>
      </c>
      <c r="AB295" t="s">
        <v>52</v>
      </c>
      <c r="AC295">
        <v>50</v>
      </c>
      <c r="AD295">
        <v>1</v>
      </c>
      <c r="AK295" t="s">
        <v>52</v>
      </c>
      <c r="AN295" t="s">
        <v>52</v>
      </c>
      <c r="AO295" t="s">
        <v>52</v>
      </c>
      <c r="AP295" t="s">
        <v>52</v>
      </c>
      <c r="AQ295" t="s">
        <v>52</v>
      </c>
      <c r="AR295" t="s">
        <v>55</v>
      </c>
    </row>
    <row r="296" spans="1:45" x14ac:dyDescent="0.25">
      <c r="A296" t="s">
        <v>47</v>
      </c>
      <c r="B296">
        <v>8</v>
      </c>
      <c r="C296" t="s">
        <v>123</v>
      </c>
      <c r="D296">
        <v>17</v>
      </c>
      <c r="E296" t="s">
        <v>82</v>
      </c>
      <c r="F296">
        <v>52</v>
      </c>
      <c r="H296" t="s">
        <v>50</v>
      </c>
      <c r="K296" t="s">
        <v>52</v>
      </c>
      <c r="L296">
        <v>1</v>
      </c>
      <c r="M296" t="s">
        <v>52</v>
      </c>
      <c r="N296" t="s">
        <v>53</v>
      </c>
      <c r="R296">
        <v>0.5</v>
      </c>
      <c r="S296">
        <v>0.75</v>
      </c>
      <c r="U296">
        <v>0</v>
      </c>
      <c r="V296" s="1">
        <v>46569</v>
      </c>
      <c r="W296" s="1">
        <v>46675</v>
      </c>
      <c r="X296" s="1">
        <v>46461</v>
      </c>
      <c r="Z296" t="s">
        <v>52</v>
      </c>
      <c r="AB296" t="s">
        <v>52</v>
      </c>
      <c r="AC296">
        <v>50</v>
      </c>
      <c r="AD296">
        <v>1</v>
      </c>
      <c r="AK296" t="s">
        <v>52</v>
      </c>
      <c r="AN296" t="s">
        <v>52</v>
      </c>
      <c r="AO296" t="s">
        <v>52</v>
      </c>
      <c r="AP296" t="s">
        <v>52</v>
      </c>
      <c r="AQ296" t="s">
        <v>52</v>
      </c>
      <c r="AR296" t="s">
        <v>55</v>
      </c>
      <c r="AS296" t="s">
        <v>107</v>
      </c>
    </row>
    <row r="297" spans="1:45" x14ac:dyDescent="0.25">
      <c r="A297" t="s">
        <v>47</v>
      </c>
      <c r="B297">
        <v>8</v>
      </c>
      <c r="C297" t="s">
        <v>123</v>
      </c>
      <c r="D297">
        <v>17</v>
      </c>
      <c r="E297" t="s">
        <v>83</v>
      </c>
      <c r="F297">
        <v>158</v>
      </c>
      <c r="H297" t="s">
        <v>50</v>
      </c>
      <c r="K297" t="s">
        <v>51</v>
      </c>
      <c r="L297">
        <v>1</v>
      </c>
      <c r="M297" t="s">
        <v>52</v>
      </c>
      <c r="N297" t="s">
        <v>53</v>
      </c>
      <c r="P297">
        <v>1.3</v>
      </c>
      <c r="R297">
        <v>0.77</v>
      </c>
      <c r="S297">
        <v>0.93</v>
      </c>
      <c r="U297">
        <v>0</v>
      </c>
      <c r="V297" s="1">
        <v>46583</v>
      </c>
      <c r="W297" s="1">
        <v>46691</v>
      </c>
      <c r="X297" s="1">
        <v>46266</v>
      </c>
      <c r="Z297" t="s">
        <v>52</v>
      </c>
      <c r="AA297" t="s">
        <v>54</v>
      </c>
      <c r="AB297" t="s">
        <v>52</v>
      </c>
      <c r="AC297">
        <v>158</v>
      </c>
      <c r="AD297">
        <v>2</v>
      </c>
      <c r="AK297" t="s">
        <v>52</v>
      </c>
      <c r="AN297" t="s">
        <v>52</v>
      </c>
      <c r="AO297" t="s">
        <v>52</v>
      </c>
      <c r="AP297" t="s">
        <v>52</v>
      </c>
      <c r="AQ297" t="s">
        <v>52</v>
      </c>
      <c r="AR297" t="s">
        <v>95</v>
      </c>
    </row>
    <row r="298" spans="1:45" x14ac:dyDescent="0.25">
      <c r="A298" t="s">
        <v>47</v>
      </c>
      <c r="B298">
        <v>8</v>
      </c>
      <c r="C298" t="s">
        <v>123</v>
      </c>
      <c r="D298">
        <v>17</v>
      </c>
      <c r="E298" t="s">
        <v>83</v>
      </c>
      <c r="F298">
        <v>158</v>
      </c>
      <c r="H298" t="s">
        <v>50</v>
      </c>
      <c r="K298" t="s">
        <v>52</v>
      </c>
      <c r="L298">
        <v>1</v>
      </c>
      <c r="M298" t="s">
        <v>52</v>
      </c>
      <c r="N298" t="s">
        <v>53</v>
      </c>
      <c r="R298">
        <v>0.77</v>
      </c>
      <c r="S298">
        <v>0.93</v>
      </c>
      <c r="T298">
        <v>0</v>
      </c>
      <c r="U298">
        <v>0</v>
      </c>
      <c r="V298" s="1">
        <v>46583</v>
      </c>
      <c r="W298" s="1">
        <v>46691</v>
      </c>
      <c r="X298" s="1">
        <v>46266</v>
      </c>
      <c r="Z298" t="s">
        <v>52</v>
      </c>
      <c r="AB298" t="s">
        <v>52</v>
      </c>
      <c r="AC298">
        <v>158</v>
      </c>
      <c r="AD298">
        <v>2</v>
      </c>
      <c r="AK298" t="s">
        <v>52</v>
      </c>
      <c r="AN298" t="s">
        <v>52</v>
      </c>
      <c r="AO298" t="s">
        <v>52</v>
      </c>
      <c r="AP298" t="s">
        <v>52</v>
      </c>
      <c r="AQ298" t="s">
        <v>52</v>
      </c>
      <c r="AR298" t="s">
        <v>55</v>
      </c>
    </row>
    <row r="299" spans="1:45" x14ac:dyDescent="0.25">
      <c r="A299" t="s">
        <v>47</v>
      </c>
      <c r="B299">
        <v>8</v>
      </c>
      <c r="C299" t="s">
        <v>126</v>
      </c>
      <c r="D299">
        <v>21</v>
      </c>
      <c r="E299" t="s">
        <v>49</v>
      </c>
      <c r="F299">
        <v>27</v>
      </c>
      <c r="H299" t="s">
        <v>50</v>
      </c>
      <c r="K299" t="s">
        <v>51</v>
      </c>
      <c r="L299">
        <v>1</v>
      </c>
      <c r="M299" t="s">
        <v>52</v>
      </c>
      <c r="N299" t="s">
        <v>53</v>
      </c>
      <c r="Q299">
        <v>230</v>
      </c>
      <c r="R299">
        <v>0</v>
      </c>
      <c r="S299">
        <v>0.75</v>
      </c>
      <c r="T299">
        <v>0</v>
      </c>
      <c r="U299">
        <v>0</v>
      </c>
      <c r="W299" s="1">
        <v>46675</v>
      </c>
      <c r="X299" s="1">
        <v>46357</v>
      </c>
      <c r="Y299" t="s">
        <v>54</v>
      </c>
      <c r="Z299" t="s">
        <v>52</v>
      </c>
      <c r="AB299" t="s">
        <v>52</v>
      </c>
      <c r="AC299">
        <v>27</v>
      </c>
      <c r="AD299">
        <v>1</v>
      </c>
      <c r="AE299">
        <v>0.97</v>
      </c>
      <c r="AG299">
        <v>0.97</v>
      </c>
      <c r="AK299" t="s">
        <v>52</v>
      </c>
      <c r="AN299" t="s">
        <v>52</v>
      </c>
      <c r="AO299" t="s">
        <v>52</v>
      </c>
      <c r="AP299" t="s">
        <v>52</v>
      </c>
      <c r="AQ299" t="s">
        <v>52</v>
      </c>
      <c r="AR299" t="s">
        <v>55</v>
      </c>
      <c r="AS299" t="s">
        <v>56</v>
      </c>
    </row>
    <row r="300" spans="1:45" x14ac:dyDescent="0.25">
      <c r="A300" t="s">
        <v>47</v>
      </c>
      <c r="B300">
        <v>8</v>
      </c>
      <c r="C300" t="s">
        <v>126</v>
      </c>
      <c r="D300">
        <v>21</v>
      </c>
      <c r="E300" t="s">
        <v>87</v>
      </c>
      <c r="F300">
        <v>91</v>
      </c>
      <c r="G300" t="s">
        <v>76</v>
      </c>
      <c r="H300" t="s">
        <v>50</v>
      </c>
      <c r="K300" t="s">
        <v>51</v>
      </c>
      <c r="L300">
        <v>1</v>
      </c>
      <c r="M300" t="s">
        <v>52</v>
      </c>
      <c r="N300" t="s">
        <v>53</v>
      </c>
      <c r="R300">
        <v>0.77</v>
      </c>
      <c r="S300">
        <v>0.93</v>
      </c>
      <c r="T300">
        <v>0</v>
      </c>
      <c r="U300">
        <v>0</v>
      </c>
      <c r="V300" s="1">
        <v>46569</v>
      </c>
      <c r="W300" s="1">
        <v>46691</v>
      </c>
      <c r="X300" s="1">
        <v>46295</v>
      </c>
      <c r="Z300" t="s">
        <v>52</v>
      </c>
      <c r="AB300" t="s">
        <v>52</v>
      </c>
      <c r="AC300">
        <v>91</v>
      </c>
      <c r="AD300">
        <v>2</v>
      </c>
      <c r="AK300" t="s">
        <v>52</v>
      </c>
      <c r="AN300" t="s">
        <v>52</v>
      </c>
      <c r="AO300" t="s">
        <v>52</v>
      </c>
      <c r="AP300" t="s">
        <v>52</v>
      </c>
      <c r="AQ300" t="s">
        <v>52</v>
      </c>
      <c r="AR300" t="s">
        <v>55</v>
      </c>
    </row>
    <row r="301" spans="1:45" x14ac:dyDescent="0.25">
      <c r="A301" t="s">
        <v>47</v>
      </c>
      <c r="B301">
        <v>8</v>
      </c>
      <c r="C301" t="s">
        <v>126</v>
      </c>
      <c r="D301">
        <v>21</v>
      </c>
      <c r="E301" t="s">
        <v>58</v>
      </c>
      <c r="F301">
        <v>102</v>
      </c>
      <c r="G301" t="s">
        <v>62</v>
      </c>
      <c r="H301" t="s">
        <v>50</v>
      </c>
      <c r="K301" t="s">
        <v>51</v>
      </c>
      <c r="L301">
        <v>1</v>
      </c>
      <c r="M301" t="s">
        <v>52</v>
      </c>
      <c r="N301" t="s">
        <v>53</v>
      </c>
      <c r="R301">
        <v>0</v>
      </c>
      <c r="S301">
        <v>0.92</v>
      </c>
      <c r="T301">
        <v>0</v>
      </c>
      <c r="U301">
        <v>0</v>
      </c>
      <c r="W301" s="1">
        <v>46675</v>
      </c>
      <c r="X301" s="1">
        <v>46357</v>
      </c>
      <c r="Z301" t="s">
        <v>52</v>
      </c>
      <c r="AB301" t="s">
        <v>52</v>
      </c>
      <c r="AC301">
        <v>102</v>
      </c>
      <c r="AD301">
        <v>1</v>
      </c>
      <c r="AE301">
        <v>0.85</v>
      </c>
      <c r="AG301">
        <v>0.85</v>
      </c>
      <c r="AK301" t="s">
        <v>52</v>
      </c>
      <c r="AN301" t="s">
        <v>52</v>
      </c>
      <c r="AO301" t="s">
        <v>52</v>
      </c>
      <c r="AP301" t="s">
        <v>52</v>
      </c>
      <c r="AQ301" t="s">
        <v>52</v>
      </c>
      <c r="AR301" t="s">
        <v>55</v>
      </c>
    </row>
    <row r="302" spans="1:45" x14ac:dyDescent="0.25">
      <c r="A302" t="s">
        <v>47</v>
      </c>
      <c r="B302">
        <v>8</v>
      </c>
      <c r="C302" t="s">
        <v>126</v>
      </c>
      <c r="D302">
        <v>21</v>
      </c>
      <c r="E302" t="s">
        <v>58</v>
      </c>
      <c r="F302">
        <v>102</v>
      </c>
      <c r="G302" t="s">
        <v>62</v>
      </c>
      <c r="H302" t="s">
        <v>50</v>
      </c>
      <c r="K302" t="s">
        <v>52</v>
      </c>
      <c r="L302">
        <v>1</v>
      </c>
      <c r="M302" t="s">
        <v>52</v>
      </c>
      <c r="N302" t="s">
        <v>53</v>
      </c>
      <c r="R302">
        <v>0</v>
      </c>
      <c r="S302">
        <v>0.92</v>
      </c>
      <c r="T302">
        <v>0</v>
      </c>
      <c r="U302">
        <v>0</v>
      </c>
      <c r="W302" s="1">
        <v>46675</v>
      </c>
      <c r="X302" s="1">
        <v>46357</v>
      </c>
      <c r="Z302" t="s">
        <v>52</v>
      </c>
      <c r="AB302" t="s">
        <v>52</v>
      </c>
      <c r="AC302">
        <v>102</v>
      </c>
      <c r="AD302">
        <v>1</v>
      </c>
      <c r="AE302">
        <v>0.85</v>
      </c>
      <c r="AG302">
        <v>0.85</v>
      </c>
      <c r="AK302" t="s">
        <v>52</v>
      </c>
      <c r="AN302" t="s">
        <v>52</v>
      </c>
      <c r="AO302" t="s">
        <v>52</v>
      </c>
      <c r="AP302" t="s">
        <v>52</v>
      </c>
      <c r="AQ302" t="s">
        <v>52</v>
      </c>
      <c r="AR302" t="s">
        <v>55</v>
      </c>
    </row>
    <row r="303" spans="1:45" x14ac:dyDescent="0.25">
      <c r="A303" t="s">
        <v>47</v>
      </c>
      <c r="B303">
        <v>8</v>
      </c>
      <c r="C303" t="s">
        <v>126</v>
      </c>
      <c r="D303">
        <v>21</v>
      </c>
      <c r="E303" t="s">
        <v>58</v>
      </c>
      <c r="F303">
        <v>102</v>
      </c>
      <c r="G303" t="s">
        <v>64</v>
      </c>
      <c r="H303" t="s">
        <v>50</v>
      </c>
      <c r="K303" t="s">
        <v>51</v>
      </c>
      <c r="L303">
        <v>1</v>
      </c>
      <c r="M303" t="s">
        <v>52</v>
      </c>
      <c r="N303" t="s">
        <v>53</v>
      </c>
      <c r="R303">
        <v>0</v>
      </c>
      <c r="S303">
        <v>0.92</v>
      </c>
      <c r="T303">
        <v>0</v>
      </c>
      <c r="U303">
        <v>0</v>
      </c>
      <c r="W303" s="1">
        <v>46731</v>
      </c>
      <c r="X303" s="1">
        <v>46357</v>
      </c>
      <c r="Z303" t="s">
        <v>52</v>
      </c>
      <c r="AB303" t="s">
        <v>52</v>
      </c>
      <c r="AC303">
        <v>102</v>
      </c>
      <c r="AD303">
        <v>1</v>
      </c>
      <c r="AK303" t="s">
        <v>52</v>
      </c>
      <c r="AN303" t="s">
        <v>52</v>
      </c>
      <c r="AO303" t="s">
        <v>52</v>
      </c>
      <c r="AP303" t="s">
        <v>52</v>
      </c>
      <c r="AQ303" t="s">
        <v>52</v>
      </c>
      <c r="AR303" t="s">
        <v>55</v>
      </c>
      <c r="AS303" t="s">
        <v>60</v>
      </c>
    </row>
    <row r="304" spans="1:45" x14ac:dyDescent="0.25">
      <c r="A304" t="s">
        <v>47</v>
      </c>
      <c r="B304">
        <v>8</v>
      </c>
      <c r="C304" t="s">
        <v>126</v>
      </c>
      <c r="D304">
        <v>21</v>
      </c>
      <c r="E304" t="s">
        <v>58</v>
      </c>
      <c r="F304">
        <v>102</v>
      </c>
      <c r="G304" t="s">
        <v>127</v>
      </c>
      <c r="H304" t="s">
        <v>50</v>
      </c>
      <c r="K304" t="s">
        <v>51</v>
      </c>
      <c r="L304">
        <v>1</v>
      </c>
      <c r="M304" t="s">
        <v>52</v>
      </c>
      <c r="N304" t="s">
        <v>53</v>
      </c>
      <c r="R304">
        <v>0</v>
      </c>
      <c r="S304">
        <v>0.92</v>
      </c>
      <c r="T304">
        <v>0</v>
      </c>
      <c r="U304">
        <v>0</v>
      </c>
      <c r="W304" s="1">
        <v>46731</v>
      </c>
      <c r="X304" s="1">
        <v>46357</v>
      </c>
      <c r="Z304" t="s">
        <v>52</v>
      </c>
      <c r="AB304" t="s">
        <v>52</v>
      </c>
      <c r="AC304">
        <v>102</v>
      </c>
      <c r="AD304">
        <v>1</v>
      </c>
      <c r="AK304" t="s">
        <v>52</v>
      </c>
      <c r="AN304" t="s">
        <v>52</v>
      </c>
      <c r="AO304" t="s">
        <v>52</v>
      </c>
      <c r="AP304" t="s">
        <v>52</v>
      </c>
      <c r="AQ304" t="s">
        <v>52</v>
      </c>
      <c r="AR304" t="s">
        <v>55</v>
      </c>
    </row>
    <row r="305" spans="1:45" x14ac:dyDescent="0.25">
      <c r="A305" t="s">
        <v>47</v>
      </c>
      <c r="B305">
        <v>8</v>
      </c>
      <c r="C305" t="s">
        <v>126</v>
      </c>
      <c r="D305">
        <v>21</v>
      </c>
      <c r="E305" t="s">
        <v>58</v>
      </c>
      <c r="F305">
        <v>102</v>
      </c>
      <c r="G305" t="s">
        <v>128</v>
      </c>
      <c r="H305" t="s">
        <v>50</v>
      </c>
      <c r="K305" t="s">
        <v>51</v>
      </c>
      <c r="L305">
        <v>1</v>
      </c>
      <c r="M305" t="s">
        <v>52</v>
      </c>
      <c r="N305" t="s">
        <v>53</v>
      </c>
      <c r="R305">
        <v>0</v>
      </c>
      <c r="S305">
        <v>0.92</v>
      </c>
      <c r="U305">
        <v>0</v>
      </c>
      <c r="W305" s="1">
        <v>46660</v>
      </c>
      <c r="X305" s="1">
        <v>46357</v>
      </c>
      <c r="Z305" t="s">
        <v>52</v>
      </c>
      <c r="AB305" t="s">
        <v>52</v>
      </c>
      <c r="AC305">
        <v>102</v>
      </c>
      <c r="AD305">
        <v>1</v>
      </c>
      <c r="AK305" t="s">
        <v>52</v>
      </c>
      <c r="AN305" t="s">
        <v>52</v>
      </c>
      <c r="AO305" t="s">
        <v>52</v>
      </c>
      <c r="AP305" t="s">
        <v>52</v>
      </c>
      <c r="AQ305" t="s">
        <v>52</v>
      </c>
      <c r="AR305" t="s">
        <v>55</v>
      </c>
    </row>
    <row r="306" spans="1:45" x14ac:dyDescent="0.25">
      <c r="A306" t="s">
        <v>47</v>
      </c>
      <c r="B306">
        <v>8</v>
      </c>
      <c r="C306" t="s">
        <v>126</v>
      </c>
      <c r="D306">
        <v>21</v>
      </c>
      <c r="E306" t="s">
        <v>58</v>
      </c>
      <c r="F306">
        <v>102</v>
      </c>
      <c r="G306" t="s">
        <v>65</v>
      </c>
      <c r="H306" t="s">
        <v>50</v>
      </c>
      <c r="K306" t="s">
        <v>51</v>
      </c>
      <c r="L306">
        <v>1</v>
      </c>
      <c r="M306" t="s">
        <v>52</v>
      </c>
      <c r="N306" t="s">
        <v>53</v>
      </c>
      <c r="R306">
        <v>0</v>
      </c>
      <c r="S306">
        <v>0.92</v>
      </c>
      <c r="T306">
        <v>0</v>
      </c>
      <c r="U306">
        <v>0</v>
      </c>
      <c r="W306" s="1">
        <v>46731</v>
      </c>
      <c r="X306" s="1">
        <v>46357</v>
      </c>
      <c r="Z306" t="s">
        <v>52</v>
      </c>
      <c r="AB306" t="s">
        <v>52</v>
      </c>
      <c r="AC306">
        <v>102</v>
      </c>
      <c r="AD306">
        <v>1</v>
      </c>
      <c r="AK306" t="s">
        <v>52</v>
      </c>
      <c r="AN306" t="s">
        <v>52</v>
      </c>
      <c r="AO306" t="s">
        <v>52</v>
      </c>
      <c r="AP306" t="s">
        <v>52</v>
      </c>
      <c r="AQ306" t="s">
        <v>52</v>
      </c>
      <c r="AR306" t="s">
        <v>55</v>
      </c>
    </row>
    <row r="307" spans="1:45" x14ac:dyDescent="0.25">
      <c r="A307" t="s">
        <v>47</v>
      </c>
      <c r="B307">
        <v>8</v>
      </c>
      <c r="C307" t="s">
        <v>126</v>
      </c>
      <c r="D307">
        <v>21</v>
      </c>
      <c r="E307" t="s">
        <v>70</v>
      </c>
      <c r="F307">
        <v>296</v>
      </c>
      <c r="G307" t="s">
        <v>71</v>
      </c>
      <c r="H307" t="s">
        <v>50</v>
      </c>
      <c r="K307" t="s">
        <v>51</v>
      </c>
      <c r="L307">
        <v>1</v>
      </c>
      <c r="M307" t="s">
        <v>52</v>
      </c>
      <c r="N307" t="s">
        <v>53</v>
      </c>
      <c r="Q307">
        <v>224.33330000000001</v>
      </c>
      <c r="R307">
        <v>0</v>
      </c>
      <c r="S307">
        <v>0.75</v>
      </c>
      <c r="T307">
        <v>0</v>
      </c>
      <c r="U307">
        <v>0</v>
      </c>
      <c r="W307" s="1">
        <v>46675</v>
      </c>
      <c r="X307" s="1">
        <v>46357</v>
      </c>
      <c r="Y307" t="s">
        <v>54</v>
      </c>
      <c r="Z307" t="s">
        <v>52</v>
      </c>
      <c r="AB307" t="s">
        <v>52</v>
      </c>
      <c r="AC307">
        <v>296</v>
      </c>
      <c r="AD307">
        <v>1</v>
      </c>
      <c r="AK307" t="s">
        <v>52</v>
      </c>
      <c r="AN307" t="s">
        <v>52</v>
      </c>
      <c r="AO307" t="s">
        <v>52</v>
      </c>
      <c r="AP307" t="s">
        <v>52</v>
      </c>
      <c r="AQ307" t="s">
        <v>52</v>
      </c>
      <c r="AR307" t="s">
        <v>55</v>
      </c>
    </row>
    <row r="308" spans="1:45" x14ac:dyDescent="0.25">
      <c r="A308" t="s">
        <v>47</v>
      </c>
      <c r="B308">
        <v>8</v>
      </c>
      <c r="C308" t="s">
        <v>126</v>
      </c>
      <c r="D308">
        <v>21</v>
      </c>
      <c r="E308" t="s">
        <v>70</v>
      </c>
      <c r="F308">
        <v>296</v>
      </c>
      <c r="G308" t="s">
        <v>72</v>
      </c>
      <c r="H308" t="s">
        <v>50</v>
      </c>
      <c r="K308" t="s">
        <v>51</v>
      </c>
      <c r="L308">
        <v>1</v>
      </c>
      <c r="M308" t="s">
        <v>52</v>
      </c>
      <c r="N308" t="s">
        <v>53</v>
      </c>
      <c r="R308">
        <v>0.5</v>
      </c>
      <c r="S308">
        <v>0.75</v>
      </c>
      <c r="T308">
        <v>0</v>
      </c>
      <c r="U308">
        <v>0</v>
      </c>
      <c r="V308" s="1">
        <v>46583</v>
      </c>
      <c r="W308" s="1">
        <v>46675</v>
      </c>
      <c r="X308" s="1">
        <v>46357</v>
      </c>
      <c r="Z308" t="s">
        <v>52</v>
      </c>
      <c r="AB308" t="s">
        <v>52</v>
      </c>
      <c r="AC308">
        <v>296</v>
      </c>
      <c r="AD308">
        <v>1</v>
      </c>
      <c r="AK308" t="s">
        <v>52</v>
      </c>
      <c r="AN308" t="s">
        <v>52</v>
      </c>
      <c r="AO308" t="s">
        <v>52</v>
      </c>
      <c r="AP308" t="s">
        <v>52</v>
      </c>
      <c r="AQ308" t="s">
        <v>52</v>
      </c>
      <c r="AR308" t="s">
        <v>55</v>
      </c>
    </row>
    <row r="309" spans="1:45" x14ac:dyDescent="0.25">
      <c r="A309" t="s">
        <v>47</v>
      </c>
      <c r="B309">
        <v>8</v>
      </c>
      <c r="C309" t="s">
        <v>126</v>
      </c>
      <c r="D309">
        <v>21</v>
      </c>
      <c r="E309" t="s">
        <v>70</v>
      </c>
      <c r="F309">
        <v>296</v>
      </c>
      <c r="G309" t="s">
        <v>73</v>
      </c>
      <c r="H309" t="s">
        <v>50</v>
      </c>
      <c r="K309" t="s">
        <v>51</v>
      </c>
      <c r="L309">
        <v>1</v>
      </c>
      <c r="M309" t="s">
        <v>52</v>
      </c>
      <c r="N309" t="s">
        <v>53</v>
      </c>
      <c r="R309">
        <v>0</v>
      </c>
      <c r="S309">
        <v>0.75</v>
      </c>
      <c r="T309">
        <v>0</v>
      </c>
      <c r="U309">
        <v>0</v>
      </c>
      <c r="W309" s="1">
        <v>46675</v>
      </c>
      <c r="X309" s="1">
        <v>46357</v>
      </c>
      <c r="Z309" t="s">
        <v>52</v>
      </c>
      <c r="AB309" t="s">
        <v>52</v>
      </c>
      <c r="AC309">
        <v>296</v>
      </c>
      <c r="AD309">
        <v>1</v>
      </c>
      <c r="AK309" t="s">
        <v>52</v>
      </c>
      <c r="AN309" t="s">
        <v>52</v>
      </c>
      <c r="AO309" t="s">
        <v>52</v>
      </c>
      <c r="AP309" t="s">
        <v>52</v>
      </c>
      <c r="AQ309" t="s">
        <v>52</v>
      </c>
      <c r="AR309" t="s">
        <v>55</v>
      </c>
    </row>
    <row r="310" spans="1:45" x14ac:dyDescent="0.25">
      <c r="A310" t="s">
        <v>47</v>
      </c>
      <c r="B310">
        <v>8</v>
      </c>
      <c r="C310" t="s">
        <v>126</v>
      </c>
      <c r="D310">
        <v>21</v>
      </c>
      <c r="E310" t="s">
        <v>70</v>
      </c>
      <c r="F310">
        <v>296</v>
      </c>
      <c r="G310" t="s">
        <v>74</v>
      </c>
      <c r="H310" t="s">
        <v>50</v>
      </c>
      <c r="K310" t="s">
        <v>51</v>
      </c>
      <c r="L310">
        <v>1</v>
      </c>
      <c r="M310" t="s">
        <v>52</v>
      </c>
      <c r="N310" t="s">
        <v>53</v>
      </c>
      <c r="R310">
        <v>0</v>
      </c>
      <c r="S310">
        <v>0.75</v>
      </c>
      <c r="T310">
        <v>0</v>
      </c>
      <c r="U310">
        <v>0</v>
      </c>
      <c r="W310" s="1">
        <v>46675</v>
      </c>
      <c r="X310" s="1">
        <v>46357</v>
      </c>
      <c r="Z310" t="s">
        <v>52</v>
      </c>
      <c r="AB310" t="s">
        <v>52</v>
      </c>
      <c r="AC310">
        <v>102</v>
      </c>
      <c r="AD310">
        <v>1</v>
      </c>
      <c r="AK310" t="s">
        <v>52</v>
      </c>
      <c r="AN310" t="s">
        <v>52</v>
      </c>
      <c r="AO310" t="s">
        <v>52</v>
      </c>
      <c r="AP310" t="s">
        <v>52</v>
      </c>
      <c r="AQ310" t="s">
        <v>52</v>
      </c>
      <c r="AR310" t="s">
        <v>55</v>
      </c>
    </row>
    <row r="311" spans="1:45" x14ac:dyDescent="0.25">
      <c r="A311" t="s">
        <v>47</v>
      </c>
      <c r="B311">
        <v>8</v>
      </c>
      <c r="C311" t="s">
        <v>126</v>
      </c>
      <c r="D311">
        <v>21</v>
      </c>
      <c r="E311" t="s">
        <v>70</v>
      </c>
      <c r="F311">
        <v>296</v>
      </c>
      <c r="G311" t="s">
        <v>129</v>
      </c>
      <c r="H311" t="s">
        <v>50</v>
      </c>
      <c r="K311" t="s">
        <v>51</v>
      </c>
      <c r="L311">
        <v>1</v>
      </c>
      <c r="M311" t="s">
        <v>52</v>
      </c>
      <c r="N311" t="s">
        <v>53</v>
      </c>
      <c r="R311">
        <v>0</v>
      </c>
      <c r="S311">
        <v>0.75</v>
      </c>
      <c r="U311">
        <v>0</v>
      </c>
      <c r="W311" s="1">
        <v>46675</v>
      </c>
      <c r="X311" s="1">
        <v>46357</v>
      </c>
      <c r="Z311" t="s">
        <v>52</v>
      </c>
      <c r="AB311" t="s">
        <v>52</v>
      </c>
      <c r="AC311">
        <v>102</v>
      </c>
      <c r="AD311">
        <v>1</v>
      </c>
      <c r="AK311" t="s">
        <v>52</v>
      </c>
      <c r="AN311" t="s">
        <v>52</v>
      </c>
      <c r="AO311" t="s">
        <v>52</v>
      </c>
      <c r="AP311" t="s">
        <v>52</v>
      </c>
      <c r="AQ311" t="s">
        <v>52</v>
      </c>
      <c r="AR311" t="s">
        <v>55</v>
      </c>
    </row>
    <row r="312" spans="1:45" x14ac:dyDescent="0.25">
      <c r="A312" t="s">
        <v>47</v>
      </c>
      <c r="B312">
        <v>8</v>
      </c>
      <c r="C312" t="s">
        <v>126</v>
      </c>
      <c r="D312">
        <v>21</v>
      </c>
      <c r="E312" t="s">
        <v>70</v>
      </c>
      <c r="F312">
        <v>296</v>
      </c>
      <c r="G312" t="s">
        <v>122</v>
      </c>
      <c r="H312" t="s">
        <v>50</v>
      </c>
      <c r="K312" t="s">
        <v>51</v>
      </c>
      <c r="L312">
        <v>1</v>
      </c>
      <c r="M312" t="s">
        <v>52</v>
      </c>
      <c r="N312" t="s">
        <v>53</v>
      </c>
      <c r="R312">
        <v>0</v>
      </c>
      <c r="S312">
        <v>0.75</v>
      </c>
      <c r="U312">
        <v>0</v>
      </c>
      <c r="W312" s="1">
        <v>46675</v>
      </c>
      <c r="X312" s="1">
        <v>46357</v>
      </c>
      <c r="Z312" t="s">
        <v>52</v>
      </c>
      <c r="AB312" t="s">
        <v>52</v>
      </c>
      <c r="AC312">
        <v>102</v>
      </c>
      <c r="AD312">
        <v>1</v>
      </c>
      <c r="AK312" t="s">
        <v>52</v>
      </c>
      <c r="AN312" t="s">
        <v>52</v>
      </c>
      <c r="AO312" t="s">
        <v>52</v>
      </c>
      <c r="AP312" t="s">
        <v>52</v>
      </c>
      <c r="AQ312" t="s">
        <v>52</v>
      </c>
      <c r="AR312" t="s">
        <v>55</v>
      </c>
    </row>
    <row r="313" spans="1:45" x14ac:dyDescent="0.25">
      <c r="A313" t="s">
        <v>47</v>
      </c>
      <c r="B313">
        <v>8</v>
      </c>
      <c r="C313" t="s">
        <v>126</v>
      </c>
      <c r="D313">
        <v>21</v>
      </c>
      <c r="E313" t="s">
        <v>70</v>
      </c>
      <c r="F313">
        <v>296</v>
      </c>
      <c r="G313" t="s">
        <v>91</v>
      </c>
      <c r="H313" t="s">
        <v>50</v>
      </c>
      <c r="K313" t="s">
        <v>51</v>
      </c>
      <c r="L313">
        <v>1</v>
      </c>
      <c r="M313" t="s">
        <v>52</v>
      </c>
      <c r="N313" t="s">
        <v>53</v>
      </c>
      <c r="R313">
        <v>0.5</v>
      </c>
      <c r="S313">
        <v>0.75</v>
      </c>
      <c r="T313">
        <v>0</v>
      </c>
      <c r="U313">
        <v>0</v>
      </c>
      <c r="V313" s="1">
        <v>46583</v>
      </c>
      <c r="W313" s="1">
        <v>46675</v>
      </c>
      <c r="X313" s="1">
        <v>46357</v>
      </c>
      <c r="Z313" t="s">
        <v>52</v>
      </c>
      <c r="AB313" t="s">
        <v>52</v>
      </c>
      <c r="AC313">
        <v>102</v>
      </c>
      <c r="AD313">
        <v>1</v>
      </c>
      <c r="AK313" t="s">
        <v>52</v>
      </c>
      <c r="AN313" t="s">
        <v>52</v>
      </c>
      <c r="AO313" t="s">
        <v>52</v>
      </c>
      <c r="AP313" t="s">
        <v>52</v>
      </c>
      <c r="AQ313" t="s">
        <v>52</v>
      </c>
      <c r="AR313" t="s">
        <v>55</v>
      </c>
    </row>
    <row r="314" spans="1:45" x14ac:dyDescent="0.25">
      <c r="A314" t="s">
        <v>47</v>
      </c>
      <c r="B314">
        <v>8</v>
      </c>
      <c r="C314" t="s">
        <v>126</v>
      </c>
      <c r="D314">
        <v>21</v>
      </c>
      <c r="E314" t="s">
        <v>70</v>
      </c>
      <c r="F314">
        <v>296</v>
      </c>
      <c r="G314" t="s">
        <v>124</v>
      </c>
      <c r="H314" t="s">
        <v>50</v>
      </c>
      <c r="K314" t="s">
        <v>51</v>
      </c>
      <c r="L314">
        <v>1</v>
      </c>
      <c r="M314" t="s">
        <v>52</v>
      </c>
      <c r="N314" t="s">
        <v>53</v>
      </c>
      <c r="R314">
        <v>0</v>
      </c>
      <c r="S314">
        <v>0.75</v>
      </c>
      <c r="T314">
        <v>0</v>
      </c>
      <c r="U314">
        <v>0</v>
      </c>
      <c r="W314" s="1">
        <v>46675</v>
      </c>
      <c r="X314" s="1">
        <v>46357</v>
      </c>
      <c r="Z314" t="s">
        <v>52</v>
      </c>
      <c r="AB314" t="s">
        <v>52</v>
      </c>
      <c r="AC314">
        <v>102</v>
      </c>
      <c r="AD314">
        <v>1</v>
      </c>
      <c r="AK314" t="s">
        <v>52</v>
      </c>
      <c r="AN314" t="s">
        <v>52</v>
      </c>
      <c r="AO314" t="s">
        <v>52</v>
      </c>
      <c r="AP314" t="s">
        <v>52</v>
      </c>
      <c r="AQ314" t="s">
        <v>52</v>
      </c>
      <c r="AR314" t="s">
        <v>55</v>
      </c>
    </row>
    <row r="315" spans="1:45" x14ac:dyDescent="0.25">
      <c r="A315" t="s">
        <v>47</v>
      </c>
      <c r="B315">
        <v>8</v>
      </c>
      <c r="C315" t="s">
        <v>126</v>
      </c>
      <c r="D315">
        <v>21</v>
      </c>
      <c r="E315" t="s">
        <v>70</v>
      </c>
      <c r="F315">
        <v>296</v>
      </c>
      <c r="G315" t="s">
        <v>92</v>
      </c>
      <c r="H315" t="s">
        <v>50</v>
      </c>
      <c r="K315" t="s">
        <v>51</v>
      </c>
      <c r="L315">
        <v>1</v>
      </c>
      <c r="M315" t="s">
        <v>52</v>
      </c>
      <c r="N315" t="s">
        <v>53</v>
      </c>
      <c r="R315">
        <v>0.5</v>
      </c>
      <c r="S315">
        <v>0.75</v>
      </c>
      <c r="T315">
        <v>0</v>
      </c>
      <c r="U315">
        <v>0</v>
      </c>
      <c r="V315" s="1">
        <v>46583</v>
      </c>
      <c r="W315" s="1">
        <v>46675</v>
      </c>
      <c r="X315" s="1">
        <v>46357</v>
      </c>
      <c r="Z315" t="s">
        <v>52</v>
      </c>
      <c r="AB315" t="s">
        <v>52</v>
      </c>
      <c r="AC315">
        <v>102</v>
      </c>
      <c r="AD315">
        <v>1</v>
      </c>
      <c r="AK315" t="s">
        <v>52</v>
      </c>
      <c r="AN315" t="s">
        <v>52</v>
      </c>
      <c r="AO315" t="s">
        <v>52</v>
      </c>
      <c r="AP315" t="s">
        <v>52</v>
      </c>
      <c r="AQ315" t="s">
        <v>52</v>
      </c>
      <c r="AR315" t="s">
        <v>55</v>
      </c>
    </row>
    <row r="316" spans="1:45" x14ac:dyDescent="0.25">
      <c r="A316" t="s">
        <v>47</v>
      </c>
      <c r="B316">
        <v>8</v>
      </c>
      <c r="C316" t="s">
        <v>126</v>
      </c>
      <c r="D316">
        <v>21</v>
      </c>
      <c r="E316" t="s">
        <v>75</v>
      </c>
      <c r="F316">
        <v>16</v>
      </c>
      <c r="G316" t="s">
        <v>76</v>
      </c>
      <c r="H316" t="s">
        <v>50</v>
      </c>
      <c r="K316" t="s">
        <v>51</v>
      </c>
      <c r="L316">
        <v>1</v>
      </c>
      <c r="M316" t="s">
        <v>52</v>
      </c>
      <c r="N316" t="s">
        <v>53</v>
      </c>
      <c r="R316">
        <v>0.5</v>
      </c>
      <c r="S316">
        <v>0.75</v>
      </c>
      <c r="T316">
        <v>0</v>
      </c>
      <c r="U316">
        <v>0</v>
      </c>
      <c r="V316" s="1">
        <v>46583</v>
      </c>
      <c r="W316" s="1">
        <v>46691</v>
      </c>
      <c r="X316" s="1">
        <v>46461</v>
      </c>
      <c r="Z316" t="s">
        <v>52</v>
      </c>
      <c r="AB316" t="s">
        <v>52</v>
      </c>
      <c r="AC316">
        <v>16</v>
      </c>
      <c r="AD316">
        <v>2</v>
      </c>
      <c r="AK316" t="s">
        <v>52</v>
      </c>
      <c r="AN316" t="s">
        <v>52</v>
      </c>
      <c r="AO316" t="s">
        <v>52</v>
      </c>
      <c r="AP316" t="s">
        <v>52</v>
      </c>
      <c r="AQ316" t="s">
        <v>52</v>
      </c>
      <c r="AR316" t="s">
        <v>55</v>
      </c>
    </row>
    <row r="317" spans="1:45" x14ac:dyDescent="0.25">
      <c r="A317" t="s">
        <v>47</v>
      </c>
      <c r="B317">
        <v>8</v>
      </c>
      <c r="C317" t="s">
        <v>126</v>
      </c>
      <c r="D317">
        <v>21</v>
      </c>
      <c r="E317" t="s">
        <v>93</v>
      </c>
      <c r="F317">
        <v>94</v>
      </c>
      <c r="H317" t="s">
        <v>50</v>
      </c>
      <c r="K317" t="s">
        <v>51</v>
      </c>
      <c r="L317">
        <v>1</v>
      </c>
      <c r="M317" t="s">
        <v>52</v>
      </c>
      <c r="N317" t="s">
        <v>53</v>
      </c>
      <c r="R317">
        <v>0.77</v>
      </c>
      <c r="S317">
        <v>0.93</v>
      </c>
      <c r="U317">
        <v>0</v>
      </c>
      <c r="V317" s="1">
        <v>46326</v>
      </c>
      <c r="W317" s="1">
        <v>46691</v>
      </c>
      <c r="X317" s="1">
        <v>46266</v>
      </c>
      <c r="Z317" t="s">
        <v>52</v>
      </c>
      <c r="AB317" t="s">
        <v>52</v>
      </c>
      <c r="AC317">
        <v>94</v>
      </c>
      <c r="AD317">
        <v>2</v>
      </c>
      <c r="AK317" t="s">
        <v>52</v>
      </c>
      <c r="AN317" t="s">
        <v>52</v>
      </c>
      <c r="AO317" t="s">
        <v>52</v>
      </c>
      <c r="AP317" t="s">
        <v>52</v>
      </c>
      <c r="AQ317" t="s">
        <v>52</v>
      </c>
      <c r="AR317" t="s">
        <v>55</v>
      </c>
    </row>
    <row r="318" spans="1:45" x14ac:dyDescent="0.25">
      <c r="A318" t="s">
        <v>47</v>
      </c>
      <c r="B318">
        <v>8</v>
      </c>
      <c r="C318" t="s">
        <v>126</v>
      </c>
      <c r="D318">
        <v>21</v>
      </c>
      <c r="E318" t="s">
        <v>94</v>
      </c>
      <c r="F318">
        <v>26</v>
      </c>
      <c r="H318" t="s">
        <v>50</v>
      </c>
      <c r="K318" t="s">
        <v>51</v>
      </c>
      <c r="L318">
        <v>1</v>
      </c>
      <c r="M318" t="s">
        <v>52</v>
      </c>
      <c r="N318" t="s">
        <v>53</v>
      </c>
      <c r="R318">
        <v>0</v>
      </c>
      <c r="S318">
        <v>0.92</v>
      </c>
      <c r="U318">
        <v>0</v>
      </c>
      <c r="W318" s="1">
        <v>46660</v>
      </c>
      <c r="X318" s="1">
        <v>46357</v>
      </c>
      <c r="Z318" t="s">
        <v>52</v>
      </c>
      <c r="AB318" t="s">
        <v>52</v>
      </c>
      <c r="AC318">
        <v>102</v>
      </c>
      <c r="AD318">
        <v>1</v>
      </c>
      <c r="AK318" t="s">
        <v>52</v>
      </c>
      <c r="AN318" t="s">
        <v>52</v>
      </c>
      <c r="AO318" t="s">
        <v>52</v>
      </c>
      <c r="AP318" t="s">
        <v>52</v>
      </c>
      <c r="AQ318" t="s">
        <v>52</v>
      </c>
      <c r="AR318" t="s">
        <v>55</v>
      </c>
    </row>
    <row r="319" spans="1:45" x14ac:dyDescent="0.25">
      <c r="A319" t="s">
        <v>47</v>
      </c>
      <c r="B319">
        <v>8</v>
      </c>
      <c r="C319" t="s">
        <v>126</v>
      </c>
      <c r="D319">
        <v>21</v>
      </c>
      <c r="E319" t="s">
        <v>77</v>
      </c>
      <c r="F319">
        <v>51</v>
      </c>
      <c r="G319" t="s">
        <v>78</v>
      </c>
      <c r="H319" t="s">
        <v>50</v>
      </c>
      <c r="K319" t="s">
        <v>51</v>
      </c>
      <c r="L319">
        <v>1</v>
      </c>
      <c r="M319" t="s">
        <v>52</v>
      </c>
      <c r="N319" t="s">
        <v>53</v>
      </c>
      <c r="R319">
        <v>0.5</v>
      </c>
      <c r="S319">
        <v>0.73</v>
      </c>
      <c r="U319">
        <v>0</v>
      </c>
      <c r="V319" s="1">
        <v>46583</v>
      </c>
      <c r="W319" s="1">
        <v>46675</v>
      </c>
      <c r="X319" s="1">
        <v>46461</v>
      </c>
      <c r="Z319" t="s">
        <v>52</v>
      </c>
      <c r="AB319" t="s">
        <v>52</v>
      </c>
      <c r="AC319">
        <v>51</v>
      </c>
      <c r="AD319">
        <v>2</v>
      </c>
      <c r="AK319" t="s">
        <v>52</v>
      </c>
      <c r="AN319" t="s">
        <v>52</v>
      </c>
      <c r="AO319" t="s">
        <v>52</v>
      </c>
      <c r="AP319" t="s">
        <v>52</v>
      </c>
      <c r="AQ319" t="s">
        <v>52</v>
      </c>
      <c r="AR319" t="s">
        <v>55</v>
      </c>
      <c r="AS319" t="s">
        <v>60</v>
      </c>
    </row>
    <row r="320" spans="1:45" x14ac:dyDescent="0.25">
      <c r="A320" t="s">
        <v>47</v>
      </c>
      <c r="B320">
        <v>8</v>
      </c>
      <c r="C320" t="s">
        <v>126</v>
      </c>
      <c r="D320">
        <v>21</v>
      </c>
      <c r="E320" t="s">
        <v>79</v>
      </c>
      <c r="F320">
        <v>50</v>
      </c>
      <c r="G320" t="s">
        <v>65</v>
      </c>
      <c r="H320" t="s">
        <v>50</v>
      </c>
      <c r="K320" t="s">
        <v>51</v>
      </c>
      <c r="L320">
        <v>1</v>
      </c>
      <c r="M320" t="s">
        <v>52</v>
      </c>
      <c r="N320" t="s">
        <v>53</v>
      </c>
      <c r="R320">
        <v>0.5</v>
      </c>
      <c r="S320">
        <v>0.75</v>
      </c>
      <c r="U320">
        <v>0</v>
      </c>
      <c r="V320" s="1">
        <v>46583</v>
      </c>
      <c r="W320" s="1">
        <v>46675</v>
      </c>
      <c r="X320" s="1">
        <v>46461</v>
      </c>
      <c r="Z320" t="s">
        <v>52</v>
      </c>
      <c r="AB320" t="s">
        <v>52</v>
      </c>
      <c r="AC320">
        <v>50</v>
      </c>
      <c r="AD320">
        <v>1</v>
      </c>
      <c r="AK320" t="s">
        <v>52</v>
      </c>
      <c r="AN320" t="s">
        <v>52</v>
      </c>
      <c r="AO320" t="s">
        <v>52</v>
      </c>
      <c r="AP320" t="s">
        <v>52</v>
      </c>
      <c r="AQ320" t="s">
        <v>52</v>
      </c>
      <c r="AR320" t="s">
        <v>55</v>
      </c>
    </row>
    <row r="321" spans="1:45" x14ac:dyDescent="0.25">
      <c r="A321" t="s">
        <v>47</v>
      </c>
      <c r="B321">
        <v>8</v>
      </c>
      <c r="C321" t="s">
        <v>126</v>
      </c>
      <c r="D321">
        <v>21</v>
      </c>
      <c r="E321" t="s">
        <v>82</v>
      </c>
      <c r="F321">
        <v>52</v>
      </c>
      <c r="H321" t="s">
        <v>50</v>
      </c>
      <c r="K321" t="s">
        <v>51</v>
      </c>
      <c r="L321">
        <v>1</v>
      </c>
      <c r="M321" t="s">
        <v>52</v>
      </c>
      <c r="N321" t="s">
        <v>53</v>
      </c>
      <c r="R321">
        <v>0.5</v>
      </c>
      <c r="S321">
        <v>0.75</v>
      </c>
      <c r="U321">
        <v>0</v>
      </c>
      <c r="V321" s="1">
        <v>46569</v>
      </c>
      <c r="W321" s="1">
        <v>46675</v>
      </c>
      <c r="X321" s="1">
        <v>46461</v>
      </c>
      <c r="Z321" t="s">
        <v>52</v>
      </c>
      <c r="AB321" t="s">
        <v>52</v>
      </c>
      <c r="AC321">
        <v>50</v>
      </c>
      <c r="AD321">
        <v>1</v>
      </c>
      <c r="AK321" t="s">
        <v>52</v>
      </c>
      <c r="AN321" t="s">
        <v>52</v>
      </c>
      <c r="AO321" t="s">
        <v>52</v>
      </c>
      <c r="AP321" t="s">
        <v>52</v>
      </c>
      <c r="AQ321" t="s">
        <v>52</v>
      </c>
      <c r="AR321" t="s">
        <v>55</v>
      </c>
      <c r="AS321" t="s">
        <v>107</v>
      </c>
    </row>
    <row r="322" spans="1:45" x14ac:dyDescent="0.25">
      <c r="A322" t="s">
        <v>47</v>
      </c>
      <c r="B322">
        <v>8</v>
      </c>
      <c r="C322" t="s">
        <v>126</v>
      </c>
      <c r="D322">
        <v>21</v>
      </c>
      <c r="E322" t="s">
        <v>83</v>
      </c>
      <c r="F322">
        <v>158</v>
      </c>
      <c r="H322" t="s">
        <v>50</v>
      </c>
      <c r="K322" t="s">
        <v>51</v>
      </c>
      <c r="L322">
        <v>1</v>
      </c>
      <c r="M322" t="s">
        <v>52</v>
      </c>
      <c r="N322" t="s">
        <v>53</v>
      </c>
      <c r="P322">
        <v>1.39</v>
      </c>
      <c r="R322">
        <v>0.77</v>
      </c>
      <c r="S322">
        <v>0.93</v>
      </c>
      <c r="T322">
        <v>0</v>
      </c>
      <c r="U322">
        <v>0</v>
      </c>
      <c r="V322" s="1">
        <v>46522</v>
      </c>
      <c r="W322" s="1">
        <v>46691</v>
      </c>
      <c r="X322" s="1">
        <v>46266</v>
      </c>
      <c r="Z322" t="s">
        <v>52</v>
      </c>
      <c r="AA322" t="s">
        <v>54</v>
      </c>
      <c r="AB322" t="s">
        <v>52</v>
      </c>
      <c r="AC322">
        <v>158</v>
      </c>
      <c r="AD322">
        <v>2</v>
      </c>
      <c r="AK322" t="s">
        <v>52</v>
      </c>
      <c r="AN322" t="s">
        <v>52</v>
      </c>
      <c r="AO322" t="s">
        <v>52</v>
      </c>
      <c r="AP322" t="s">
        <v>52</v>
      </c>
      <c r="AQ322" t="s">
        <v>52</v>
      </c>
      <c r="AR322" t="s">
        <v>95</v>
      </c>
    </row>
    <row r="323" spans="1:45" x14ac:dyDescent="0.25">
      <c r="A323" t="s">
        <v>47</v>
      </c>
      <c r="B323">
        <v>8</v>
      </c>
      <c r="C323" t="s">
        <v>126</v>
      </c>
      <c r="D323">
        <v>21</v>
      </c>
      <c r="E323" t="s">
        <v>84</v>
      </c>
      <c r="F323">
        <v>11</v>
      </c>
      <c r="G323" t="s">
        <v>85</v>
      </c>
      <c r="H323" t="s">
        <v>50</v>
      </c>
      <c r="K323" t="s">
        <v>51</v>
      </c>
      <c r="L323">
        <v>1</v>
      </c>
      <c r="M323" t="s">
        <v>52</v>
      </c>
      <c r="N323" t="s">
        <v>53</v>
      </c>
      <c r="R323">
        <v>0.5</v>
      </c>
      <c r="S323">
        <v>0.75</v>
      </c>
      <c r="T323">
        <v>0</v>
      </c>
      <c r="U323">
        <v>0</v>
      </c>
      <c r="V323" s="1">
        <v>46593</v>
      </c>
      <c r="W323" s="1">
        <v>46691</v>
      </c>
      <c r="X323" s="1">
        <v>46295</v>
      </c>
      <c r="Z323" t="s">
        <v>52</v>
      </c>
      <c r="AB323" t="s">
        <v>52</v>
      </c>
      <c r="AC323">
        <v>11</v>
      </c>
      <c r="AD323">
        <v>2</v>
      </c>
      <c r="AK323" t="s">
        <v>52</v>
      </c>
      <c r="AN323" t="s">
        <v>52</v>
      </c>
      <c r="AO323" t="s">
        <v>52</v>
      </c>
      <c r="AP323" t="s">
        <v>52</v>
      </c>
      <c r="AQ323" t="s">
        <v>52</v>
      </c>
      <c r="AR323" t="s">
        <v>55</v>
      </c>
    </row>
    <row r="324" spans="1:45" x14ac:dyDescent="0.25">
      <c r="A324" t="s">
        <v>47</v>
      </c>
      <c r="B324">
        <v>8</v>
      </c>
      <c r="C324" t="s">
        <v>126</v>
      </c>
      <c r="D324">
        <v>21</v>
      </c>
      <c r="E324" t="s">
        <v>84</v>
      </c>
      <c r="F324">
        <v>11</v>
      </c>
      <c r="G324" t="s">
        <v>96</v>
      </c>
      <c r="H324" t="s">
        <v>50</v>
      </c>
      <c r="K324" t="s">
        <v>51</v>
      </c>
      <c r="L324">
        <v>1</v>
      </c>
      <c r="M324" t="s">
        <v>52</v>
      </c>
      <c r="N324" t="s">
        <v>53</v>
      </c>
      <c r="R324">
        <v>0.5</v>
      </c>
      <c r="S324">
        <v>0.75</v>
      </c>
      <c r="T324">
        <v>0</v>
      </c>
      <c r="U324">
        <v>0</v>
      </c>
      <c r="V324" s="1">
        <v>46296</v>
      </c>
      <c r="W324" s="1">
        <v>46691</v>
      </c>
      <c r="X324" s="1">
        <v>46295</v>
      </c>
      <c r="Z324" t="s">
        <v>52</v>
      </c>
      <c r="AB324" t="s">
        <v>52</v>
      </c>
      <c r="AC324">
        <v>11</v>
      </c>
      <c r="AD324">
        <v>2</v>
      </c>
      <c r="AK324" t="s">
        <v>52</v>
      </c>
      <c r="AN324" t="s">
        <v>52</v>
      </c>
      <c r="AO324" t="s">
        <v>52</v>
      </c>
      <c r="AP324" t="s">
        <v>52</v>
      </c>
      <c r="AQ324" t="s">
        <v>52</v>
      </c>
      <c r="AR324" t="s">
        <v>55</v>
      </c>
    </row>
    <row r="325" spans="1:45" x14ac:dyDescent="0.25">
      <c r="A325" t="s">
        <v>47</v>
      </c>
      <c r="B325">
        <v>8</v>
      </c>
      <c r="C325" t="s">
        <v>130</v>
      </c>
      <c r="D325">
        <v>23</v>
      </c>
      <c r="E325" t="s">
        <v>49</v>
      </c>
      <c r="F325">
        <v>27</v>
      </c>
      <c r="H325" t="s">
        <v>50</v>
      </c>
      <c r="K325" t="s">
        <v>51</v>
      </c>
      <c r="L325">
        <v>1</v>
      </c>
      <c r="M325" t="s">
        <v>52</v>
      </c>
      <c r="N325" t="s">
        <v>53</v>
      </c>
      <c r="Q325">
        <v>230</v>
      </c>
      <c r="R325">
        <v>0</v>
      </c>
      <c r="S325">
        <v>0.75</v>
      </c>
      <c r="T325">
        <v>0</v>
      </c>
      <c r="U325">
        <v>0</v>
      </c>
      <c r="W325" s="1">
        <v>46675</v>
      </c>
      <c r="X325" s="1">
        <v>46357</v>
      </c>
      <c r="Y325" t="s">
        <v>54</v>
      </c>
      <c r="Z325" t="s">
        <v>52</v>
      </c>
      <c r="AB325" t="s">
        <v>52</v>
      </c>
      <c r="AC325">
        <v>27</v>
      </c>
      <c r="AD325">
        <v>1</v>
      </c>
      <c r="AE325">
        <v>0.97</v>
      </c>
      <c r="AG325">
        <v>0.97</v>
      </c>
      <c r="AK325" t="s">
        <v>52</v>
      </c>
      <c r="AN325" t="s">
        <v>52</v>
      </c>
      <c r="AO325" t="s">
        <v>52</v>
      </c>
      <c r="AP325" t="s">
        <v>52</v>
      </c>
      <c r="AQ325" t="s">
        <v>52</v>
      </c>
      <c r="AR325" t="s">
        <v>55</v>
      </c>
      <c r="AS325" t="s">
        <v>56</v>
      </c>
    </row>
    <row r="326" spans="1:45" x14ac:dyDescent="0.25">
      <c r="A326" t="s">
        <v>47</v>
      </c>
      <c r="B326">
        <v>8</v>
      </c>
      <c r="C326" t="s">
        <v>130</v>
      </c>
      <c r="D326">
        <v>23</v>
      </c>
      <c r="E326" t="s">
        <v>58</v>
      </c>
      <c r="F326">
        <v>102</v>
      </c>
      <c r="G326" t="s">
        <v>62</v>
      </c>
      <c r="H326" t="s">
        <v>50</v>
      </c>
      <c r="K326" t="s">
        <v>51</v>
      </c>
      <c r="L326">
        <v>1</v>
      </c>
      <c r="M326" t="s">
        <v>52</v>
      </c>
      <c r="N326" t="s">
        <v>53</v>
      </c>
      <c r="R326">
        <v>0</v>
      </c>
      <c r="S326">
        <v>0.92</v>
      </c>
      <c r="T326">
        <v>0</v>
      </c>
      <c r="U326">
        <v>0</v>
      </c>
      <c r="W326" s="1">
        <v>46675</v>
      </c>
      <c r="X326" s="1">
        <v>46357</v>
      </c>
      <c r="Z326" t="s">
        <v>52</v>
      </c>
      <c r="AB326" t="s">
        <v>52</v>
      </c>
      <c r="AC326">
        <v>102</v>
      </c>
      <c r="AD326">
        <v>1</v>
      </c>
      <c r="AK326" t="s">
        <v>52</v>
      </c>
      <c r="AN326" t="s">
        <v>52</v>
      </c>
      <c r="AO326" t="s">
        <v>52</v>
      </c>
      <c r="AP326" t="s">
        <v>52</v>
      </c>
      <c r="AQ326" t="s">
        <v>52</v>
      </c>
      <c r="AR326" t="s">
        <v>55</v>
      </c>
    </row>
    <row r="327" spans="1:45" x14ac:dyDescent="0.25">
      <c r="A327" t="s">
        <v>47</v>
      </c>
      <c r="B327">
        <v>8</v>
      </c>
      <c r="C327" t="s">
        <v>130</v>
      </c>
      <c r="D327">
        <v>23</v>
      </c>
      <c r="E327" t="s">
        <v>58</v>
      </c>
      <c r="F327">
        <v>102</v>
      </c>
      <c r="G327" t="s">
        <v>62</v>
      </c>
      <c r="H327" t="s">
        <v>50</v>
      </c>
      <c r="K327" t="s">
        <v>52</v>
      </c>
      <c r="L327">
        <v>1</v>
      </c>
      <c r="M327" t="s">
        <v>52</v>
      </c>
      <c r="N327" t="s">
        <v>53</v>
      </c>
      <c r="R327">
        <v>0</v>
      </c>
      <c r="S327">
        <v>0.92</v>
      </c>
      <c r="T327">
        <v>0</v>
      </c>
      <c r="U327">
        <v>0</v>
      </c>
      <c r="W327" s="1">
        <v>46675</v>
      </c>
      <c r="X327" s="1">
        <v>46357</v>
      </c>
      <c r="Z327" t="s">
        <v>52</v>
      </c>
      <c r="AB327" t="s">
        <v>52</v>
      </c>
      <c r="AC327">
        <v>102</v>
      </c>
      <c r="AD327">
        <v>1</v>
      </c>
      <c r="AK327" t="s">
        <v>52</v>
      </c>
      <c r="AN327" t="s">
        <v>52</v>
      </c>
      <c r="AO327" t="s">
        <v>52</v>
      </c>
      <c r="AP327" t="s">
        <v>52</v>
      </c>
      <c r="AQ327" t="s">
        <v>52</v>
      </c>
      <c r="AR327" t="s">
        <v>55</v>
      </c>
    </row>
    <row r="328" spans="1:45" x14ac:dyDescent="0.25">
      <c r="A328" t="s">
        <v>47</v>
      </c>
      <c r="B328">
        <v>8</v>
      </c>
      <c r="C328" t="s">
        <v>130</v>
      </c>
      <c r="D328">
        <v>23</v>
      </c>
      <c r="E328" t="s">
        <v>58</v>
      </c>
      <c r="F328">
        <v>102</v>
      </c>
      <c r="G328" t="s">
        <v>64</v>
      </c>
      <c r="H328" t="s">
        <v>50</v>
      </c>
      <c r="K328" t="s">
        <v>51</v>
      </c>
      <c r="L328">
        <v>1</v>
      </c>
      <c r="M328" t="s">
        <v>52</v>
      </c>
      <c r="N328" t="s">
        <v>53</v>
      </c>
      <c r="R328">
        <v>0</v>
      </c>
      <c r="S328">
        <v>0.92</v>
      </c>
      <c r="T328">
        <v>0</v>
      </c>
      <c r="U328">
        <v>0</v>
      </c>
      <c r="W328" s="1">
        <v>46731</v>
      </c>
      <c r="X328" s="1">
        <v>46357</v>
      </c>
      <c r="Z328" t="s">
        <v>52</v>
      </c>
      <c r="AB328" t="s">
        <v>52</v>
      </c>
      <c r="AC328">
        <v>102</v>
      </c>
      <c r="AD328">
        <v>1</v>
      </c>
      <c r="AK328" t="s">
        <v>52</v>
      </c>
      <c r="AN328" t="s">
        <v>52</v>
      </c>
      <c r="AO328" t="s">
        <v>52</v>
      </c>
      <c r="AP328" t="s">
        <v>52</v>
      </c>
      <c r="AQ328" t="s">
        <v>52</v>
      </c>
      <c r="AR328" t="s">
        <v>55</v>
      </c>
    </row>
    <row r="329" spans="1:45" x14ac:dyDescent="0.25">
      <c r="A329" t="s">
        <v>47</v>
      </c>
      <c r="B329">
        <v>8</v>
      </c>
      <c r="C329" t="s">
        <v>130</v>
      </c>
      <c r="D329">
        <v>23</v>
      </c>
      <c r="E329" t="s">
        <v>58</v>
      </c>
      <c r="F329">
        <v>102</v>
      </c>
      <c r="G329" t="s">
        <v>127</v>
      </c>
      <c r="H329" t="s">
        <v>50</v>
      </c>
      <c r="K329" t="s">
        <v>51</v>
      </c>
      <c r="L329">
        <v>1</v>
      </c>
      <c r="M329" t="s">
        <v>52</v>
      </c>
      <c r="N329" t="s">
        <v>53</v>
      </c>
      <c r="R329">
        <v>0</v>
      </c>
      <c r="S329">
        <v>0.92</v>
      </c>
      <c r="T329">
        <v>0</v>
      </c>
      <c r="U329">
        <v>0</v>
      </c>
      <c r="W329" s="1">
        <v>46731</v>
      </c>
      <c r="X329" s="1">
        <v>46357</v>
      </c>
      <c r="Z329" t="s">
        <v>52</v>
      </c>
      <c r="AB329" t="s">
        <v>52</v>
      </c>
      <c r="AC329">
        <v>102</v>
      </c>
      <c r="AD329">
        <v>1</v>
      </c>
      <c r="AK329" t="s">
        <v>52</v>
      </c>
      <c r="AN329" t="s">
        <v>52</v>
      </c>
      <c r="AO329" t="s">
        <v>52</v>
      </c>
      <c r="AP329" t="s">
        <v>52</v>
      </c>
      <c r="AQ329" t="s">
        <v>52</v>
      </c>
      <c r="AR329" t="s">
        <v>55</v>
      </c>
    </row>
    <row r="330" spans="1:45" x14ac:dyDescent="0.25">
      <c r="A330" t="s">
        <v>47</v>
      </c>
      <c r="B330">
        <v>8</v>
      </c>
      <c r="C330" t="s">
        <v>130</v>
      </c>
      <c r="D330">
        <v>23</v>
      </c>
      <c r="E330" t="s">
        <v>58</v>
      </c>
      <c r="F330">
        <v>102</v>
      </c>
      <c r="G330" t="s">
        <v>65</v>
      </c>
      <c r="H330" t="s">
        <v>50</v>
      </c>
      <c r="K330" t="s">
        <v>51</v>
      </c>
      <c r="L330">
        <v>1</v>
      </c>
      <c r="M330" t="s">
        <v>52</v>
      </c>
      <c r="N330" t="s">
        <v>53</v>
      </c>
      <c r="R330">
        <v>0</v>
      </c>
      <c r="S330">
        <v>0.92</v>
      </c>
      <c r="T330">
        <v>0</v>
      </c>
      <c r="U330">
        <v>0</v>
      </c>
      <c r="W330" s="1">
        <v>46731</v>
      </c>
      <c r="X330" s="1">
        <v>46357</v>
      </c>
      <c r="Z330" t="s">
        <v>52</v>
      </c>
      <c r="AB330" t="s">
        <v>52</v>
      </c>
      <c r="AC330">
        <v>102</v>
      </c>
      <c r="AD330">
        <v>1</v>
      </c>
      <c r="AK330" t="s">
        <v>52</v>
      </c>
      <c r="AN330" t="s">
        <v>52</v>
      </c>
      <c r="AO330" t="s">
        <v>52</v>
      </c>
      <c r="AP330" t="s">
        <v>52</v>
      </c>
      <c r="AQ330" t="s">
        <v>52</v>
      </c>
      <c r="AR330" t="s">
        <v>55</v>
      </c>
    </row>
    <row r="331" spans="1:45" x14ac:dyDescent="0.25">
      <c r="A331" t="s">
        <v>47</v>
      </c>
      <c r="B331">
        <v>8</v>
      </c>
      <c r="C331" t="s">
        <v>130</v>
      </c>
      <c r="D331">
        <v>23</v>
      </c>
      <c r="E331" t="s">
        <v>70</v>
      </c>
      <c r="F331">
        <v>296</v>
      </c>
      <c r="G331" t="s">
        <v>71</v>
      </c>
      <c r="H331" t="s">
        <v>50</v>
      </c>
      <c r="K331" t="s">
        <v>51</v>
      </c>
      <c r="L331">
        <v>1</v>
      </c>
      <c r="M331" t="s">
        <v>52</v>
      </c>
      <c r="N331" t="s">
        <v>53</v>
      </c>
      <c r="Q331">
        <v>224.33330000000001</v>
      </c>
      <c r="R331">
        <v>0</v>
      </c>
      <c r="S331">
        <v>0.75</v>
      </c>
      <c r="T331">
        <v>0</v>
      </c>
      <c r="U331">
        <v>0</v>
      </c>
      <c r="W331" s="1">
        <v>46675</v>
      </c>
      <c r="X331" s="1">
        <v>46357</v>
      </c>
      <c r="Y331" t="s">
        <v>54</v>
      </c>
      <c r="Z331" t="s">
        <v>52</v>
      </c>
      <c r="AB331" t="s">
        <v>52</v>
      </c>
      <c r="AC331">
        <v>296</v>
      </c>
      <c r="AD331">
        <v>1</v>
      </c>
      <c r="AK331" t="s">
        <v>52</v>
      </c>
      <c r="AN331" t="s">
        <v>52</v>
      </c>
      <c r="AO331" t="s">
        <v>52</v>
      </c>
      <c r="AP331" t="s">
        <v>52</v>
      </c>
      <c r="AQ331" t="s">
        <v>52</v>
      </c>
      <c r="AR331" t="s">
        <v>55</v>
      </c>
    </row>
    <row r="332" spans="1:45" x14ac:dyDescent="0.25">
      <c r="A332" t="s">
        <v>47</v>
      </c>
      <c r="B332">
        <v>8</v>
      </c>
      <c r="C332" t="s">
        <v>130</v>
      </c>
      <c r="D332">
        <v>23</v>
      </c>
      <c r="E332" t="s">
        <v>70</v>
      </c>
      <c r="F332">
        <v>296</v>
      </c>
      <c r="G332" t="s">
        <v>73</v>
      </c>
      <c r="H332" t="s">
        <v>50</v>
      </c>
      <c r="K332" t="s">
        <v>51</v>
      </c>
      <c r="L332">
        <v>1</v>
      </c>
      <c r="M332" t="s">
        <v>52</v>
      </c>
      <c r="N332" t="s">
        <v>53</v>
      </c>
      <c r="R332">
        <v>0</v>
      </c>
      <c r="S332">
        <v>0.75</v>
      </c>
      <c r="U332">
        <v>0</v>
      </c>
      <c r="W332" s="1">
        <v>46660</v>
      </c>
      <c r="X332" s="1">
        <v>46357</v>
      </c>
      <c r="Z332" t="s">
        <v>52</v>
      </c>
      <c r="AB332" t="s">
        <v>52</v>
      </c>
      <c r="AC332">
        <v>296</v>
      </c>
      <c r="AD332">
        <v>1</v>
      </c>
      <c r="AK332" t="s">
        <v>52</v>
      </c>
      <c r="AN332" t="s">
        <v>52</v>
      </c>
      <c r="AO332" t="s">
        <v>52</v>
      </c>
      <c r="AP332" t="s">
        <v>52</v>
      </c>
      <c r="AQ332" t="s">
        <v>52</v>
      </c>
      <c r="AR332" t="s">
        <v>55</v>
      </c>
    </row>
    <row r="333" spans="1:45" x14ac:dyDescent="0.25">
      <c r="A333" t="s">
        <v>47</v>
      </c>
      <c r="B333">
        <v>8</v>
      </c>
      <c r="C333" t="s">
        <v>130</v>
      </c>
      <c r="D333">
        <v>23</v>
      </c>
      <c r="E333" t="s">
        <v>70</v>
      </c>
      <c r="F333">
        <v>296</v>
      </c>
      <c r="G333" t="s">
        <v>74</v>
      </c>
      <c r="H333" t="s">
        <v>50</v>
      </c>
      <c r="K333" t="s">
        <v>51</v>
      </c>
      <c r="L333">
        <v>1</v>
      </c>
      <c r="M333" t="s">
        <v>52</v>
      </c>
      <c r="N333" t="s">
        <v>53</v>
      </c>
      <c r="R333">
        <v>0</v>
      </c>
      <c r="S333">
        <v>0.75</v>
      </c>
      <c r="T333">
        <v>0</v>
      </c>
      <c r="U333">
        <v>0</v>
      </c>
      <c r="W333" s="1">
        <v>46675</v>
      </c>
      <c r="X333" s="1">
        <v>46357</v>
      </c>
      <c r="Z333" t="s">
        <v>52</v>
      </c>
      <c r="AB333" t="s">
        <v>52</v>
      </c>
      <c r="AC333">
        <v>102</v>
      </c>
      <c r="AD333">
        <v>1</v>
      </c>
      <c r="AK333" t="s">
        <v>52</v>
      </c>
      <c r="AN333" t="s">
        <v>52</v>
      </c>
      <c r="AO333" t="s">
        <v>52</v>
      </c>
      <c r="AP333" t="s">
        <v>52</v>
      </c>
      <c r="AQ333" t="s">
        <v>52</v>
      </c>
      <c r="AR333" t="s">
        <v>55</v>
      </c>
    </row>
    <row r="334" spans="1:45" x14ac:dyDescent="0.25">
      <c r="A334" t="s">
        <v>47</v>
      </c>
      <c r="B334">
        <v>8</v>
      </c>
      <c r="C334" t="s">
        <v>130</v>
      </c>
      <c r="D334">
        <v>23</v>
      </c>
      <c r="E334" t="s">
        <v>70</v>
      </c>
      <c r="F334">
        <v>296</v>
      </c>
      <c r="G334" t="s">
        <v>122</v>
      </c>
      <c r="H334" t="s">
        <v>50</v>
      </c>
      <c r="K334" t="s">
        <v>51</v>
      </c>
      <c r="L334">
        <v>1</v>
      </c>
      <c r="M334" t="s">
        <v>52</v>
      </c>
      <c r="N334" t="s">
        <v>53</v>
      </c>
      <c r="R334">
        <v>0</v>
      </c>
      <c r="S334">
        <v>0.75</v>
      </c>
      <c r="U334">
        <v>0</v>
      </c>
      <c r="W334" s="1">
        <v>46660</v>
      </c>
      <c r="X334" s="1">
        <v>46357</v>
      </c>
      <c r="Z334" t="s">
        <v>52</v>
      </c>
      <c r="AB334" t="s">
        <v>52</v>
      </c>
      <c r="AC334">
        <v>102</v>
      </c>
      <c r="AD334">
        <v>1</v>
      </c>
      <c r="AK334" t="s">
        <v>52</v>
      </c>
      <c r="AN334" t="s">
        <v>52</v>
      </c>
      <c r="AO334" t="s">
        <v>52</v>
      </c>
      <c r="AP334" t="s">
        <v>52</v>
      </c>
      <c r="AQ334" t="s">
        <v>52</v>
      </c>
      <c r="AR334" t="s">
        <v>55</v>
      </c>
    </row>
    <row r="335" spans="1:45" x14ac:dyDescent="0.25">
      <c r="A335" t="s">
        <v>47</v>
      </c>
      <c r="B335">
        <v>8</v>
      </c>
      <c r="C335" t="s">
        <v>130</v>
      </c>
      <c r="D335">
        <v>23</v>
      </c>
      <c r="E335" t="s">
        <v>70</v>
      </c>
      <c r="F335">
        <v>296</v>
      </c>
      <c r="G335" t="s">
        <v>91</v>
      </c>
      <c r="H335" t="s">
        <v>50</v>
      </c>
      <c r="K335" t="s">
        <v>51</v>
      </c>
      <c r="L335">
        <v>1</v>
      </c>
      <c r="M335" t="s">
        <v>52</v>
      </c>
      <c r="N335" t="s">
        <v>53</v>
      </c>
      <c r="R335">
        <v>0.5</v>
      </c>
      <c r="S335">
        <v>0.75</v>
      </c>
      <c r="T335">
        <v>0</v>
      </c>
      <c r="U335">
        <v>0</v>
      </c>
      <c r="V335" s="1">
        <v>46583</v>
      </c>
      <c r="W335" s="1">
        <v>46675</v>
      </c>
      <c r="X335" s="1">
        <v>46357</v>
      </c>
      <c r="Z335" t="s">
        <v>52</v>
      </c>
      <c r="AB335" t="s">
        <v>52</v>
      </c>
      <c r="AC335">
        <v>102</v>
      </c>
      <c r="AD335">
        <v>1</v>
      </c>
      <c r="AK335" t="s">
        <v>52</v>
      </c>
      <c r="AN335" t="s">
        <v>52</v>
      </c>
      <c r="AO335" t="s">
        <v>52</v>
      </c>
      <c r="AP335" t="s">
        <v>52</v>
      </c>
      <c r="AQ335" t="s">
        <v>52</v>
      </c>
      <c r="AR335" t="s">
        <v>55</v>
      </c>
    </row>
    <row r="336" spans="1:45" x14ac:dyDescent="0.25">
      <c r="A336" t="s">
        <v>47</v>
      </c>
      <c r="B336">
        <v>8</v>
      </c>
      <c r="C336" t="s">
        <v>130</v>
      </c>
      <c r="D336">
        <v>23</v>
      </c>
      <c r="E336" t="s">
        <v>70</v>
      </c>
      <c r="F336">
        <v>296</v>
      </c>
      <c r="G336" t="s">
        <v>92</v>
      </c>
      <c r="H336" t="s">
        <v>50</v>
      </c>
      <c r="K336" t="s">
        <v>51</v>
      </c>
      <c r="L336">
        <v>1</v>
      </c>
      <c r="M336" t="s">
        <v>52</v>
      </c>
      <c r="N336" t="s">
        <v>53</v>
      </c>
      <c r="R336">
        <v>0.5</v>
      </c>
      <c r="S336">
        <v>0.75</v>
      </c>
      <c r="T336">
        <v>0</v>
      </c>
      <c r="U336">
        <v>0</v>
      </c>
      <c r="V336" s="1">
        <v>46583</v>
      </c>
      <c r="W336" s="1">
        <v>46675</v>
      </c>
      <c r="X336" s="1">
        <v>46357</v>
      </c>
      <c r="Z336" t="s">
        <v>52</v>
      </c>
      <c r="AB336" t="s">
        <v>52</v>
      </c>
      <c r="AC336">
        <v>102</v>
      </c>
      <c r="AD336">
        <v>1</v>
      </c>
      <c r="AK336" t="s">
        <v>52</v>
      </c>
      <c r="AN336" t="s">
        <v>52</v>
      </c>
      <c r="AO336" t="s">
        <v>52</v>
      </c>
      <c r="AP336" t="s">
        <v>52</v>
      </c>
      <c r="AQ336" t="s">
        <v>52</v>
      </c>
      <c r="AR336" t="s">
        <v>55</v>
      </c>
    </row>
    <row r="337" spans="1:45" x14ac:dyDescent="0.25">
      <c r="A337" t="s">
        <v>47</v>
      </c>
      <c r="B337">
        <v>8</v>
      </c>
      <c r="C337" t="s">
        <v>130</v>
      </c>
      <c r="D337">
        <v>23</v>
      </c>
      <c r="E337" t="s">
        <v>75</v>
      </c>
      <c r="F337">
        <v>16</v>
      </c>
      <c r="G337" t="s">
        <v>76</v>
      </c>
      <c r="H337" t="s">
        <v>50</v>
      </c>
      <c r="K337" t="s">
        <v>51</v>
      </c>
      <c r="L337">
        <v>1</v>
      </c>
      <c r="M337" t="s">
        <v>52</v>
      </c>
      <c r="N337" t="s">
        <v>53</v>
      </c>
      <c r="R337">
        <v>0.5</v>
      </c>
      <c r="S337">
        <v>0.75</v>
      </c>
      <c r="T337">
        <v>0</v>
      </c>
      <c r="U337">
        <v>0</v>
      </c>
      <c r="V337" s="1">
        <v>46583</v>
      </c>
      <c r="W337" s="1">
        <v>46691</v>
      </c>
      <c r="X337" s="1">
        <v>46461</v>
      </c>
      <c r="Z337" t="s">
        <v>52</v>
      </c>
      <c r="AB337" t="s">
        <v>52</v>
      </c>
      <c r="AC337">
        <v>16</v>
      </c>
      <c r="AD337">
        <v>2</v>
      </c>
      <c r="AK337" t="s">
        <v>52</v>
      </c>
      <c r="AN337" t="s">
        <v>52</v>
      </c>
      <c r="AO337" t="s">
        <v>52</v>
      </c>
      <c r="AP337" t="s">
        <v>52</v>
      </c>
      <c r="AQ337" t="s">
        <v>52</v>
      </c>
      <c r="AR337" t="s">
        <v>55</v>
      </c>
    </row>
    <row r="338" spans="1:45" x14ac:dyDescent="0.25">
      <c r="A338" t="s">
        <v>47</v>
      </c>
      <c r="B338">
        <v>8</v>
      </c>
      <c r="C338" t="s">
        <v>130</v>
      </c>
      <c r="D338">
        <v>23</v>
      </c>
      <c r="E338" t="s">
        <v>77</v>
      </c>
      <c r="F338">
        <v>51</v>
      </c>
      <c r="G338" t="s">
        <v>78</v>
      </c>
      <c r="H338" t="s">
        <v>50</v>
      </c>
      <c r="K338" t="s">
        <v>51</v>
      </c>
      <c r="L338">
        <v>1</v>
      </c>
      <c r="M338" t="s">
        <v>52</v>
      </c>
      <c r="N338" t="s">
        <v>53</v>
      </c>
      <c r="R338">
        <v>0.5</v>
      </c>
      <c r="S338">
        <v>0.73</v>
      </c>
      <c r="U338">
        <v>0</v>
      </c>
      <c r="V338" s="1">
        <v>46583</v>
      </c>
      <c r="W338" s="1">
        <v>46675</v>
      </c>
      <c r="X338" s="1">
        <v>46461</v>
      </c>
      <c r="Z338" t="s">
        <v>52</v>
      </c>
      <c r="AB338" t="s">
        <v>52</v>
      </c>
      <c r="AC338">
        <v>51</v>
      </c>
      <c r="AD338">
        <v>2</v>
      </c>
      <c r="AK338" t="s">
        <v>52</v>
      </c>
      <c r="AN338" t="s">
        <v>52</v>
      </c>
      <c r="AO338" t="s">
        <v>52</v>
      </c>
      <c r="AP338" t="s">
        <v>52</v>
      </c>
      <c r="AQ338" t="s">
        <v>52</v>
      </c>
      <c r="AR338" t="s">
        <v>55</v>
      </c>
      <c r="AS338" t="s">
        <v>60</v>
      </c>
    </row>
    <row r="339" spans="1:45" x14ac:dyDescent="0.25">
      <c r="A339" t="s">
        <v>47</v>
      </c>
      <c r="B339">
        <v>8</v>
      </c>
      <c r="C339" t="s">
        <v>130</v>
      </c>
      <c r="D339">
        <v>23</v>
      </c>
      <c r="E339" t="s">
        <v>79</v>
      </c>
      <c r="F339">
        <v>50</v>
      </c>
      <c r="G339" t="s">
        <v>65</v>
      </c>
      <c r="H339" t="s">
        <v>50</v>
      </c>
      <c r="K339" t="s">
        <v>51</v>
      </c>
      <c r="L339">
        <v>1</v>
      </c>
      <c r="M339" t="s">
        <v>52</v>
      </c>
      <c r="N339" t="s">
        <v>53</v>
      </c>
      <c r="R339">
        <v>0.5</v>
      </c>
      <c r="S339">
        <v>0.75</v>
      </c>
      <c r="U339">
        <v>0</v>
      </c>
      <c r="V339" s="1">
        <v>46583</v>
      </c>
      <c r="W339" s="1">
        <v>46675</v>
      </c>
      <c r="X339" s="1">
        <v>46461</v>
      </c>
      <c r="Z339" t="s">
        <v>52</v>
      </c>
      <c r="AB339" t="s">
        <v>52</v>
      </c>
      <c r="AC339">
        <v>50</v>
      </c>
      <c r="AD339">
        <v>1</v>
      </c>
      <c r="AK339" t="s">
        <v>52</v>
      </c>
      <c r="AN339" t="s">
        <v>52</v>
      </c>
      <c r="AO339" t="s">
        <v>52</v>
      </c>
      <c r="AP339" t="s">
        <v>52</v>
      </c>
      <c r="AQ339" t="s">
        <v>52</v>
      </c>
      <c r="AR339" t="s">
        <v>55</v>
      </c>
    </row>
    <row r="340" spans="1:45" x14ac:dyDescent="0.25">
      <c r="A340" t="s">
        <v>47</v>
      </c>
      <c r="B340">
        <v>8</v>
      </c>
      <c r="C340" t="s">
        <v>130</v>
      </c>
      <c r="D340">
        <v>23</v>
      </c>
      <c r="E340" t="s">
        <v>82</v>
      </c>
      <c r="F340">
        <v>52</v>
      </c>
      <c r="H340" t="s">
        <v>50</v>
      </c>
      <c r="K340" t="s">
        <v>51</v>
      </c>
      <c r="L340">
        <v>1</v>
      </c>
      <c r="M340" t="s">
        <v>52</v>
      </c>
      <c r="N340" t="s">
        <v>53</v>
      </c>
      <c r="R340">
        <v>0.5</v>
      </c>
      <c r="S340">
        <v>0.75</v>
      </c>
      <c r="U340">
        <v>0</v>
      </c>
      <c r="V340" s="1">
        <v>46569</v>
      </c>
      <c r="W340" s="1">
        <v>46675</v>
      </c>
      <c r="X340" s="1">
        <v>46461</v>
      </c>
      <c r="Z340" t="s">
        <v>52</v>
      </c>
      <c r="AB340" t="s">
        <v>52</v>
      </c>
      <c r="AC340">
        <v>50</v>
      </c>
      <c r="AD340">
        <v>1</v>
      </c>
      <c r="AK340" t="s">
        <v>52</v>
      </c>
      <c r="AN340" t="s">
        <v>52</v>
      </c>
      <c r="AO340" t="s">
        <v>52</v>
      </c>
      <c r="AP340" t="s">
        <v>52</v>
      </c>
      <c r="AQ340" t="s">
        <v>52</v>
      </c>
      <c r="AR340" t="s">
        <v>55</v>
      </c>
      <c r="AS340" t="s">
        <v>107</v>
      </c>
    </row>
    <row r="341" spans="1:45" x14ac:dyDescent="0.25">
      <c r="A341" t="s">
        <v>47</v>
      </c>
      <c r="B341">
        <v>8</v>
      </c>
      <c r="C341" t="s">
        <v>130</v>
      </c>
      <c r="D341">
        <v>23</v>
      </c>
      <c r="E341" t="s">
        <v>83</v>
      </c>
      <c r="F341">
        <v>158</v>
      </c>
      <c r="H341" t="s">
        <v>50</v>
      </c>
      <c r="K341" t="s">
        <v>51</v>
      </c>
      <c r="L341">
        <v>1</v>
      </c>
      <c r="M341" t="s">
        <v>52</v>
      </c>
      <c r="N341" t="s">
        <v>53</v>
      </c>
      <c r="P341">
        <v>1.3</v>
      </c>
      <c r="R341">
        <v>0.77</v>
      </c>
      <c r="S341">
        <v>0.93</v>
      </c>
      <c r="U341">
        <v>0</v>
      </c>
      <c r="V341" s="1">
        <v>46522</v>
      </c>
      <c r="W341" s="1">
        <v>46691</v>
      </c>
      <c r="X341" s="1">
        <v>46266</v>
      </c>
      <c r="Z341" t="s">
        <v>52</v>
      </c>
      <c r="AA341" t="s">
        <v>54</v>
      </c>
      <c r="AB341" t="s">
        <v>52</v>
      </c>
      <c r="AC341">
        <v>158</v>
      </c>
      <c r="AD341">
        <v>2</v>
      </c>
      <c r="AK341" t="s">
        <v>52</v>
      </c>
      <c r="AN341" t="s">
        <v>52</v>
      </c>
      <c r="AO341" t="s">
        <v>52</v>
      </c>
      <c r="AP341" t="s">
        <v>52</v>
      </c>
      <c r="AQ341" t="s">
        <v>52</v>
      </c>
      <c r="AR341" t="s">
        <v>95</v>
      </c>
    </row>
    <row r="342" spans="1:45" x14ac:dyDescent="0.25">
      <c r="A342" t="s">
        <v>47</v>
      </c>
      <c r="B342">
        <v>8</v>
      </c>
      <c r="C342" t="s">
        <v>130</v>
      </c>
      <c r="D342">
        <v>23</v>
      </c>
      <c r="E342" t="s">
        <v>84</v>
      </c>
      <c r="F342">
        <v>11</v>
      </c>
      <c r="G342" t="s">
        <v>96</v>
      </c>
      <c r="H342" t="s">
        <v>50</v>
      </c>
      <c r="K342" t="s">
        <v>51</v>
      </c>
      <c r="L342">
        <v>1</v>
      </c>
      <c r="M342" t="s">
        <v>52</v>
      </c>
      <c r="N342" t="s">
        <v>53</v>
      </c>
      <c r="R342">
        <v>0.5</v>
      </c>
      <c r="S342">
        <v>0.75</v>
      </c>
      <c r="T342">
        <v>0</v>
      </c>
      <c r="U342">
        <v>0</v>
      </c>
      <c r="V342" s="1">
        <v>46296</v>
      </c>
      <c r="W342" s="1">
        <v>46691</v>
      </c>
      <c r="X342" s="1">
        <v>46295</v>
      </c>
      <c r="Z342" t="s">
        <v>52</v>
      </c>
      <c r="AB342" t="s">
        <v>52</v>
      </c>
      <c r="AC342">
        <v>11</v>
      </c>
      <c r="AD342">
        <v>2</v>
      </c>
      <c r="AK342" t="s">
        <v>52</v>
      </c>
      <c r="AN342" t="s">
        <v>52</v>
      </c>
      <c r="AO342" t="s">
        <v>52</v>
      </c>
      <c r="AP342" t="s">
        <v>52</v>
      </c>
      <c r="AQ342" t="s">
        <v>52</v>
      </c>
      <c r="AR342" t="s">
        <v>55</v>
      </c>
    </row>
    <row r="343" spans="1:45" x14ac:dyDescent="0.25">
      <c r="A343" t="s">
        <v>47</v>
      </c>
      <c r="B343">
        <v>8</v>
      </c>
      <c r="C343" t="s">
        <v>131</v>
      </c>
      <c r="D343">
        <v>25</v>
      </c>
      <c r="E343" t="s">
        <v>49</v>
      </c>
      <c r="F343">
        <v>27</v>
      </c>
      <c r="H343" t="s">
        <v>50</v>
      </c>
      <c r="K343" t="s">
        <v>51</v>
      </c>
      <c r="L343">
        <v>1</v>
      </c>
      <c r="M343" t="s">
        <v>52</v>
      </c>
      <c r="N343" t="s">
        <v>53</v>
      </c>
      <c r="Q343">
        <v>230</v>
      </c>
      <c r="R343">
        <v>0</v>
      </c>
      <c r="S343">
        <v>0.75</v>
      </c>
      <c r="T343">
        <v>0</v>
      </c>
      <c r="U343">
        <v>0</v>
      </c>
      <c r="W343" s="1">
        <v>46675</v>
      </c>
      <c r="X343" s="1">
        <v>46357</v>
      </c>
      <c r="Y343" t="s">
        <v>54</v>
      </c>
      <c r="Z343" t="s">
        <v>52</v>
      </c>
      <c r="AB343" t="s">
        <v>52</v>
      </c>
      <c r="AC343">
        <v>27</v>
      </c>
      <c r="AD343">
        <v>1</v>
      </c>
      <c r="AE343">
        <v>0.97</v>
      </c>
      <c r="AG343">
        <v>0.97</v>
      </c>
      <c r="AK343" t="s">
        <v>52</v>
      </c>
      <c r="AN343" t="s">
        <v>52</v>
      </c>
      <c r="AO343" t="s">
        <v>52</v>
      </c>
      <c r="AP343" t="s">
        <v>52</v>
      </c>
      <c r="AQ343" t="s">
        <v>52</v>
      </c>
      <c r="AR343" t="s">
        <v>55</v>
      </c>
      <c r="AS343" t="s">
        <v>56</v>
      </c>
    </row>
    <row r="344" spans="1:45" x14ac:dyDescent="0.25">
      <c r="A344" t="s">
        <v>47</v>
      </c>
      <c r="B344">
        <v>8</v>
      </c>
      <c r="C344" t="s">
        <v>131</v>
      </c>
      <c r="D344">
        <v>25</v>
      </c>
      <c r="E344" t="s">
        <v>49</v>
      </c>
      <c r="F344">
        <v>27</v>
      </c>
      <c r="H344" t="s">
        <v>50</v>
      </c>
      <c r="K344" t="s">
        <v>52</v>
      </c>
      <c r="L344">
        <v>1</v>
      </c>
      <c r="M344" t="s">
        <v>52</v>
      </c>
      <c r="N344" t="s">
        <v>53</v>
      </c>
      <c r="Q344">
        <v>230</v>
      </c>
      <c r="R344">
        <v>0</v>
      </c>
      <c r="S344">
        <v>0.75</v>
      </c>
      <c r="T344">
        <v>0</v>
      </c>
      <c r="U344">
        <v>0</v>
      </c>
      <c r="W344" s="1">
        <v>46675</v>
      </c>
      <c r="X344" s="1">
        <v>46357</v>
      </c>
      <c r="Y344" t="s">
        <v>54</v>
      </c>
      <c r="Z344" t="s">
        <v>52</v>
      </c>
      <c r="AB344" t="s">
        <v>52</v>
      </c>
      <c r="AC344">
        <v>27</v>
      </c>
      <c r="AD344">
        <v>1</v>
      </c>
      <c r="AE344">
        <v>0.97</v>
      </c>
      <c r="AG344">
        <v>0.97</v>
      </c>
      <c r="AK344" t="s">
        <v>52</v>
      </c>
      <c r="AN344" t="s">
        <v>52</v>
      </c>
      <c r="AO344" t="s">
        <v>52</v>
      </c>
      <c r="AP344" t="s">
        <v>52</v>
      </c>
      <c r="AQ344" t="s">
        <v>52</v>
      </c>
      <c r="AR344" t="s">
        <v>55</v>
      </c>
      <c r="AS344" t="s">
        <v>57</v>
      </c>
    </row>
    <row r="345" spans="1:45" x14ac:dyDescent="0.25">
      <c r="A345" t="s">
        <v>47</v>
      </c>
      <c r="B345">
        <v>8</v>
      </c>
      <c r="C345" t="s">
        <v>131</v>
      </c>
      <c r="D345">
        <v>25</v>
      </c>
      <c r="E345" t="s">
        <v>87</v>
      </c>
      <c r="F345">
        <v>91</v>
      </c>
      <c r="G345" t="s">
        <v>76</v>
      </c>
      <c r="H345" t="s">
        <v>50</v>
      </c>
      <c r="K345" t="s">
        <v>51</v>
      </c>
      <c r="L345">
        <v>1</v>
      </c>
      <c r="M345" t="s">
        <v>52</v>
      </c>
      <c r="N345" t="s">
        <v>53</v>
      </c>
      <c r="R345">
        <v>0.77</v>
      </c>
      <c r="S345">
        <v>0.93</v>
      </c>
      <c r="T345">
        <v>0</v>
      </c>
      <c r="U345">
        <v>0</v>
      </c>
      <c r="V345" s="1">
        <v>46548</v>
      </c>
      <c r="W345" s="1">
        <v>46691</v>
      </c>
      <c r="X345" s="1">
        <v>46295</v>
      </c>
      <c r="Z345" t="s">
        <v>52</v>
      </c>
      <c r="AB345" t="s">
        <v>52</v>
      </c>
      <c r="AC345">
        <v>91</v>
      </c>
      <c r="AD345">
        <v>2</v>
      </c>
      <c r="AK345" t="s">
        <v>52</v>
      </c>
      <c r="AN345" t="s">
        <v>52</v>
      </c>
      <c r="AO345" t="s">
        <v>52</v>
      </c>
      <c r="AP345" t="s">
        <v>52</v>
      </c>
      <c r="AQ345" t="s">
        <v>52</v>
      </c>
      <c r="AR345" t="s">
        <v>55</v>
      </c>
    </row>
    <row r="346" spans="1:45" x14ac:dyDescent="0.25">
      <c r="A346" t="s">
        <v>47</v>
      </c>
      <c r="B346">
        <v>8</v>
      </c>
      <c r="C346" t="s">
        <v>131</v>
      </c>
      <c r="D346">
        <v>25</v>
      </c>
      <c r="E346" t="s">
        <v>87</v>
      </c>
      <c r="F346">
        <v>91</v>
      </c>
      <c r="G346" t="s">
        <v>103</v>
      </c>
      <c r="H346" t="s">
        <v>50</v>
      </c>
      <c r="K346" t="s">
        <v>51</v>
      </c>
      <c r="L346">
        <v>1</v>
      </c>
      <c r="M346" t="s">
        <v>52</v>
      </c>
      <c r="N346" t="s">
        <v>53</v>
      </c>
      <c r="R346">
        <v>0.77</v>
      </c>
      <c r="S346">
        <v>0.93</v>
      </c>
      <c r="T346">
        <v>0</v>
      </c>
      <c r="U346">
        <v>0</v>
      </c>
      <c r="V346" s="1">
        <v>46326</v>
      </c>
      <c r="W346" s="1">
        <v>46691</v>
      </c>
      <c r="X346" s="1">
        <v>46295</v>
      </c>
      <c r="Z346" t="s">
        <v>52</v>
      </c>
      <c r="AB346" t="s">
        <v>52</v>
      </c>
      <c r="AC346">
        <v>91</v>
      </c>
      <c r="AD346">
        <v>2</v>
      </c>
      <c r="AK346" t="s">
        <v>52</v>
      </c>
      <c r="AN346" t="s">
        <v>52</v>
      </c>
      <c r="AO346" t="s">
        <v>52</v>
      </c>
      <c r="AP346" t="s">
        <v>52</v>
      </c>
      <c r="AQ346" t="s">
        <v>52</v>
      </c>
      <c r="AR346" t="s">
        <v>55</v>
      </c>
      <c r="AS346" t="s">
        <v>60</v>
      </c>
    </row>
    <row r="347" spans="1:45" x14ac:dyDescent="0.25">
      <c r="A347" t="s">
        <v>47</v>
      </c>
      <c r="B347">
        <v>8</v>
      </c>
      <c r="C347" t="s">
        <v>131</v>
      </c>
      <c r="D347">
        <v>25</v>
      </c>
      <c r="E347" t="s">
        <v>132</v>
      </c>
      <c r="F347">
        <v>47</v>
      </c>
      <c r="G347" t="s">
        <v>133</v>
      </c>
      <c r="H347" t="s">
        <v>50</v>
      </c>
      <c r="K347" t="s">
        <v>51</v>
      </c>
      <c r="L347">
        <v>1</v>
      </c>
      <c r="M347" t="s">
        <v>52</v>
      </c>
      <c r="N347" t="s">
        <v>53</v>
      </c>
      <c r="R347">
        <v>0.63</v>
      </c>
      <c r="S347">
        <v>0.8</v>
      </c>
      <c r="T347">
        <v>0</v>
      </c>
      <c r="U347">
        <v>0</v>
      </c>
      <c r="V347" s="1">
        <v>46558</v>
      </c>
      <c r="W347" s="1">
        <v>46691</v>
      </c>
      <c r="X347" s="1">
        <v>46461</v>
      </c>
      <c r="Z347" t="s">
        <v>52</v>
      </c>
      <c r="AB347" t="s">
        <v>52</v>
      </c>
      <c r="AC347">
        <v>47</v>
      </c>
      <c r="AD347">
        <v>1</v>
      </c>
      <c r="AK347" t="s">
        <v>52</v>
      </c>
      <c r="AN347" t="s">
        <v>52</v>
      </c>
      <c r="AO347" t="s">
        <v>52</v>
      </c>
      <c r="AP347" t="s">
        <v>52</v>
      </c>
      <c r="AQ347" t="s">
        <v>52</v>
      </c>
      <c r="AR347" t="s">
        <v>55</v>
      </c>
    </row>
    <row r="348" spans="1:45" x14ac:dyDescent="0.25">
      <c r="A348" t="s">
        <v>47</v>
      </c>
      <c r="B348">
        <v>8</v>
      </c>
      <c r="C348" t="s">
        <v>131</v>
      </c>
      <c r="D348">
        <v>25</v>
      </c>
      <c r="E348" t="s">
        <v>58</v>
      </c>
      <c r="F348">
        <v>102</v>
      </c>
      <c r="G348" t="s">
        <v>62</v>
      </c>
      <c r="H348" t="s">
        <v>50</v>
      </c>
      <c r="K348" t="s">
        <v>52</v>
      </c>
      <c r="L348">
        <v>1</v>
      </c>
      <c r="M348" t="s">
        <v>52</v>
      </c>
      <c r="N348" t="s">
        <v>53</v>
      </c>
      <c r="R348">
        <v>0</v>
      </c>
      <c r="S348">
        <v>0.92</v>
      </c>
      <c r="T348">
        <v>0</v>
      </c>
      <c r="U348">
        <v>0</v>
      </c>
      <c r="W348" s="1">
        <v>46731</v>
      </c>
      <c r="X348" s="1">
        <v>46357</v>
      </c>
      <c r="Z348" t="s">
        <v>52</v>
      </c>
      <c r="AB348" t="s">
        <v>52</v>
      </c>
      <c r="AC348">
        <v>102</v>
      </c>
      <c r="AD348">
        <v>1</v>
      </c>
      <c r="AK348" t="s">
        <v>52</v>
      </c>
      <c r="AN348" t="s">
        <v>52</v>
      </c>
      <c r="AO348" t="s">
        <v>52</v>
      </c>
      <c r="AP348" t="s">
        <v>52</v>
      </c>
      <c r="AQ348" t="s">
        <v>52</v>
      </c>
      <c r="AR348" t="s">
        <v>55</v>
      </c>
    </row>
    <row r="349" spans="1:45" x14ac:dyDescent="0.25">
      <c r="A349" t="s">
        <v>47</v>
      </c>
      <c r="B349">
        <v>8</v>
      </c>
      <c r="C349" t="s">
        <v>131</v>
      </c>
      <c r="D349">
        <v>25</v>
      </c>
      <c r="E349" t="s">
        <v>68</v>
      </c>
      <c r="F349">
        <v>80</v>
      </c>
      <c r="G349" t="s">
        <v>69</v>
      </c>
      <c r="H349" t="s">
        <v>50</v>
      </c>
      <c r="K349" t="s">
        <v>51</v>
      </c>
      <c r="L349">
        <v>1</v>
      </c>
      <c r="M349" t="s">
        <v>52</v>
      </c>
      <c r="N349" t="s">
        <v>53</v>
      </c>
      <c r="R349">
        <v>0.5</v>
      </c>
      <c r="S349">
        <v>0.75</v>
      </c>
      <c r="U349">
        <v>0</v>
      </c>
      <c r="V349" s="1">
        <v>46583</v>
      </c>
      <c r="W349" s="1">
        <v>46675</v>
      </c>
      <c r="X349" s="1">
        <v>46461</v>
      </c>
      <c r="Z349" t="s">
        <v>52</v>
      </c>
      <c r="AB349" t="s">
        <v>52</v>
      </c>
      <c r="AC349">
        <v>80</v>
      </c>
      <c r="AD349">
        <v>1</v>
      </c>
      <c r="AK349" t="s">
        <v>52</v>
      </c>
      <c r="AN349" t="s">
        <v>52</v>
      </c>
      <c r="AO349" t="s">
        <v>52</v>
      </c>
      <c r="AP349" t="s">
        <v>52</v>
      </c>
      <c r="AQ349" t="s">
        <v>52</v>
      </c>
      <c r="AR349" t="s">
        <v>55</v>
      </c>
    </row>
    <row r="350" spans="1:45" x14ac:dyDescent="0.25">
      <c r="A350" t="s">
        <v>47</v>
      </c>
      <c r="B350">
        <v>8</v>
      </c>
      <c r="C350" t="s">
        <v>131</v>
      </c>
      <c r="D350">
        <v>25</v>
      </c>
      <c r="E350" t="s">
        <v>70</v>
      </c>
      <c r="F350">
        <v>296</v>
      </c>
      <c r="G350" t="s">
        <v>71</v>
      </c>
      <c r="H350" t="s">
        <v>50</v>
      </c>
      <c r="K350" t="s">
        <v>51</v>
      </c>
      <c r="L350">
        <v>1</v>
      </c>
      <c r="M350" t="s">
        <v>52</v>
      </c>
      <c r="N350" t="s">
        <v>53</v>
      </c>
      <c r="Q350">
        <v>224.33330000000001</v>
      </c>
      <c r="R350">
        <v>0</v>
      </c>
      <c r="S350">
        <v>0.75</v>
      </c>
      <c r="T350">
        <v>0</v>
      </c>
      <c r="U350">
        <v>0</v>
      </c>
      <c r="W350" s="1">
        <v>46675</v>
      </c>
      <c r="X350" s="1">
        <v>46357</v>
      </c>
      <c r="Y350" t="s">
        <v>54</v>
      </c>
      <c r="Z350" t="s">
        <v>52</v>
      </c>
      <c r="AB350" t="s">
        <v>52</v>
      </c>
      <c r="AC350">
        <v>296</v>
      </c>
      <c r="AD350">
        <v>1</v>
      </c>
      <c r="AK350" t="s">
        <v>52</v>
      </c>
      <c r="AN350" t="s">
        <v>52</v>
      </c>
      <c r="AO350" t="s">
        <v>52</v>
      </c>
      <c r="AP350" t="s">
        <v>52</v>
      </c>
      <c r="AQ350" t="s">
        <v>52</v>
      </c>
      <c r="AR350" t="s">
        <v>55</v>
      </c>
    </row>
    <row r="351" spans="1:45" x14ac:dyDescent="0.25">
      <c r="A351" t="s">
        <v>47</v>
      </c>
      <c r="B351">
        <v>8</v>
      </c>
      <c r="C351" t="s">
        <v>131</v>
      </c>
      <c r="D351">
        <v>25</v>
      </c>
      <c r="E351" t="s">
        <v>70</v>
      </c>
      <c r="F351">
        <v>296</v>
      </c>
      <c r="G351" t="s">
        <v>71</v>
      </c>
      <c r="H351" t="s">
        <v>50</v>
      </c>
      <c r="K351" t="s">
        <v>52</v>
      </c>
      <c r="L351">
        <v>1</v>
      </c>
      <c r="M351" t="s">
        <v>52</v>
      </c>
      <c r="N351" t="s">
        <v>53</v>
      </c>
      <c r="Q351">
        <v>224.33330000000001</v>
      </c>
      <c r="R351">
        <v>0</v>
      </c>
      <c r="S351">
        <v>0.75</v>
      </c>
      <c r="U351">
        <v>0</v>
      </c>
      <c r="W351" s="1">
        <v>46675</v>
      </c>
      <c r="X351" s="1">
        <v>46357</v>
      </c>
      <c r="Y351" t="s">
        <v>54</v>
      </c>
      <c r="Z351" t="s">
        <v>52</v>
      </c>
      <c r="AB351" t="s">
        <v>52</v>
      </c>
      <c r="AC351">
        <v>296</v>
      </c>
      <c r="AD351">
        <v>1</v>
      </c>
      <c r="AK351" t="s">
        <v>52</v>
      </c>
      <c r="AN351" t="s">
        <v>52</v>
      </c>
      <c r="AO351" t="s">
        <v>52</v>
      </c>
      <c r="AP351" t="s">
        <v>52</v>
      </c>
      <c r="AQ351" t="s">
        <v>52</v>
      </c>
      <c r="AR351" t="s">
        <v>55</v>
      </c>
    </row>
    <row r="352" spans="1:45" x14ac:dyDescent="0.25">
      <c r="A352" t="s">
        <v>47</v>
      </c>
      <c r="B352">
        <v>8</v>
      </c>
      <c r="C352" t="s">
        <v>131</v>
      </c>
      <c r="D352">
        <v>25</v>
      </c>
      <c r="E352" t="s">
        <v>70</v>
      </c>
      <c r="F352">
        <v>296</v>
      </c>
      <c r="G352" t="s">
        <v>74</v>
      </c>
      <c r="H352" t="s">
        <v>50</v>
      </c>
      <c r="K352" t="s">
        <v>51</v>
      </c>
      <c r="L352">
        <v>1</v>
      </c>
      <c r="M352" t="s">
        <v>52</v>
      </c>
      <c r="N352" t="s">
        <v>53</v>
      </c>
      <c r="R352">
        <v>0</v>
      </c>
      <c r="S352">
        <v>0.75</v>
      </c>
      <c r="T352">
        <v>0</v>
      </c>
      <c r="U352">
        <v>0</v>
      </c>
      <c r="W352" s="1">
        <v>46675</v>
      </c>
      <c r="X352" s="1">
        <v>46357</v>
      </c>
      <c r="Z352" t="s">
        <v>52</v>
      </c>
      <c r="AB352" t="s">
        <v>52</v>
      </c>
      <c r="AC352">
        <v>102</v>
      </c>
      <c r="AD352">
        <v>1</v>
      </c>
      <c r="AK352" t="s">
        <v>52</v>
      </c>
      <c r="AN352" t="s">
        <v>52</v>
      </c>
      <c r="AO352" t="s">
        <v>52</v>
      </c>
      <c r="AP352" t="s">
        <v>52</v>
      </c>
      <c r="AQ352" t="s">
        <v>52</v>
      </c>
      <c r="AR352" t="s">
        <v>55</v>
      </c>
    </row>
    <row r="353" spans="1:45" x14ac:dyDescent="0.25">
      <c r="A353" t="s">
        <v>47</v>
      </c>
      <c r="B353">
        <v>8</v>
      </c>
      <c r="C353" t="s">
        <v>131</v>
      </c>
      <c r="D353">
        <v>25</v>
      </c>
      <c r="E353" t="s">
        <v>70</v>
      </c>
      <c r="F353">
        <v>296</v>
      </c>
      <c r="G353" t="s">
        <v>74</v>
      </c>
      <c r="H353" t="s">
        <v>50</v>
      </c>
      <c r="K353" t="s">
        <v>52</v>
      </c>
      <c r="L353">
        <v>1</v>
      </c>
      <c r="M353" t="s">
        <v>52</v>
      </c>
      <c r="N353" t="s">
        <v>53</v>
      </c>
      <c r="R353">
        <v>0</v>
      </c>
      <c r="S353">
        <v>0.75</v>
      </c>
      <c r="T353">
        <v>0</v>
      </c>
      <c r="U353">
        <v>0</v>
      </c>
      <c r="W353" s="1">
        <v>46675</v>
      </c>
      <c r="X353" s="1">
        <v>46357</v>
      </c>
      <c r="Z353" t="s">
        <v>52</v>
      </c>
      <c r="AB353" t="s">
        <v>52</v>
      </c>
      <c r="AC353">
        <v>102</v>
      </c>
      <c r="AD353">
        <v>1</v>
      </c>
      <c r="AK353" t="s">
        <v>52</v>
      </c>
      <c r="AN353" t="s">
        <v>52</v>
      </c>
      <c r="AO353" t="s">
        <v>52</v>
      </c>
      <c r="AP353" t="s">
        <v>52</v>
      </c>
      <c r="AQ353" t="s">
        <v>52</v>
      </c>
      <c r="AR353" t="s">
        <v>55</v>
      </c>
    </row>
    <row r="354" spans="1:45" x14ac:dyDescent="0.25">
      <c r="A354" t="s">
        <v>47</v>
      </c>
      <c r="B354">
        <v>8</v>
      </c>
      <c r="C354" t="s">
        <v>131</v>
      </c>
      <c r="D354">
        <v>25</v>
      </c>
      <c r="E354" t="s">
        <v>70</v>
      </c>
      <c r="F354">
        <v>296</v>
      </c>
      <c r="G354" t="s">
        <v>90</v>
      </c>
      <c r="H354" t="s">
        <v>50</v>
      </c>
      <c r="K354" t="s">
        <v>51</v>
      </c>
      <c r="L354">
        <v>1</v>
      </c>
      <c r="M354" t="s">
        <v>52</v>
      </c>
      <c r="N354" t="s">
        <v>53</v>
      </c>
      <c r="R354">
        <v>0.5</v>
      </c>
      <c r="S354">
        <v>0.75</v>
      </c>
      <c r="T354">
        <v>0</v>
      </c>
      <c r="U354">
        <v>0</v>
      </c>
      <c r="V354" s="1">
        <v>46593</v>
      </c>
      <c r="W354" s="1">
        <v>46675</v>
      </c>
      <c r="X354" s="1">
        <v>46357</v>
      </c>
      <c r="Z354" t="s">
        <v>52</v>
      </c>
      <c r="AB354" t="s">
        <v>52</v>
      </c>
      <c r="AC354">
        <v>102</v>
      </c>
      <c r="AD354">
        <v>1</v>
      </c>
      <c r="AK354" t="s">
        <v>52</v>
      </c>
      <c r="AN354" t="s">
        <v>52</v>
      </c>
      <c r="AO354" t="s">
        <v>52</v>
      </c>
      <c r="AP354" t="s">
        <v>52</v>
      </c>
      <c r="AQ354" t="s">
        <v>52</v>
      </c>
      <c r="AR354" t="s">
        <v>55</v>
      </c>
    </row>
    <row r="355" spans="1:45" x14ac:dyDescent="0.25">
      <c r="A355" t="s">
        <v>47</v>
      </c>
      <c r="B355">
        <v>8</v>
      </c>
      <c r="C355" t="s">
        <v>131</v>
      </c>
      <c r="D355">
        <v>25</v>
      </c>
      <c r="E355" t="s">
        <v>70</v>
      </c>
      <c r="F355">
        <v>296</v>
      </c>
      <c r="G355" t="s">
        <v>124</v>
      </c>
      <c r="H355" t="s">
        <v>50</v>
      </c>
      <c r="K355" t="s">
        <v>52</v>
      </c>
      <c r="L355">
        <v>1</v>
      </c>
      <c r="M355" t="s">
        <v>52</v>
      </c>
      <c r="N355" t="s">
        <v>53</v>
      </c>
      <c r="R355">
        <v>0</v>
      </c>
      <c r="S355">
        <v>0.75</v>
      </c>
      <c r="T355">
        <v>0</v>
      </c>
      <c r="U355">
        <v>0</v>
      </c>
      <c r="W355" s="1">
        <v>46675</v>
      </c>
      <c r="X355" s="1">
        <v>46357</v>
      </c>
      <c r="Z355" t="s">
        <v>52</v>
      </c>
      <c r="AB355" t="s">
        <v>52</v>
      </c>
      <c r="AC355">
        <v>102</v>
      </c>
      <c r="AD355">
        <v>1</v>
      </c>
      <c r="AK355" t="s">
        <v>52</v>
      </c>
      <c r="AN355" t="s">
        <v>52</v>
      </c>
      <c r="AO355" t="s">
        <v>52</v>
      </c>
      <c r="AP355" t="s">
        <v>52</v>
      </c>
      <c r="AQ355" t="s">
        <v>52</v>
      </c>
      <c r="AR355" t="s">
        <v>55</v>
      </c>
    </row>
    <row r="356" spans="1:45" x14ac:dyDescent="0.25">
      <c r="A356" t="s">
        <v>47</v>
      </c>
      <c r="B356">
        <v>8</v>
      </c>
      <c r="C356" t="s">
        <v>131</v>
      </c>
      <c r="D356">
        <v>25</v>
      </c>
      <c r="E356" t="s">
        <v>75</v>
      </c>
      <c r="F356">
        <v>16</v>
      </c>
      <c r="G356" t="s">
        <v>76</v>
      </c>
      <c r="H356" t="s">
        <v>50</v>
      </c>
      <c r="K356" t="s">
        <v>51</v>
      </c>
      <c r="L356">
        <v>1</v>
      </c>
      <c r="M356" t="s">
        <v>52</v>
      </c>
      <c r="N356" t="s">
        <v>53</v>
      </c>
      <c r="R356">
        <v>0.5</v>
      </c>
      <c r="S356">
        <v>0.75</v>
      </c>
      <c r="T356">
        <v>0</v>
      </c>
      <c r="U356">
        <v>0</v>
      </c>
      <c r="V356" s="1">
        <v>46522</v>
      </c>
      <c r="W356" s="1">
        <v>46691</v>
      </c>
      <c r="X356" s="1">
        <v>46461</v>
      </c>
      <c r="Z356" t="s">
        <v>52</v>
      </c>
      <c r="AB356" t="s">
        <v>52</v>
      </c>
      <c r="AC356">
        <v>16</v>
      </c>
      <c r="AD356">
        <v>2</v>
      </c>
      <c r="AK356" t="s">
        <v>52</v>
      </c>
      <c r="AN356" t="s">
        <v>52</v>
      </c>
      <c r="AO356" t="s">
        <v>52</v>
      </c>
      <c r="AP356" t="s">
        <v>52</v>
      </c>
      <c r="AQ356" t="s">
        <v>52</v>
      </c>
      <c r="AR356" t="s">
        <v>55</v>
      </c>
    </row>
    <row r="357" spans="1:45" x14ac:dyDescent="0.25">
      <c r="A357" t="s">
        <v>47</v>
      </c>
      <c r="B357">
        <v>8</v>
      </c>
      <c r="C357" t="s">
        <v>131</v>
      </c>
      <c r="D357">
        <v>25</v>
      </c>
      <c r="E357" t="s">
        <v>77</v>
      </c>
      <c r="F357">
        <v>51</v>
      </c>
      <c r="G357" t="s">
        <v>78</v>
      </c>
      <c r="H357" t="s">
        <v>50</v>
      </c>
      <c r="K357" t="s">
        <v>51</v>
      </c>
      <c r="L357">
        <v>1</v>
      </c>
      <c r="M357" t="s">
        <v>52</v>
      </c>
      <c r="N357" t="s">
        <v>53</v>
      </c>
      <c r="R357">
        <v>0.5</v>
      </c>
      <c r="S357">
        <v>0.73</v>
      </c>
      <c r="T357">
        <v>0</v>
      </c>
      <c r="U357">
        <v>0</v>
      </c>
      <c r="V357" s="1">
        <v>46569</v>
      </c>
      <c r="W357" s="1">
        <v>46675</v>
      </c>
      <c r="X357" s="1">
        <v>46461</v>
      </c>
      <c r="Z357" t="s">
        <v>52</v>
      </c>
      <c r="AB357" t="s">
        <v>52</v>
      </c>
      <c r="AC357">
        <v>51</v>
      </c>
      <c r="AD357">
        <v>2</v>
      </c>
      <c r="AK357" t="s">
        <v>52</v>
      </c>
      <c r="AN357" t="s">
        <v>52</v>
      </c>
      <c r="AO357" t="s">
        <v>52</v>
      </c>
      <c r="AP357" t="s">
        <v>52</v>
      </c>
      <c r="AQ357" t="s">
        <v>52</v>
      </c>
      <c r="AR357" t="s">
        <v>55</v>
      </c>
    </row>
    <row r="358" spans="1:45" x14ac:dyDescent="0.25">
      <c r="A358" t="s">
        <v>47</v>
      </c>
      <c r="B358">
        <v>8</v>
      </c>
      <c r="C358" t="s">
        <v>131</v>
      </c>
      <c r="D358">
        <v>25</v>
      </c>
      <c r="E358" t="s">
        <v>77</v>
      </c>
      <c r="F358">
        <v>51</v>
      </c>
      <c r="G358" t="s">
        <v>78</v>
      </c>
      <c r="H358" t="s">
        <v>50</v>
      </c>
      <c r="K358" t="s">
        <v>52</v>
      </c>
      <c r="L358">
        <v>1</v>
      </c>
      <c r="M358" t="s">
        <v>52</v>
      </c>
      <c r="N358" t="s">
        <v>53</v>
      </c>
      <c r="R358">
        <v>0.5</v>
      </c>
      <c r="S358">
        <v>0.73</v>
      </c>
      <c r="T358">
        <v>0</v>
      </c>
      <c r="U358">
        <v>0</v>
      </c>
      <c r="V358" s="1">
        <v>46569</v>
      </c>
      <c r="W358" s="1">
        <v>46675</v>
      </c>
      <c r="X358" s="1">
        <v>46461</v>
      </c>
      <c r="Z358" t="s">
        <v>52</v>
      </c>
      <c r="AB358" t="s">
        <v>52</v>
      </c>
      <c r="AC358">
        <v>51</v>
      </c>
      <c r="AD358">
        <v>2</v>
      </c>
      <c r="AK358" t="s">
        <v>52</v>
      </c>
      <c r="AN358" t="s">
        <v>52</v>
      </c>
      <c r="AO358" t="s">
        <v>52</v>
      </c>
      <c r="AP358" t="s">
        <v>52</v>
      </c>
      <c r="AQ358" t="s">
        <v>52</v>
      </c>
      <c r="AR358" t="s">
        <v>55</v>
      </c>
    </row>
    <row r="359" spans="1:45" x14ac:dyDescent="0.25">
      <c r="A359" t="s">
        <v>47</v>
      </c>
      <c r="B359">
        <v>8</v>
      </c>
      <c r="C359" t="s">
        <v>131</v>
      </c>
      <c r="D359">
        <v>25</v>
      </c>
      <c r="E359" t="s">
        <v>79</v>
      </c>
      <c r="F359">
        <v>50</v>
      </c>
      <c r="G359" t="s">
        <v>81</v>
      </c>
      <c r="H359" t="s">
        <v>50</v>
      </c>
      <c r="K359" t="s">
        <v>51</v>
      </c>
      <c r="L359">
        <v>1</v>
      </c>
      <c r="M359" t="s">
        <v>52</v>
      </c>
      <c r="N359" t="s">
        <v>53</v>
      </c>
      <c r="R359">
        <v>0.5</v>
      </c>
      <c r="S359">
        <v>0.75</v>
      </c>
      <c r="T359">
        <v>0</v>
      </c>
      <c r="U359">
        <v>0</v>
      </c>
      <c r="V359" s="1">
        <v>46583</v>
      </c>
      <c r="W359" s="1">
        <v>46675</v>
      </c>
      <c r="X359" s="1">
        <v>46461</v>
      </c>
      <c r="Z359" t="s">
        <v>52</v>
      </c>
      <c r="AB359" t="s">
        <v>52</v>
      </c>
      <c r="AC359">
        <v>50</v>
      </c>
      <c r="AD359">
        <v>1</v>
      </c>
      <c r="AK359" t="s">
        <v>52</v>
      </c>
      <c r="AN359" t="s">
        <v>52</v>
      </c>
      <c r="AO359" t="s">
        <v>52</v>
      </c>
      <c r="AP359" t="s">
        <v>52</v>
      </c>
      <c r="AQ359" t="s">
        <v>52</v>
      </c>
      <c r="AR359" t="s">
        <v>55</v>
      </c>
    </row>
    <row r="360" spans="1:45" x14ac:dyDescent="0.25">
      <c r="A360" t="s">
        <v>47</v>
      </c>
      <c r="B360">
        <v>8</v>
      </c>
      <c r="C360" t="s">
        <v>131</v>
      </c>
      <c r="D360">
        <v>25</v>
      </c>
      <c r="E360" t="s">
        <v>79</v>
      </c>
      <c r="F360">
        <v>50</v>
      </c>
      <c r="G360" t="s">
        <v>81</v>
      </c>
      <c r="H360" t="s">
        <v>50</v>
      </c>
      <c r="K360" t="s">
        <v>52</v>
      </c>
      <c r="L360">
        <v>1</v>
      </c>
      <c r="M360" t="s">
        <v>52</v>
      </c>
      <c r="N360" t="s">
        <v>53</v>
      </c>
      <c r="R360">
        <v>0.5</v>
      </c>
      <c r="S360">
        <v>0.75</v>
      </c>
      <c r="T360">
        <v>0</v>
      </c>
      <c r="U360">
        <v>0</v>
      </c>
      <c r="V360" s="1">
        <v>46583</v>
      </c>
      <c r="W360" s="1">
        <v>46675</v>
      </c>
      <c r="X360" s="1">
        <v>46461</v>
      </c>
      <c r="Z360" t="s">
        <v>52</v>
      </c>
      <c r="AB360" t="s">
        <v>52</v>
      </c>
      <c r="AC360">
        <v>50</v>
      </c>
      <c r="AD360">
        <v>1</v>
      </c>
      <c r="AK360" t="s">
        <v>52</v>
      </c>
      <c r="AN360" t="s">
        <v>52</v>
      </c>
      <c r="AO360" t="s">
        <v>52</v>
      </c>
      <c r="AP360" t="s">
        <v>52</v>
      </c>
      <c r="AQ360" t="s">
        <v>52</v>
      </c>
      <c r="AR360" t="s">
        <v>55</v>
      </c>
    </row>
    <row r="361" spans="1:45" x14ac:dyDescent="0.25">
      <c r="A361" t="s">
        <v>47</v>
      </c>
      <c r="B361">
        <v>8</v>
      </c>
      <c r="C361" t="s">
        <v>131</v>
      </c>
      <c r="D361">
        <v>25</v>
      </c>
      <c r="E361" t="s">
        <v>82</v>
      </c>
      <c r="F361">
        <v>52</v>
      </c>
      <c r="H361" t="s">
        <v>50</v>
      </c>
      <c r="K361" t="s">
        <v>51</v>
      </c>
      <c r="L361">
        <v>1</v>
      </c>
      <c r="M361" t="s">
        <v>52</v>
      </c>
      <c r="N361" t="s">
        <v>53</v>
      </c>
      <c r="R361">
        <v>0.5</v>
      </c>
      <c r="S361">
        <v>0.75</v>
      </c>
      <c r="U361">
        <v>0</v>
      </c>
      <c r="V361" s="1">
        <v>46569</v>
      </c>
      <c r="W361" s="1">
        <v>46675</v>
      </c>
      <c r="X361" s="1">
        <v>46461</v>
      </c>
      <c r="Z361" t="s">
        <v>52</v>
      </c>
      <c r="AB361" t="s">
        <v>52</v>
      </c>
      <c r="AC361">
        <v>50</v>
      </c>
      <c r="AD361">
        <v>1</v>
      </c>
      <c r="AK361" t="s">
        <v>52</v>
      </c>
      <c r="AN361" t="s">
        <v>52</v>
      </c>
      <c r="AO361" t="s">
        <v>52</v>
      </c>
      <c r="AP361" t="s">
        <v>52</v>
      </c>
      <c r="AQ361" t="s">
        <v>52</v>
      </c>
      <c r="AR361" t="s">
        <v>55</v>
      </c>
    </row>
    <row r="362" spans="1:45" x14ac:dyDescent="0.25">
      <c r="A362" t="s">
        <v>47</v>
      </c>
      <c r="B362">
        <v>8</v>
      </c>
      <c r="C362" t="s">
        <v>131</v>
      </c>
      <c r="D362">
        <v>25</v>
      </c>
      <c r="E362" t="s">
        <v>82</v>
      </c>
      <c r="F362">
        <v>52</v>
      </c>
      <c r="H362" t="s">
        <v>50</v>
      </c>
      <c r="K362" t="s">
        <v>52</v>
      </c>
      <c r="L362">
        <v>1</v>
      </c>
      <c r="M362" t="s">
        <v>52</v>
      </c>
      <c r="N362" t="s">
        <v>53</v>
      </c>
      <c r="R362">
        <v>0.5</v>
      </c>
      <c r="S362">
        <v>0.75</v>
      </c>
      <c r="U362">
        <v>0</v>
      </c>
      <c r="V362" s="1">
        <v>46569</v>
      </c>
      <c r="W362" s="1">
        <v>46675</v>
      </c>
      <c r="X362" s="1">
        <v>46461</v>
      </c>
      <c r="Z362" t="s">
        <v>52</v>
      </c>
      <c r="AB362" t="s">
        <v>52</v>
      </c>
      <c r="AC362">
        <v>50</v>
      </c>
      <c r="AD362">
        <v>1</v>
      </c>
      <c r="AK362" t="s">
        <v>52</v>
      </c>
      <c r="AN362" t="s">
        <v>52</v>
      </c>
      <c r="AO362" t="s">
        <v>52</v>
      </c>
      <c r="AP362" t="s">
        <v>52</v>
      </c>
      <c r="AQ362" t="s">
        <v>52</v>
      </c>
      <c r="AR362" t="s">
        <v>55</v>
      </c>
    </row>
    <row r="363" spans="1:45" x14ac:dyDescent="0.25">
      <c r="A363" t="s">
        <v>47</v>
      </c>
      <c r="B363">
        <v>8</v>
      </c>
      <c r="C363" t="s">
        <v>131</v>
      </c>
      <c r="D363">
        <v>25</v>
      </c>
      <c r="E363" t="s">
        <v>83</v>
      </c>
      <c r="F363">
        <v>158</v>
      </c>
      <c r="H363" t="s">
        <v>50</v>
      </c>
      <c r="K363" t="s">
        <v>51</v>
      </c>
      <c r="L363">
        <v>1</v>
      </c>
      <c r="M363" t="s">
        <v>52</v>
      </c>
      <c r="N363" t="s">
        <v>53</v>
      </c>
      <c r="P363">
        <v>1.41</v>
      </c>
      <c r="R363">
        <v>0.77</v>
      </c>
      <c r="S363">
        <v>0.93</v>
      </c>
      <c r="T363">
        <v>0</v>
      </c>
      <c r="U363">
        <v>0</v>
      </c>
      <c r="V363" s="1">
        <v>46522</v>
      </c>
      <c r="W363" s="1">
        <v>46691</v>
      </c>
      <c r="X363" s="1">
        <v>46266</v>
      </c>
      <c r="Z363" t="s">
        <v>52</v>
      </c>
      <c r="AA363" t="s">
        <v>54</v>
      </c>
      <c r="AB363" t="s">
        <v>52</v>
      </c>
      <c r="AC363">
        <v>158</v>
      </c>
      <c r="AD363">
        <v>2</v>
      </c>
      <c r="AK363" t="s">
        <v>52</v>
      </c>
      <c r="AN363" t="s">
        <v>52</v>
      </c>
      <c r="AO363" t="s">
        <v>52</v>
      </c>
      <c r="AP363" t="s">
        <v>52</v>
      </c>
      <c r="AQ363" t="s">
        <v>52</v>
      </c>
      <c r="AR363" t="s">
        <v>95</v>
      </c>
    </row>
    <row r="364" spans="1:45" x14ac:dyDescent="0.25">
      <c r="A364" t="s">
        <v>47</v>
      </c>
      <c r="B364">
        <v>8</v>
      </c>
      <c r="C364" t="s">
        <v>131</v>
      </c>
      <c r="D364">
        <v>25</v>
      </c>
      <c r="E364" t="s">
        <v>83</v>
      </c>
      <c r="F364">
        <v>158</v>
      </c>
      <c r="H364" t="s">
        <v>50</v>
      </c>
      <c r="K364" t="s">
        <v>52</v>
      </c>
      <c r="L364">
        <v>1</v>
      </c>
      <c r="M364" t="s">
        <v>52</v>
      </c>
      <c r="N364" t="s">
        <v>53</v>
      </c>
      <c r="R364">
        <v>0.77</v>
      </c>
      <c r="S364">
        <v>0.93</v>
      </c>
      <c r="U364">
        <v>0</v>
      </c>
      <c r="V364" s="1">
        <v>46326</v>
      </c>
      <c r="W364" s="1">
        <v>46691</v>
      </c>
      <c r="X364" s="1">
        <v>46266</v>
      </c>
      <c r="Z364" t="s">
        <v>52</v>
      </c>
      <c r="AB364" t="s">
        <v>52</v>
      </c>
      <c r="AC364">
        <v>158</v>
      </c>
      <c r="AD364">
        <v>2</v>
      </c>
      <c r="AK364" t="s">
        <v>52</v>
      </c>
      <c r="AN364" t="s">
        <v>52</v>
      </c>
      <c r="AO364" t="s">
        <v>52</v>
      </c>
      <c r="AP364" t="s">
        <v>52</v>
      </c>
      <c r="AQ364" t="s">
        <v>52</v>
      </c>
      <c r="AR364" t="s">
        <v>55</v>
      </c>
    </row>
    <row r="365" spans="1:45" x14ac:dyDescent="0.25">
      <c r="A365" t="s">
        <v>47</v>
      </c>
      <c r="B365">
        <v>8</v>
      </c>
      <c r="C365" t="s">
        <v>131</v>
      </c>
      <c r="D365">
        <v>25</v>
      </c>
      <c r="E365" t="s">
        <v>84</v>
      </c>
      <c r="F365">
        <v>11</v>
      </c>
      <c r="G365" t="s">
        <v>85</v>
      </c>
      <c r="H365" t="s">
        <v>50</v>
      </c>
      <c r="K365" t="s">
        <v>51</v>
      </c>
      <c r="L365">
        <v>1</v>
      </c>
      <c r="M365" t="s">
        <v>52</v>
      </c>
      <c r="N365" t="s">
        <v>53</v>
      </c>
      <c r="R365">
        <v>0.5</v>
      </c>
      <c r="S365">
        <v>0.75</v>
      </c>
      <c r="T365">
        <v>0</v>
      </c>
      <c r="U365">
        <v>0</v>
      </c>
      <c r="V365" s="1">
        <v>46522</v>
      </c>
      <c r="W365" s="1">
        <v>46691</v>
      </c>
      <c r="X365" s="1">
        <v>46295</v>
      </c>
      <c r="Z365" t="s">
        <v>52</v>
      </c>
      <c r="AB365" t="s">
        <v>52</v>
      </c>
      <c r="AC365">
        <v>11</v>
      </c>
      <c r="AD365">
        <v>2</v>
      </c>
      <c r="AK365" t="s">
        <v>52</v>
      </c>
      <c r="AN365" t="s">
        <v>52</v>
      </c>
      <c r="AO365" t="s">
        <v>52</v>
      </c>
      <c r="AP365" t="s">
        <v>52</v>
      </c>
      <c r="AQ365" t="s">
        <v>52</v>
      </c>
      <c r="AR365" t="s">
        <v>55</v>
      </c>
    </row>
    <row r="366" spans="1:45" x14ac:dyDescent="0.25">
      <c r="A366" t="s">
        <v>47</v>
      </c>
      <c r="B366">
        <v>8</v>
      </c>
      <c r="C366" t="s">
        <v>131</v>
      </c>
      <c r="D366">
        <v>25</v>
      </c>
      <c r="E366" t="s">
        <v>84</v>
      </c>
      <c r="F366">
        <v>11</v>
      </c>
      <c r="G366" t="s">
        <v>96</v>
      </c>
      <c r="H366" t="s">
        <v>50</v>
      </c>
      <c r="K366" t="s">
        <v>51</v>
      </c>
      <c r="L366">
        <v>1</v>
      </c>
      <c r="M366" t="s">
        <v>52</v>
      </c>
      <c r="N366" t="s">
        <v>53</v>
      </c>
      <c r="R366">
        <v>0.5</v>
      </c>
      <c r="S366">
        <v>0.75</v>
      </c>
      <c r="T366">
        <v>0</v>
      </c>
      <c r="U366">
        <v>0</v>
      </c>
      <c r="V366" s="1">
        <v>46300</v>
      </c>
      <c r="W366" s="1">
        <v>46691</v>
      </c>
      <c r="X366" s="1">
        <v>46295</v>
      </c>
      <c r="Z366" t="s">
        <v>52</v>
      </c>
      <c r="AB366" t="s">
        <v>52</v>
      </c>
      <c r="AC366">
        <v>11</v>
      </c>
      <c r="AD366">
        <v>2</v>
      </c>
      <c r="AK366" t="s">
        <v>52</v>
      </c>
      <c r="AN366" t="s">
        <v>52</v>
      </c>
      <c r="AO366" t="s">
        <v>52</v>
      </c>
      <c r="AP366" t="s">
        <v>52</v>
      </c>
      <c r="AQ366" t="s">
        <v>52</v>
      </c>
      <c r="AR366" t="s">
        <v>55</v>
      </c>
    </row>
    <row r="367" spans="1:45" x14ac:dyDescent="0.25">
      <c r="A367" t="s">
        <v>47</v>
      </c>
      <c r="B367">
        <v>8</v>
      </c>
      <c r="C367" t="s">
        <v>134</v>
      </c>
      <c r="D367">
        <v>27</v>
      </c>
      <c r="E367" t="s">
        <v>49</v>
      </c>
      <c r="F367">
        <v>27</v>
      </c>
      <c r="H367" t="s">
        <v>50</v>
      </c>
      <c r="K367" t="s">
        <v>51</v>
      </c>
      <c r="L367">
        <v>1</v>
      </c>
      <c r="M367" t="s">
        <v>52</v>
      </c>
      <c r="N367" t="s">
        <v>53</v>
      </c>
      <c r="Q367">
        <v>230</v>
      </c>
      <c r="R367">
        <v>0</v>
      </c>
      <c r="S367">
        <v>0.75</v>
      </c>
      <c r="T367">
        <v>0</v>
      </c>
      <c r="U367">
        <v>0</v>
      </c>
      <c r="W367" s="1">
        <v>46675</v>
      </c>
      <c r="X367" s="1">
        <v>46357</v>
      </c>
      <c r="Y367" t="s">
        <v>54</v>
      </c>
      <c r="Z367" t="s">
        <v>52</v>
      </c>
      <c r="AB367" t="s">
        <v>52</v>
      </c>
      <c r="AC367">
        <v>27</v>
      </c>
      <c r="AD367">
        <v>1</v>
      </c>
      <c r="AE367">
        <v>0.97</v>
      </c>
      <c r="AG367">
        <v>0.97</v>
      </c>
      <c r="AK367" t="s">
        <v>52</v>
      </c>
      <c r="AN367" t="s">
        <v>52</v>
      </c>
      <c r="AO367" t="s">
        <v>52</v>
      </c>
      <c r="AP367" t="s">
        <v>52</v>
      </c>
      <c r="AQ367" t="s">
        <v>52</v>
      </c>
      <c r="AR367" t="s">
        <v>55</v>
      </c>
      <c r="AS367" t="s">
        <v>56</v>
      </c>
    </row>
    <row r="368" spans="1:45" x14ac:dyDescent="0.25">
      <c r="A368" t="s">
        <v>47</v>
      </c>
      <c r="B368">
        <v>8</v>
      </c>
      <c r="C368" t="s">
        <v>134</v>
      </c>
      <c r="D368">
        <v>27</v>
      </c>
      <c r="E368" t="s">
        <v>49</v>
      </c>
      <c r="F368">
        <v>27</v>
      </c>
      <c r="H368" t="s">
        <v>50</v>
      </c>
      <c r="K368" t="s">
        <v>52</v>
      </c>
      <c r="L368">
        <v>1</v>
      </c>
      <c r="M368" t="s">
        <v>52</v>
      </c>
      <c r="N368" t="s">
        <v>53</v>
      </c>
      <c r="Q368">
        <v>230</v>
      </c>
      <c r="R368">
        <v>0</v>
      </c>
      <c r="S368">
        <v>0.75</v>
      </c>
      <c r="U368">
        <v>0</v>
      </c>
      <c r="W368" s="1">
        <v>46675</v>
      </c>
      <c r="X368" s="1">
        <v>46357</v>
      </c>
      <c r="Y368" t="s">
        <v>54</v>
      </c>
      <c r="Z368" t="s">
        <v>52</v>
      </c>
      <c r="AB368" t="s">
        <v>52</v>
      </c>
      <c r="AC368">
        <v>27</v>
      </c>
      <c r="AD368">
        <v>1</v>
      </c>
      <c r="AE368">
        <v>0.97</v>
      </c>
      <c r="AG368">
        <v>0.97</v>
      </c>
      <c r="AK368" t="s">
        <v>52</v>
      </c>
      <c r="AN368" t="s">
        <v>52</v>
      </c>
      <c r="AO368" t="s">
        <v>52</v>
      </c>
      <c r="AP368" t="s">
        <v>52</v>
      </c>
      <c r="AQ368" t="s">
        <v>52</v>
      </c>
      <c r="AR368" t="s">
        <v>55</v>
      </c>
      <c r="AS368" t="s">
        <v>57</v>
      </c>
    </row>
    <row r="369" spans="1:45" x14ac:dyDescent="0.25">
      <c r="A369" t="s">
        <v>47</v>
      </c>
      <c r="B369">
        <v>8</v>
      </c>
      <c r="C369" t="s">
        <v>134</v>
      </c>
      <c r="D369">
        <v>27</v>
      </c>
      <c r="E369" t="s">
        <v>58</v>
      </c>
      <c r="F369">
        <v>102</v>
      </c>
      <c r="G369" t="s">
        <v>62</v>
      </c>
      <c r="H369" t="s">
        <v>50</v>
      </c>
      <c r="K369" t="s">
        <v>51</v>
      </c>
      <c r="L369">
        <v>1</v>
      </c>
      <c r="M369" t="s">
        <v>52</v>
      </c>
      <c r="N369" t="s">
        <v>53</v>
      </c>
      <c r="R369">
        <v>0</v>
      </c>
      <c r="S369">
        <v>0.92</v>
      </c>
      <c r="T369">
        <v>0</v>
      </c>
      <c r="U369">
        <v>0</v>
      </c>
      <c r="W369" s="1">
        <v>46731</v>
      </c>
      <c r="X369" s="1">
        <v>46357</v>
      </c>
      <c r="Z369" t="s">
        <v>52</v>
      </c>
      <c r="AB369" t="s">
        <v>52</v>
      </c>
      <c r="AC369">
        <v>102</v>
      </c>
      <c r="AD369">
        <v>1</v>
      </c>
      <c r="AK369" t="s">
        <v>52</v>
      </c>
      <c r="AN369" t="s">
        <v>52</v>
      </c>
      <c r="AO369" t="s">
        <v>52</v>
      </c>
      <c r="AP369" t="s">
        <v>52</v>
      </c>
      <c r="AQ369" t="s">
        <v>52</v>
      </c>
      <c r="AR369" t="s">
        <v>55</v>
      </c>
    </row>
    <row r="370" spans="1:45" x14ac:dyDescent="0.25">
      <c r="A370" t="s">
        <v>47</v>
      </c>
      <c r="B370">
        <v>8</v>
      </c>
      <c r="C370" t="s">
        <v>134</v>
      </c>
      <c r="D370">
        <v>27</v>
      </c>
      <c r="E370" t="s">
        <v>58</v>
      </c>
      <c r="F370">
        <v>102</v>
      </c>
      <c r="G370" t="s">
        <v>62</v>
      </c>
      <c r="H370" t="s">
        <v>50</v>
      </c>
      <c r="K370" t="s">
        <v>52</v>
      </c>
      <c r="L370">
        <v>1</v>
      </c>
      <c r="M370" t="s">
        <v>52</v>
      </c>
      <c r="N370" t="s">
        <v>53</v>
      </c>
      <c r="R370">
        <v>0</v>
      </c>
      <c r="S370">
        <v>0.92</v>
      </c>
      <c r="T370">
        <v>0</v>
      </c>
      <c r="U370">
        <v>0</v>
      </c>
      <c r="W370" s="1">
        <v>46731</v>
      </c>
      <c r="X370" s="1">
        <v>46357</v>
      </c>
      <c r="Z370" t="s">
        <v>52</v>
      </c>
      <c r="AB370" t="s">
        <v>52</v>
      </c>
      <c r="AC370">
        <v>102</v>
      </c>
      <c r="AD370">
        <v>1</v>
      </c>
      <c r="AK370" t="s">
        <v>52</v>
      </c>
      <c r="AN370" t="s">
        <v>52</v>
      </c>
      <c r="AO370" t="s">
        <v>52</v>
      </c>
      <c r="AP370" t="s">
        <v>52</v>
      </c>
      <c r="AQ370" t="s">
        <v>52</v>
      </c>
      <c r="AR370" t="s">
        <v>55</v>
      </c>
    </row>
    <row r="371" spans="1:45" x14ac:dyDescent="0.25">
      <c r="A371" t="s">
        <v>47</v>
      </c>
      <c r="B371">
        <v>8</v>
      </c>
      <c r="C371" t="s">
        <v>134</v>
      </c>
      <c r="D371">
        <v>27</v>
      </c>
      <c r="E371" t="s">
        <v>58</v>
      </c>
      <c r="F371">
        <v>102</v>
      </c>
      <c r="G371" t="s">
        <v>67</v>
      </c>
      <c r="H371" t="s">
        <v>50</v>
      </c>
      <c r="K371" t="s">
        <v>51</v>
      </c>
      <c r="L371">
        <v>1</v>
      </c>
      <c r="M371" t="s">
        <v>52</v>
      </c>
      <c r="N371" t="s">
        <v>53</v>
      </c>
      <c r="R371">
        <v>0</v>
      </c>
      <c r="S371">
        <v>0.92</v>
      </c>
      <c r="T371">
        <v>0</v>
      </c>
      <c r="U371">
        <v>0</v>
      </c>
      <c r="W371" s="1">
        <v>46731</v>
      </c>
      <c r="X371" s="1">
        <v>46357</v>
      </c>
      <c r="Z371" t="s">
        <v>52</v>
      </c>
      <c r="AB371" t="s">
        <v>52</v>
      </c>
      <c r="AC371">
        <v>102</v>
      </c>
      <c r="AD371">
        <v>1</v>
      </c>
      <c r="AK371" t="s">
        <v>52</v>
      </c>
      <c r="AN371" t="s">
        <v>52</v>
      </c>
      <c r="AO371" t="s">
        <v>52</v>
      </c>
      <c r="AP371" t="s">
        <v>52</v>
      </c>
      <c r="AQ371" t="s">
        <v>52</v>
      </c>
      <c r="AR371" t="s">
        <v>55</v>
      </c>
    </row>
    <row r="372" spans="1:45" x14ac:dyDescent="0.25">
      <c r="A372" t="s">
        <v>47</v>
      </c>
      <c r="B372">
        <v>8</v>
      </c>
      <c r="C372" t="s">
        <v>134</v>
      </c>
      <c r="D372">
        <v>27</v>
      </c>
      <c r="E372" t="s">
        <v>58</v>
      </c>
      <c r="F372">
        <v>102</v>
      </c>
      <c r="G372" t="s">
        <v>67</v>
      </c>
      <c r="H372" t="s">
        <v>50</v>
      </c>
      <c r="K372" t="s">
        <v>52</v>
      </c>
      <c r="L372">
        <v>1</v>
      </c>
      <c r="M372" t="s">
        <v>52</v>
      </c>
      <c r="N372" t="s">
        <v>53</v>
      </c>
      <c r="R372">
        <v>0</v>
      </c>
      <c r="S372">
        <v>0.92</v>
      </c>
      <c r="T372">
        <v>0</v>
      </c>
      <c r="U372">
        <v>0</v>
      </c>
      <c r="W372" s="1">
        <v>46731</v>
      </c>
      <c r="X372" s="1">
        <v>46357</v>
      </c>
      <c r="Z372" t="s">
        <v>52</v>
      </c>
      <c r="AB372" t="s">
        <v>52</v>
      </c>
      <c r="AC372">
        <v>102</v>
      </c>
      <c r="AD372">
        <v>1</v>
      </c>
      <c r="AK372" t="s">
        <v>52</v>
      </c>
      <c r="AN372" t="s">
        <v>52</v>
      </c>
      <c r="AO372" t="s">
        <v>52</v>
      </c>
      <c r="AP372" t="s">
        <v>52</v>
      </c>
      <c r="AQ372" t="s">
        <v>52</v>
      </c>
      <c r="AR372" t="s">
        <v>55</v>
      </c>
      <c r="AS372" t="s">
        <v>60</v>
      </c>
    </row>
    <row r="373" spans="1:45" x14ac:dyDescent="0.25">
      <c r="A373" t="s">
        <v>47</v>
      </c>
      <c r="B373">
        <v>8</v>
      </c>
      <c r="C373" t="s">
        <v>134</v>
      </c>
      <c r="D373">
        <v>27</v>
      </c>
      <c r="E373" t="s">
        <v>70</v>
      </c>
      <c r="F373">
        <v>296</v>
      </c>
      <c r="G373" t="s">
        <v>71</v>
      </c>
      <c r="H373" t="s">
        <v>50</v>
      </c>
      <c r="K373" t="s">
        <v>51</v>
      </c>
      <c r="L373">
        <v>1</v>
      </c>
      <c r="M373" t="s">
        <v>52</v>
      </c>
      <c r="N373" t="s">
        <v>53</v>
      </c>
      <c r="Q373">
        <v>224.33330000000001</v>
      </c>
      <c r="R373">
        <v>0</v>
      </c>
      <c r="S373">
        <v>0.75</v>
      </c>
      <c r="T373">
        <v>0</v>
      </c>
      <c r="U373">
        <v>0</v>
      </c>
      <c r="W373" s="1">
        <v>46675</v>
      </c>
      <c r="X373" s="1">
        <v>46357</v>
      </c>
      <c r="Y373" t="s">
        <v>54</v>
      </c>
      <c r="Z373" t="s">
        <v>52</v>
      </c>
      <c r="AB373" t="s">
        <v>52</v>
      </c>
      <c r="AC373">
        <v>296</v>
      </c>
      <c r="AD373">
        <v>1</v>
      </c>
      <c r="AK373" t="s">
        <v>52</v>
      </c>
      <c r="AN373" t="s">
        <v>52</v>
      </c>
      <c r="AO373" t="s">
        <v>52</v>
      </c>
      <c r="AP373" t="s">
        <v>52</v>
      </c>
      <c r="AQ373" t="s">
        <v>52</v>
      </c>
      <c r="AR373" t="s">
        <v>55</v>
      </c>
    </row>
    <row r="374" spans="1:45" x14ac:dyDescent="0.25">
      <c r="A374" t="s">
        <v>47</v>
      </c>
      <c r="B374">
        <v>8</v>
      </c>
      <c r="C374" t="s">
        <v>134</v>
      </c>
      <c r="D374">
        <v>27</v>
      </c>
      <c r="E374" t="s">
        <v>70</v>
      </c>
      <c r="F374">
        <v>296</v>
      </c>
      <c r="G374" t="s">
        <v>71</v>
      </c>
      <c r="H374" t="s">
        <v>50</v>
      </c>
      <c r="K374" t="s">
        <v>52</v>
      </c>
      <c r="L374">
        <v>1</v>
      </c>
      <c r="M374" t="s">
        <v>52</v>
      </c>
      <c r="N374" t="s">
        <v>53</v>
      </c>
      <c r="Q374">
        <v>224.33330000000001</v>
      </c>
      <c r="R374">
        <v>0</v>
      </c>
      <c r="S374">
        <v>0.75</v>
      </c>
      <c r="T374">
        <v>0</v>
      </c>
      <c r="U374">
        <v>0</v>
      </c>
      <c r="W374" s="1">
        <v>46675</v>
      </c>
      <c r="X374" s="1">
        <v>46357</v>
      </c>
      <c r="Y374" t="s">
        <v>54</v>
      </c>
      <c r="Z374" t="s">
        <v>52</v>
      </c>
      <c r="AB374" t="s">
        <v>52</v>
      </c>
      <c r="AC374">
        <v>296</v>
      </c>
      <c r="AD374">
        <v>1</v>
      </c>
      <c r="AK374" t="s">
        <v>52</v>
      </c>
      <c r="AN374" t="s">
        <v>52</v>
      </c>
      <c r="AO374" t="s">
        <v>52</v>
      </c>
      <c r="AP374" t="s">
        <v>52</v>
      </c>
      <c r="AQ374" t="s">
        <v>52</v>
      </c>
      <c r="AR374" t="s">
        <v>55</v>
      </c>
    </row>
    <row r="375" spans="1:45" x14ac:dyDescent="0.25">
      <c r="A375" t="s">
        <v>47</v>
      </c>
      <c r="B375">
        <v>8</v>
      </c>
      <c r="C375" t="s">
        <v>134</v>
      </c>
      <c r="D375">
        <v>27</v>
      </c>
      <c r="E375" t="s">
        <v>70</v>
      </c>
      <c r="F375">
        <v>296</v>
      </c>
      <c r="G375" t="s">
        <v>72</v>
      </c>
      <c r="H375" t="s">
        <v>50</v>
      </c>
      <c r="K375" t="s">
        <v>51</v>
      </c>
      <c r="L375">
        <v>1</v>
      </c>
      <c r="M375" t="s">
        <v>52</v>
      </c>
      <c r="N375" t="s">
        <v>53</v>
      </c>
      <c r="R375">
        <v>0.5</v>
      </c>
      <c r="S375">
        <v>0.75</v>
      </c>
      <c r="U375">
        <v>0</v>
      </c>
      <c r="W375" s="1">
        <v>46675</v>
      </c>
      <c r="X375" s="1">
        <v>46357</v>
      </c>
      <c r="Z375" t="s">
        <v>52</v>
      </c>
      <c r="AB375" t="s">
        <v>52</v>
      </c>
      <c r="AC375">
        <v>296</v>
      </c>
      <c r="AD375">
        <v>1</v>
      </c>
      <c r="AK375" t="s">
        <v>52</v>
      </c>
      <c r="AN375" t="s">
        <v>52</v>
      </c>
      <c r="AO375" t="s">
        <v>52</v>
      </c>
      <c r="AP375" t="s">
        <v>52</v>
      </c>
      <c r="AQ375" t="s">
        <v>52</v>
      </c>
      <c r="AR375" t="s">
        <v>55</v>
      </c>
      <c r="AS375" t="s">
        <v>60</v>
      </c>
    </row>
    <row r="376" spans="1:45" x14ac:dyDescent="0.25">
      <c r="A376" t="s">
        <v>47</v>
      </c>
      <c r="B376">
        <v>8</v>
      </c>
      <c r="C376" t="s">
        <v>134</v>
      </c>
      <c r="D376">
        <v>27</v>
      </c>
      <c r="E376" t="s">
        <v>70</v>
      </c>
      <c r="F376">
        <v>296</v>
      </c>
      <c r="G376" t="s">
        <v>72</v>
      </c>
      <c r="H376" t="s">
        <v>50</v>
      </c>
      <c r="K376" t="s">
        <v>52</v>
      </c>
      <c r="L376">
        <v>1</v>
      </c>
      <c r="M376" t="s">
        <v>52</v>
      </c>
      <c r="N376" t="s">
        <v>53</v>
      </c>
      <c r="R376">
        <v>0.5</v>
      </c>
      <c r="S376">
        <v>0.75</v>
      </c>
      <c r="U376">
        <v>0</v>
      </c>
      <c r="W376" s="1">
        <v>46675</v>
      </c>
      <c r="X376" s="1">
        <v>46357</v>
      </c>
      <c r="Z376" t="s">
        <v>52</v>
      </c>
      <c r="AB376" t="s">
        <v>52</v>
      </c>
      <c r="AC376">
        <v>296</v>
      </c>
      <c r="AD376">
        <v>1</v>
      </c>
      <c r="AK376" t="s">
        <v>52</v>
      </c>
      <c r="AN376" t="s">
        <v>52</v>
      </c>
      <c r="AO376" t="s">
        <v>52</v>
      </c>
      <c r="AP376" t="s">
        <v>52</v>
      </c>
      <c r="AQ376" t="s">
        <v>52</v>
      </c>
      <c r="AR376" t="s">
        <v>55</v>
      </c>
      <c r="AS376" t="s">
        <v>60</v>
      </c>
    </row>
    <row r="377" spans="1:45" x14ac:dyDescent="0.25">
      <c r="A377" t="s">
        <v>47</v>
      </c>
      <c r="B377">
        <v>8</v>
      </c>
      <c r="C377" t="s">
        <v>134</v>
      </c>
      <c r="D377">
        <v>27</v>
      </c>
      <c r="E377" t="s">
        <v>70</v>
      </c>
      <c r="F377">
        <v>296</v>
      </c>
      <c r="G377" t="s">
        <v>74</v>
      </c>
      <c r="H377" t="s">
        <v>50</v>
      </c>
      <c r="K377" t="s">
        <v>51</v>
      </c>
      <c r="L377">
        <v>1</v>
      </c>
      <c r="M377" t="s">
        <v>52</v>
      </c>
      <c r="N377" t="s">
        <v>53</v>
      </c>
      <c r="R377">
        <v>0</v>
      </c>
      <c r="S377">
        <v>0.75</v>
      </c>
      <c r="T377">
        <v>0</v>
      </c>
      <c r="U377">
        <v>0</v>
      </c>
      <c r="W377" s="1">
        <v>46675</v>
      </c>
      <c r="X377" s="1">
        <v>46357</v>
      </c>
      <c r="Z377" t="s">
        <v>52</v>
      </c>
      <c r="AB377" t="s">
        <v>52</v>
      </c>
      <c r="AC377">
        <v>102</v>
      </c>
      <c r="AD377">
        <v>1</v>
      </c>
      <c r="AK377" t="s">
        <v>52</v>
      </c>
      <c r="AN377" t="s">
        <v>52</v>
      </c>
      <c r="AO377" t="s">
        <v>52</v>
      </c>
      <c r="AP377" t="s">
        <v>52</v>
      </c>
      <c r="AQ377" t="s">
        <v>52</v>
      </c>
      <c r="AR377" t="s">
        <v>55</v>
      </c>
    </row>
    <row r="378" spans="1:45" x14ac:dyDescent="0.25">
      <c r="A378" t="s">
        <v>47</v>
      </c>
      <c r="B378">
        <v>8</v>
      </c>
      <c r="C378" t="s">
        <v>134</v>
      </c>
      <c r="D378">
        <v>27</v>
      </c>
      <c r="E378" t="s">
        <v>70</v>
      </c>
      <c r="F378">
        <v>296</v>
      </c>
      <c r="G378" t="s">
        <v>74</v>
      </c>
      <c r="H378" t="s">
        <v>50</v>
      </c>
      <c r="K378" t="s">
        <v>52</v>
      </c>
      <c r="L378">
        <v>1</v>
      </c>
      <c r="M378" t="s">
        <v>52</v>
      </c>
      <c r="N378" t="s">
        <v>53</v>
      </c>
      <c r="R378">
        <v>0</v>
      </c>
      <c r="S378">
        <v>0.75</v>
      </c>
      <c r="T378">
        <v>0</v>
      </c>
      <c r="U378">
        <v>0</v>
      </c>
      <c r="W378" s="1">
        <v>46675</v>
      </c>
      <c r="X378" s="1">
        <v>46357</v>
      </c>
      <c r="Z378" t="s">
        <v>52</v>
      </c>
      <c r="AB378" t="s">
        <v>52</v>
      </c>
      <c r="AC378">
        <v>102</v>
      </c>
      <c r="AD378">
        <v>1</v>
      </c>
      <c r="AK378" t="s">
        <v>52</v>
      </c>
      <c r="AN378" t="s">
        <v>52</v>
      </c>
      <c r="AO378" t="s">
        <v>52</v>
      </c>
      <c r="AP378" t="s">
        <v>52</v>
      </c>
      <c r="AQ378" t="s">
        <v>52</v>
      </c>
      <c r="AR378" t="s">
        <v>55</v>
      </c>
      <c r="AS378" t="s">
        <v>106</v>
      </c>
    </row>
    <row r="379" spans="1:45" x14ac:dyDescent="0.25">
      <c r="A379" t="s">
        <v>47</v>
      </c>
      <c r="B379">
        <v>8</v>
      </c>
      <c r="C379" t="s">
        <v>134</v>
      </c>
      <c r="D379">
        <v>27</v>
      </c>
      <c r="E379" t="s">
        <v>70</v>
      </c>
      <c r="F379">
        <v>296</v>
      </c>
      <c r="G379" t="s">
        <v>122</v>
      </c>
      <c r="H379" t="s">
        <v>50</v>
      </c>
      <c r="K379" t="s">
        <v>51</v>
      </c>
      <c r="L379">
        <v>1</v>
      </c>
      <c r="M379" t="s">
        <v>52</v>
      </c>
      <c r="N379" t="s">
        <v>53</v>
      </c>
      <c r="R379">
        <v>0</v>
      </c>
      <c r="S379">
        <v>0.75</v>
      </c>
      <c r="T379">
        <v>0</v>
      </c>
      <c r="U379">
        <v>0</v>
      </c>
      <c r="W379" s="1">
        <v>46675</v>
      </c>
      <c r="X379" s="1">
        <v>46357</v>
      </c>
      <c r="Z379" t="s">
        <v>52</v>
      </c>
      <c r="AB379" t="s">
        <v>52</v>
      </c>
      <c r="AC379">
        <v>102</v>
      </c>
      <c r="AD379">
        <v>1</v>
      </c>
      <c r="AK379" t="s">
        <v>52</v>
      </c>
      <c r="AN379" t="s">
        <v>52</v>
      </c>
      <c r="AO379" t="s">
        <v>52</v>
      </c>
      <c r="AP379" t="s">
        <v>52</v>
      </c>
      <c r="AQ379" t="s">
        <v>52</v>
      </c>
      <c r="AR379" t="s">
        <v>55</v>
      </c>
    </row>
    <row r="380" spans="1:45" x14ac:dyDescent="0.25">
      <c r="A380" t="s">
        <v>47</v>
      </c>
      <c r="B380">
        <v>8</v>
      </c>
      <c r="C380" t="s">
        <v>134</v>
      </c>
      <c r="D380">
        <v>27</v>
      </c>
      <c r="E380" t="s">
        <v>70</v>
      </c>
      <c r="F380">
        <v>296</v>
      </c>
      <c r="G380" t="s">
        <v>122</v>
      </c>
      <c r="H380" t="s">
        <v>50</v>
      </c>
      <c r="K380" t="s">
        <v>52</v>
      </c>
      <c r="L380">
        <v>1</v>
      </c>
      <c r="M380" t="s">
        <v>52</v>
      </c>
      <c r="N380" t="s">
        <v>53</v>
      </c>
      <c r="R380">
        <v>0</v>
      </c>
      <c r="S380">
        <v>0.75</v>
      </c>
      <c r="T380">
        <v>0</v>
      </c>
      <c r="U380">
        <v>0</v>
      </c>
      <c r="W380" s="1">
        <v>46675</v>
      </c>
      <c r="X380" s="1">
        <v>46357</v>
      </c>
      <c r="Z380" t="s">
        <v>52</v>
      </c>
      <c r="AB380" t="s">
        <v>52</v>
      </c>
      <c r="AC380">
        <v>102</v>
      </c>
      <c r="AD380">
        <v>1</v>
      </c>
      <c r="AK380" t="s">
        <v>52</v>
      </c>
      <c r="AN380" t="s">
        <v>52</v>
      </c>
      <c r="AO380" t="s">
        <v>52</v>
      </c>
      <c r="AP380" t="s">
        <v>52</v>
      </c>
      <c r="AQ380" t="s">
        <v>52</v>
      </c>
      <c r="AR380" t="s">
        <v>55</v>
      </c>
    </row>
    <row r="381" spans="1:45" x14ac:dyDescent="0.25">
      <c r="A381" t="s">
        <v>47</v>
      </c>
      <c r="B381">
        <v>8</v>
      </c>
      <c r="C381" t="s">
        <v>134</v>
      </c>
      <c r="D381">
        <v>27</v>
      </c>
      <c r="E381" t="s">
        <v>70</v>
      </c>
      <c r="F381">
        <v>296</v>
      </c>
      <c r="G381" t="s">
        <v>124</v>
      </c>
      <c r="H381" t="s">
        <v>50</v>
      </c>
      <c r="K381" t="s">
        <v>52</v>
      </c>
      <c r="L381">
        <v>1</v>
      </c>
      <c r="M381" t="s">
        <v>52</v>
      </c>
      <c r="N381" t="s">
        <v>53</v>
      </c>
      <c r="R381">
        <v>0</v>
      </c>
      <c r="S381">
        <v>0.75</v>
      </c>
      <c r="T381">
        <v>0</v>
      </c>
      <c r="U381">
        <v>0</v>
      </c>
      <c r="W381" s="1">
        <v>46675</v>
      </c>
      <c r="X381" s="1">
        <v>46357</v>
      </c>
      <c r="Z381" t="s">
        <v>52</v>
      </c>
      <c r="AB381" t="s">
        <v>52</v>
      </c>
      <c r="AC381">
        <v>102</v>
      </c>
      <c r="AD381">
        <v>1</v>
      </c>
      <c r="AK381" t="s">
        <v>52</v>
      </c>
      <c r="AN381" t="s">
        <v>52</v>
      </c>
      <c r="AO381" t="s">
        <v>52</v>
      </c>
      <c r="AP381" t="s">
        <v>52</v>
      </c>
      <c r="AQ381" t="s">
        <v>52</v>
      </c>
      <c r="AR381" t="s">
        <v>55</v>
      </c>
    </row>
    <row r="382" spans="1:45" x14ac:dyDescent="0.25">
      <c r="A382" t="s">
        <v>47</v>
      </c>
      <c r="B382">
        <v>8</v>
      </c>
      <c r="C382" t="s">
        <v>134</v>
      </c>
      <c r="D382">
        <v>27</v>
      </c>
      <c r="E382" t="s">
        <v>70</v>
      </c>
      <c r="F382">
        <v>296</v>
      </c>
      <c r="G382" t="s">
        <v>92</v>
      </c>
      <c r="H382" t="s">
        <v>50</v>
      </c>
      <c r="K382" t="s">
        <v>51</v>
      </c>
      <c r="L382">
        <v>1</v>
      </c>
      <c r="M382" t="s">
        <v>52</v>
      </c>
      <c r="N382" t="s">
        <v>53</v>
      </c>
      <c r="R382">
        <v>0.5</v>
      </c>
      <c r="S382">
        <v>0.75</v>
      </c>
      <c r="U382">
        <v>0</v>
      </c>
      <c r="V382" s="1">
        <v>46583</v>
      </c>
      <c r="W382" s="1">
        <v>46675</v>
      </c>
      <c r="X382" s="1">
        <v>46357</v>
      </c>
      <c r="Z382" t="s">
        <v>52</v>
      </c>
      <c r="AB382" t="s">
        <v>52</v>
      </c>
      <c r="AC382">
        <v>102</v>
      </c>
      <c r="AD382">
        <v>1</v>
      </c>
      <c r="AK382" t="s">
        <v>52</v>
      </c>
      <c r="AN382" t="s">
        <v>52</v>
      </c>
      <c r="AO382" t="s">
        <v>52</v>
      </c>
      <c r="AP382" t="s">
        <v>52</v>
      </c>
      <c r="AQ382" t="s">
        <v>52</v>
      </c>
      <c r="AR382" t="s">
        <v>55</v>
      </c>
    </row>
    <row r="383" spans="1:45" x14ac:dyDescent="0.25">
      <c r="A383" t="s">
        <v>47</v>
      </c>
      <c r="B383">
        <v>8</v>
      </c>
      <c r="C383" t="s">
        <v>134</v>
      </c>
      <c r="D383">
        <v>27</v>
      </c>
      <c r="E383" t="s">
        <v>70</v>
      </c>
      <c r="F383">
        <v>296</v>
      </c>
      <c r="G383" t="s">
        <v>116</v>
      </c>
      <c r="H383" t="s">
        <v>50</v>
      </c>
      <c r="K383" t="s">
        <v>51</v>
      </c>
      <c r="L383">
        <v>1</v>
      </c>
      <c r="M383" t="s">
        <v>52</v>
      </c>
      <c r="N383" t="s">
        <v>53</v>
      </c>
      <c r="R383">
        <v>0.5</v>
      </c>
      <c r="S383">
        <v>0.75</v>
      </c>
      <c r="U383">
        <v>0</v>
      </c>
      <c r="W383" s="1">
        <v>46675</v>
      </c>
      <c r="X383" s="1">
        <v>46357</v>
      </c>
      <c r="Z383" t="s">
        <v>52</v>
      </c>
      <c r="AB383" t="s">
        <v>52</v>
      </c>
      <c r="AC383">
        <v>102</v>
      </c>
      <c r="AD383">
        <v>1</v>
      </c>
      <c r="AK383" t="s">
        <v>52</v>
      </c>
      <c r="AN383" t="s">
        <v>52</v>
      </c>
      <c r="AO383" t="s">
        <v>52</v>
      </c>
      <c r="AP383" t="s">
        <v>52</v>
      </c>
      <c r="AQ383" t="s">
        <v>52</v>
      </c>
      <c r="AR383" t="s">
        <v>55</v>
      </c>
      <c r="AS383" t="s">
        <v>60</v>
      </c>
    </row>
    <row r="384" spans="1:45" x14ac:dyDescent="0.25">
      <c r="A384" t="s">
        <v>47</v>
      </c>
      <c r="B384">
        <v>8</v>
      </c>
      <c r="C384" t="s">
        <v>134</v>
      </c>
      <c r="D384">
        <v>27</v>
      </c>
      <c r="E384" t="s">
        <v>75</v>
      </c>
      <c r="F384">
        <v>16</v>
      </c>
      <c r="G384" t="s">
        <v>76</v>
      </c>
      <c r="H384" t="s">
        <v>50</v>
      </c>
      <c r="K384" t="s">
        <v>51</v>
      </c>
      <c r="L384">
        <v>1</v>
      </c>
      <c r="M384" t="s">
        <v>52</v>
      </c>
      <c r="N384" t="s">
        <v>53</v>
      </c>
      <c r="R384">
        <v>0.5</v>
      </c>
      <c r="S384">
        <v>0.75</v>
      </c>
      <c r="T384">
        <v>0</v>
      </c>
      <c r="U384">
        <v>0</v>
      </c>
      <c r="V384" s="1">
        <v>46522</v>
      </c>
      <c r="W384" s="1">
        <v>46691</v>
      </c>
      <c r="X384" s="1">
        <v>46461</v>
      </c>
      <c r="Z384" t="s">
        <v>52</v>
      </c>
      <c r="AB384" t="s">
        <v>52</v>
      </c>
      <c r="AC384">
        <v>16</v>
      </c>
      <c r="AD384">
        <v>2</v>
      </c>
      <c r="AK384" t="s">
        <v>52</v>
      </c>
      <c r="AN384" t="s">
        <v>52</v>
      </c>
      <c r="AO384" t="s">
        <v>52</v>
      </c>
      <c r="AP384" t="s">
        <v>52</v>
      </c>
      <c r="AQ384" t="s">
        <v>52</v>
      </c>
      <c r="AR384" t="s">
        <v>55</v>
      </c>
      <c r="AS384" t="s">
        <v>60</v>
      </c>
    </row>
    <row r="385" spans="1:45" x14ac:dyDescent="0.25">
      <c r="A385" t="s">
        <v>47</v>
      </c>
      <c r="B385">
        <v>8</v>
      </c>
      <c r="C385" t="s">
        <v>134</v>
      </c>
      <c r="D385">
        <v>27</v>
      </c>
      <c r="E385" t="s">
        <v>79</v>
      </c>
      <c r="F385">
        <v>50</v>
      </c>
      <c r="G385" t="s">
        <v>81</v>
      </c>
      <c r="H385" t="s">
        <v>50</v>
      </c>
      <c r="K385" t="s">
        <v>51</v>
      </c>
      <c r="L385">
        <v>1</v>
      </c>
      <c r="M385" t="s">
        <v>52</v>
      </c>
      <c r="N385" t="s">
        <v>53</v>
      </c>
      <c r="R385">
        <v>0.5</v>
      </c>
      <c r="S385">
        <v>0.75</v>
      </c>
      <c r="T385">
        <v>0</v>
      </c>
      <c r="U385">
        <v>0</v>
      </c>
      <c r="V385" s="1">
        <v>46583</v>
      </c>
      <c r="W385" s="1">
        <v>46675</v>
      </c>
      <c r="X385" s="1">
        <v>46461</v>
      </c>
      <c r="Z385" t="s">
        <v>52</v>
      </c>
      <c r="AB385" t="s">
        <v>52</v>
      </c>
      <c r="AC385">
        <v>50</v>
      </c>
      <c r="AD385">
        <v>1</v>
      </c>
      <c r="AK385" t="s">
        <v>52</v>
      </c>
      <c r="AN385" t="s">
        <v>52</v>
      </c>
      <c r="AO385" t="s">
        <v>52</v>
      </c>
      <c r="AP385" t="s">
        <v>52</v>
      </c>
      <c r="AQ385" t="s">
        <v>52</v>
      </c>
      <c r="AR385" t="s">
        <v>55</v>
      </c>
    </row>
    <row r="386" spans="1:45" x14ac:dyDescent="0.25">
      <c r="A386" t="s">
        <v>47</v>
      </c>
      <c r="B386">
        <v>8</v>
      </c>
      <c r="C386" t="s">
        <v>134</v>
      </c>
      <c r="D386">
        <v>27</v>
      </c>
      <c r="E386" t="s">
        <v>83</v>
      </c>
      <c r="F386">
        <v>158</v>
      </c>
      <c r="H386" t="s">
        <v>50</v>
      </c>
      <c r="K386" t="s">
        <v>51</v>
      </c>
      <c r="L386">
        <v>1</v>
      </c>
      <c r="M386" t="s">
        <v>52</v>
      </c>
      <c r="N386" t="s">
        <v>53</v>
      </c>
      <c r="R386">
        <v>0.77</v>
      </c>
      <c r="S386">
        <v>0.93</v>
      </c>
      <c r="U386">
        <v>0</v>
      </c>
      <c r="V386" s="1">
        <v>46326</v>
      </c>
      <c r="W386" s="1">
        <v>46691</v>
      </c>
      <c r="X386" s="1">
        <v>46266</v>
      </c>
      <c r="Z386" t="s">
        <v>52</v>
      </c>
      <c r="AB386" t="s">
        <v>52</v>
      </c>
      <c r="AC386">
        <v>158</v>
      </c>
      <c r="AD386">
        <v>2</v>
      </c>
      <c r="AK386" t="s">
        <v>52</v>
      </c>
      <c r="AN386" t="s">
        <v>52</v>
      </c>
      <c r="AO386" t="s">
        <v>52</v>
      </c>
      <c r="AP386" t="s">
        <v>52</v>
      </c>
      <c r="AQ386" t="s">
        <v>52</v>
      </c>
      <c r="AR386" t="s">
        <v>55</v>
      </c>
      <c r="AS386" t="s">
        <v>60</v>
      </c>
    </row>
    <row r="387" spans="1:45" x14ac:dyDescent="0.25">
      <c r="A387" t="s">
        <v>47</v>
      </c>
      <c r="B387">
        <v>8</v>
      </c>
      <c r="C387" t="s">
        <v>135</v>
      </c>
      <c r="D387">
        <v>29</v>
      </c>
      <c r="E387" t="s">
        <v>49</v>
      </c>
      <c r="F387">
        <v>27</v>
      </c>
      <c r="H387" t="s">
        <v>50</v>
      </c>
      <c r="K387" t="s">
        <v>51</v>
      </c>
      <c r="L387">
        <v>1</v>
      </c>
      <c r="M387" t="s">
        <v>52</v>
      </c>
      <c r="N387" t="s">
        <v>53</v>
      </c>
      <c r="Q387">
        <v>230</v>
      </c>
      <c r="R387">
        <v>0</v>
      </c>
      <c r="S387">
        <v>0.75</v>
      </c>
      <c r="T387">
        <v>0</v>
      </c>
      <c r="U387">
        <v>0</v>
      </c>
      <c r="W387" s="1">
        <v>46675</v>
      </c>
      <c r="X387" s="1">
        <v>46357</v>
      </c>
      <c r="Y387" t="s">
        <v>54</v>
      </c>
      <c r="Z387" t="s">
        <v>52</v>
      </c>
      <c r="AB387" t="s">
        <v>52</v>
      </c>
      <c r="AC387">
        <v>27</v>
      </c>
      <c r="AD387">
        <v>1</v>
      </c>
      <c r="AE387">
        <v>0.97</v>
      </c>
      <c r="AG387">
        <v>0.97</v>
      </c>
      <c r="AK387" t="s">
        <v>52</v>
      </c>
      <c r="AN387" t="s">
        <v>52</v>
      </c>
      <c r="AO387" t="s">
        <v>52</v>
      </c>
      <c r="AP387" t="s">
        <v>52</v>
      </c>
      <c r="AQ387" t="s">
        <v>52</v>
      </c>
      <c r="AR387" t="s">
        <v>55</v>
      </c>
      <c r="AS387" t="s">
        <v>56</v>
      </c>
    </row>
    <row r="388" spans="1:45" x14ac:dyDescent="0.25">
      <c r="A388" t="s">
        <v>47</v>
      </c>
      <c r="B388">
        <v>8</v>
      </c>
      <c r="C388" t="s">
        <v>135</v>
      </c>
      <c r="D388">
        <v>29</v>
      </c>
      <c r="E388" t="s">
        <v>58</v>
      </c>
      <c r="F388">
        <v>102</v>
      </c>
      <c r="G388" t="s">
        <v>59</v>
      </c>
      <c r="H388" t="s">
        <v>50</v>
      </c>
      <c r="K388" t="s">
        <v>51</v>
      </c>
      <c r="L388">
        <v>1</v>
      </c>
      <c r="M388" t="s">
        <v>52</v>
      </c>
      <c r="N388" t="s">
        <v>53</v>
      </c>
      <c r="R388">
        <v>0</v>
      </c>
      <c r="S388">
        <v>0.92</v>
      </c>
      <c r="T388">
        <v>0</v>
      </c>
      <c r="U388">
        <v>0</v>
      </c>
      <c r="W388" s="1">
        <v>46731</v>
      </c>
      <c r="X388" s="1">
        <v>46357</v>
      </c>
      <c r="Z388" t="s">
        <v>52</v>
      </c>
      <c r="AB388" t="s">
        <v>52</v>
      </c>
      <c r="AC388">
        <v>102</v>
      </c>
      <c r="AD388">
        <v>1</v>
      </c>
      <c r="AK388" t="s">
        <v>52</v>
      </c>
      <c r="AN388" t="s">
        <v>52</v>
      </c>
      <c r="AO388" t="s">
        <v>52</v>
      </c>
      <c r="AP388" t="s">
        <v>52</v>
      </c>
      <c r="AQ388" t="s">
        <v>52</v>
      </c>
      <c r="AR388" t="s">
        <v>55</v>
      </c>
    </row>
    <row r="389" spans="1:45" x14ac:dyDescent="0.25">
      <c r="A389" t="s">
        <v>47</v>
      </c>
      <c r="B389">
        <v>8</v>
      </c>
      <c r="C389" t="s">
        <v>135</v>
      </c>
      <c r="D389">
        <v>29</v>
      </c>
      <c r="E389" t="s">
        <v>58</v>
      </c>
      <c r="F389">
        <v>102</v>
      </c>
      <c r="G389" t="s">
        <v>61</v>
      </c>
      <c r="H389" t="s">
        <v>50</v>
      </c>
      <c r="K389" t="s">
        <v>51</v>
      </c>
      <c r="L389">
        <v>1</v>
      </c>
      <c r="M389" t="s">
        <v>52</v>
      </c>
      <c r="N389" t="s">
        <v>53</v>
      </c>
      <c r="R389">
        <v>0</v>
      </c>
      <c r="S389">
        <v>0.92</v>
      </c>
      <c r="T389">
        <v>0</v>
      </c>
      <c r="U389">
        <v>0</v>
      </c>
      <c r="W389" s="1">
        <v>46731</v>
      </c>
      <c r="X389" s="1">
        <v>46357</v>
      </c>
      <c r="Z389" t="s">
        <v>52</v>
      </c>
      <c r="AB389" t="s">
        <v>52</v>
      </c>
      <c r="AC389">
        <v>102</v>
      </c>
      <c r="AD389">
        <v>1</v>
      </c>
      <c r="AK389" t="s">
        <v>52</v>
      </c>
      <c r="AN389" t="s">
        <v>52</v>
      </c>
      <c r="AO389" t="s">
        <v>52</v>
      </c>
      <c r="AP389" t="s">
        <v>52</v>
      </c>
      <c r="AQ389" t="s">
        <v>52</v>
      </c>
      <c r="AR389" t="s">
        <v>55</v>
      </c>
      <c r="AS389" t="s">
        <v>60</v>
      </c>
    </row>
    <row r="390" spans="1:45" x14ac:dyDescent="0.25">
      <c r="A390" t="s">
        <v>47</v>
      </c>
      <c r="B390">
        <v>8</v>
      </c>
      <c r="C390" t="s">
        <v>135</v>
      </c>
      <c r="D390">
        <v>29</v>
      </c>
      <c r="E390" t="s">
        <v>58</v>
      </c>
      <c r="F390">
        <v>102</v>
      </c>
      <c r="G390" t="s">
        <v>113</v>
      </c>
      <c r="H390" t="s">
        <v>50</v>
      </c>
      <c r="K390" t="s">
        <v>51</v>
      </c>
      <c r="L390">
        <v>1</v>
      </c>
      <c r="M390" t="s">
        <v>52</v>
      </c>
      <c r="N390" t="s">
        <v>53</v>
      </c>
      <c r="R390">
        <v>0</v>
      </c>
      <c r="S390">
        <v>0.92</v>
      </c>
      <c r="T390">
        <v>0</v>
      </c>
      <c r="U390">
        <v>0</v>
      </c>
      <c r="W390" s="1">
        <v>46731</v>
      </c>
      <c r="X390" s="1">
        <v>46357</v>
      </c>
      <c r="Z390" t="s">
        <v>52</v>
      </c>
      <c r="AB390" t="s">
        <v>52</v>
      </c>
      <c r="AC390">
        <v>102</v>
      </c>
      <c r="AD390">
        <v>1</v>
      </c>
      <c r="AK390" t="s">
        <v>52</v>
      </c>
      <c r="AN390" t="s">
        <v>52</v>
      </c>
      <c r="AO390" t="s">
        <v>52</v>
      </c>
      <c r="AP390" t="s">
        <v>52</v>
      </c>
      <c r="AQ390" t="s">
        <v>52</v>
      </c>
      <c r="AR390" t="s">
        <v>55</v>
      </c>
    </row>
    <row r="391" spans="1:45" x14ac:dyDescent="0.25">
      <c r="A391" t="s">
        <v>47</v>
      </c>
      <c r="B391">
        <v>8</v>
      </c>
      <c r="C391" t="s">
        <v>135</v>
      </c>
      <c r="D391">
        <v>29</v>
      </c>
      <c r="E391" t="s">
        <v>58</v>
      </c>
      <c r="F391">
        <v>102</v>
      </c>
      <c r="G391" t="s">
        <v>62</v>
      </c>
      <c r="H391" t="s">
        <v>50</v>
      </c>
      <c r="K391" t="s">
        <v>51</v>
      </c>
      <c r="L391">
        <v>1</v>
      </c>
      <c r="M391" t="s">
        <v>52</v>
      </c>
      <c r="N391" t="s">
        <v>53</v>
      </c>
      <c r="R391">
        <v>0</v>
      </c>
      <c r="S391">
        <v>0.92</v>
      </c>
      <c r="T391">
        <v>0</v>
      </c>
      <c r="U391">
        <v>0</v>
      </c>
      <c r="W391" s="1">
        <v>46731</v>
      </c>
      <c r="X391" s="1">
        <v>46357</v>
      </c>
      <c r="Z391" t="s">
        <v>52</v>
      </c>
      <c r="AB391" t="s">
        <v>52</v>
      </c>
      <c r="AC391">
        <v>102</v>
      </c>
      <c r="AD391">
        <v>1</v>
      </c>
      <c r="AK391" t="s">
        <v>52</v>
      </c>
      <c r="AN391" t="s">
        <v>52</v>
      </c>
      <c r="AO391" t="s">
        <v>52</v>
      </c>
      <c r="AP391" t="s">
        <v>52</v>
      </c>
      <c r="AQ391" t="s">
        <v>52</v>
      </c>
      <c r="AR391" t="s">
        <v>55</v>
      </c>
    </row>
    <row r="392" spans="1:45" x14ac:dyDescent="0.25">
      <c r="A392" t="s">
        <v>47</v>
      </c>
      <c r="B392">
        <v>8</v>
      </c>
      <c r="C392" t="s">
        <v>135</v>
      </c>
      <c r="D392">
        <v>29</v>
      </c>
      <c r="E392" t="s">
        <v>58</v>
      </c>
      <c r="F392">
        <v>102</v>
      </c>
      <c r="G392" t="s">
        <v>63</v>
      </c>
      <c r="H392" t="s">
        <v>50</v>
      </c>
      <c r="K392" t="s">
        <v>51</v>
      </c>
      <c r="L392">
        <v>1</v>
      </c>
      <c r="M392" t="s">
        <v>52</v>
      </c>
      <c r="N392" t="s">
        <v>53</v>
      </c>
      <c r="R392">
        <v>0</v>
      </c>
      <c r="S392">
        <v>0.92</v>
      </c>
      <c r="T392">
        <v>0</v>
      </c>
      <c r="U392">
        <v>0</v>
      </c>
      <c r="W392" s="1">
        <v>46731</v>
      </c>
      <c r="X392" s="1">
        <v>46357</v>
      </c>
      <c r="Z392" t="s">
        <v>52</v>
      </c>
      <c r="AB392" t="s">
        <v>52</v>
      </c>
      <c r="AC392">
        <v>102</v>
      </c>
      <c r="AD392">
        <v>1</v>
      </c>
      <c r="AK392" t="s">
        <v>52</v>
      </c>
      <c r="AN392" t="s">
        <v>52</v>
      </c>
      <c r="AO392" t="s">
        <v>52</v>
      </c>
      <c r="AP392" t="s">
        <v>52</v>
      </c>
      <c r="AQ392" t="s">
        <v>52</v>
      </c>
      <c r="AR392" t="s">
        <v>55</v>
      </c>
    </row>
    <row r="393" spans="1:45" x14ac:dyDescent="0.25">
      <c r="A393" t="s">
        <v>47</v>
      </c>
      <c r="B393">
        <v>8</v>
      </c>
      <c r="C393" t="s">
        <v>135</v>
      </c>
      <c r="D393">
        <v>29</v>
      </c>
      <c r="E393" t="s">
        <v>58</v>
      </c>
      <c r="F393">
        <v>102</v>
      </c>
      <c r="G393" t="s">
        <v>64</v>
      </c>
      <c r="H393" t="s">
        <v>50</v>
      </c>
      <c r="K393" t="s">
        <v>51</v>
      </c>
      <c r="L393">
        <v>1</v>
      </c>
      <c r="M393" t="s">
        <v>52</v>
      </c>
      <c r="N393" t="s">
        <v>53</v>
      </c>
      <c r="R393">
        <v>0</v>
      </c>
      <c r="S393">
        <v>0.92</v>
      </c>
      <c r="T393">
        <v>0</v>
      </c>
      <c r="U393">
        <v>0</v>
      </c>
      <c r="W393" s="1">
        <v>46731</v>
      </c>
      <c r="X393" s="1">
        <v>46357</v>
      </c>
      <c r="Z393" t="s">
        <v>52</v>
      </c>
      <c r="AB393" t="s">
        <v>52</v>
      </c>
      <c r="AC393">
        <v>102</v>
      </c>
      <c r="AD393">
        <v>1</v>
      </c>
      <c r="AK393" t="s">
        <v>52</v>
      </c>
      <c r="AN393" t="s">
        <v>52</v>
      </c>
      <c r="AO393" t="s">
        <v>52</v>
      </c>
      <c r="AP393" t="s">
        <v>52</v>
      </c>
      <c r="AQ393" t="s">
        <v>52</v>
      </c>
      <c r="AR393" t="s">
        <v>55</v>
      </c>
      <c r="AS393" t="s">
        <v>60</v>
      </c>
    </row>
    <row r="394" spans="1:45" x14ac:dyDescent="0.25">
      <c r="A394" t="s">
        <v>47</v>
      </c>
      <c r="B394">
        <v>8</v>
      </c>
      <c r="C394" t="s">
        <v>135</v>
      </c>
      <c r="D394">
        <v>29</v>
      </c>
      <c r="E394" t="s">
        <v>58</v>
      </c>
      <c r="F394">
        <v>102</v>
      </c>
      <c r="G394" t="s">
        <v>127</v>
      </c>
      <c r="H394" t="s">
        <v>50</v>
      </c>
      <c r="K394" t="s">
        <v>51</v>
      </c>
      <c r="L394">
        <v>1</v>
      </c>
      <c r="M394" t="s">
        <v>52</v>
      </c>
      <c r="N394" t="s">
        <v>53</v>
      </c>
      <c r="R394">
        <v>0</v>
      </c>
      <c r="S394">
        <v>0.92</v>
      </c>
      <c r="T394">
        <v>0</v>
      </c>
      <c r="U394">
        <v>0</v>
      </c>
      <c r="W394" s="1">
        <v>46731</v>
      </c>
      <c r="X394" s="1">
        <v>46357</v>
      </c>
      <c r="Z394" t="s">
        <v>52</v>
      </c>
      <c r="AB394" t="s">
        <v>52</v>
      </c>
      <c r="AC394">
        <v>102</v>
      </c>
      <c r="AD394">
        <v>1</v>
      </c>
      <c r="AK394" t="s">
        <v>52</v>
      </c>
      <c r="AN394" t="s">
        <v>52</v>
      </c>
      <c r="AO394" t="s">
        <v>52</v>
      </c>
      <c r="AP394" t="s">
        <v>52</v>
      </c>
      <c r="AQ394" t="s">
        <v>52</v>
      </c>
      <c r="AR394" t="s">
        <v>55</v>
      </c>
      <c r="AS394" t="s">
        <v>60</v>
      </c>
    </row>
    <row r="395" spans="1:45" x14ac:dyDescent="0.25">
      <c r="A395" t="s">
        <v>47</v>
      </c>
      <c r="B395">
        <v>8</v>
      </c>
      <c r="C395" t="s">
        <v>135</v>
      </c>
      <c r="D395">
        <v>29</v>
      </c>
      <c r="E395" t="s">
        <v>58</v>
      </c>
      <c r="F395">
        <v>102</v>
      </c>
      <c r="G395" t="s">
        <v>128</v>
      </c>
      <c r="H395" t="s">
        <v>50</v>
      </c>
      <c r="K395" t="s">
        <v>51</v>
      </c>
      <c r="L395">
        <v>1</v>
      </c>
      <c r="M395" t="s">
        <v>52</v>
      </c>
      <c r="N395" t="s">
        <v>53</v>
      </c>
      <c r="R395">
        <v>0</v>
      </c>
      <c r="S395">
        <v>0.92</v>
      </c>
      <c r="T395">
        <v>0</v>
      </c>
      <c r="U395">
        <v>0</v>
      </c>
      <c r="W395" s="1">
        <v>46731</v>
      </c>
      <c r="X395" s="1">
        <v>46357</v>
      </c>
      <c r="Z395" t="s">
        <v>52</v>
      </c>
      <c r="AB395" t="s">
        <v>52</v>
      </c>
      <c r="AC395">
        <v>102</v>
      </c>
      <c r="AD395">
        <v>1</v>
      </c>
      <c r="AK395" t="s">
        <v>52</v>
      </c>
      <c r="AN395" t="s">
        <v>52</v>
      </c>
      <c r="AO395" t="s">
        <v>52</v>
      </c>
      <c r="AP395" t="s">
        <v>52</v>
      </c>
      <c r="AQ395" t="s">
        <v>52</v>
      </c>
      <c r="AR395" t="s">
        <v>55</v>
      </c>
      <c r="AS395" t="s">
        <v>60</v>
      </c>
    </row>
    <row r="396" spans="1:45" x14ac:dyDescent="0.25">
      <c r="A396" t="s">
        <v>47</v>
      </c>
      <c r="B396">
        <v>8</v>
      </c>
      <c r="C396" t="s">
        <v>135</v>
      </c>
      <c r="D396">
        <v>29</v>
      </c>
      <c r="E396" t="s">
        <v>58</v>
      </c>
      <c r="F396">
        <v>102</v>
      </c>
      <c r="G396" t="s">
        <v>136</v>
      </c>
      <c r="H396" t="s">
        <v>50</v>
      </c>
      <c r="K396" t="s">
        <v>51</v>
      </c>
      <c r="L396">
        <v>1</v>
      </c>
      <c r="M396" t="s">
        <v>52</v>
      </c>
      <c r="N396" t="s">
        <v>53</v>
      </c>
      <c r="R396">
        <v>0</v>
      </c>
      <c r="S396">
        <v>0.92</v>
      </c>
      <c r="T396">
        <v>0</v>
      </c>
      <c r="U396">
        <v>0</v>
      </c>
      <c r="W396" s="1">
        <v>46731</v>
      </c>
      <c r="X396" s="1">
        <v>46357</v>
      </c>
      <c r="Z396" t="s">
        <v>52</v>
      </c>
      <c r="AB396" t="s">
        <v>52</v>
      </c>
      <c r="AC396">
        <v>102</v>
      </c>
      <c r="AD396">
        <v>1</v>
      </c>
      <c r="AK396" t="s">
        <v>52</v>
      </c>
      <c r="AN396" t="s">
        <v>52</v>
      </c>
      <c r="AO396" t="s">
        <v>52</v>
      </c>
      <c r="AP396" t="s">
        <v>52</v>
      </c>
      <c r="AQ396" t="s">
        <v>52</v>
      </c>
      <c r="AR396" t="s">
        <v>55</v>
      </c>
    </row>
    <row r="397" spans="1:45" x14ac:dyDescent="0.25">
      <c r="A397" t="s">
        <v>47</v>
      </c>
      <c r="B397">
        <v>8</v>
      </c>
      <c r="C397" t="s">
        <v>135</v>
      </c>
      <c r="D397">
        <v>29</v>
      </c>
      <c r="E397" t="s">
        <v>58</v>
      </c>
      <c r="F397">
        <v>102</v>
      </c>
      <c r="G397" t="s">
        <v>114</v>
      </c>
      <c r="H397" t="s">
        <v>50</v>
      </c>
      <c r="K397" t="s">
        <v>51</v>
      </c>
      <c r="L397">
        <v>1</v>
      </c>
      <c r="M397" t="s">
        <v>52</v>
      </c>
      <c r="N397" t="s">
        <v>53</v>
      </c>
      <c r="R397">
        <v>0</v>
      </c>
      <c r="S397">
        <v>0.92</v>
      </c>
      <c r="T397">
        <v>0</v>
      </c>
      <c r="U397">
        <v>0</v>
      </c>
      <c r="W397" s="1">
        <v>46731</v>
      </c>
      <c r="X397" s="1">
        <v>46357</v>
      </c>
      <c r="Z397" t="s">
        <v>52</v>
      </c>
      <c r="AB397" t="s">
        <v>52</v>
      </c>
      <c r="AC397">
        <v>102</v>
      </c>
      <c r="AD397">
        <v>1</v>
      </c>
      <c r="AK397" t="s">
        <v>52</v>
      </c>
      <c r="AN397" t="s">
        <v>52</v>
      </c>
      <c r="AO397" t="s">
        <v>52</v>
      </c>
      <c r="AP397" t="s">
        <v>52</v>
      </c>
      <c r="AQ397" t="s">
        <v>52</v>
      </c>
      <c r="AR397" t="s">
        <v>55</v>
      </c>
      <c r="AS397" t="s">
        <v>60</v>
      </c>
    </row>
    <row r="398" spans="1:45" x14ac:dyDescent="0.25">
      <c r="A398" t="s">
        <v>47</v>
      </c>
      <c r="B398">
        <v>8</v>
      </c>
      <c r="C398" t="s">
        <v>135</v>
      </c>
      <c r="D398">
        <v>29</v>
      </c>
      <c r="E398" t="s">
        <v>70</v>
      </c>
      <c r="F398">
        <v>296</v>
      </c>
      <c r="G398" t="s">
        <v>71</v>
      </c>
      <c r="H398" t="s">
        <v>50</v>
      </c>
      <c r="K398" t="s">
        <v>51</v>
      </c>
      <c r="L398">
        <v>1</v>
      </c>
      <c r="M398" t="s">
        <v>52</v>
      </c>
      <c r="N398" t="s">
        <v>53</v>
      </c>
      <c r="Q398">
        <v>224.33330000000001</v>
      </c>
      <c r="R398">
        <v>0</v>
      </c>
      <c r="S398">
        <v>0.75</v>
      </c>
      <c r="T398">
        <v>0</v>
      </c>
      <c r="U398">
        <v>0</v>
      </c>
      <c r="W398" s="1">
        <v>46675</v>
      </c>
      <c r="X398" s="1">
        <v>46357</v>
      </c>
      <c r="Y398" t="s">
        <v>54</v>
      </c>
      <c r="Z398" t="s">
        <v>52</v>
      </c>
      <c r="AB398" t="s">
        <v>52</v>
      </c>
      <c r="AC398">
        <v>296</v>
      </c>
      <c r="AD398">
        <v>1</v>
      </c>
      <c r="AK398" t="s">
        <v>52</v>
      </c>
      <c r="AN398" t="s">
        <v>52</v>
      </c>
      <c r="AO398" t="s">
        <v>52</v>
      </c>
      <c r="AP398" t="s">
        <v>52</v>
      </c>
      <c r="AQ398" t="s">
        <v>52</v>
      </c>
      <c r="AR398" t="s">
        <v>55</v>
      </c>
    </row>
    <row r="399" spans="1:45" x14ac:dyDescent="0.25">
      <c r="A399" t="s">
        <v>47</v>
      </c>
      <c r="B399">
        <v>8</v>
      </c>
      <c r="C399" t="s">
        <v>135</v>
      </c>
      <c r="D399">
        <v>29</v>
      </c>
      <c r="E399" t="s">
        <v>70</v>
      </c>
      <c r="F399">
        <v>296</v>
      </c>
      <c r="G399" t="s">
        <v>71</v>
      </c>
      <c r="H399" t="s">
        <v>50</v>
      </c>
      <c r="K399" t="s">
        <v>52</v>
      </c>
      <c r="L399">
        <v>1</v>
      </c>
      <c r="M399" t="s">
        <v>52</v>
      </c>
      <c r="N399" t="s">
        <v>53</v>
      </c>
      <c r="Q399">
        <v>224.33330000000001</v>
      </c>
      <c r="R399">
        <v>0</v>
      </c>
      <c r="S399">
        <v>0.75</v>
      </c>
      <c r="T399">
        <v>0</v>
      </c>
      <c r="U399">
        <v>0</v>
      </c>
      <c r="W399" s="1">
        <v>46675</v>
      </c>
      <c r="X399" s="1">
        <v>46357</v>
      </c>
      <c r="Y399" t="s">
        <v>54</v>
      </c>
      <c r="Z399" t="s">
        <v>52</v>
      </c>
      <c r="AB399" t="s">
        <v>52</v>
      </c>
      <c r="AC399">
        <v>296</v>
      </c>
      <c r="AD399">
        <v>1</v>
      </c>
      <c r="AK399" t="s">
        <v>52</v>
      </c>
      <c r="AN399" t="s">
        <v>52</v>
      </c>
      <c r="AO399" t="s">
        <v>52</v>
      </c>
      <c r="AP399" t="s">
        <v>52</v>
      </c>
      <c r="AQ399" t="s">
        <v>52</v>
      </c>
      <c r="AR399" t="s">
        <v>55</v>
      </c>
    </row>
    <row r="400" spans="1:45" x14ac:dyDescent="0.25">
      <c r="A400" t="s">
        <v>47</v>
      </c>
      <c r="B400">
        <v>8</v>
      </c>
      <c r="C400" t="s">
        <v>135</v>
      </c>
      <c r="D400">
        <v>29</v>
      </c>
      <c r="E400" t="s">
        <v>70</v>
      </c>
      <c r="F400">
        <v>296</v>
      </c>
      <c r="G400" t="s">
        <v>73</v>
      </c>
      <c r="H400" t="s">
        <v>50</v>
      </c>
      <c r="K400" t="s">
        <v>51</v>
      </c>
      <c r="L400">
        <v>1</v>
      </c>
      <c r="M400" t="s">
        <v>52</v>
      </c>
      <c r="N400" t="s">
        <v>53</v>
      </c>
      <c r="R400">
        <v>0</v>
      </c>
      <c r="S400">
        <v>0.75</v>
      </c>
      <c r="U400">
        <v>0</v>
      </c>
      <c r="W400" s="1">
        <v>46675</v>
      </c>
      <c r="X400" s="1">
        <v>46357</v>
      </c>
      <c r="Z400" t="s">
        <v>52</v>
      </c>
      <c r="AB400" t="s">
        <v>52</v>
      </c>
      <c r="AC400">
        <v>296</v>
      </c>
      <c r="AD400">
        <v>1</v>
      </c>
      <c r="AK400" t="s">
        <v>52</v>
      </c>
      <c r="AN400" t="s">
        <v>52</v>
      </c>
      <c r="AO400" t="s">
        <v>52</v>
      </c>
      <c r="AP400" t="s">
        <v>52</v>
      </c>
      <c r="AQ400" t="s">
        <v>52</v>
      </c>
      <c r="AR400" t="s">
        <v>55</v>
      </c>
    </row>
    <row r="401" spans="1:45" x14ac:dyDescent="0.25">
      <c r="A401" t="s">
        <v>47</v>
      </c>
      <c r="B401">
        <v>8</v>
      </c>
      <c r="C401" t="s">
        <v>135</v>
      </c>
      <c r="D401">
        <v>29</v>
      </c>
      <c r="E401" t="s">
        <v>70</v>
      </c>
      <c r="F401">
        <v>296</v>
      </c>
      <c r="G401" t="s">
        <v>74</v>
      </c>
      <c r="H401" t="s">
        <v>50</v>
      </c>
      <c r="K401" t="s">
        <v>51</v>
      </c>
      <c r="L401">
        <v>1</v>
      </c>
      <c r="M401" t="s">
        <v>52</v>
      </c>
      <c r="N401" t="s">
        <v>53</v>
      </c>
      <c r="R401">
        <v>0</v>
      </c>
      <c r="S401">
        <v>0.75</v>
      </c>
      <c r="U401">
        <v>0</v>
      </c>
      <c r="W401" s="1">
        <v>46675</v>
      </c>
      <c r="X401" s="1">
        <v>46357</v>
      </c>
      <c r="Z401" t="s">
        <v>52</v>
      </c>
      <c r="AB401" t="s">
        <v>52</v>
      </c>
      <c r="AC401">
        <v>102</v>
      </c>
      <c r="AD401">
        <v>1</v>
      </c>
      <c r="AK401" t="s">
        <v>52</v>
      </c>
      <c r="AN401" t="s">
        <v>52</v>
      </c>
      <c r="AO401" t="s">
        <v>52</v>
      </c>
      <c r="AP401" t="s">
        <v>52</v>
      </c>
      <c r="AQ401" t="s">
        <v>52</v>
      </c>
      <c r="AR401" t="s">
        <v>55</v>
      </c>
    </row>
    <row r="402" spans="1:45" x14ac:dyDescent="0.25">
      <c r="A402" t="s">
        <v>47</v>
      </c>
      <c r="B402">
        <v>8</v>
      </c>
      <c r="C402" t="s">
        <v>135</v>
      </c>
      <c r="D402">
        <v>29</v>
      </c>
      <c r="E402" t="s">
        <v>75</v>
      </c>
      <c r="F402">
        <v>16</v>
      </c>
      <c r="G402" t="s">
        <v>76</v>
      </c>
      <c r="H402" t="s">
        <v>50</v>
      </c>
      <c r="K402" t="s">
        <v>51</v>
      </c>
      <c r="L402">
        <v>1</v>
      </c>
      <c r="M402" t="s">
        <v>52</v>
      </c>
      <c r="N402" t="s">
        <v>53</v>
      </c>
      <c r="R402">
        <v>0.5</v>
      </c>
      <c r="S402">
        <v>0.75</v>
      </c>
      <c r="T402">
        <v>0</v>
      </c>
      <c r="U402">
        <v>0</v>
      </c>
      <c r="V402" s="1">
        <v>46522</v>
      </c>
      <c r="W402" s="1">
        <v>46691</v>
      </c>
      <c r="X402" s="1">
        <v>46461</v>
      </c>
      <c r="Z402" t="s">
        <v>52</v>
      </c>
      <c r="AB402" t="s">
        <v>52</v>
      </c>
      <c r="AC402">
        <v>16</v>
      </c>
      <c r="AD402">
        <v>2</v>
      </c>
      <c r="AK402" t="s">
        <v>52</v>
      </c>
      <c r="AN402" t="s">
        <v>52</v>
      </c>
      <c r="AO402" t="s">
        <v>52</v>
      </c>
      <c r="AP402" t="s">
        <v>52</v>
      </c>
      <c r="AQ402" t="s">
        <v>52</v>
      </c>
      <c r="AR402" t="s">
        <v>55</v>
      </c>
    </row>
    <row r="403" spans="1:45" x14ac:dyDescent="0.25">
      <c r="A403" t="s">
        <v>47</v>
      </c>
      <c r="B403">
        <v>8</v>
      </c>
      <c r="C403" t="s">
        <v>135</v>
      </c>
      <c r="D403">
        <v>29</v>
      </c>
      <c r="E403" t="s">
        <v>93</v>
      </c>
      <c r="F403">
        <v>94</v>
      </c>
      <c r="H403" t="s">
        <v>50</v>
      </c>
      <c r="K403" t="s">
        <v>51</v>
      </c>
      <c r="L403">
        <v>1</v>
      </c>
      <c r="M403" t="s">
        <v>52</v>
      </c>
      <c r="N403" t="s">
        <v>53</v>
      </c>
      <c r="R403">
        <v>0.77</v>
      </c>
      <c r="S403">
        <v>0.93</v>
      </c>
      <c r="T403">
        <v>0</v>
      </c>
      <c r="U403">
        <v>0</v>
      </c>
      <c r="V403" s="1">
        <v>46326</v>
      </c>
      <c r="W403" s="1">
        <v>46691</v>
      </c>
      <c r="X403" s="1">
        <v>46266</v>
      </c>
      <c r="Z403" t="s">
        <v>52</v>
      </c>
      <c r="AB403" t="s">
        <v>52</v>
      </c>
      <c r="AC403">
        <v>94</v>
      </c>
      <c r="AD403">
        <v>2</v>
      </c>
      <c r="AK403" t="s">
        <v>52</v>
      </c>
      <c r="AN403" t="s">
        <v>52</v>
      </c>
      <c r="AO403" t="s">
        <v>52</v>
      </c>
      <c r="AP403" t="s">
        <v>52</v>
      </c>
      <c r="AQ403" t="s">
        <v>52</v>
      </c>
      <c r="AR403" t="s">
        <v>55</v>
      </c>
      <c r="AS403" t="s">
        <v>60</v>
      </c>
    </row>
    <row r="404" spans="1:45" x14ac:dyDescent="0.25">
      <c r="A404" t="s">
        <v>47</v>
      </c>
      <c r="B404">
        <v>8</v>
      </c>
      <c r="C404" t="s">
        <v>135</v>
      </c>
      <c r="D404">
        <v>29</v>
      </c>
      <c r="E404" t="s">
        <v>79</v>
      </c>
      <c r="F404">
        <v>50</v>
      </c>
      <c r="G404" t="s">
        <v>65</v>
      </c>
      <c r="H404" t="s">
        <v>50</v>
      </c>
      <c r="K404" t="s">
        <v>51</v>
      </c>
      <c r="L404">
        <v>1</v>
      </c>
      <c r="M404" t="s">
        <v>52</v>
      </c>
      <c r="N404" t="s">
        <v>53</v>
      </c>
      <c r="R404">
        <v>0.5</v>
      </c>
      <c r="S404">
        <v>0.75</v>
      </c>
      <c r="T404">
        <v>0</v>
      </c>
      <c r="U404">
        <v>0</v>
      </c>
      <c r="V404" s="1">
        <v>46583</v>
      </c>
      <c r="W404" s="1">
        <v>46675</v>
      </c>
      <c r="X404" s="1">
        <v>46461</v>
      </c>
      <c r="Z404" t="s">
        <v>52</v>
      </c>
      <c r="AB404" t="s">
        <v>52</v>
      </c>
      <c r="AC404">
        <v>50</v>
      </c>
      <c r="AD404">
        <v>1</v>
      </c>
      <c r="AK404" t="s">
        <v>52</v>
      </c>
      <c r="AN404" t="s">
        <v>52</v>
      </c>
      <c r="AO404" t="s">
        <v>52</v>
      </c>
      <c r="AP404" t="s">
        <v>52</v>
      </c>
      <c r="AQ404" t="s">
        <v>52</v>
      </c>
      <c r="AR404" t="s">
        <v>55</v>
      </c>
    </row>
    <row r="405" spans="1:45" x14ac:dyDescent="0.25">
      <c r="A405" t="s">
        <v>47</v>
      </c>
      <c r="B405">
        <v>8</v>
      </c>
      <c r="C405" t="s">
        <v>135</v>
      </c>
      <c r="D405">
        <v>29</v>
      </c>
      <c r="E405" t="s">
        <v>79</v>
      </c>
      <c r="F405">
        <v>50</v>
      </c>
      <c r="G405" t="s">
        <v>81</v>
      </c>
      <c r="H405" t="s">
        <v>50</v>
      </c>
      <c r="K405" t="s">
        <v>51</v>
      </c>
      <c r="L405">
        <v>1</v>
      </c>
      <c r="M405" t="s">
        <v>52</v>
      </c>
      <c r="N405" t="s">
        <v>53</v>
      </c>
      <c r="R405">
        <v>0.5</v>
      </c>
      <c r="S405">
        <v>0.75</v>
      </c>
      <c r="T405">
        <v>0</v>
      </c>
      <c r="U405">
        <v>0</v>
      </c>
      <c r="V405" s="1">
        <v>46583</v>
      </c>
      <c r="W405" s="1">
        <v>46675</v>
      </c>
      <c r="X405" s="1">
        <v>46461</v>
      </c>
      <c r="Z405" t="s">
        <v>52</v>
      </c>
      <c r="AB405" t="s">
        <v>52</v>
      </c>
      <c r="AC405">
        <v>50</v>
      </c>
      <c r="AD405">
        <v>1</v>
      </c>
      <c r="AK405" t="s">
        <v>52</v>
      </c>
      <c r="AN405" t="s">
        <v>52</v>
      </c>
      <c r="AO405" t="s">
        <v>52</v>
      </c>
      <c r="AP405" t="s">
        <v>52</v>
      </c>
      <c r="AQ405" t="s">
        <v>52</v>
      </c>
      <c r="AR405" t="s">
        <v>55</v>
      </c>
      <c r="AS405" t="s">
        <v>60</v>
      </c>
    </row>
    <row r="406" spans="1:45" x14ac:dyDescent="0.25">
      <c r="A406" t="s">
        <v>47</v>
      </c>
      <c r="B406">
        <v>8</v>
      </c>
      <c r="C406" t="s">
        <v>135</v>
      </c>
      <c r="D406">
        <v>29</v>
      </c>
      <c r="E406" t="s">
        <v>83</v>
      </c>
      <c r="F406">
        <v>158</v>
      </c>
      <c r="H406" t="s">
        <v>50</v>
      </c>
      <c r="K406" t="s">
        <v>51</v>
      </c>
      <c r="L406">
        <v>1</v>
      </c>
      <c r="M406" t="s">
        <v>52</v>
      </c>
      <c r="N406" t="s">
        <v>53</v>
      </c>
      <c r="R406">
        <v>0.77</v>
      </c>
      <c r="S406">
        <v>0.93</v>
      </c>
      <c r="T406">
        <v>0</v>
      </c>
      <c r="U406">
        <v>0</v>
      </c>
      <c r="V406" s="1">
        <v>46326</v>
      </c>
      <c r="W406" s="1">
        <v>46691</v>
      </c>
      <c r="X406" s="1">
        <v>46266</v>
      </c>
      <c r="Z406" t="s">
        <v>52</v>
      </c>
      <c r="AB406" t="s">
        <v>52</v>
      </c>
      <c r="AC406">
        <v>158</v>
      </c>
      <c r="AD406">
        <v>2</v>
      </c>
      <c r="AK406" t="s">
        <v>52</v>
      </c>
      <c r="AN406" t="s">
        <v>52</v>
      </c>
      <c r="AO406" t="s">
        <v>52</v>
      </c>
      <c r="AP406" t="s">
        <v>52</v>
      </c>
      <c r="AQ406" t="s">
        <v>52</v>
      </c>
      <c r="AR406" t="s">
        <v>55</v>
      </c>
      <c r="AS406" t="s">
        <v>60</v>
      </c>
    </row>
    <row r="407" spans="1:45" x14ac:dyDescent="0.25">
      <c r="A407" t="s">
        <v>47</v>
      </c>
      <c r="B407">
        <v>8</v>
      </c>
      <c r="C407" t="s">
        <v>137</v>
      </c>
      <c r="D407">
        <v>31</v>
      </c>
      <c r="E407" t="s">
        <v>49</v>
      </c>
      <c r="F407">
        <v>27</v>
      </c>
      <c r="H407" t="s">
        <v>50</v>
      </c>
      <c r="K407" t="s">
        <v>51</v>
      </c>
      <c r="L407">
        <v>1</v>
      </c>
      <c r="M407" t="s">
        <v>52</v>
      </c>
      <c r="N407" t="s">
        <v>53</v>
      </c>
      <c r="Q407">
        <v>230</v>
      </c>
      <c r="R407">
        <v>0</v>
      </c>
      <c r="S407">
        <v>0.75</v>
      </c>
      <c r="T407">
        <v>0</v>
      </c>
      <c r="U407">
        <v>0</v>
      </c>
      <c r="W407" s="1">
        <v>46675</v>
      </c>
      <c r="X407" s="1">
        <v>46357</v>
      </c>
      <c r="Y407" t="s">
        <v>54</v>
      </c>
      <c r="Z407" t="s">
        <v>52</v>
      </c>
      <c r="AB407" t="s">
        <v>52</v>
      </c>
      <c r="AC407">
        <v>27</v>
      </c>
      <c r="AD407">
        <v>1</v>
      </c>
      <c r="AE407">
        <v>0.97</v>
      </c>
      <c r="AG407">
        <v>0.97</v>
      </c>
      <c r="AK407" t="s">
        <v>52</v>
      </c>
      <c r="AN407" t="s">
        <v>52</v>
      </c>
      <c r="AO407" t="s">
        <v>52</v>
      </c>
      <c r="AP407" t="s">
        <v>52</v>
      </c>
      <c r="AQ407" t="s">
        <v>52</v>
      </c>
      <c r="AR407" t="s">
        <v>55</v>
      </c>
      <c r="AS407" t="s">
        <v>60</v>
      </c>
    </row>
    <row r="408" spans="1:45" x14ac:dyDescent="0.25">
      <c r="A408" t="s">
        <v>47</v>
      </c>
      <c r="B408">
        <v>8</v>
      </c>
      <c r="C408" t="s">
        <v>137</v>
      </c>
      <c r="D408">
        <v>31</v>
      </c>
      <c r="E408" t="s">
        <v>49</v>
      </c>
      <c r="F408">
        <v>27</v>
      </c>
      <c r="H408" t="s">
        <v>50</v>
      </c>
      <c r="K408" t="s">
        <v>52</v>
      </c>
      <c r="L408">
        <v>1</v>
      </c>
      <c r="M408" t="s">
        <v>52</v>
      </c>
      <c r="N408" t="s">
        <v>53</v>
      </c>
      <c r="Q408">
        <v>230</v>
      </c>
      <c r="R408">
        <v>0</v>
      </c>
      <c r="S408">
        <v>0.75</v>
      </c>
      <c r="T408">
        <v>0</v>
      </c>
      <c r="U408">
        <v>0</v>
      </c>
      <c r="W408" s="1">
        <v>46675</v>
      </c>
      <c r="X408" s="1">
        <v>46357</v>
      </c>
      <c r="Y408" t="s">
        <v>54</v>
      </c>
      <c r="Z408" t="s">
        <v>52</v>
      </c>
      <c r="AB408" t="s">
        <v>52</v>
      </c>
      <c r="AC408">
        <v>27</v>
      </c>
      <c r="AD408">
        <v>1</v>
      </c>
      <c r="AE408">
        <v>0.97</v>
      </c>
      <c r="AG408">
        <v>0.97</v>
      </c>
      <c r="AK408" t="s">
        <v>52</v>
      </c>
      <c r="AN408" t="s">
        <v>52</v>
      </c>
      <c r="AO408" t="s">
        <v>52</v>
      </c>
      <c r="AP408" t="s">
        <v>52</v>
      </c>
      <c r="AQ408" t="s">
        <v>52</v>
      </c>
      <c r="AR408" t="s">
        <v>55</v>
      </c>
      <c r="AS408" t="s">
        <v>60</v>
      </c>
    </row>
    <row r="409" spans="1:45" x14ac:dyDescent="0.25">
      <c r="A409" t="s">
        <v>47</v>
      </c>
      <c r="B409">
        <v>8</v>
      </c>
      <c r="C409" t="s">
        <v>137</v>
      </c>
      <c r="D409">
        <v>31</v>
      </c>
      <c r="E409" t="s">
        <v>58</v>
      </c>
      <c r="F409">
        <v>102</v>
      </c>
      <c r="G409" t="s">
        <v>59</v>
      </c>
      <c r="H409" t="s">
        <v>50</v>
      </c>
      <c r="K409" t="s">
        <v>51</v>
      </c>
      <c r="L409">
        <v>1</v>
      </c>
      <c r="M409" t="s">
        <v>52</v>
      </c>
      <c r="N409" t="s">
        <v>53</v>
      </c>
      <c r="R409">
        <v>0</v>
      </c>
      <c r="S409">
        <v>0.92</v>
      </c>
      <c r="T409">
        <v>0</v>
      </c>
      <c r="U409">
        <v>0</v>
      </c>
      <c r="W409" s="1">
        <v>46731</v>
      </c>
      <c r="X409" s="1">
        <v>46357</v>
      </c>
      <c r="Z409" t="s">
        <v>52</v>
      </c>
      <c r="AB409" t="s">
        <v>52</v>
      </c>
      <c r="AC409">
        <v>102</v>
      </c>
      <c r="AD409">
        <v>1</v>
      </c>
      <c r="AK409" t="s">
        <v>52</v>
      </c>
      <c r="AN409" t="s">
        <v>52</v>
      </c>
      <c r="AO409" t="s">
        <v>52</v>
      </c>
      <c r="AP409" t="s">
        <v>52</v>
      </c>
      <c r="AQ409" t="s">
        <v>52</v>
      </c>
      <c r="AR409" t="s">
        <v>55</v>
      </c>
      <c r="AS409" t="s">
        <v>60</v>
      </c>
    </row>
    <row r="410" spans="1:45" x14ac:dyDescent="0.25">
      <c r="A410" t="s">
        <v>47</v>
      </c>
      <c r="B410">
        <v>8</v>
      </c>
      <c r="C410" t="s">
        <v>137</v>
      </c>
      <c r="D410">
        <v>31</v>
      </c>
      <c r="E410" t="s">
        <v>58</v>
      </c>
      <c r="F410">
        <v>102</v>
      </c>
      <c r="G410" t="s">
        <v>59</v>
      </c>
      <c r="H410" t="s">
        <v>50</v>
      </c>
      <c r="K410" t="s">
        <v>52</v>
      </c>
      <c r="L410">
        <v>1</v>
      </c>
      <c r="M410" t="s">
        <v>52</v>
      </c>
      <c r="N410" t="s">
        <v>53</v>
      </c>
      <c r="R410">
        <v>0</v>
      </c>
      <c r="S410">
        <v>0.92</v>
      </c>
      <c r="T410">
        <v>0</v>
      </c>
      <c r="U410">
        <v>0</v>
      </c>
      <c r="W410" s="1">
        <v>46731</v>
      </c>
      <c r="X410" s="1">
        <v>46357</v>
      </c>
      <c r="Z410" t="s">
        <v>52</v>
      </c>
      <c r="AB410" t="s">
        <v>52</v>
      </c>
      <c r="AC410">
        <v>102</v>
      </c>
      <c r="AD410">
        <v>1</v>
      </c>
      <c r="AK410" t="s">
        <v>52</v>
      </c>
      <c r="AN410" t="s">
        <v>52</v>
      </c>
      <c r="AO410" t="s">
        <v>52</v>
      </c>
      <c r="AP410" t="s">
        <v>52</v>
      </c>
      <c r="AQ410" t="s">
        <v>52</v>
      </c>
      <c r="AR410" t="s">
        <v>55</v>
      </c>
    </row>
    <row r="411" spans="1:45" x14ac:dyDescent="0.25">
      <c r="A411" t="s">
        <v>47</v>
      </c>
      <c r="B411">
        <v>8</v>
      </c>
      <c r="C411" t="s">
        <v>137</v>
      </c>
      <c r="D411">
        <v>31</v>
      </c>
      <c r="E411" t="s">
        <v>58</v>
      </c>
      <c r="F411">
        <v>102</v>
      </c>
      <c r="G411" t="s">
        <v>61</v>
      </c>
      <c r="H411" t="s">
        <v>50</v>
      </c>
      <c r="K411" t="s">
        <v>51</v>
      </c>
      <c r="L411">
        <v>1</v>
      </c>
      <c r="M411" t="s">
        <v>52</v>
      </c>
      <c r="N411" t="s">
        <v>53</v>
      </c>
      <c r="R411">
        <v>0</v>
      </c>
      <c r="S411">
        <v>0.92</v>
      </c>
      <c r="T411">
        <v>0</v>
      </c>
      <c r="U411">
        <v>0</v>
      </c>
      <c r="W411" s="1">
        <v>46731</v>
      </c>
      <c r="X411" s="1">
        <v>46357</v>
      </c>
      <c r="Z411" t="s">
        <v>52</v>
      </c>
      <c r="AB411" t="s">
        <v>52</v>
      </c>
      <c r="AC411">
        <v>102</v>
      </c>
      <c r="AD411">
        <v>1</v>
      </c>
      <c r="AK411" t="s">
        <v>52</v>
      </c>
      <c r="AN411" t="s">
        <v>52</v>
      </c>
      <c r="AO411" t="s">
        <v>52</v>
      </c>
      <c r="AP411" t="s">
        <v>52</v>
      </c>
      <c r="AQ411" t="s">
        <v>52</v>
      </c>
      <c r="AR411" t="s">
        <v>55</v>
      </c>
      <c r="AS411" t="s">
        <v>60</v>
      </c>
    </row>
    <row r="412" spans="1:45" x14ac:dyDescent="0.25">
      <c r="A412" t="s">
        <v>47</v>
      </c>
      <c r="B412">
        <v>8</v>
      </c>
      <c r="C412" t="s">
        <v>137</v>
      </c>
      <c r="D412">
        <v>31</v>
      </c>
      <c r="E412" t="s">
        <v>58</v>
      </c>
      <c r="F412">
        <v>102</v>
      </c>
      <c r="G412" t="s">
        <v>61</v>
      </c>
      <c r="H412" t="s">
        <v>50</v>
      </c>
      <c r="K412" t="s">
        <v>52</v>
      </c>
      <c r="L412">
        <v>1</v>
      </c>
      <c r="M412" t="s">
        <v>52</v>
      </c>
      <c r="N412" t="s">
        <v>53</v>
      </c>
      <c r="R412">
        <v>0</v>
      </c>
      <c r="S412">
        <v>0.92</v>
      </c>
      <c r="T412">
        <v>0</v>
      </c>
      <c r="U412">
        <v>0</v>
      </c>
      <c r="W412" s="1">
        <v>46731</v>
      </c>
      <c r="X412" s="1">
        <v>46357</v>
      </c>
      <c r="Z412" t="s">
        <v>52</v>
      </c>
      <c r="AB412" t="s">
        <v>52</v>
      </c>
      <c r="AC412">
        <v>102</v>
      </c>
      <c r="AD412">
        <v>1</v>
      </c>
      <c r="AK412" t="s">
        <v>52</v>
      </c>
      <c r="AN412" t="s">
        <v>52</v>
      </c>
      <c r="AO412" t="s">
        <v>52</v>
      </c>
      <c r="AP412" t="s">
        <v>52</v>
      </c>
      <c r="AQ412" t="s">
        <v>52</v>
      </c>
      <c r="AR412" t="s">
        <v>55</v>
      </c>
      <c r="AS412" t="s">
        <v>60</v>
      </c>
    </row>
    <row r="413" spans="1:45" x14ac:dyDescent="0.25">
      <c r="A413" t="s">
        <v>47</v>
      </c>
      <c r="B413">
        <v>8</v>
      </c>
      <c r="C413" t="s">
        <v>137</v>
      </c>
      <c r="D413">
        <v>31</v>
      </c>
      <c r="E413" t="s">
        <v>58</v>
      </c>
      <c r="F413">
        <v>102</v>
      </c>
      <c r="G413" t="s">
        <v>62</v>
      </c>
      <c r="H413" t="s">
        <v>50</v>
      </c>
      <c r="K413" t="s">
        <v>51</v>
      </c>
      <c r="L413">
        <v>1</v>
      </c>
      <c r="M413" t="s">
        <v>52</v>
      </c>
      <c r="N413" t="s">
        <v>53</v>
      </c>
      <c r="R413">
        <v>0</v>
      </c>
      <c r="S413">
        <v>0.92</v>
      </c>
      <c r="T413">
        <v>0</v>
      </c>
      <c r="U413">
        <v>0</v>
      </c>
      <c r="W413" s="1">
        <v>46731</v>
      </c>
      <c r="X413" s="1">
        <v>46357</v>
      </c>
      <c r="Z413" t="s">
        <v>52</v>
      </c>
      <c r="AB413" t="s">
        <v>52</v>
      </c>
      <c r="AC413">
        <v>102</v>
      </c>
      <c r="AD413">
        <v>1</v>
      </c>
      <c r="AK413" t="s">
        <v>52</v>
      </c>
      <c r="AN413" t="s">
        <v>52</v>
      </c>
      <c r="AO413" t="s">
        <v>52</v>
      </c>
      <c r="AP413" t="s">
        <v>52</v>
      </c>
      <c r="AQ413" t="s">
        <v>52</v>
      </c>
      <c r="AR413" t="s">
        <v>55</v>
      </c>
      <c r="AS413" t="s">
        <v>60</v>
      </c>
    </row>
    <row r="414" spans="1:45" x14ac:dyDescent="0.25">
      <c r="A414" t="s">
        <v>47</v>
      </c>
      <c r="B414">
        <v>8</v>
      </c>
      <c r="C414" t="s">
        <v>137</v>
      </c>
      <c r="D414">
        <v>31</v>
      </c>
      <c r="E414" t="s">
        <v>58</v>
      </c>
      <c r="F414">
        <v>102</v>
      </c>
      <c r="G414" t="s">
        <v>62</v>
      </c>
      <c r="H414" t="s">
        <v>50</v>
      </c>
      <c r="K414" t="s">
        <v>52</v>
      </c>
      <c r="L414">
        <v>1</v>
      </c>
      <c r="M414" t="s">
        <v>52</v>
      </c>
      <c r="N414" t="s">
        <v>53</v>
      </c>
      <c r="R414">
        <v>0</v>
      </c>
      <c r="S414">
        <v>0.92</v>
      </c>
      <c r="T414">
        <v>0</v>
      </c>
      <c r="U414">
        <v>0</v>
      </c>
      <c r="W414" s="1">
        <v>46731</v>
      </c>
      <c r="X414" s="1">
        <v>46357</v>
      </c>
      <c r="Z414" t="s">
        <v>52</v>
      </c>
      <c r="AB414" t="s">
        <v>52</v>
      </c>
      <c r="AC414">
        <v>102</v>
      </c>
      <c r="AD414">
        <v>1</v>
      </c>
      <c r="AK414" t="s">
        <v>52</v>
      </c>
      <c r="AN414" t="s">
        <v>52</v>
      </c>
      <c r="AO414" t="s">
        <v>52</v>
      </c>
      <c r="AP414" t="s">
        <v>52</v>
      </c>
      <c r="AQ414" t="s">
        <v>52</v>
      </c>
      <c r="AR414" t="s">
        <v>55</v>
      </c>
      <c r="AS414" t="s">
        <v>60</v>
      </c>
    </row>
    <row r="415" spans="1:45" x14ac:dyDescent="0.25">
      <c r="A415" t="s">
        <v>47</v>
      </c>
      <c r="B415">
        <v>8</v>
      </c>
      <c r="C415" t="s">
        <v>137</v>
      </c>
      <c r="D415">
        <v>31</v>
      </c>
      <c r="E415" t="s">
        <v>58</v>
      </c>
      <c r="F415">
        <v>102</v>
      </c>
      <c r="G415" t="s">
        <v>63</v>
      </c>
      <c r="H415" t="s">
        <v>50</v>
      </c>
      <c r="K415" t="s">
        <v>51</v>
      </c>
      <c r="L415">
        <v>1</v>
      </c>
      <c r="M415" t="s">
        <v>52</v>
      </c>
      <c r="N415" t="s">
        <v>53</v>
      </c>
      <c r="R415">
        <v>0</v>
      </c>
      <c r="S415">
        <v>0.92</v>
      </c>
      <c r="T415">
        <v>0</v>
      </c>
      <c r="U415">
        <v>0</v>
      </c>
      <c r="W415" s="1">
        <v>46731</v>
      </c>
      <c r="X415" s="1">
        <v>46357</v>
      </c>
      <c r="Z415" t="s">
        <v>52</v>
      </c>
      <c r="AB415" t="s">
        <v>52</v>
      </c>
      <c r="AC415">
        <v>102</v>
      </c>
      <c r="AD415">
        <v>1</v>
      </c>
      <c r="AK415" t="s">
        <v>52</v>
      </c>
      <c r="AN415" t="s">
        <v>52</v>
      </c>
      <c r="AO415" t="s">
        <v>52</v>
      </c>
      <c r="AP415" t="s">
        <v>52</v>
      </c>
      <c r="AQ415" t="s">
        <v>52</v>
      </c>
      <c r="AR415" t="s">
        <v>55</v>
      </c>
      <c r="AS415" t="s">
        <v>60</v>
      </c>
    </row>
    <row r="416" spans="1:45" x14ac:dyDescent="0.25">
      <c r="A416" t="s">
        <v>47</v>
      </c>
      <c r="B416">
        <v>8</v>
      </c>
      <c r="C416" t="s">
        <v>137</v>
      </c>
      <c r="D416">
        <v>31</v>
      </c>
      <c r="E416" t="s">
        <v>58</v>
      </c>
      <c r="F416">
        <v>102</v>
      </c>
      <c r="G416" t="s">
        <v>63</v>
      </c>
      <c r="H416" t="s">
        <v>50</v>
      </c>
      <c r="K416" t="s">
        <v>52</v>
      </c>
      <c r="L416">
        <v>1</v>
      </c>
      <c r="M416" t="s">
        <v>52</v>
      </c>
      <c r="N416" t="s">
        <v>53</v>
      </c>
      <c r="R416">
        <v>0</v>
      </c>
      <c r="S416">
        <v>0.92</v>
      </c>
      <c r="T416">
        <v>0</v>
      </c>
      <c r="U416">
        <v>0</v>
      </c>
      <c r="W416" s="1">
        <v>46731</v>
      </c>
      <c r="X416" s="1">
        <v>46357</v>
      </c>
      <c r="Z416" t="s">
        <v>52</v>
      </c>
      <c r="AB416" t="s">
        <v>52</v>
      </c>
      <c r="AC416">
        <v>102</v>
      </c>
      <c r="AD416">
        <v>1</v>
      </c>
      <c r="AK416" t="s">
        <v>52</v>
      </c>
      <c r="AN416" t="s">
        <v>52</v>
      </c>
      <c r="AO416" t="s">
        <v>52</v>
      </c>
      <c r="AP416" t="s">
        <v>52</v>
      </c>
      <c r="AQ416" t="s">
        <v>52</v>
      </c>
      <c r="AR416" t="s">
        <v>55</v>
      </c>
      <c r="AS416" t="s">
        <v>60</v>
      </c>
    </row>
    <row r="417" spans="1:45" x14ac:dyDescent="0.25">
      <c r="A417" t="s">
        <v>47</v>
      </c>
      <c r="B417">
        <v>8</v>
      </c>
      <c r="C417" t="s">
        <v>137</v>
      </c>
      <c r="D417">
        <v>31</v>
      </c>
      <c r="E417" t="s">
        <v>58</v>
      </c>
      <c r="F417">
        <v>102</v>
      </c>
      <c r="G417" t="s">
        <v>64</v>
      </c>
      <c r="H417" t="s">
        <v>50</v>
      </c>
      <c r="K417" t="s">
        <v>52</v>
      </c>
      <c r="L417">
        <v>1</v>
      </c>
      <c r="M417" t="s">
        <v>52</v>
      </c>
      <c r="N417" t="s">
        <v>53</v>
      </c>
      <c r="R417">
        <v>0</v>
      </c>
      <c r="S417">
        <v>0.92</v>
      </c>
      <c r="T417">
        <v>0</v>
      </c>
      <c r="U417">
        <v>0</v>
      </c>
      <c r="W417" s="1">
        <v>46731</v>
      </c>
      <c r="X417" s="1">
        <v>46357</v>
      </c>
      <c r="Z417" t="s">
        <v>52</v>
      </c>
      <c r="AB417" t="s">
        <v>52</v>
      </c>
      <c r="AC417">
        <v>102</v>
      </c>
      <c r="AD417">
        <v>1</v>
      </c>
      <c r="AK417" t="s">
        <v>52</v>
      </c>
      <c r="AN417" t="s">
        <v>52</v>
      </c>
      <c r="AO417" t="s">
        <v>52</v>
      </c>
      <c r="AP417" t="s">
        <v>52</v>
      </c>
      <c r="AQ417" t="s">
        <v>52</v>
      </c>
      <c r="AR417" t="s">
        <v>55</v>
      </c>
    </row>
    <row r="418" spans="1:45" x14ac:dyDescent="0.25">
      <c r="A418" t="s">
        <v>47</v>
      </c>
      <c r="B418">
        <v>8</v>
      </c>
      <c r="C418" t="s">
        <v>137</v>
      </c>
      <c r="D418">
        <v>31</v>
      </c>
      <c r="E418" t="s">
        <v>58</v>
      </c>
      <c r="F418">
        <v>102</v>
      </c>
      <c r="G418" t="s">
        <v>65</v>
      </c>
      <c r="H418" t="s">
        <v>50</v>
      </c>
      <c r="K418" t="s">
        <v>51</v>
      </c>
      <c r="L418">
        <v>1</v>
      </c>
      <c r="M418" t="s">
        <v>52</v>
      </c>
      <c r="N418" t="s">
        <v>53</v>
      </c>
      <c r="R418">
        <v>0</v>
      </c>
      <c r="S418">
        <v>0.92</v>
      </c>
      <c r="T418">
        <v>0</v>
      </c>
      <c r="U418">
        <v>0</v>
      </c>
      <c r="W418" s="1">
        <v>46731</v>
      </c>
      <c r="X418" s="1">
        <v>46357</v>
      </c>
      <c r="Z418" t="s">
        <v>52</v>
      </c>
      <c r="AB418" t="s">
        <v>52</v>
      </c>
      <c r="AC418">
        <v>102</v>
      </c>
      <c r="AD418">
        <v>1</v>
      </c>
      <c r="AK418" t="s">
        <v>52</v>
      </c>
      <c r="AN418" t="s">
        <v>52</v>
      </c>
      <c r="AO418" t="s">
        <v>52</v>
      </c>
      <c r="AP418" t="s">
        <v>52</v>
      </c>
      <c r="AQ418" t="s">
        <v>52</v>
      </c>
      <c r="AR418" t="s">
        <v>55</v>
      </c>
      <c r="AS418" t="s">
        <v>60</v>
      </c>
    </row>
    <row r="419" spans="1:45" x14ac:dyDescent="0.25">
      <c r="A419" t="s">
        <v>47</v>
      </c>
      <c r="B419">
        <v>8</v>
      </c>
      <c r="C419" t="s">
        <v>137</v>
      </c>
      <c r="D419">
        <v>31</v>
      </c>
      <c r="E419" t="s">
        <v>58</v>
      </c>
      <c r="F419">
        <v>102</v>
      </c>
      <c r="G419" t="s">
        <v>65</v>
      </c>
      <c r="H419" t="s">
        <v>50</v>
      </c>
      <c r="K419" t="s">
        <v>52</v>
      </c>
      <c r="L419">
        <v>1</v>
      </c>
      <c r="M419" t="s">
        <v>52</v>
      </c>
      <c r="N419" t="s">
        <v>53</v>
      </c>
      <c r="R419">
        <v>0</v>
      </c>
      <c r="S419">
        <v>0.92</v>
      </c>
      <c r="T419">
        <v>0</v>
      </c>
      <c r="U419">
        <v>0</v>
      </c>
      <c r="W419" s="1">
        <v>46731</v>
      </c>
      <c r="X419" s="1">
        <v>46357</v>
      </c>
      <c r="Z419" t="s">
        <v>52</v>
      </c>
      <c r="AB419" t="s">
        <v>52</v>
      </c>
      <c r="AC419">
        <v>102</v>
      </c>
      <c r="AD419">
        <v>1</v>
      </c>
      <c r="AK419" t="s">
        <v>52</v>
      </c>
      <c r="AN419" t="s">
        <v>52</v>
      </c>
      <c r="AO419" t="s">
        <v>52</v>
      </c>
      <c r="AP419" t="s">
        <v>52</v>
      </c>
      <c r="AQ419" t="s">
        <v>52</v>
      </c>
      <c r="AR419" t="s">
        <v>55</v>
      </c>
      <c r="AS419" t="s">
        <v>60</v>
      </c>
    </row>
    <row r="420" spans="1:45" x14ac:dyDescent="0.25">
      <c r="A420" t="s">
        <v>47</v>
      </c>
      <c r="B420">
        <v>8</v>
      </c>
      <c r="C420" t="s">
        <v>137</v>
      </c>
      <c r="D420">
        <v>31</v>
      </c>
      <c r="E420" t="s">
        <v>58</v>
      </c>
      <c r="F420">
        <v>102</v>
      </c>
      <c r="G420" t="s">
        <v>66</v>
      </c>
      <c r="H420" t="s">
        <v>50</v>
      </c>
      <c r="K420" t="s">
        <v>51</v>
      </c>
      <c r="L420">
        <v>1</v>
      </c>
      <c r="M420" t="s">
        <v>52</v>
      </c>
      <c r="N420" t="s">
        <v>53</v>
      </c>
      <c r="R420">
        <v>0</v>
      </c>
      <c r="S420">
        <v>0.92</v>
      </c>
      <c r="T420">
        <v>0</v>
      </c>
      <c r="U420">
        <v>0</v>
      </c>
      <c r="W420" s="1">
        <v>46731</v>
      </c>
      <c r="X420" s="1">
        <v>46357</v>
      </c>
      <c r="Z420" t="s">
        <v>52</v>
      </c>
      <c r="AB420" t="s">
        <v>52</v>
      </c>
      <c r="AC420">
        <v>102</v>
      </c>
      <c r="AD420">
        <v>1</v>
      </c>
      <c r="AK420" t="s">
        <v>52</v>
      </c>
      <c r="AN420" t="s">
        <v>52</v>
      </c>
      <c r="AO420" t="s">
        <v>52</v>
      </c>
      <c r="AP420" t="s">
        <v>52</v>
      </c>
      <c r="AQ420" t="s">
        <v>52</v>
      </c>
      <c r="AR420" t="s">
        <v>55</v>
      </c>
      <c r="AS420" t="s">
        <v>60</v>
      </c>
    </row>
    <row r="421" spans="1:45" x14ac:dyDescent="0.25">
      <c r="A421" t="s">
        <v>47</v>
      </c>
      <c r="B421">
        <v>8</v>
      </c>
      <c r="C421" t="s">
        <v>137</v>
      </c>
      <c r="D421">
        <v>31</v>
      </c>
      <c r="E421" t="s">
        <v>58</v>
      </c>
      <c r="F421">
        <v>102</v>
      </c>
      <c r="G421" t="s">
        <v>66</v>
      </c>
      <c r="H421" t="s">
        <v>50</v>
      </c>
      <c r="K421" t="s">
        <v>52</v>
      </c>
      <c r="L421">
        <v>1</v>
      </c>
      <c r="M421" t="s">
        <v>52</v>
      </c>
      <c r="N421" t="s">
        <v>53</v>
      </c>
      <c r="R421">
        <v>0</v>
      </c>
      <c r="S421">
        <v>0.92</v>
      </c>
      <c r="T421">
        <v>0</v>
      </c>
      <c r="U421">
        <v>0</v>
      </c>
      <c r="W421" s="1">
        <v>46731</v>
      </c>
      <c r="X421" s="1">
        <v>46357</v>
      </c>
      <c r="Z421" t="s">
        <v>52</v>
      </c>
      <c r="AB421" t="s">
        <v>52</v>
      </c>
      <c r="AC421">
        <v>102</v>
      </c>
      <c r="AD421">
        <v>1</v>
      </c>
      <c r="AK421" t="s">
        <v>52</v>
      </c>
      <c r="AN421" t="s">
        <v>52</v>
      </c>
      <c r="AO421" t="s">
        <v>52</v>
      </c>
      <c r="AP421" t="s">
        <v>52</v>
      </c>
      <c r="AQ421" t="s">
        <v>52</v>
      </c>
      <c r="AR421" t="s">
        <v>55</v>
      </c>
      <c r="AS421" t="s">
        <v>60</v>
      </c>
    </row>
    <row r="422" spans="1:45" x14ac:dyDescent="0.25">
      <c r="A422" t="s">
        <v>47</v>
      </c>
      <c r="B422">
        <v>8</v>
      </c>
      <c r="C422" t="s">
        <v>137</v>
      </c>
      <c r="D422">
        <v>31</v>
      </c>
      <c r="E422" t="s">
        <v>68</v>
      </c>
      <c r="F422">
        <v>80</v>
      </c>
      <c r="G422" t="s">
        <v>69</v>
      </c>
      <c r="H422" t="s">
        <v>50</v>
      </c>
      <c r="K422" t="s">
        <v>51</v>
      </c>
      <c r="L422">
        <v>1</v>
      </c>
      <c r="M422" t="s">
        <v>52</v>
      </c>
      <c r="N422" t="s">
        <v>53</v>
      </c>
      <c r="R422">
        <v>0.5</v>
      </c>
      <c r="S422">
        <v>0.75</v>
      </c>
      <c r="T422">
        <v>0</v>
      </c>
      <c r="U422">
        <v>0</v>
      </c>
      <c r="V422" s="1">
        <v>46583</v>
      </c>
      <c r="W422" s="1">
        <v>46675</v>
      </c>
      <c r="X422" s="1">
        <v>46461</v>
      </c>
      <c r="Z422" t="s">
        <v>52</v>
      </c>
      <c r="AB422" t="s">
        <v>52</v>
      </c>
      <c r="AC422">
        <v>80</v>
      </c>
      <c r="AD422">
        <v>1</v>
      </c>
      <c r="AK422" t="s">
        <v>52</v>
      </c>
      <c r="AN422" t="s">
        <v>52</v>
      </c>
      <c r="AO422" t="s">
        <v>52</v>
      </c>
      <c r="AP422" t="s">
        <v>52</v>
      </c>
      <c r="AQ422" t="s">
        <v>52</v>
      </c>
      <c r="AR422" t="s">
        <v>55</v>
      </c>
      <c r="AS422" t="s">
        <v>88</v>
      </c>
    </row>
    <row r="423" spans="1:45" x14ac:dyDescent="0.25">
      <c r="A423" t="s">
        <v>47</v>
      </c>
      <c r="B423">
        <v>8</v>
      </c>
      <c r="C423" t="s">
        <v>137</v>
      </c>
      <c r="D423">
        <v>31</v>
      </c>
      <c r="E423" t="s">
        <v>68</v>
      </c>
      <c r="F423">
        <v>80</v>
      </c>
      <c r="G423" t="s">
        <v>69</v>
      </c>
      <c r="H423" t="s">
        <v>50</v>
      </c>
      <c r="K423" t="s">
        <v>52</v>
      </c>
      <c r="L423">
        <v>1</v>
      </c>
      <c r="M423" t="s">
        <v>52</v>
      </c>
      <c r="N423" t="s">
        <v>53</v>
      </c>
      <c r="R423">
        <v>0.5</v>
      </c>
      <c r="S423">
        <v>0.75</v>
      </c>
      <c r="T423">
        <v>0</v>
      </c>
      <c r="U423">
        <v>0</v>
      </c>
      <c r="V423" s="1">
        <v>46583</v>
      </c>
      <c r="W423" s="1">
        <v>46675</v>
      </c>
      <c r="X423" s="1">
        <v>46461</v>
      </c>
      <c r="Z423" t="s">
        <v>52</v>
      </c>
      <c r="AB423" t="s">
        <v>52</v>
      </c>
      <c r="AC423">
        <v>80</v>
      </c>
      <c r="AD423">
        <v>1</v>
      </c>
      <c r="AK423" t="s">
        <v>52</v>
      </c>
      <c r="AN423" t="s">
        <v>52</v>
      </c>
      <c r="AO423" t="s">
        <v>52</v>
      </c>
      <c r="AP423" t="s">
        <v>52</v>
      </c>
      <c r="AQ423" t="s">
        <v>52</v>
      </c>
      <c r="AR423" t="s">
        <v>55</v>
      </c>
      <c r="AS423" t="s">
        <v>88</v>
      </c>
    </row>
    <row r="424" spans="1:45" x14ac:dyDescent="0.25">
      <c r="A424" t="s">
        <v>47</v>
      </c>
      <c r="B424">
        <v>8</v>
      </c>
      <c r="C424" t="s">
        <v>137</v>
      </c>
      <c r="D424">
        <v>31</v>
      </c>
      <c r="E424" t="s">
        <v>70</v>
      </c>
      <c r="F424">
        <v>296</v>
      </c>
      <c r="G424" t="s">
        <v>71</v>
      </c>
      <c r="H424" t="s">
        <v>50</v>
      </c>
      <c r="K424" t="s">
        <v>51</v>
      </c>
      <c r="L424">
        <v>1</v>
      </c>
      <c r="M424" t="s">
        <v>52</v>
      </c>
      <c r="N424" t="s">
        <v>53</v>
      </c>
      <c r="Q424">
        <v>224.33330000000001</v>
      </c>
      <c r="R424">
        <v>0</v>
      </c>
      <c r="S424">
        <v>0.75</v>
      </c>
      <c r="T424">
        <v>0</v>
      </c>
      <c r="U424">
        <v>0</v>
      </c>
      <c r="W424" s="1">
        <v>46675</v>
      </c>
      <c r="X424" s="1">
        <v>46357</v>
      </c>
      <c r="Y424" t="s">
        <v>54</v>
      </c>
      <c r="Z424" t="s">
        <v>52</v>
      </c>
      <c r="AB424" t="s">
        <v>52</v>
      </c>
      <c r="AC424">
        <v>296</v>
      </c>
      <c r="AD424">
        <v>1</v>
      </c>
      <c r="AK424" t="s">
        <v>52</v>
      </c>
      <c r="AN424" t="s">
        <v>52</v>
      </c>
      <c r="AO424" t="s">
        <v>52</v>
      </c>
      <c r="AP424" t="s">
        <v>52</v>
      </c>
      <c r="AQ424" t="s">
        <v>52</v>
      </c>
      <c r="AR424" t="s">
        <v>55</v>
      </c>
      <c r="AS424" t="s">
        <v>60</v>
      </c>
    </row>
    <row r="425" spans="1:45" x14ac:dyDescent="0.25">
      <c r="A425" t="s">
        <v>47</v>
      </c>
      <c r="B425">
        <v>8</v>
      </c>
      <c r="C425" t="s">
        <v>137</v>
      </c>
      <c r="D425">
        <v>31</v>
      </c>
      <c r="E425" t="s">
        <v>70</v>
      </c>
      <c r="F425">
        <v>296</v>
      </c>
      <c r="G425" t="s">
        <v>71</v>
      </c>
      <c r="H425" t="s">
        <v>50</v>
      </c>
      <c r="K425" t="s">
        <v>52</v>
      </c>
      <c r="L425">
        <v>1</v>
      </c>
      <c r="M425" t="s">
        <v>52</v>
      </c>
      <c r="N425" t="s">
        <v>53</v>
      </c>
      <c r="Q425">
        <v>224.33330000000001</v>
      </c>
      <c r="R425">
        <v>0</v>
      </c>
      <c r="S425">
        <v>0.75</v>
      </c>
      <c r="T425">
        <v>0</v>
      </c>
      <c r="U425">
        <v>0</v>
      </c>
      <c r="W425" s="1">
        <v>46675</v>
      </c>
      <c r="X425" s="1">
        <v>46357</v>
      </c>
      <c r="Y425" t="s">
        <v>54</v>
      </c>
      <c r="Z425" t="s">
        <v>52</v>
      </c>
      <c r="AB425" t="s">
        <v>52</v>
      </c>
      <c r="AC425">
        <v>296</v>
      </c>
      <c r="AD425">
        <v>1</v>
      </c>
      <c r="AK425" t="s">
        <v>52</v>
      </c>
      <c r="AN425" t="s">
        <v>52</v>
      </c>
      <c r="AO425" t="s">
        <v>52</v>
      </c>
      <c r="AP425" t="s">
        <v>52</v>
      </c>
      <c r="AQ425" t="s">
        <v>52</v>
      </c>
      <c r="AR425" t="s">
        <v>55</v>
      </c>
      <c r="AS425" t="s">
        <v>60</v>
      </c>
    </row>
    <row r="426" spans="1:45" x14ac:dyDescent="0.25">
      <c r="A426" t="s">
        <v>47</v>
      </c>
      <c r="B426">
        <v>8</v>
      </c>
      <c r="C426" t="s">
        <v>137</v>
      </c>
      <c r="D426">
        <v>31</v>
      </c>
      <c r="E426" t="s">
        <v>70</v>
      </c>
      <c r="F426">
        <v>296</v>
      </c>
      <c r="G426" t="s">
        <v>72</v>
      </c>
      <c r="H426" t="s">
        <v>50</v>
      </c>
      <c r="K426" t="s">
        <v>51</v>
      </c>
      <c r="L426">
        <v>1</v>
      </c>
      <c r="M426" t="s">
        <v>52</v>
      </c>
      <c r="N426" t="s">
        <v>53</v>
      </c>
      <c r="R426">
        <v>0.5</v>
      </c>
      <c r="S426">
        <v>0.75</v>
      </c>
      <c r="T426">
        <v>0</v>
      </c>
      <c r="U426">
        <v>0</v>
      </c>
      <c r="W426" s="1">
        <v>46675</v>
      </c>
      <c r="X426" s="1">
        <v>46357</v>
      </c>
      <c r="Z426" t="s">
        <v>52</v>
      </c>
      <c r="AB426" t="s">
        <v>52</v>
      </c>
      <c r="AC426">
        <v>296</v>
      </c>
      <c r="AD426">
        <v>1</v>
      </c>
      <c r="AK426" t="s">
        <v>52</v>
      </c>
      <c r="AN426" t="s">
        <v>52</v>
      </c>
      <c r="AO426" t="s">
        <v>52</v>
      </c>
      <c r="AP426" t="s">
        <v>52</v>
      </c>
      <c r="AQ426" t="s">
        <v>52</v>
      </c>
      <c r="AR426" t="s">
        <v>55</v>
      </c>
      <c r="AS426" t="s">
        <v>60</v>
      </c>
    </row>
    <row r="427" spans="1:45" x14ac:dyDescent="0.25">
      <c r="A427" t="s">
        <v>47</v>
      </c>
      <c r="B427">
        <v>8</v>
      </c>
      <c r="C427" t="s">
        <v>137</v>
      </c>
      <c r="D427">
        <v>31</v>
      </c>
      <c r="E427" t="s">
        <v>70</v>
      </c>
      <c r="F427">
        <v>296</v>
      </c>
      <c r="G427" t="s">
        <v>72</v>
      </c>
      <c r="H427" t="s">
        <v>50</v>
      </c>
      <c r="K427" t="s">
        <v>52</v>
      </c>
      <c r="L427">
        <v>1</v>
      </c>
      <c r="M427" t="s">
        <v>52</v>
      </c>
      <c r="N427" t="s">
        <v>53</v>
      </c>
      <c r="R427">
        <v>0.5</v>
      </c>
      <c r="S427">
        <v>0.75</v>
      </c>
      <c r="T427">
        <v>0</v>
      </c>
      <c r="U427">
        <v>0</v>
      </c>
      <c r="W427" s="1">
        <v>46675</v>
      </c>
      <c r="X427" s="1">
        <v>46357</v>
      </c>
      <c r="Z427" t="s">
        <v>52</v>
      </c>
      <c r="AB427" t="s">
        <v>52</v>
      </c>
      <c r="AC427">
        <v>296</v>
      </c>
      <c r="AD427">
        <v>1</v>
      </c>
      <c r="AK427" t="s">
        <v>52</v>
      </c>
      <c r="AN427" t="s">
        <v>52</v>
      </c>
      <c r="AO427" t="s">
        <v>52</v>
      </c>
      <c r="AP427" t="s">
        <v>52</v>
      </c>
      <c r="AQ427" t="s">
        <v>52</v>
      </c>
      <c r="AR427" t="s">
        <v>55</v>
      </c>
      <c r="AS427" t="s">
        <v>60</v>
      </c>
    </row>
    <row r="428" spans="1:45" x14ac:dyDescent="0.25">
      <c r="A428" t="s">
        <v>47</v>
      </c>
      <c r="B428">
        <v>8</v>
      </c>
      <c r="C428" t="s">
        <v>137</v>
      </c>
      <c r="D428">
        <v>31</v>
      </c>
      <c r="E428" t="s">
        <v>70</v>
      </c>
      <c r="F428">
        <v>296</v>
      </c>
      <c r="G428" t="s">
        <v>73</v>
      </c>
      <c r="H428" t="s">
        <v>50</v>
      </c>
      <c r="K428" t="s">
        <v>51</v>
      </c>
      <c r="L428">
        <v>1</v>
      </c>
      <c r="M428" t="s">
        <v>52</v>
      </c>
      <c r="N428" t="s">
        <v>53</v>
      </c>
      <c r="R428">
        <v>0</v>
      </c>
      <c r="S428">
        <v>0.75</v>
      </c>
      <c r="T428">
        <v>0</v>
      </c>
      <c r="U428">
        <v>0</v>
      </c>
      <c r="W428" s="1">
        <v>46675</v>
      </c>
      <c r="X428" s="1">
        <v>46357</v>
      </c>
      <c r="Z428" t="s">
        <v>52</v>
      </c>
      <c r="AB428" t="s">
        <v>52</v>
      </c>
      <c r="AC428">
        <v>296</v>
      </c>
      <c r="AD428">
        <v>1</v>
      </c>
      <c r="AK428" t="s">
        <v>52</v>
      </c>
      <c r="AN428" t="s">
        <v>52</v>
      </c>
      <c r="AO428" t="s">
        <v>52</v>
      </c>
      <c r="AP428" t="s">
        <v>52</v>
      </c>
      <c r="AQ428" t="s">
        <v>52</v>
      </c>
      <c r="AR428" t="s">
        <v>55</v>
      </c>
      <c r="AS428" t="s">
        <v>60</v>
      </c>
    </row>
    <row r="429" spans="1:45" x14ac:dyDescent="0.25">
      <c r="A429" t="s">
        <v>47</v>
      </c>
      <c r="B429">
        <v>8</v>
      </c>
      <c r="C429" t="s">
        <v>137</v>
      </c>
      <c r="D429">
        <v>31</v>
      </c>
      <c r="E429" t="s">
        <v>70</v>
      </c>
      <c r="F429">
        <v>296</v>
      </c>
      <c r="G429" t="s">
        <v>73</v>
      </c>
      <c r="H429" t="s">
        <v>50</v>
      </c>
      <c r="K429" t="s">
        <v>52</v>
      </c>
      <c r="L429">
        <v>1</v>
      </c>
      <c r="M429" t="s">
        <v>52</v>
      </c>
      <c r="N429" t="s">
        <v>53</v>
      </c>
      <c r="R429">
        <v>0</v>
      </c>
      <c r="S429">
        <v>0.75</v>
      </c>
      <c r="T429">
        <v>0</v>
      </c>
      <c r="U429">
        <v>0</v>
      </c>
      <c r="W429" s="1">
        <v>46675</v>
      </c>
      <c r="X429" s="1">
        <v>46357</v>
      </c>
      <c r="Z429" t="s">
        <v>52</v>
      </c>
      <c r="AB429" t="s">
        <v>52</v>
      </c>
      <c r="AC429">
        <v>296</v>
      </c>
      <c r="AD429">
        <v>1</v>
      </c>
      <c r="AK429" t="s">
        <v>52</v>
      </c>
      <c r="AN429" t="s">
        <v>52</v>
      </c>
      <c r="AO429" t="s">
        <v>52</v>
      </c>
      <c r="AP429" t="s">
        <v>52</v>
      </c>
      <c r="AQ429" t="s">
        <v>52</v>
      </c>
      <c r="AR429" t="s">
        <v>55</v>
      </c>
      <c r="AS429" t="s">
        <v>60</v>
      </c>
    </row>
    <row r="430" spans="1:45" x14ac:dyDescent="0.25">
      <c r="A430" t="s">
        <v>47</v>
      </c>
      <c r="B430">
        <v>8</v>
      </c>
      <c r="C430" t="s">
        <v>137</v>
      </c>
      <c r="D430">
        <v>31</v>
      </c>
      <c r="E430" t="s">
        <v>70</v>
      </c>
      <c r="F430">
        <v>296</v>
      </c>
      <c r="G430" t="s">
        <v>74</v>
      </c>
      <c r="H430" t="s">
        <v>50</v>
      </c>
      <c r="K430" t="s">
        <v>51</v>
      </c>
      <c r="L430">
        <v>1</v>
      </c>
      <c r="M430" t="s">
        <v>52</v>
      </c>
      <c r="N430" t="s">
        <v>53</v>
      </c>
      <c r="R430">
        <v>0</v>
      </c>
      <c r="S430">
        <v>0.75</v>
      </c>
      <c r="T430">
        <v>0</v>
      </c>
      <c r="U430">
        <v>0</v>
      </c>
      <c r="W430" s="1">
        <v>46675</v>
      </c>
      <c r="X430" s="1">
        <v>46357</v>
      </c>
      <c r="Z430" t="s">
        <v>52</v>
      </c>
      <c r="AB430" t="s">
        <v>52</v>
      </c>
      <c r="AC430">
        <v>102</v>
      </c>
      <c r="AD430">
        <v>1</v>
      </c>
      <c r="AK430" t="s">
        <v>52</v>
      </c>
      <c r="AN430" t="s">
        <v>52</v>
      </c>
      <c r="AO430" t="s">
        <v>52</v>
      </c>
      <c r="AP430" t="s">
        <v>52</v>
      </c>
      <c r="AQ430" t="s">
        <v>52</v>
      </c>
      <c r="AR430" t="s">
        <v>55</v>
      </c>
      <c r="AS430" t="s">
        <v>60</v>
      </c>
    </row>
    <row r="431" spans="1:45" x14ac:dyDescent="0.25">
      <c r="A431" t="s">
        <v>47</v>
      </c>
      <c r="B431">
        <v>8</v>
      </c>
      <c r="C431" t="s">
        <v>137</v>
      </c>
      <c r="D431">
        <v>31</v>
      </c>
      <c r="E431" t="s">
        <v>70</v>
      </c>
      <c r="F431">
        <v>296</v>
      </c>
      <c r="G431" t="s">
        <v>74</v>
      </c>
      <c r="H431" t="s">
        <v>50</v>
      </c>
      <c r="K431" t="s">
        <v>52</v>
      </c>
      <c r="L431">
        <v>1</v>
      </c>
      <c r="M431" t="s">
        <v>52</v>
      </c>
      <c r="N431" t="s">
        <v>53</v>
      </c>
      <c r="R431">
        <v>0</v>
      </c>
      <c r="S431">
        <v>0.75</v>
      </c>
      <c r="T431">
        <v>0</v>
      </c>
      <c r="U431">
        <v>0</v>
      </c>
      <c r="W431" s="1">
        <v>46675</v>
      </c>
      <c r="X431" s="1">
        <v>46357</v>
      </c>
      <c r="Z431" t="s">
        <v>52</v>
      </c>
      <c r="AB431" t="s">
        <v>52</v>
      </c>
      <c r="AC431">
        <v>102</v>
      </c>
      <c r="AD431">
        <v>1</v>
      </c>
      <c r="AK431" t="s">
        <v>52</v>
      </c>
      <c r="AN431" t="s">
        <v>52</v>
      </c>
      <c r="AO431" t="s">
        <v>52</v>
      </c>
      <c r="AP431" t="s">
        <v>52</v>
      </c>
      <c r="AQ431" t="s">
        <v>52</v>
      </c>
      <c r="AR431" t="s">
        <v>55</v>
      </c>
      <c r="AS431" t="s">
        <v>60</v>
      </c>
    </row>
    <row r="432" spans="1:45" x14ac:dyDescent="0.25">
      <c r="A432" t="s">
        <v>47</v>
      </c>
      <c r="B432">
        <v>8</v>
      </c>
      <c r="C432" t="s">
        <v>137</v>
      </c>
      <c r="D432">
        <v>31</v>
      </c>
      <c r="E432" t="s">
        <v>75</v>
      </c>
      <c r="F432">
        <v>16</v>
      </c>
      <c r="G432" t="s">
        <v>76</v>
      </c>
      <c r="H432" t="s">
        <v>50</v>
      </c>
      <c r="K432" t="s">
        <v>51</v>
      </c>
      <c r="L432">
        <v>1</v>
      </c>
      <c r="M432" t="s">
        <v>52</v>
      </c>
      <c r="N432" t="s">
        <v>53</v>
      </c>
      <c r="R432">
        <v>0.5</v>
      </c>
      <c r="S432">
        <v>0.75</v>
      </c>
      <c r="T432">
        <v>0</v>
      </c>
      <c r="U432">
        <v>0</v>
      </c>
      <c r="V432" s="1">
        <v>46507</v>
      </c>
      <c r="W432" s="1">
        <v>46691</v>
      </c>
      <c r="X432" s="1">
        <v>46461</v>
      </c>
      <c r="Z432" t="s">
        <v>52</v>
      </c>
      <c r="AB432" t="s">
        <v>52</v>
      </c>
      <c r="AC432">
        <v>16</v>
      </c>
      <c r="AD432">
        <v>2</v>
      </c>
      <c r="AE432">
        <v>0.95</v>
      </c>
      <c r="AG432">
        <v>0.95</v>
      </c>
      <c r="AK432" t="s">
        <v>52</v>
      </c>
      <c r="AN432" t="s">
        <v>52</v>
      </c>
      <c r="AO432" t="s">
        <v>52</v>
      </c>
      <c r="AP432" t="s">
        <v>52</v>
      </c>
      <c r="AQ432" t="s">
        <v>52</v>
      </c>
      <c r="AR432" t="s">
        <v>55</v>
      </c>
      <c r="AS432" t="s">
        <v>60</v>
      </c>
    </row>
    <row r="433" spans="1:45" x14ac:dyDescent="0.25">
      <c r="A433" t="s">
        <v>47</v>
      </c>
      <c r="B433">
        <v>8</v>
      </c>
      <c r="C433" t="s">
        <v>137</v>
      </c>
      <c r="D433">
        <v>31</v>
      </c>
      <c r="E433" t="s">
        <v>75</v>
      </c>
      <c r="F433">
        <v>16</v>
      </c>
      <c r="G433" t="s">
        <v>76</v>
      </c>
      <c r="H433" t="s">
        <v>50</v>
      </c>
      <c r="K433" t="s">
        <v>52</v>
      </c>
      <c r="L433">
        <v>1</v>
      </c>
      <c r="M433" t="s">
        <v>52</v>
      </c>
      <c r="N433" t="s">
        <v>53</v>
      </c>
      <c r="R433">
        <v>0.5</v>
      </c>
      <c r="S433">
        <v>0.75</v>
      </c>
      <c r="T433">
        <v>0</v>
      </c>
      <c r="U433">
        <v>0</v>
      </c>
      <c r="V433" s="1">
        <v>46507</v>
      </c>
      <c r="W433" s="1">
        <v>46691</v>
      </c>
      <c r="X433" s="1">
        <v>46461</v>
      </c>
      <c r="Z433" t="s">
        <v>52</v>
      </c>
      <c r="AB433" t="s">
        <v>52</v>
      </c>
      <c r="AC433">
        <v>16</v>
      </c>
      <c r="AD433">
        <v>2</v>
      </c>
      <c r="AE433">
        <v>0.95</v>
      </c>
      <c r="AG433">
        <v>0.95</v>
      </c>
      <c r="AK433" t="s">
        <v>52</v>
      </c>
      <c r="AN433" t="s">
        <v>52</v>
      </c>
      <c r="AO433" t="s">
        <v>52</v>
      </c>
      <c r="AP433" t="s">
        <v>52</v>
      </c>
      <c r="AQ433" t="s">
        <v>52</v>
      </c>
      <c r="AR433" t="s">
        <v>55</v>
      </c>
      <c r="AS433" t="s">
        <v>60</v>
      </c>
    </row>
    <row r="434" spans="1:45" x14ac:dyDescent="0.25">
      <c r="A434" t="s">
        <v>47</v>
      </c>
      <c r="B434">
        <v>8</v>
      </c>
      <c r="C434" t="s">
        <v>137</v>
      </c>
      <c r="D434">
        <v>31</v>
      </c>
      <c r="E434" t="s">
        <v>79</v>
      </c>
      <c r="F434">
        <v>50</v>
      </c>
      <c r="G434" t="s">
        <v>80</v>
      </c>
      <c r="H434" t="s">
        <v>50</v>
      </c>
      <c r="K434" t="s">
        <v>51</v>
      </c>
      <c r="L434">
        <v>1</v>
      </c>
      <c r="M434" t="s">
        <v>52</v>
      </c>
      <c r="N434" t="s">
        <v>53</v>
      </c>
      <c r="R434">
        <v>0.5</v>
      </c>
      <c r="S434">
        <v>0.75</v>
      </c>
      <c r="T434">
        <v>0</v>
      </c>
      <c r="U434">
        <v>0</v>
      </c>
      <c r="V434" s="1">
        <v>46583</v>
      </c>
      <c r="W434" s="1">
        <v>46675</v>
      </c>
      <c r="X434" s="1">
        <v>46461</v>
      </c>
      <c r="Z434" t="s">
        <v>52</v>
      </c>
      <c r="AB434" t="s">
        <v>52</v>
      </c>
      <c r="AC434">
        <v>50</v>
      </c>
      <c r="AD434">
        <v>1</v>
      </c>
      <c r="AK434" t="s">
        <v>52</v>
      </c>
      <c r="AN434" t="s">
        <v>52</v>
      </c>
      <c r="AO434" t="s">
        <v>52</v>
      </c>
      <c r="AP434" t="s">
        <v>52</v>
      </c>
      <c r="AQ434" t="s">
        <v>52</v>
      </c>
      <c r="AR434" t="s">
        <v>55</v>
      </c>
      <c r="AS434" t="s">
        <v>60</v>
      </c>
    </row>
    <row r="435" spans="1:45" x14ac:dyDescent="0.25">
      <c r="A435" t="s">
        <v>47</v>
      </c>
      <c r="B435">
        <v>8</v>
      </c>
      <c r="C435" t="s">
        <v>137</v>
      </c>
      <c r="D435">
        <v>31</v>
      </c>
      <c r="E435" t="s">
        <v>79</v>
      </c>
      <c r="F435">
        <v>50</v>
      </c>
      <c r="G435" t="s">
        <v>80</v>
      </c>
      <c r="H435" t="s">
        <v>50</v>
      </c>
      <c r="K435" t="s">
        <v>52</v>
      </c>
      <c r="L435">
        <v>1</v>
      </c>
      <c r="M435" t="s">
        <v>52</v>
      </c>
      <c r="N435" t="s">
        <v>53</v>
      </c>
      <c r="R435">
        <v>0.5</v>
      </c>
      <c r="S435">
        <v>0.75</v>
      </c>
      <c r="T435">
        <v>0</v>
      </c>
      <c r="U435">
        <v>0</v>
      </c>
      <c r="V435" s="1">
        <v>46583</v>
      </c>
      <c r="W435" s="1">
        <v>46675</v>
      </c>
      <c r="X435" s="1">
        <v>46461</v>
      </c>
      <c r="Z435" t="s">
        <v>52</v>
      </c>
      <c r="AB435" t="s">
        <v>52</v>
      </c>
      <c r="AC435">
        <v>50</v>
      </c>
      <c r="AD435">
        <v>1</v>
      </c>
      <c r="AK435" t="s">
        <v>52</v>
      </c>
      <c r="AN435" t="s">
        <v>52</v>
      </c>
      <c r="AO435" t="s">
        <v>52</v>
      </c>
      <c r="AP435" t="s">
        <v>52</v>
      </c>
      <c r="AQ435" t="s">
        <v>52</v>
      </c>
      <c r="AR435" t="s">
        <v>55</v>
      </c>
    </row>
    <row r="436" spans="1:45" x14ac:dyDescent="0.25">
      <c r="A436" t="s">
        <v>47</v>
      </c>
      <c r="B436">
        <v>8</v>
      </c>
      <c r="C436" t="s">
        <v>137</v>
      </c>
      <c r="D436">
        <v>31</v>
      </c>
      <c r="E436" t="s">
        <v>79</v>
      </c>
      <c r="F436">
        <v>50</v>
      </c>
      <c r="G436" t="s">
        <v>65</v>
      </c>
      <c r="H436" t="s">
        <v>50</v>
      </c>
      <c r="K436" t="s">
        <v>51</v>
      </c>
      <c r="L436">
        <v>1</v>
      </c>
      <c r="M436" t="s">
        <v>52</v>
      </c>
      <c r="N436" t="s">
        <v>53</v>
      </c>
      <c r="R436">
        <v>0.5</v>
      </c>
      <c r="S436">
        <v>0.75</v>
      </c>
      <c r="T436">
        <v>0</v>
      </c>
      <c r="U436">
        <v>0</v>
      </c>
      <c r="V436" s="1">
        <v>46583</v>
      </c>
      <c r="W436" s="1">
        <v>46675</v>
      </c>
      <c r="X436" s="1">
        <v>46461</v>
      </c>
      <c r="Z436" t="s">
        <v>52</v>
      </c>
      <c r="AB436" t="s">
        <v>52</v>
      </c>
      <c r="AC436">
        <v>50</v>
      </c>
      <c r="AD436">
        <v>1</v>
      </c>
      <c r="AK436" t="s">
        <v>52</v>
      </c>
      <c r="AN436" t="s">
        <v>52</v>
      </c>
      <c r="AO436" t="s">
        <v>52</v>
      </c>
      <c r="AP436" t="s">
        <v>52</v>
      </c>
      <c r="AQ436" t="s">
        <v>52</v>
      </c>
      <c r="AR436" t="s">
        <v>55</v>
      </c>
      <c r="AS436" t="s">
        <v>88</v>
      </c>
    </row>
    <row r="437" spans="1:45" x14ac:dyDescent="0.25">
      <c r="A437" t="s">
        <v>47</v>
      </c>
      <c r="B437">
        <v>8</v>
      </c>
      <c r="C437" t="s">
        <v>137</v>
      </c>
      <c r="D437">
        <v>31</v>
      </c>
      <c r="E437" t="s">
        <v>79</v>
      </c>
      <c r="F437">
        <v>50</v>
      </c>
      <c r="G437" t="s">
        <v>65</v>
      </c>
      <c r="H437" t="s">
        <v>50</v>
      </c>
      <c r="K437" t="s">
        <v>52</v>
      </c>
      <c r="L437">
        <v>1</v>
      </c>
      <c r="M437" t="s">
        <v>52</v>
      </c>
      <c r="N437" t="s">
        <v>53</v>
      </c>
      <c r="R437">
        <v>0.5</v>
      </c>
      <c r="S437">
        <v>0.75</v>
      </c>
      <c r="T437">
        <v>0</v>
      </c>
      <c r="U437">
        <v>0</v>
      </c>
      <c r="V437" s="1">
        <v>46583</v>
      </c>
      <c r="W437" s="1">
        <v>46675</v>
      </c>
      <c r="X437" s="1">
        <v>46461</v>
      </c>
      <c r="Z437" t="s">
        <v>52</v>
      </c>
      <c r="AB437" t="s">
        <v>52</v>
      </c>
      <c r="AC437">
        <v>50</v>
      </c>
      <c r="AD437">
        <v>1</v>
      </c>
      <c r="AK437" t="s">
        <v>52</v>
      </c>
      <c r="AN437" t="s">
        <v>52</v>
      </c>
      <c r="AO437" t="s">
        <v>52</v>
      </c>
      <c r="AP437" t="s">
        <v>52</v>
      </c>
      <c r="AQ437" t="s">
        <v>52</v>
      </c>
      <c r="AR437" t="s">
        <v>55</v>
      </c>
      <c r="AS437" t="s">
        <v>60</v>
      </c>
    </row>
    <row r="438" spans="1:45" x14ac:dyDescent="0.25">
      <c r="A438" t="s">
        <v>47</v>
      </c>
      <c r="B438">
        <v>8</v>
      </c>
      <c r="C438" t="s">
        <v>137</v>
      </c>
      <c r="D438">
        <v>31</v>
      </c>
      <c r="E438" t="s">
        <v>79</v>
      </c>
      <c r="F438">
        <v>50</v>
      </c>
      <c r="G438" t="s">
        <v>81</v>
      </c>
      <c r="H438" t="s">
        <v>50</v>
      </c>
      <c r="K438" t="s">
        <v>51</v>
      </c>
      <c r="L438">
        <v>1</v>
      </c>
      <c r="M438" t="s">
        <v>52</v>
      </c>
      <c r="N438" t="s">
        <v>53</v>
      </c>
      <c r="R438">
        <v>0.5</v>
      </c>
      <c r="S438">
        <v>0.75</v>
      </c>
      <c r="T438">
        <v>0</v>
      </c>
      <c r="U438">
        <v>0</v>
      </c>
      <c r="V438" s="1">
        <v>46583</v>
      </c>
      <c r="W438" s="1">
        <v>46675</v>
      </c>
      <c r="X438" s="1">
        <v>46461</v>
      </c>
      <c r="Z438" t="s">
        <v>52</v>
      </c>
      <c r="AB438" t="s">
        <v>52</v>
      </c>
      <c r="AC438">
        <v>50</v>
      </c>
      <c r="AD438">
        <v>1</v>
      </c>
      <c r="AK438" t="s">
        <v>52</v>
      </c>
      <c r="AN438" t="s">
        <v>52</v>
      </c>
      <c r="AO438" t="s">
        <v>52</v>
      </c>
      <c r="AP438" t="s">
        <v>52</v>
      </c>
      <c r="AQ438" t="s">
        <v>52</v>
      </c>
      <c r="AR438" t="s">
        <v>55</v>
      </c>
      <c r="AS438" t="s">
        <v>60</v>
      </c>
    </row>
    <row r="439" spans="1:45" x14ac:dyDescent="0.25">
      <c r="A439" t="s">
        <v>47</v>
      </c>
      <c r="B439">
        <v>8</v>
      </c>
      <c r="C439" t="s">
        <v>137</v>
      </c>
      <c r="D439">
        <v>31</v>
      </c>
      <c r="E439" t="s">
        <v>79</v>
      </c>
      <c r="F439">
        <v>50</v>
      </c>
      <c r="G439" t="s">
        <v>81</v>
      </c>
      <c r="H439" t="s">
        <v>50</v>
      </c>
      <c r="K439" t="s">
        <v>52</v>
      </c>
      <c r="L439">
        <v>1</v>
      </c>
      <c r="M439" t="s">
        <v>52</v>
      </c>
      <c r="N439" t="s">
        <v>53</v>
      </c>
      <c r="R439">
        <v>0.5</v>
      </c>
      <c r="S439">
        <v>0.75</v>
      </c>
      <c r="T439">
        <v>0</v>
      </c>
      <c r="U439">
        <v>0</v>
      </c>
      <c r="V439" s="1">
        <v>46583</v>
      </c>
      <c r="W439" s="1">
        <v>46675</v>
      </c>
      <c r="X439" s="1">
        <v>46461</v>
      </c>
      <c r="Z439" t="s">
        <v>52</v>
      </c>
      <c r="AB439" t="s">
        <v>52</v>
      </c>
      <c r="AC439">
        <v>50</v>
      </c>
      <c r="AD439">
        <v>1</v>
      </c>
      <c r="AK439" t="s">
        <v>52</v>
      </c>
      <c r="AN439" t="s">
        <v>52</v>
      </c>
      <c r="AO439" t="s">
        <v>52</v>
      </c>
      <c r="AP439" t="s">
        <v>52</v>
      </c>
      <c r="AQ439" t="s">
        <v>52</v>
      </c>
      <c r="AR439" t="s">
        <v>55</v>
      </c>
      <c r="AS439" t="s">
        <v>60</v>
      </c>
    </row>
    <row r="440" spans="1:45" x14ac:dyDescent="0.25">
      <c r="A440" t="s">
        <v>47</v>
      </c>
      <c r="B440">
        <v>8</v>
      </c>
      <c r="C440" t="s">
        <v>137</v>
      </c>
      <c r="D440">
        <v>31</v>
      </c>
      <c r="E440" t="s">
        <v>83</v>
      </c>
      <c r="F440">
        <v>158</v>
      </c>
      <c r="H440" t="s">
        <v>50</v>
      </c>
      <c r="K440" t="s">
        <v>52</v>
      </c>
      <c r="L440">
        <v>1</v>
      </c>
      <c r="M440" t="s">
        <v>52</v>
      </c>
      <c r="N440" t="s">
        <v>53</v>
      </c>
      <c r="R440">
        <v>0.77</v>
      </c>
      <c r="S440">
        <v>0.93</v>
      </c>
      <c r="T440">
        <v>0</v>
      </c>
      <c r="U440">
        <v>0</v>
      </c>
      <c r="V440" s="1">
        <v>46326</v>
      </c>
      <c r="W440" s="1">
        <v>46691</v>
      </c>
      <c r="X440" s="1">
        <v>46266</v>
      </c>
      <c r="Z440" t="s">
        <v>52</v>
      </c>
      <c r="AB440" t="s">
        <v>52</v>
      </c>
      <c r="AC440">
        <v>158</v>
      </c>
      <c r="AD440">
        <v>2</v>
      </c>
      <c r="AK440" t="s">
        <v>52</v>
      </c>
      <c r="AN440" t="s">
        <v>52</v>
      </c>
      <c r="AO440" t="s">
        <v>52</v>
      </c>
      <c r="AP440" t="s">
        <v>52</v>
      </c>
      <c r="AQ440" t="s">
        <v>52</v>
      </c>
      <c r="AR440" t="s">
        <v>55</v>
      </c>
      <c r="AS440" t="s">
        <v>60</v>
      </c>
    </row>
    <row r="441" spans="1:45" x14ac:dyDescent="0.25">
      <c r="A441" t="s">
        <v>47</v>
      </c>
      <c r="B441">
        <v>8</v>
      </c>
      <c r="C441" t="s">
        <v>137</v>
      </c>
      <c r="D441">
        <v>31</v>
      </c>
      <c r="E441" t="s">
        <v>84</v>
      </c>
      <c r="F441">
        <v>11</v>
      </c>
      <c r="G441" t="s">
        <v>85</v>
      </c>
      <c r="H441" t="s">
        <v>50</v>
      </c>
      <c r="K441" t="s">
        <v>51</v>
      </c>
      <c r="L441">
        <v>1</v>
      </c>
      <c r="M441" t="s">
        <v>52</v>
      </c>
      <c r="N441" t="s">
        <v>53</v>
      </c>
      <c r="R441">
        <v>0.5</v>
      </c>
      <c r="S441">
        <v>0.75</v>
      </c>
      <c r="T441">
        <v>0</v>
      </c>
      <c r="U441">
        <v>0</v>
      </c>
      <c r="V441" s="1">
        <v>46548</v>
      </c>
      <c r="W441" s="1">
        <v>46691</v>
      </c>
      <c r="X441" s="1">
        <v>46295</v>
      </c>
      <c r="Z441" t="s">
        <v>52</v>
      </c>
      <c r="AB441" t="s">
        <v>52</v>
      </c>
      <c r="AC441">
        <v>11</v>
      </c>
      <c r="AD441">
        <v>2</v>
      </c>
      <c r="AK441" t="s">
        <v>52</v>
      </c>
      <c r="AN441" t="s">
        <v>52</v>
      </c>
      <c r="AO441" t="s">
        <v>52</v>
      </c>
      <c r="AP441" t="s">
        <v>52</v>
      </c>
      <c r="AQ441" t="s">
        <v>52</v>
      </c>
      <c r="AR441" t="s">
        <v>55</v>
      </c>
      <c r="AS441" t="s">
        <v>60</v>
      </c>
    </row>
    <row r="442" spans="1:45" x14ac:dyDescent="0.25">
      <c r="A442" t="s">
        <v>47</v>
      </c>
      <c r="B442">
        <v>8</v>
      </c>
      <c r="C442" t="s">
        <v>138</v>
      </c>
      <c r="D442">
        <v>33</v>
      </c>
      <c r="E442" t="s">
        <v>49</v>
      </c>
      <c r="F442">
        <v>27</v>
      </c>
      <c r="H442" t="s">
        <v>50</v>
      </c>
      <c r="K442" t="s">
        <v>51</v>
      </c>
      <c r="L442">
        <v>1</v>
      </c>
      <c r="M442" t="s">
        <v>52</v>
      </c>
      <c r="N442" t="s">
        <v>53</v>
      </c>
      <c r="Q442">
        <v>230</v>
      </c>
      <c r="R442">
        <v>0</v>
      </c>
      <c r="S442">
        <v>0.75</v>
      </c>
      <c r="T442">
        <v>0</v>
      </c>
      <c r="U442">
        <v>0</v>
      </c>
      <c r="W442" s="1">
        <v>46675</v>
      </c>
      <c r="X442" s="1">
        <v>46357</v>
      </c>
      <c r="Y442" t="s">
        <v>54</v>
      </c>
      <c r="Z442" t="s">
        <v>52</v>
      </c>
      <c r="AB442" t="s">
        <v>52</v>
      </c>
      <c r="AC442">
        <v>27</v>
      </c>
      <c r="AD442">
        <v>1</v>
      </c>
      <c r="AE442">
        <v>0.97</v>
      </c>
      <c r="AG442">
        <v>0.97</v>
      </c>
      <c r="AK442" t="s">
        <v>52</v>
      </c>
      <c r="AN442" t="s">
        <v>52</v>
      </c>
      <c r="AO442" t="s">
        <v>52</v>
      </c>
      <c r="AP442" t="s">
        <v>52</v>
      </c>
      <c r="AQ442" t="s">
        <v>52</v>
      </c>
      <c r="AR442" t="s">
        <v>55</v>
      </c>
      <c r="AS442" t="s">
        <v>56</v>
      </c>
    </row>
    <row r="443" spans="1:45" x14ac:dyDescent="0.25">
      <c r="A443" t="s">
        <v>47</v>
      </c>
      <c r="B443">
        <v>8</v>
      </c>
      <c r="C443" t="s">
        <v>138</v>
      </c>
      <c r="D443">
        <v>33</v>
      </c>
      <c r="E443" t="s">
        <v>49</v>
      </c>
      <c r="F443">
        <v>27</v>
      </c>
      <c r="H443" t="s">
        <v>50</v>
      </c>
      <c r="K443" t="s">
        <v>52</v>
      </c>
      <c r="L443">
        <v>1</v>
      </c>
      <c r="M443" t="s">
        <v>52</v>
      </c>
      <c r="N443" t="s">
        <v>53</v>
      </c>
      <c r="P443">
        <v>0.64</v>
      </c>
      <c r="Q443">
        <v>230</v>
      </c>
      <c r="R443">
        <v>0</v>
      </c>
      <c r="S443">
        <v>0.75</v>
      </c>
      <c r="T443">
        <v>0</v>
      </c>
      <c r="U443">
        <v>0</v>
      </c>
      <c r="W443" s="1">
        <v>46675</v>
      </c>
      <c r="X443" s="1">
        <v>46357</v>
      </c>
      <c r="Y443" t="s">
        <v>54</v>
      </c>
      <c r="Z443" t="s">
        <v>52</v>
      </c>
      <c r="AA443" t="s">
        <v>54</v>
      </c>
      <c r="AB443" t="s">
        <v>52</v>
      </c>
      <c r="AC443">
        <v>27</v>
      </c>
      <c r="AD443">
        <v>1</v>
      </c>
      <c r="AE443">
        <v>0.97</v>
      </c>
      <c r="AF443">
        <v>0.62080000000000002</v>
      </c>
      <c r="AG443">
        <v>0.97</v>
      </c>
      <c r="AH443">
        <v>0.62080000000000002</v>
      </c>
      <c r="AK443" t="s">
        <v>52</v>
      </c>
      <c r="AN443" t="s">
        <v>52</v>
      </c>
      <c r="AO443" t="s">
        <v>52</v>
      </c>
      <c r="AP443" t="s">
        <v>52</v>
      </c>
      <c r="AQ443" t="s">
        <v>52</v>
      </c>
      <c r="AR443" t="s">
        <v>55</v>
      </c>
      <c r="AS443" t="s">
        <v>57</v>
      </c>
    </row>
    <row r="444" spans="1:45" x14ac:dyDescent="0.25">
      <c r="A444" t="s">
        <v>47</v>
      </c>
      <c r="B444">
        <v>8</v>
      </c>
      <c r="C444" t="s">
        <v>138</v>
      </c>
      <c r="D444">
        <v>33</v>
      </c>
      <c r="E444" t="s">
        <v>87</v>
      </c>
      <c r="F444">
        <v>91</v>
      </c>
      <c r="G444" t="s">
        <v>76</v>
      </c>
      <c r="H444" t="s">
        <v>50</v>
      </c>
      <c r="K444" t="s">
        <v>51</v>
      </c>
      <c r="L444">
        <v>1</v>
      </c>
      <c r="M444" t="s">
        <v>52</v>
      </c>
      <c r="N444" t="s">
        <v>53</v>
      </c>
      <c r="R444">
        <v>0.77</v>
      </c>
      <c r="S444">
        <v>0.93</v>
      </c>
      <c r="U444">
        <v>0</v>
      </c>
      <c r="V444" s="1">
        <v>46569</v>
      </c>
      <c r="W444" s="1">
        <v>46691</v>
      </c>
      <c r="X444" s="1">
        <v>46295</v>
      </c>
      <c r="Z444" t="s">
        <v>52</v>
      </c>
      <c r="AB444" t="s">
        <v>52</v>
      </c>
      <c r="AC444">
        <v>91</v>
      </c>
      <c r="AD444">
        <v>2</v>
      </c>
      <c r="AK444" t="s">
        <v>52</v>
      </c>
      <c r="AN444" t="s">
        <v>52</v>
      </c>
      <c r="AO444" t="s">
        <v>52</v>
      </c>
      <c r="AP444" t="s">
        <v>52</v>
      </c>
      <c r="AQ444" t="s">
        <v>52</v>
      </c>
      <c r="AR444" t="s">
        <v>55</v>
      </c>
    </row>
    <row r="445" spans="1:45" x14ac:dyDescent="0.25">
      <c r="A445" t="s">
        <v>47</v>
      </c>
      <c r="B445">
        <v>8</v>
      </c>
      <c r="C445" t="s">
        <v>138</v>
      </c>
      <c r="D445">
        <v>33</v>
      </c>
      <c r="E445" t="s">
        <v>87</v>
      </c>
      <c r="F445">
        <v>91</v>
      </c>
      <c r="G445" t="s">
        <v>76</v>
      </c>
      <c r="H445" t="s">
        <v>50</v>
      </c>
      <c r="K445" t="s">
        <v>52</v>
      </c>
      <c r="L445">
        <v>1</v>
      </c>
      <c r="M445" t="s">
        <v>52</v>
      </c>
      <c r="N445" t="s">
        <v>53</v>
      </c>
      <c r="P445">
        <v>0.47</v>
      </c>
      <c r="R445">
        <v>0.77</v>
      </c>
      <c r="S445">
        <v>0.93</v>
      </c>
      <c r="U445">
        <v>0</v>
      </c>
      <c r="V445" s="1">
        <v>46569</v>
      </c>
      <c r="W445" s="1">
        <v>46691</v>
      </c>
      <c r="X445" s="1">
        <v>46295</v>
      </c>
      <c r="Z445" t="s">
        <v>52</v>
      </c>
      <c r="AA445" t="s">
        <v>54</v>
      </c>
      <c r="AB445" t="s">
        <v>52</v>
      </c>
      <c r="AC445">
        <v>91</v>
      </c>
      <c r="AD445">
        <v>2</v>
      </c>
      <c r="AK445" t="s">
        <v>52</v>
      </c>
      <c r="AN445" t="s">
        <v>52</v>
      </c>
      <c r="AO445" t="s">
        <v>52</v>
      </c>
      <c r="AP445" t="s">
        <v>52</v>
      </c>
      <c r="AQ445" t="s">
        <v>52</v>
      </c>
      <c r="AR445" t="s">
        <v>55</v>
      </c>
    </row>
    <row r="446" spans="1:45" x14ac:dyDescent="0.25">
      <c r="A446" t="s">
        <v>47</v>
      </c>
      <c r="B446">
        <v>8</v>
      </c>
      <c r="C446" t="s">
        <v>138</v>
      </c>
      <c r="D446">
        <v>33</v>
      </c>
      <c r="E446" t="s">
        <v>58</v>
      </c>
      <c r="F446">
        <v>102</v>
      </c>
      <c r="G446" t="s">
        <v>62</v>
      </c>
      <c r="H446" t="s">
        <v>50</v>
      </c>
      <c r="K446" t="s">
        <v>51</v>
      </c>
      <c r="L446">
        <v>1</v>
      </c>
      <c r="M446" t="s">
        <v>52</v>
      </c>
      <c r="N446" t="s">
        <v>53</v>
      </c>
      <c r="R446">
        <v>0</v>
      </c>
      <c r="S446">
        <v>0.92</v>
      </c>
      <c r="T446">
        <v>0</v>
      </c>
      <c r="U446">
        <v>0</v>
      </c>
      <c r="W446" s="1">
        <v>46731</v>
      </c>
      <c r="X446" s="1">
        <v>46357</v>
      </c>
      <c r="Z446" t="s">
        <v>52</v>
      </c>
      <c r="AB446" t="s">
        <v>52</v>
      </c>
      <c r="AC446">
        <v>102</v>
      </c>
      <c r="AD446">
        <v>1</v>
      </c>
      <c r="AK446" t="s">
        <v>52</v>
      </c>
      <c r="AN446" t="s">
        <v>52</v>
      </c>
      <c r="AO446" t="s">
        <v>52</v>
      </c>
      <c r="AP446" t="s">
        <v>52</v>
      </c>
      <c r="AQ446" t="s">
        <v>52</v>
      </c>
      <c r="AR446" t="s">
        <v>55</v>
      </c>
    </row>
    <row r="447" spans="1:45" x14ac:dyDescent="0.25">
      <c r="A447" t="s">
        <v>47</v>
      </c>
      <c r="B447">
        <v>8</v>
      </c>
      <c r="C447" t="s">
        <v>138</v>
      </c>
      <c r="D447">
        <v>33</v>
      </c>
      <c r="E447" t="s">
        <v>58</v>
      </c>
      <c r="F447">
        <v>102</v>
      </c>
      <c r="G447" t="s">
        <v>62</v>
      </c>
      <c r="H447" t="s">
        <v>50</v>
      </c>
      <c r="K447" t="s">
        <v>52</v>
      </c>
      <c r="L447">
        <v>1</v>
      </c>
      <c r="M447" t="s">
        <v>52</v>
      </c>
      <c r="N447" t="s">
        <v>53</v>
      </c>
      <c r="R447">
        <v>0</v>
      </c>
      <c r="S447">
        <v>0.92</v>
      </c>
      <c r="T447">
        <v>0</v>
      </c>
      <c r="U447">
        <v>0</v>
      </c>
      <c r="W447" s="1">
        <v>46731</v>
      </c>
      <c r="X447" s="1">
        <v>46357</v>
      </c>
      <c r="Z447" t="s">
        <v>52</v>
      </c>
      <c r="AB447" t="s">
        <v>52</v>
      </c>
      <c r="AC447">
        <v>102</v>
      </c>
      <c r="AD447">
        <v>1</v>
      </c>
      <c r="AK447" t="s">
        <v>52</v>
      </c>
      <c r="AN447" t="s">
        <v>52</v>
      </c>
      <c r="AO447" t="s">
        <v>52</v>
      </c>
      <c r="AP447" t="s">
        <v>52</v>
      </c>
      <c r="AQ447" t="s">
        <v>52</v>
      </c>
      <c r="AR447" t="s">
        <v>55</v>
      </c>
    </row>
    <row r="448" spans="1:45" x14ac:dyDescent="0.25">
      <c r="A448" t="s">
        <v>47</v>
      </c>
      <c r="B448">
        <v>8</v>
      </c>
      <c r="C448" t="s">
        <v>138</v>
      </c>
      <c r="D448">
        <v>33</v>
      </c>
      <c r="E448" t="s">
        <v>58</v>
      </c>
      <c r="F448">
        <v>102</v>
      </c>
      <c r="G448" t="s">
        <v>63</v>
      </c>
      <c r="H448" t="s">
        <v>50</v>
      </c>
      <c r="K448" t="s">
        <v>51</v>
      </c>
      <c r="L448">
        <v>2</v>
      </c>
      <c r="M448" t="s">
        <v>52</v>
      </c>
      <c r="N448" t="s">
        <v>53</v>
      </c>
      <c r="R448">
        <v>0</v>
      </c>
      <c r="S448">
        <v>0.92</v>
      </c>
      <c r="U448">
        <v>0</v>
      </c>
      <c r="W448" s="1">
        <v>46731</v>
      </c>
      <c r="X448" s="1">
        <v>46357</v>
      </c>
      <c r="Z448" t="s">
        <v>52</v>
      </c>
      <c r="AB448" t="s">
        <v>52</v>
      </c>
      <c r="AC448">
        <v>102</v>
      </c>
      <c r="AD448">
        <v>1</v>
      </c>
      <c r="AK448" t="s">
        <v>52</v>
      </c>
      <c r="AN448" t="s">
        <v>52</v>
      </c>
      <c r="AO448" t="s">
        <v>52</v>
      </c>
      <c r="AP448" t="s">
        <v>52</v>
      </c>
      <c r="AQ448" t="s">
        <v>52</v>
      </c>
      <c r="AR448" t="s">
        <v>55</v>
      </c>
    </row>
    <row r="449" spans="1:45" x14ac:dyDescent="0.25">
      <c r="A449" t="s">
        <v>47</v>
      </c>
      <c r="B449">
        <v>8</v>
      </c>
      <c r="C449" t="s">
        <v>138</v>
      </c>
      <c r="D449">
        <v>33</v>
      </c>
      <c r="E449" t="s">
        <v>58</v>
      </c>
      <c r="F449">
        <v>102</v>
      </c>
      <c r="G449" t="s">
        <v>64</v>
      </c>
      <c r="H449" t="s">
        <v>50</v>
      </c>
      <c r="K449" t="s">
        <v>51</v>
      </c>
      <c r="L449">
        <v>1</v>
      </c>
      <c r="M449" t="s">
        <v>52</v>
      </c>
      <c r="N449" t="s">
        <v>53</v>
      </c>
      <c r="R449">
        <v>0</v>
      </c>
      <c r="S449">
        <v>0.92</v>
      </c>
      <c r="T449">
        <v>0</v>
      </c>
      <c r="U449">
        <v>0</v>
      </c>
      <c r="W449" s="1">
        <v>46731</v>
      </c>
      <c r="X449" s="1">
        <v>46357</v>
      </c>
      <c r="Z449" t="s">
        <v>52</v>
      </c>
      <c r="AB449" t="s">
        <v>52</v>
      </c>
      <c r="AC449">
        <v>102</v>
      </c>
      <c r="AD449">
        <v>1</v>
      </c>
      <c r="AK449" t="s">
        <v>52</v>
      </c>
      <c r="AN449" t="s">
        <v>52</v>
      </c>
      <c r="AO449" t="s">
        <v>52</v>
      </c>
      <c r="AP449" t="s">
        <v>52</v>
      </c>
      <c r="AQ449" t="s">
        <v>52</v>
      </c>
      <c r="AR449" t="s">
        <v>55</v>
      </c>
    </row>
    <row r="450" spans="1:45" x14ac:dyDescent="0.25">
      <c r="A450" t="s">
        <v>47</v>
      </c>
      <c r="B450">
        <v>8</v>
      </c>
      <c r="C450" t="s">
        <v>138</v>
      </c>
      <c r="D450">
        <v>33</v>
      </c>
      <c r="E450" t="s">
        <v>58</v>
      </c>
      <c r="F450">
        <v>102</v>
      </c>
      <c r="G450" t="s">
        <v>64</v>
      </c>
      <c r="H450" t="s">
        <v>50</v>
      </c>
      <c r="K450" t="s">
        <v>52</v>
      </c>
      <c r="L450">
        <v>1</v>
      </c>
      <c r="M450" t="s">
        <v>52</v>
      </c>
      <c r="N450" t="s">
        <v>53</v>
      </c>
      <c r="R450">
        <v>0</v>
      </c>
      <c r="S450">
        <v>0.92</v>
      </c>
      <c r="T450">
        <v>0</v>
      </c>
      <c r="U450">
        <v>0</v>
      </c>
      <c r="W450" s="1">
        <v>46731</v>
      </c>
      <c r="X450" s="1">
        <v>46357</v>
      </c>
      <c r="Z450" t="s">
        <v>52</v>
      </c>
      <c r="AB450" t="s">
        <v>52</v>
      </c>
      <c r="AC450">
        <v>102</v>
      </c>
      <c r="AD450">
        <v>1</v>
      </c>
      <c r="AK450" t="s">
        <v>52</v>
      </c>
      <c r="AN450" t="s">
        <v>52</v>
      </c>
      <c r="AO450" t="s">
        <v>52</v>
      </c>
      <c r="AP450" t="s">
        <v>52</v>
      </c>
      <c r="AQ450" t="s">
        <v>52</v>
      </c>
      <c r="AR450" t="s">
        <v>55</v>
      </c>
    </row>
    <row r="451" spans="1:45" x14ac:dyDescent="0.25">
      <c r="A451" t="s">
        <v>47</v>
      </c>
      <c r="B451">
        <v>8</v>
      </c>
      <c r="C451" t="s">
        <v>138</v>
      </c>
      <c r="D451">
        <v>33</v>
      </c>
      <c r="E451" t="s">
        <v>58</v>
      </c>
      <c r="F451">
        <v>102</v>
      </c>
      <c r="G451" t="s">
        <v>65</v>
      </c>
      <c r="H451" t="s">
        <v>50</v>
      </c>
      <c r="K451" t="s">
        <v>51</v>
      </c>
      <c r="L451">
        <v>1</v>
      </c>
      <c r="M451" t="s">
        <v>52</v>
      </c>
      <c r="N451" t="s">
        <v>53</v>
      </c>
      <c r="R451">
        <v>0</v>
      </c>
      <c r="S451">
        <v>0.92</v>
      </c>
      <c r="T451">
        <v>0</v>
      </c>
      <c r="U451">
        <v>0</v>
      </c>
      <c r="W451" s="1">
        <v>46731</v>
      </c>
      <c r="X451" s="1">
        <v>46357</v>
      </c>
      <c r="Z451" t="s">
        <v>52</v>
      </c>
      <c r="AB451" t="s">
        <v>52</v>
      </c>
      <c r="AC451">
        <v>102</v>
      </c>
      <c r="AD451">
        <v>1</v>
      </c>
      <c r="AK451" t="s">
        <v>52</v>
      </c>
      <c r="AN451" t="s">
        <v>52</v>
      </c>
      <c r="AO451" t="s">
        <v>52</v>
      </c>
      <c r="AP451" t="s">
        <v>52</v>
      </c>
      <c r="AQ451" t="s">
        <v>52</v>
      </c>
      <c r="AR451" t="s">
        <v>55</v>
      </c>
    </row>
    <row r="452" spans="1:45" x14ac:dyDescent="0.25">
      <c r="A452" t="s">
        <v>47</v>
      </c>
      <c r="B452">
        <v>8</v>
      </c>
      <c r="C452" t="s">
        <v>138</v>
      </c>
      <c r="D452">
        <v>33</v>
      </c>
      <c r="E452" t="s">
        <v>58</v>
      </c>
      <c r="F452">
        <v>102</v>
      </c>
      <c r="G452" t="s">
        <v>65</v>
      </c>
      <c r="H452" t="s">
        <v>50</v>
      </c>
      <c r="K452" t="s">
        <v>52</v>
      </c>
      <c r="L452">
        <v>1</v>
      </c>
      <c r="M452" t="s">
        <v>52</v>
      </c>
      <c r="N452" t="s">
        <v>53</v>
      </c>
      <c r="R452">
        <v>0</v>
      </c>
      <c r="S452">
        <v>0.92</v>
      </c>
      <c r="T452">
        <v>0</v>
      </c>
      <c r="U452">
        <v>0</v>
      </c>
      <c r="W452" s="1">
        <v>46731</v>
      </c>
      <c r="X452" s="1">
        <v>46357</v>
      </c>
      <c r="Z452" t="s">
        <v>52</v>
      </c>
      <c r="AB452" t="s">
        <v>52</v>
      </c>
      <c r="AC452">
        <v>102</v>
      </c>
      <c r="AD452">
        <v>1</v>
      </c>
      <c r="AK452" t="s">
        <v>52</v>
      </c>
      <c r="AN452" t="s">
        <v>52</v>
      </c>
      <c r="AO452" t="s">
        <v>52</v>
      </c>
      <c r="AP452" t="s">
        <v>52</v>
      </c>
      <c r="AQ452" t="s">
        <v>52</v>
      </c>
      <c r="AR452" t="s">
        <v>55</v>
      </c>
    </row>
    <row r="453" spans="1:45" x14ac:dyDescent="0.25">
      <c r="A453" t="s">
        <v>47</v>
      </c>
      <c r="B453">
        <v>8</v>
      </c>
      <c r="C453" t="s">
        <v>138</v>
      </c>
      <c r="D453">
        <v>33</v>
      </c>
      <c r="E453" t="s">
        <v>58</v>
      </c>
      <c r="F453">
        <v>102</v>
      </c>
      <c r="G453" t="s">
        <v>136</v>
      </c>
      <c r="H453" t="s">
        <v>50</v>
      </c>
      <c r="K453" t="s">
        <v>51</v>
      </c>
      <c r="L453">
        <v>1</v>
      </c>
      <c r="M453" t="s">
        <v>52</v>
      </c>
      <c r="N453" t="s">
        <v>53</v>
      </c>
      <c r="R453">
        <v>0</v>
      </c>
      <c r="S453">
        <v>0.92</v>
      </c>
      <c r="U453">
        <v>0</v>
      </c>
      <c r="W453" s="1">
        <v>46731</v>
      </c>
      <c r="X453" s="1">
        <v>46357</v>
      </c>
      <c r="Z453" t="s">
        <v>52</v>
      </c>
      <c r="AB453" t="s">
        <v>52</v>
      </c>
      <c r="AC453">
        <v>102</v>
      </c>
      <c r="AD453">
        <v>1</v>
      </c>
      <c r="AK453" t="s">
        <v>52</v>
      </c>
      <c r="AN453" t="s">
        <v>52</v>
      </c>
      <c r="AO453" t="s">
        <v>52</v>
      </c>
      <c r="AP453" t="s">
        <v>52</v>
      </c>
      <c r="AQ453" t="s">
        <v>52</v>
      </c>
      <c r="AR453" t="s">
        <v>55</v>
      </c>
    </row>
    <row r="454" spans="1:45" x14ac:dyDescent="0.25">
      <c r="A454" t="s">
        <v>47</v>
      </c>
      <c r="B454">
        <v>8</v>
      </c>
      <c r="C454" t="s">
        <v>138</v>
      </c>
      <c r="D454">
        <v>33</v>
      </c>
      <c r="E454" t="s">
        <v>58</v>
      </c>
      <c r="F454">
        <v>102</v>
      </c>
      <c r="G454" t="s">
        <v>66</v>
      </c>
      <c r="H454" t="s">
        <v>50</v>
      </c>
      <c r="K454" t="s">
        <v>52</v>
      </c>
      <c r="L454">
        <v>1</v>
      </c>
      <c r="M454" t="s">
        <v>52</v>
      </c>
      <c r="N454" t="s">
        <v>53</v>
      </c>
      <c r="R454">
        <v>0</v>
      </c>
      <c r="S454">
        <v>0.92</v>
      </c>
      <c r="T454">
        <v>0</v>
      </c>
      <c r="U454">
        <v>0</v>
      </c>
      <c r="W454" s="1">
        <v>46731</v>
      </c>
      <c r="X454" s="1">
        <v>46357</v>
      </c>
      <c r="Z454" t="s">
        <v>52</v>
      </c>
      <c r="AB454" t="s">
        <v>52</v>
      </c>
      <c r="AC454">
        <v>102</v>
      </c>
      <c r="AD454">
        <v>1</v>
      </c>
      <c r="AK454" t="s">
        <v>52</v>
      </c>
      <c r="AN454" t="s">
        <v>52</v>
      </c>
      <c r="AO454" t="s">
        <v>52</v>
      </c>
      <c r="AP454" t="s">
        <v>52</v>
      </c>
      <c r="AQ454" t="s">
        <v>52</v>
      </c>
      <c r="AR454" t="s">
        <v>55</v>
      </c>
    </row>
    <row r="455" spans="1:45" x14ac:dyDescent="0.25">
      <c r="A455" t="s">
        <v>47</v>
      </c>
      <c r="B455">
        <v>8</v>
      </c>
      <c r="C455" t="s">
        <v>138</v>
      </c>
      <c r="D455">
        <v>33</v>
      </c>
      <c r="E455" t="s">
        <v>58</v>
      </c>
      <c r="F455">
        <v>102</v>
      </c>
      <c r="G455" t="s">
        <v>118</v>
      </c>
      <c r="H455" t="s">
        <v>50</v>
      </c>
      <c r="K455" t="s">
        <v>51</v>
      </c>
      <c r="L455">
        <v>1</v>
      </c>
      <c r="M455" t="s">
        <v>52</v>
      </c>
      <c r="N455" t="s">
        <v>53</v>
      </c>
      <c r="R455">
        <v>0</v>
      </c>
      <c r="S455">
        <v>0.92</v>
      </c>
      <c r="T455">
        <v>0</v>
      </c>
      <c r="U455">
        <v>0</v>
      </c>
      <c r="W455" s="1">
        <v>46731</v>
      </c>
      <c r="X455" s="1">
        <v>46357</v>
      </c>
      <c r="Z455" t="s">
        <v>52</v>
      </c>
      <c r="AB455" t="s">
        <v>52</v>
      </c>
      <c r="AC455">
        <v>102</v>
      </c>
      <c r="AD455">
        <v>1</v>
      </c>
      <c r="AK455" t="s">
        <v>52</v>
      </c>
      <c r="AN455" t="s">
        <v>52</v>
      </c>
      <c r="AO455" t="s">
        <v>52</v>
      </c>
      <c r="AP455" t="s">
        <v>52</v>
      </c>
      <c r="AQ455" t="s">
        <v>52</v>
      </c>
      <c r="AR455" t="s">
        <v>55</v>
      </c>
    </row>
    <row r="456" spans="1:45" x14ac:dyDescent="0.25">
      <c r="A456" t="s">
        <v>47</v>
      </c>
      <c r="B456">
        <v>8</v>
      </c>
      <c r="C456" t="s">
        <v>138</v>
      </c>
      <c r="D456">
        <v>33</v>
      </c>
      <c r="E456" t="s">
        <v>58</v>
      </c>
      <c r="F456">
        <v>102</v>
      </c>
      <c r="G456" t="s">
        <v>118</v>
      </c>
      <c r="H456" t="s">
        <v>50</v>
      </c>
      <c r="K456" t="s">
        <v>52</v>
      </c>
      <c r="L456">
        <v>1</v>
      </c>
      <c r="M456" t="s">
        <v>52</v>
      </c>
      <c r="N456" t="s">
        <v>53</v>
      </c>
      <c r="R456">
        <v>0</v>
      </c>
      <c r="S456">
        <v>0.92</v>
      </c>
      <c r="T456">
        <v>0</v>
      </c>
      <c r="U456">
        <v>0</v>
      </c>
      <c r="W456" s="1">
        <v>46731</v>
      </c>
      <c r="X456" s="1">
        <v>46357</v>
      </c>
      <c r="Z456" t="s">
        <v>52</v>
      </c>
      <c r="AB456" t="s">
        <v>52</v>
      </c>
      <c r="AC456">
        <v>102</v>
      </c>
      <c r="AD456">
        <v>1</v>
      </c>
      <c r="AK456" t="s">
        <v>52</v>
      </c>
      <c r="AN456" t="s">
        <v>52</v>
      </c>
      <c r="AO456" t="s">
        <v>52</v>
      </c>
      <c r="AP456" t="s">
        <v>52</v>
      </c>
      <c r="AQ456" t="s">
        <v>52</v>
      </c>
      <c r="AR456" t="s">
        <v>55</v>
      </c>
    </row>
    <row r="457" spans="1:45" x14ac:dyDescent="0.25">
      <c r="A457" t="s">
        <v>47</v>
      </c>
      <c r="B457">
        <v>8</v>
      </c>
      <c r="C457" t="s">
        <v>138</v>
      </c>
      <c r="D457">
        <v>33</v>
      </c>
      <c r="E457" t="s">
        <v>58</v>
      </c>
      <c r="F457">
        <v>102</v>
      </c>
      <c r="G457" t="s">
        <v>67</v>
      </c>
      <c r="H457" t="s">
        <v>50</v>
      </c>
      <c r="K457" t="s">
        <v>51</v>
      </c>
      <c r="L457">
        <v>1</v>
      </c>
      <c r="M457" t="s">
        <v>52</v>
      </c>
      <c r="N457" t="s">
        <v>53</v>
      </c>
      <c r="R457">
        <v>0</v>
      </c>
      <c r="S457">
        <v>0.92</v>
      </c>
      <c r="T457">
        <v>0</v>
      </c>
      <c r="U457">
        <v>0</v>
      </c>
      <c r="W457" s="1">
        <v>46731</v>
      </c>
      <c r="X457" s="1">
        <v>46357</v>
      </c>
      <c r="Z457" t="s">
        <v>52</v>
      </c>
      <c r="AB457" t="s">
        <v>52</v>
      </c>
      <c r="AC457">
        <v>102</v>
      </c>
      <c r="AD457">
        <v>1</v>
      </c>
      <c r="AK457" t="s">
        <v>52</v>
      </c>
      <c r="AN457" t="s">
        <v>52</v>
      </c>
      <c r="AO457" t="s">
        <v>52</v>
      </c>
      <c r="AP457" t="s">
        <v>52</v>
      </c>
      <c r="AQ457" t="s">
        <v>52</v>
      </c>
      <c r="AR457" t="s">
        <v>55</v>
      </c>
      <c r="AS457" t="s">
        <v>139</v>
      </c>
    </row>
    <row r="458" spans="1:45" x14ac:dyDescent="0.25">
      <c r="A458" t="s">
        <v>47</v>
      </c>
      <c r="B458">
        <v>8</v>
      </c>
      <c r="C458" t="s">
        <v>138</v>
      </c>
      <c r="D458">
        <v>33</v>
      </c>
      <c r="E458" t="s">
        <v>58</v>
      </c>
      <c r="F458">
        <v>102</v>
      </c>
      <c r="G458" t="s">
        <v>67</v>
      </c>
      <c r="H458" t="s">
        <v>50</v>
      </c>
      <c r="K458" t="s">
        <v>52</v>
      </c>
      <c r="L458">
        <v>1</v>
      </c>
      <c r="M458" t="s">
        <v>52</v>
      </c>
      <c r="N458" t="s">
        <v>53</v>
      </c>
      <c r="R458">
        <v>0</v>
      </c>
      <c r="S458">
        <v>0.92</v>
      </c>
      <c r="T458">
        <v>0</v>
      </c>
      <c r="U458">
        <v>0</v>
      </c>
      <c r="W458" s="1">
        <v>46731</v>
      </c>
      <c r="X458" s="1">
        <v>46357</v>
      </c>
      <c r="Z458" t="s">
        <v>52</v>
      </c>
      <c r="AB458" t="s">
        <v>52</v>
      </c>
      <c r="AC458">
        <v>102</v>
      </c>
      <c r="AD458">
        <v>1</v>
      </c>
      <c r="AK458" t="s">
        <v>52</v>
      </c>
      <c r="AN458" t="s">
        <v>52</v>
      </c>
      <c r="AO458" t="s">
        <v>52</v>
      </c>
      <c r="AP458" t="s">
        <v>52</v>
      </c>
      <c r="AQ458" t="s">
        <v>52</v>
      </c>
      <c r="AR458" t="s">
        <v>55</v>
      </c>
    </row>
    <row r="459" spans="1:45" x14ac:dyDescent="0.25">
      <c r="A459" t="s">
        <v>47</v>
      </c>
      <c r="B459">
        <v>8</v>
      </c>
      <c r="C459" t="s">
        <v>138</v>
      </c>
      <c r="D459">
        <v>33</v>
      </c>
      <c r="E459" t="s">
        <v>68</v>
      </c>
      <c r="F459">
        <v>80</v>
      </c>
      <c r="G459" t="s">
        <v>69</v>
      </c>
      <c r="H459" t="s">
        <v>50</v>
      </c>
      <c r="K459" t="s">
        <v>51</v>
      </c>
      <c r="L459">
        <v>1</v>
      </c>
      <c r="M459" t="s">
        <v>52</v>
      </c>
      <c r="N459" t="s">
        <v>53</v>
      </c>
      <c r="R459">
        <v>0.5</v>
      </c>
      <c r="S459">
        <v>0.75</v>
      </c>
      <c r="T459">
        <v>0</v>
      </c>
      <c r="U459">
        <v>0</v>
      </c>
      <c r="V459" s="1">
        <v>46583</v>
      </c>
      <c r="W459" s="1">
        <v>46675</v>
      </c>
      <c r="X459" s="1">
        <v>46461</v>
      </c>
      <c r="Z459" t="s">
        <v>52</v>
      </c>
      <c r="AB459" t="s">
        <v>52</v>
      </c>
      <c r="AC459">
        <v>80</v>
      </c>
      <c r="AD459">
        <v>1</v>
      </c>
      <c r="AK459" t="s">
        <v>52</v>
      </c>
      <c r="AN459" t="s">
        <v>52</v>
      </c>
      <c r="AO459" t="s">
        <v>52</v>
      </c>
      <c r="AP459" t="s">
        <v>52</v>
      </c>
      <c r="AQ459" t="s">
        <v>52</v>
      </c>
      <c r="AR459" t="s">
        <v>55</v>
      </c>
    </row>
    <row r="460" spans="1:45" x14ac:dyDescent="0.25">
      <c r="A460" t="s">
        <v>47</v>
      </c>
      <c r="B460">
        <v>8</v>
      </c>
      <c r="C460" t="s">
        <v>138</v>
      </c>
      <c r="D460">
        <v>33</v>
      </c>
      <c r="E460" t="s">
        <v>68</v>
      </c>
      <c r="F460">
        <v>80</v>
      </c>
      <c r="G460" t="s">
        <v>69</v>
      </c>
      <c r="H460" t="s">
        <v>50</v>
      </c>
      <c r="K460" t="s">
        <v>52</v>
      </c>
      <c r="L460">
        <v>1</v>
      </c>
      <c r="M460" t="s">
        <v>52</v>
      </c>
      <c r="N460" t="s">
        <v>53</v>
      </c>
      <c r="R460">
        <v>0.5</v>
      </c>
      <c r="S460">
        <v>0.75</v>
      </c>
      <c r="T460">
        <v>0</v>
      </c>
      <c r="U460">
        <v>0</v>
      </c>
      <c r="V460" s="1">
        <v>46583</v>
      </c>
      <c r="W460" s="1">
        <v>46675</v>
      </c>
      <c r="X460" s="1">
        <v>46461</v>
      </c>
      <c r="Z460" t="s">
        <v>52</v>
      </c>
      <c r="AB460" t="s">
        <v>52</v>
      </c>
      <c r="AC460">
        <v>80</v>
      </c>
      <c r="AD460">
        <v>1</v>
      </c>
      <c r="AK460" t="s">
        <v>52</v>
      </c>
      <c r="AN460" t="s">
        <v>52</v>
      </c>
      <c r="AO460" t="s">
        <v>52</v>
      </c>
      <c r="AP460" t="s">
        <v>52</v>
      </c>
      <c r="AQ460" t="s">
        <v>52</v>
      </c>
      <c r="AR460" t="s">
        <v>55</v>
      </c>
      <c r="AS460" t="s">
        <v>88</v>
      </c>
    </row>
    <row r="461" spans="1:45" x14ac:dyDescent="0.25">
      <c r="A461" t="s">
        <v>47</v>
      </c>
      <c r="B461">
        <v>8</v>
      </c>
      <c r="C461" t="s">
        <v>138</v>
      </c>
      <c r="D461">
        <v>33</v>
      </c>
      <c r="E461" t="s">
        <v>70</v>
      </c>
      <c r="F461">
        <v>296</v>
      </c>
      <c r="G461" t="s">
        <v>71</v>
      </c>
      <c r="H461" t="s">
        <v>50</v>
      </c>
      <c r="K461" t="s">
        <v>51</v>
      </c>
      <c r="L461">
        <v>1</v>
      </c>
      <c r="M461" t="s">
        <v>52</v>
      </c>
      <c r="N461" t="s">
        <v>53</v>
      </c>
      <c r="Q461">
        <v>224.33330000000001</v>
      </c>
      <c r="R461">
        <v>0</v>
      </c>
      <c r="S461">
        <v>0.75</v>
      </c>
      <c r="T461">
        <v>0</v>
      </c>
      <c r="U461">
        <v>0</v>
      </c>
      <c r="W461" s="1">
        <v>46675</v>
      </c>
      <c r="X461" s="1">
        <v>46357</v>
      </c>
      <c r="Y461" t="s">
        <v>54</v>
      </c>
      <c r="Z461" t="s">
        <v>52</v>
      </c>
      <c r="AB461" t="s">
        <v>52</v>
      </c>
      <c r="AC461">
        <v>296</v>
      </c>
      <c r="AD461">
        <v>1</v>
      </c>
      <c r="AK461" t="s">
        <v>52</v>
      </c>
      <c r="AN461" t="s">
        <v>52</v>
      </c>
      <c r="AO461" t="s">
        <v>52</v>
      </c>
      <c r="AP461" t="s">
        <v>52</v>
      </c>
      <c r="AQ461" t="s">
        <v>52</v>
      </c>
      <c r="AR461" t="s">
        <v>55</v>
      </c>
    </row>
    <row r="462" spans="1:45" x14ac:dyDescent="0.25">
      <c r="A462" t="s">
        <v>47</v>
      </c>
      <c r="B462">
        <v>8</v>
      </c>
      <c r="C462" t="s">
        <v>138</v>
      </c>
      <c r="D462">
        <v>33</v>
      </c>
      <c r="E462" t="s">
        <v>70</v>
      </c>
      <c r="F462">
        <v>296</v>
      </c>
      <c r="G462" t="s">
        <v>71</v>
      </c>
      <c r="H462" t="s">
        <v>50</v>
      </c>
      <c r="K462" t="s">
        <v>52</v>
      </c>
      <c r="L462">
        <v>1</v>
      </c>
      <c r="M462" t="s">
        <v>52</v>
      </c>
      <c r="N462" t="s">
        <v>53</v>
      </c>
      <c r="P462">
        <v>0.41</v>
      </c>
      <c r="Q462">
        <v>224.33330000000001</v>
      </c>
      <c r="R462">
        <v>0</v>
      </c>
      <c r="S462">
        <v>0.75</v>
      </c>
      <c r="T462">
        <v>0</v>
      </c>
      <c r="U462">
        <v>0</v>
      </c>
      <c r="W462" s="1">
        <v>46675</v>
      </c>
      <c r="X462" s="1">
        <v>46357</v>
      </c>
      <c r="Y462" t="s">
        <v>54</v>
      </c>
      <c r="Z462" t="s">
        <v>52</v>
      </c>
      <c r="AA462" t="s">
        <v>54</v>
      </c>
      <c r="AB462" t="s">
        <v>52</v>
      </c>
      <c r="AC462">
        <v>296</v>
      </c>
      <c r="AD462">
        <v>1</v>
      </c>
      <c r="AK462" t="s">
        <v>52</v>
      </c>
      <c r="AN462" t="s">
        <v>52</v>
      </c>
      <c r="AO462" t="s">
        <v>52</v>
      </c>
      <c r="AP462" t="s">
        <v>52</v>
      </c>
      <c r="AQ462" t="s">
        <v>52</v>
      </c>
      <c r="AR462" t="s">
        <v>55</v>
      </c>
    </row>
    <row r="463" spans="1:45" x14ac:dyDescent="0.25">
      <c r="A463" t="s">
        <v>47</v>
      </c>
      <c r="B463">
        <v>8</v>
      </c>
      <c r="C463" t="s">
        <v>138</v>
      </c>
      <c r="D463">
        <v>33</v>
      </c>
      <c r="E463" t="s">
        <v>70</v>
      </c>
      <c r="F463">
        <v>296</v>
      </c>
      <c r="G463" t="s">
        <v>72</v>
      </c>
      <c r="H463" t="s">
        <v>50</v>
      </c>
      <c r="K463" t="s">
        <v>51</v>
      </c>
      <c r="L463">
        <v>1</v>
      </c>
      <c r="M463" t="s">
        <v>52</v>
      </c>
      <c r="N463" t="s">
        <v>53</v>
      </c>
      <c r="R463">
        <v>0.5</v>
      </c>
      <c r="S463">
        <v>0.75</v>
      </c>
      <c r="T463">
        <v>0</v>
      </c>
      <c r="U463">
        <v>0</v>
      </c>
      <c r="V463" s="1">
        <v>46569</v>
      </c>
      <c r="W463" s="1">
        <v>46675</v>
      </c>
      <c r="X463" s="1">
        <v>46357</v>
      </c>
      <c r="Z463" t="s">
        <v>52</v>
      </c>
      <c r="AB463" t="s">
        <v>52</v>
      </c>
      <c r="AC463">
        <v>296</v>
      </c>
      <c r="AD463">
        <v>1</v>
      </c>
      <c r="AK463" t="s">
        <v>52</v>
      </c>
      <c r="AN463" t="s">
        <v>52</v>
      </c>
      <c r="AO463" t="s">
        <v>52</v>
      </c>
      <c r="AP463" t="s">
        <v>52</v>
      </c>
      <c r="AQ463" t="s">
        <v>52</v>
      </c>
      <c r="AR463" t="s">
        <v>55</v>
      </c>
    </row>
    <row r="464" spans="1:45" x14ac:dyDescent="0.25">
      <c r="A464" t="s">
        <v>47</v>
      </c>
      <c r="B464">
        <v>8</v>
      </c>
      <c r="C464" t="s">
        <v>138</v>
      </c>
      <c r="D464">
        <v>33</v>
      </c>
      <c r="E464" t="s">
        <v>70</v>
      </c>
      <c r="F464">
        <v>296</v>
      </c>
      <c r="G464" t="s">
        <v>72</v>
      </c>
      <c r="H464" t="s">
        <v>50</v>
      </c>
      <c r="K464" t="s">
        <v>52</v>
      </c>
      <c r="L464">
        <v>1</v>
      </c>
      <c r="M464" t="s">
        <v>52</v>
      </c>
      <c r="N464" t="s">
        <v>53</v>
      </c>
      <c r="R464">
        <v>0.5</v>
      </c>
      <c r="S464">
        <v>0.75</v>
      </c>
      <c r="T464">
        <v>0</v>
      </c>
      <c r="U464">
        <v>0</v>
      </c>
      <c r="V464" s="1">
        <v>46569</v>
      </c>
      <c r="W464" s="1">
        <v>46675</v>
      </c>
      <c r="X464" s="1">
        <v>46357</v>
      </c>
      <c r="Z464" t="s">
        <v>52</v>
      </c>
      <c r="AB464" t="s">
        <v>52</v>
      </c>
      <c r="AC464">
        <v>296</v>
      </c>
      <c r="AD464">
        <v>1</v>
      </c>
      <c r="AK464" t="s">
        <v>52</v>
      </c>
      <c r="AN464" t="s">
        <v>52</v>
      </c>
      <c r="AO464" t="s">
        <v>52</v>
      </c>
      <c r="AP464" t="s">
        <v>52</v>
      </c>
      <c r="AQ464" t="s">
        <v>52</v>
      </c>
      <c r="AR464" t="s">
        <v>55</v>
      </c>
    </row>
    <row r="465" spans="1:44" x14ac:dyDescent="0.25">
      <c r="A465" t="s">
        <v>47</v>
      </c>
      <c r="B465">
        <v>8</v>
      </c>
      <c r="C465" t="s">
        <v>138</v>
      </c>
      <c r="D465">
        <v>33</v>
      </c>
      <c r="E465" t="s">
        <v>70</v>
      </c>
      <c r="F465">
        <v>296</v>
      </c>
      <c r="G465" t="s">
        <v>74</v>
      </c>
      <c r="H465" t="s">
        <v>50</v>
      </c>
      <c r="K465" t="s">
        <v>51</v>
      </c>
      <c r="L465">
        <v>1</v>
      </c>
      <c r="M465" t="s">
        <v>52</v>
      </c>
      <c r="N465" t="s">
        <v>53</v>
      </c>
      <c r="R465">
        <v>0</v>
      </c>
      <c r="S465">
        <v>0.75</v>
      </c>
      <c r="T465">
        <v>0</v>
      </c>
      <c r="U465">
        <v>0</v>
      </c>
      <c r="W465" s="1">
        <v>46675</v>
      </c>
      <c r="X465" s="1">
        <v>46357</v>
      </c>
      <c r="Z465" t="s">
        <v>52</v>
      </c>
      <c r="AB465" t="s">
        <v>52</v>
      </c>
      <c r="AC465">
        <v>102</v>
      </c>
      <c r="AD465">
        <v>1</v>
      </c>
      <c r="AK465" t="s">
        <v>52</v>
      </c>
      <c r="AN465" t="s">
        <v>52</v>
      </c>
      <c r="AO465" t="s">
        <v>52</v>
      </c>
      <c r="AP465" t="s">
        <v>52</v>
      </c>
      <c r="AQ465" t="s">
        <v>52</v>
      </c>
      <c r="AR465" t="s">
        <v>55</v>
      </c>
    </row>
    <row r="466" spans="1:44" x14ac:dyDescent="0.25">
      <c r="A466" t="s">
        <v>47</v>
      </c>
      <c r="B466">
        <v>8</v>
      </c>
      <c r="C466" t="s">
        <v>138</v>
      </c>
      <c r="D466">
        <v>33</v>
      </c>
      <c r="E466" t="s">
        <v>70</v>
      </c>
      <c r="F466">
        <v>296</v>
      </c>
      <c r="G466" t="s">
        <v>74</v>
      </c>
      <c r="H466" t="s">
        <v>50</v>
      </c>
      <c r="K466" t="s">
        <v>52</v>
      </c>
      <c r="L466">
        <v>1</v>
      </c>
      <c r="M466" t="s">
        <v>52</v>
      </c>
      <c r="N466" t="s">
        <v>53</v>
      </c>
      <c r="R466">
        <v>0</v>
      </c>
      <c r="S466">
        <v>0.75</v>
      </c>
      <c r="T466">
        <v>0</v>
      </c>
      <c r="U466">
        <v>0</v>
      </c>
      <c r="W466" s="1">
        <v>46675</v>
      </c>
      <c r="X466" s="1">
        <v>46357</v>
      </c>
      <c r="Z466" t="s">
        <v>52</v>
      </c>
      <c r="AB466" t="s">
        <v>52</v>
      </c>
      <c r="AC466">
        <v>102</v>
      </c>
      <c r="AD466">
        <v>1</v>
      </c>
      <c r="AK466" t="s">
        <v>52</v>
      </c>
      <c r="AN466" t="s">
        <v>52</v>
      </c>
      <c r="AO466" t="s">
        <v>52</v>
      </c>
      <c r="AP466" t="s">
        <v>52</v>
      </c>
      <c r="AQ466" t="s">
        <v>52</v>
      </c>
      <c r="AR466" t="s">
        <v>55</v>
      </c>
    </row>
    <row r="467" spans="1:44" x14ac:dyDescent="0.25">
      <c r="A467" t="s">
        <v>47</v>
      </c>
      <c r="B467">
        <v>8</v>
      </c>
      <c r="C467" t="s">
        <v>138</v>
      </c>
      <c r="D467">
        <v>33</v>
      </c>
      <c r="E467" t="s">
        <v>70</v>
      </c>
      <c r="F467">
        <v>296</v>
      </c>
      <c r="G467" t="s">
        <v>129</v>
      </c>
      <c r="H467" t="s">
        <v>50</v>
      </c>
      <c r="K467" t="s">
        <v>51</v>
      </c>
      <c r="L467">
        <v>1</v>
      </c>
      <c r="M467" t="s">
        <v>52</v>
      </c>
      <c r="N467" t="s">
        <v>53</v>
      </c>
      <c r="R467">
        <v>0</v>
      </c>
      <c r="S467">
        <v>0.75</v>
      </c>
      <c r="T467">
        <v>0</v>
      </c>
      <c r="U467">
        <v>0</v>
      </c>
      <c r="W467" s="1">
        <v>46675</v>
      </c>
      <c r="X467" s="1">
        <v>46357</v>
      </c>
      <c r="Z467" t="s">
        <v>52</v>
      </c>
      <c r="AB467" t="s">
        <v>52</v>
      </c>
      <c r="AC467">
        <v>102</v>
      </c>
      <c r="AD467">
        <v>1</v>
      </c>
      <c r="AK467" t="s">
        <v>52</v>
      </c>
      <c r="AN467" t="s">
        <v>52</v>
      </c>
      <c r="AO467" t="s">
        <v>52</v>
      </c>
      <c r="AP467" t="s">
        <v>52</v>
      </c>
      <c r="AQ467" t="s">
        <v>52</v>
      </c>
      <c r="AR467" t="s">
        <v>55</v>
      </c>
    </row>
    <row r="468" spans="1:44" x14ac:dyDescent="0.25">
      <c r="A468" t="s">
        <v>47</v>
      </c>
      <c r="B468">
        <v>8</v>
      </c>
      <c r="C468" t="s">
        <v>138</v>
      </c>
      <c r="D468">
        <v>33</v>
      </c>
      <c r="E468" t="s">
        <v>70</v>
      </c>
      <c r="F468">
        <v>296</v>
      </c>
      <c r="G468" t="s">
        <v>129</v>
      </c>
      <c r="H468" t="s">
        <v>50</v>
      </c>
      <c r="K468" t="s">
        <v>52</v>
      </c>
      <c r="L468">
        <v>1</v>
      </c>
      <c r="M468" t="s">
        <v>52</v>
      </c>
      <c r="N468" t="s">
        <v>53</v>
      </c>
      <c r="R468">
        <v>0</v>
      </c>
      <c r="S468">
        <v>0.75</v>
      </c>
      <c r="T468">
        <v>0</v>
      </c>
      <c r="U468">
        <v>0</v>
      </c>
      <c r="W468" s="1">
        <v>46675</v>
      </c>
      <c r="X468" s="1">
        <v>46357</v>
      </c>
      <c r="Z468" t="s">
        <v>52</v>
      </c>
      <c r="AB468" t="s">
        <v>52</v>
      </c>
      <c r="AC468">
        <v>102</v>
      </c>
      <c r="AD468">
        <v>1</v>
      </c>
      <c r="AK468" t="s">
        <v>52</v>
      </c>
      <c r="AN468" t="s">
        <v>52</v>
      </c>
      <c r="AO468" t="s">
        <v>52</v>
      </c>
      <c r="AP468" t="s">
        <v>52</v>
      </c>
      <c r="AQ468" t="s">
        <v>52</v>
      </c>
      <c r="AR468" t="s">
        <v>55</v>
      </c>
    </row>
    <row r="469" spans="1:44" x14ac:dyDescent="0.25">
      <c r="A469" t="s">
        <v>47</v>
      </c>
      <c r="B469">
        <v>8</v>
      </c>
      <c r="C469" t="s">
        <v>138</v>
      </c>
      <c r="D469">
        <v>33</v>
      </c>
      <c r="E469" t="s">
        <v>70</v>
      </c>
      <c r="F469">
        <v>296</v>
      </c>
      <c r="G469" t="s">
        <v>89</v>
      </c>
      <c r="H469" t="s">
        <v>50</v>
      </c>
      <c r="K469" t="s">
        <v>51</v>
      </c>
      <c r="L469">
        <v>1</v>
      </c>
      <c r="M469" t="s">
        <v>52</v>
      </c>
      <c r="N469" t="s">
        <v>53</v>
      </c>
      <c r="R469">
        <v>0.25</v>
      </c>
      <c r="S469">
        <v>0.75</v>
      </c>
      <c r="V469" s="1">
        <v>46569</v>
      </c>
      <c r="W469" s="1">
        <v>46675</v>
      </c>
      <c r="X469" s="1">
        <v>46357</v>
      </c>
      <c r="Z469" t="s">
        <v>52</v>
      </c>
      <c r="AB469" t="s">
        <v>52</v>
      </c>
      <c r="AC469">
        <v>102</v>
      </c>
      <c r="AD469">
        <v>1</v>
      </c>
      <c r="AK469" t="s">
        <v>52</v>
      </c>
      <c r="AN469" t="s">
        <v>52</v>
      </c>
      <c r="AO469" t="s">
        <v>52</v>
      </c>
      <c r="AP469" t="s">
        <v>52</v>
      </c>
      <c r="AQ469" t="s">
        <v>52</v>
      </c>
      <c r="AR469" t="s">
        <v>95</v>
      </c>
    </row>
    <row r="470" spans="1:44" x14ac:dyDescent="0.25">
      <c r="A470" t="s">
        <v>47</v>
      </c>
      <c r="B470">
        <v>8</v>
      </c>
      <c r="C470" t="s">
        <v>138</v>
      </c>
      <c r="D470">
        <v>33</v>
      </c>
      <c r="E470" t="s">
        <v>70</v>
      </c>
      <c r="F470">
        <v>296</v>
      </c>
      <c r="G470" t="s">
        <v>122</v>
      </c>
      <c r="H470" t="s">
        <v>50</v>
      </c>
      <c r="K470" t="s">
        <v>51</v>
      </c>
      <c r="L470">
        <v>1</v>
      </c>
      <c r="M470" t="s">
        <v>52</v>
      </c>
      <c r="N470" t="s">
        <v>53</v>
      </c>
      <c r="R470">
        <v>0</v>
      </c>
      <c r="S470">
        <v>0.75</v>
      </c>
      <c r="T470">
        <v>0</v>
      </c>
      <c r="U470">
        <v>0</v>
      </c>
      <c r="W470" s="1">
        <v>46675</v>
      </c>
      <c r="X470" s="1">
        <v>46357</v>
      </c>
      <c r="Z470" t="s">
        <v>52</v>
      </c>
      <c r="AB470" t="s">
        <v>52</v>
      </c>
      <c r="AC470">
        <v>102</v>
      </c>
      <c r="AD470">
        <v>1</v>
      </c>
      <c r="AK470" t="s">
        <v>52</v>
      </c>
      <c r="AN470" t="s">
        <v>52</v>
      </c>
      <c r="AO470" t="s">
        <v>52</v>
      </c>
      <c r="AP470" t="s">
        <v>52</v>
      </c>
      <c r="AQ470" t="s">
        <v>52</v>
      </c>
      <c r="AR470" t="s">
        <v>55</v>
      </c>
    </row>
    <row r="471" spans="1:44" x14ac:dyDescent="0.25">
      <c r="A471" t="s">
        <v>47</v>
      </c>
      <c r="B471">
        <v>8</v>
      </c>
      <c r="C471" t="s">
        <v>138</v>
      </c>
      <c r="D471">
        <v>33</v>
      </c>
      <c r="E471" t="s">
        <v>70</v>
      </c>
      <c r="F471">
        <v>296</v>
      </c>
      <c r="G471" t="s">
        <v>122</v>
      </c>
      <c r="H471" t="s">
        <v>50</v>
      </c>
      <c r="K471" t="s">
        <v>52</v>
      </c>
      <c r="L471">
        <v>1</v>
      </c>
      <c r="M471" t="s">
        <v>52</v>
      </c>
      <c r="N471" t="s">
        <v>53</v>
      </c>
      <c r="R471">
        <v>0</v>
      </c>
      <c r="S471">
        <v>0.75</v>
      </c>
      <c r="T471">
        <v>0</v>
      </c>
      <c r="U471">
        <v>0</v>
      </c>
      <c r="W471" s="1">
        <v>46675</v>
      </c>
      <c r="X471" s="1">
        <v>46357</v>
      </c>
      <c r="Z471" t="s">
        <v>52</v>
      </c>
      <c r="AB471" t="s">
        <v>52</v>
      </c>
      <c r="AC471">
        <v>102</v>
      </c>
      <c r="AD471">
        <v>1</v>
      </c>
      <c r="AK471" t="s">
        <v>52</v>
      </c>
      <c r="AN471" t="s">
        <v>52</v>
      </c>
      <c r="AO471" t="s">
        <v>52</v>
      </c>
      <c r="AP471" t="s">
        <v>52</v>
      </c>
      <c r="AQ471" t="s">
        <v>52</v>
      </c>
      <c r="AR471" t="s">
        <v>55</v>
      </c>
    </row>
    <row r="472" spans="1:44" x14ac:dyDescent="0.25">
      <c r="A472" t="s">
        <v>47</v>
      </c>
      <c r="B472">
        <v>8</v>
      </c>
      <c r="C472" t="s">
        <v>138</v>
      </c>
      <c r="D472">
        <v>33</v>
      </c>
      <c r="E472" t="s">
        <v>70</v>
      </c>
      <c r="F472">
        <v>296</v>
      </c>
      <c r="G472" t="s">
        <v>90</v>
      </c>
      <c r="H472" t="s">
        <v>50</v>
      </c>
      <c r="K472" t="s">
        <v>51</v>
      </c>
      <c r="L472">
        <v>1</v>
      </c>
      <c r="M472" t="s">
        <v>52</v>
      </c>
      <c r="N472" t="s">
        <v>53</v>
      </c>
      <c r="R472">
        <v>0.5</v>
      </c>
      <c r="S472">
        <v>0.75</v>
      </c>
      <c r="T472">
        <v>0</v>
      </c>
      <c r="U472">
        <v>0</v>
      </c>
      <c r="V472" s="1">
        <v>46569</v>
      </c>
      <c r="W472" s="1">
        <v>46675</v>
      </c>
      <c r="X472" s="1">
        <v>46357</v>
      </c>
      <c r="Z472" t="s">
        <v>52</v>
      </c>
      <c r="AB472" t="s">
        <v>52</v>
      </c>
      <c r="AC472">
        <v>102</v>
      </c>
      <c r="AD472">
        <v>1</v>
      </c>
      <c r="AK472" t="s">
        <v>52</v>
      </c>
      <c r="AN472" t="s">
        <v>52</v>
      </c>
      <c r="AO472" t="s">
        <v>52</v>
      </c>
      <c r="AP472" t="s">
        <v>52</v>
      </c>
      <c r="AQ472" t="s">
        <v>52</v>
      </c>
      <c r="AR472" t="s">
        <v>55</v>
      </c>
    </row>
    <row r="473" spans="1:44" x14ac:dyDescent="0.25">
      <c r="A473" t="s">
        <v>47</v>
      </c>
      <c r="B473">
        <v>8</v>
      </c>
      <c r="C473" t="s">
        <v>138</v>
      </c>
      <c r="D473">
        <v>33</v>
      </c>
      <c r="E473" t="s">
        <v>70</v>
      </c>
      <c r="F473">
        <v>296</v>
      </c>
      <c r="G473" t="s">
        <v>90</v>
      </c>
      <c r="H473" t="s">
        <v>50</v>
      </c>
      <c r="K473" t="s">
        <v>52</v>
      </c>
      <c r="L473">
        <v>1</v>
      </c>
      <c r="M473" t="s">
        <v>52</v>
      </c>
      <c r="N473" t="s">
        <v>53</v>
      </c>
      <c r="R473">
        <v>0.5</v>
      </c>
      <c r="S473">
        <v>0.75</v>
      </c>
      <c r="T473">
        <v>0</v>
      </c>
      <c r="U473">
        <v>0</v>
      </c>
      <c r="V473" s="1">
        <v>46569</v>
      </c>
      <c r="W473" s="1">
        <v>46675</v>
      </c>
      <c r="X473" s="1">
        <v>46357</v>
      </c>
      <c r="Z473" t="s">
        <v>52</v>
      </c>
      <c r="AB473" t="s">
        <v>52</v>
      </c>
      <c r="AC473">
        <v>102</v>
      </c>
      <c r="AD473">
        <v>1</v>
      </c>
      <c r="AK473" t="s">
        <v>52</v>
      </c>
      <c r="AN473" t="s">
        <v>52</v>
      </c>
      <c r="AO473" t="s">
        <v>52</v>
      </c>
      <c r="AP473" t="s">
        <v>52</v>
      </c>
      <c r="AQ473" t="s">
        <v>52</v>
      </c>
      <c r="AR473" t="s">
        <v>55</v>
      </c>
    </row>
    <row r="474" spans="1:44" x14ac:dyDescent="0.25">
      <c r="A474" t="s">
        <v>47</v>
      </c>
      <c r="B474">
        <v>8</v>
      </c>
      <c r="C474" t="s">
        <v>138</v>
      </c>
      <c r="D474">
        <v>33</v>
      </c>
      <c r="E474" t="s">
        <v>70</v>
      </c>
      <c r="F474">
        <v>296</v>
      </c>
      <c r="G474" t="s">
        <v>91</v>
      </c>
      <c r="H474" t="s">
        <v>50</v>
      </c>
      <c r="K474" t="s">
        <v>51</v>
      </c>
      <c r="L474">
        <v>1</v>
      </c>
      <c r="M474" t="s">
        <v>52</v>
      </c>
      <c r="N474" t="s">
        <v>53</v>
      </c>
      <c r="R474">
        <v>0.5</v>
      </c>
      <c r="S474">
        <v>0.75</v>
      </c>
      <c r="T474">
        <v>0</v>
      </c>
      <c r="U474">
        <v>0</v>
      </c>
      <c r="V474" s="1">
        <v>46569</v>
      </c>
      <c r="W474" s="1">
        <v>46675</v>
      </c>
      <c r="X474" s="1">
        <v>46357</v>
      </c>
      <c r="Z474" t="s">
        <v>52</v>
      </c>
      <c r="AB474" t="s">
        <v>52</v>
      </c>
      <c r="AC474">
        <v>102</v>
      </c>
      <c r="AD474">
        <v>1</v>
      </c>
      <c r="AK474" t="s">
        <v>52</v>
      </c>
      <c r="AN474" t="s">
        <v>52</v>
      </c>
      <c r="AO474" t="s">
        <v>52</v>
      </c>
      <c r="AP474" t="s">
        <v>52</v>
      </c>
      <c r="AQ474" t="s">
        <v>52</v>
      </c>
      <c r="AR474" t="s">
        <v>55</v>
      </c>
    </row>
    <row r="475" spans="1:44" x14ac:dyDescent="0.25">
      <c r="A475" t="s">
        <v>47</v>
      </c>
      <c r="B475">
        <v>8</v>
      </c>
      <c r="C475" t="s">
        <v>138</v>
      </c>
      <c r="D475">
        <v>33</v>
      </c>
      <c r="E475" t="s">
        <v>70</v>
      </c>
      <c r="F475">
        <v>296</v>
      </c>
      <c r="G475" t="s">
        <v>91</v>
      </c>
      <c r="H475" t="s">
        <v>50</v>
      </c>
      <c r="K475" t="s">
        <v>52</v>
      </c>
      <c r="L475">
        <v>1</v>
      </c>
      <c r="M475" t="s">
        <v>52</v>
      </c>
      <c r="N475" t="s">
        <v>53</v>
      </c>
      <c r="R475">
        <v>0.5</v>
      </c>
      <c r="S475">
        <v>0.75</v>
      </c>
      <c r="T475">
        <v>0</v>
      </c>
      <c r="U475">
        <v>0</v>
      </c>
      <c r="V475" s="1">
        <v>46569</v>
      </c>
      <c r="W475" s="1">
        <v>46675</v>
      </c>
      <c r="X475" s="1">
        <v>46357</v>
      </c>
      <c r="Z475" t="s">
        <v>52</v>
      </c>
      <c r="AB475" t="s">
        <v>52</v>
      </c>
      <c r="AC475">
        <v>102</v>
      </c>
      <c r="AD475">
        <v>1</v>
      </c>
      <c r="AK475" t="s">
        <v>52</v>
      </c>
      <c r="AN475" t="s">
        <v>52</v>
      </c>
      <c r="AO475" t="s">
        <v>52</v>
      </c>
      <c r="AP475" t="s">
        <v>52</v>
      </c>
      <c r="AQ475" t="s">
        <v>52</v>
      </c>
      <c r="AR475" t="s">
        <v>55</v>
      </c>
    </row>
    <row r="476" spans="1:44" x14ac:dyDescent="0.25">
      <c r="A476" t="s">
        <v>47</v>
      </c>
      <c r="B476">
        <v>8</v>
      </c>
      <c r="C476" t="s">
        <v>138</v>
      </c>
      <c r="D476">
        <v>33</v>
      </c>
      <c r="E476" t="s">
        <v>70</v>
      </c>
      <c r="F476">
        <v>296</v>
      </c>
      <c r="G476" t="s">
        <v>124</v>
      </c>
      <c r="H476" t="s">
        <v>50</v>
      </c>
      <c r="K476" t="s">
        <v>51</v>
      </c>
      <c r="L476">
        <v>1</v>
      </c>
      <c r="M476" t="s">
        <v>52</v>
      </c>
      <c r="N476" t="s">
        <v>53</v>
      </c>
      <c r="R476">
        <v>0</v>
      </c>
      <c r="S476">
        <v>0.75</v>
      </c>
      <c r="T476">
        <v>0</v>
      </c>
      <c r="U476">
        <v>0</v>
      </c>
      <c r="W476" s="1">
        <v>46675</v>
      </c>
      <c r="X476" s="1">
        <v>46357</v>
      </c>
      <c r="Z476" t="s">
        <v>52</v>
      </c>
      <c r="AB476" t="s">
        <v>52</v>
      </c>
      <c r="AC476">
        <v>102</v>
      </c>
      <c r="AD476">
        <v>1</v>
      </c>
      <c r="AK476" t="s">
        <v>52</v>
      </c>
      <c r="AN476" t="s">
        <v>52</v>
      </c>
      <c r="AO476" t="s">
        <v>52</v>
      </c>
      <c r="AP476" t="s">
        <v>52</v>
      </c>
      <c r="AQ476" t="s">
        <v>52</v>
      </c>
      <c r="AR476" t="s">
        <v>55</v>
      </c>
    </row>
    <row r="477" spans="1:44" x14ac:dyDescent="0.25">
      <c r="A477" t="s">
        <v>47</v>
      </c>
      <c r="B477">
        <v>8</v>
      </c>
      <c r="C477" t="s">
        <v>138</v>
      </c>
      <c r="D477">
        <v>33</v>
      </c>
      <c r="E477" t="s">
        <v>70</v>
      </c>
      <c r="F477">
        <v>296</v>
      </c>
      <c r="G477" t="s">
        <v>124</v>
      </c>
      <c r="H477" t="s">
        <v>50</v>
      </c>
      <c r="K477" t="s">
        <v>52</v>
      </c>
      <c r="L477">
        <v>1</v>
      </c>
      <c r="M477" t="s">
        <v>52</v>
      </c>
      <c r="N477" t="s">
        <v>53</v>
      </c>
      <c r="R477">
        <v>0</v>
      </c>
      <c r="S477">
        <v>0.75</v>
      </c>
      <c r="T477">
        <v>0</v>
      </c>
      <c r="U477">
        <v>0</v>
      </c>
      <c r="W477" s="1">
        <v>46675</v>
      </c>
      <c r="X477" s="1">
        <v>46357</v>
      </c>
      <c r="Z477" t="s">
        <v>52</v>
      </c>
      <c r="AB477" t="s">
        <v>52</v>
      </c>
      <c r="AC477">
        <v>102</v>
      </c>
      <c r="AD477">
        <v>1</v>
      </c>
      <c r="AK477" t="s">
        <v>52</v>
      </c>
      <c r="AN477" t="s">
        <v>52</v>
      </c>
      <c r="AO477" t="s">
        <v>52</v>
      </c>
      <c r="AP477" t="s">
        <v>52</v>
      </c>
      <c r="AQ477" t="s">
        <v>52</v>
      </c>
      <c r="AR477" t="s">
        <v>55</v>
      </c>
    </row>
    <row r="478" spans="1:44" x14ac:dyDescent="0.25">
      <c r="A478" t="s">
        <v>47</v>
      </c>
      <c r="B478">
        <v>8</v>
      </c>
      <c r="C478" t="s">
        <v>138</v>
      </c>
      <c r="D478">
        <v>33</v>
      </c>
      <c r="E478" t="s">
        <v>70</v>
      </c>
      <c r="F478">
        <v>296</v>
      </c>
      <c r="G478" t="s">
        <v>92</v>
      </c>
      <c r="H478" t="s">
        <v>50</v>
      </c>
      <c r="K478" t="s">
        <v>51</v>
      </c>
      <c r="L478">
        <v>1</v>
      </c>
      <c r="M478" t="s">
        <v>52</v>
      </c>
      <c r="N478" t="s">
        <v>53</v>
      </c>
      <c r="R478">
        <v>0.5</v>
      </c>
      <c r="S478">
        <v>0.75</v>
      </c>
      <c r="U478">
        <v>0</v>
      </c>
      <c r="V478" s="1">
        <v>46569</v>
      </c>
      <c r="W478" s="1">
        <v>46675</v>
      </c>
      <c r="X478" s="1">
        <v>46357</v>
      </c>
      <c r="Z478" t="s">
        <v>52</v>
      </c>
      <c r="AB478" t="s">
        <v>52</v>
      </c>
      <c r="AC478">
        <v>102</v>
      </c>
      <c r="AD478">
        <v>1</v>
      </c>
      <c r="AK478" t="s">
        <v>52</v>
      </c>
      <c r="AN478" t="s">
        <v>52</v>
      </c>
      <c r="AO478" t="s">
        <v>52</v>
      </c>
      <c r="AP478" t="s">
        <v>52</v>
      </c>
      <c r="AQ478" t="s">
        <v>52</v>
      </c>
      <c r="AR478" t="s">
        <v>55</v>
      </c>
    </row>
    <row r="479" spans="1:44" x14ac:dyDescent="0.25">
      <c r="A479" t="s">
        <v>47</v>
      </c>
      <c r="B479">
        <v>8</v>
      </c>
      <c r="C479" t="s">
        <v>138</v>
      </c>
      <c r="D479">
        <v>33</v>
      </c>
      <c r="E479" t="s">
        <v>70</v>
      </c>
      <c r="F479">
        <v>296</v>
      </c>
      <c r="G479" t="s">
        <v>92</v>
      </c>
      <c r="H479" t="s">
        <v>50</v>
      </c>
      <c r="K479" t="s">
        <v>52</v>
      </c>
      <c r="L479">
        <v>1</v>
      </c>
      <c r="M479" t="s">
        <v>52</v>
      </c>
      <c r="N479" t="s">
        <v>53</v>
      </c>
      <c r="R479">
        <v>0.5</v>
      </c>
      <c r="S479">
        <v>0.75</v>
      </c>
      <c r="U479">
        <v>0</v>
      </c>
      <c r="V479" s="1">
        <v>46569</v>
      </c>
      <c r="W479" s="1">
        <v>46675</v>
      </c>
      <c r="X479" s="1">
        <v>46357</v>
      </c>
      <c r="Z479" t="s">
        <v>52</v>
      </c>
      <c r="AB479" t="s">
        <v>52</v>
      </c>
      <c r="AC479">
        <v>102</v>
      </c>
      <c r="AD479">
        <v>1</v>
      </c>
      <c r="AK479" t="s">
        <v>52</v>
      </c>
      <c r="AN479" t="s">
        <v>52</v>
      </c>
      <c r="AO479" t="s">
        <v>52</v>
      </c>
      <c r="AP479" t="s">
        <v>52</v>
      </c>
      <c r="AQ479" t="s">
        <v>52</v>
      </c>
      <c r="AR479" t="s">
        <v>55</v>
      </c>
    </row>
    <row r="480" spans="1:44" x14ac:dyDescent="0.25">
      <c r="A480" t="s">
        <v>47</v>
      </c>
      <c r="B480">
        <v>8</v>
      </c>
      <c r="C480" t="s">
        <v>138</v>
      </c>
      <c r="D480">
        <v>33</v>
      </c>
      <c r="E480" t="s">
        <v>70</v>
      </c>
      <c r="F480">
        <v>296</v>
      </c>
      <c r="G480" t="s">
        <v>116</v>
      </c>
      <c r="H480" t="s">
        <v>50</v>
      </c>
      <c r="K480" t="s">
        <v>51</v>
      </c>
      <c r="L480">
        <v>1</v>
      </c>
      <c r="M480" t="s">
        <v>52</v>
      </c>
      <c r="N480" t="s">
        <v>53</v>
      </c>
      <c r="R480">
        <v>0.5</v>
      </c>
      <c r="S480">
        <v>0.75</v>
      </c>
      <c r="T480">
        <v>0</v>
      </c>
      <c r="U480">
        <v>0</v>
      </c>
      <c r="V480" s="1">
        <v>46569</v>
      </c>
      <c r="W480" s="1">
        <v>46675</v>
      </c>
      <c r="X480" s="1">
        <v>46357</v>
      </c>
      <c r="Z480" t="s">
        <v>52</v>
      </c>
      <c r="AB480" t="s">
        <v>52</v>
      </c>
      <c r="AC480">
        <v>102</v>
      </c>
      <c r="AD480">
        <v>1</v>
      </c>
      <c r="AK480" t="s">
        <v>52</v>
      </c>
      <c r="AN480" t="s">
        <v>52</v>
      </c>
      <c r="AO480" t="s">
        <v>52</v>
      </c>
      <c r="AP480" t="s">
        <v>52</v>
      </c>
      <c r="AQ480" t="s">
        <v>52</v>
      </c>
      <c r="AR480" t="s">
        <v>55</v>
      </c>
    </row>
    <row r="481" spans="1:45" x14ac:dyDescent="0.25">
      <c r="A481" t="s">
        <v>47</v>
      </c>
      <c r="B481">
        <v>8</v>
      </c>
      <c r="C481" t="s">
        <v>138</v>
      </c>
      <c r="D481">
        <v>33</v>
      </c>
      <c r="E481" t="s">
        <v>70</v>
      </c>
      <c r="F481">
        <v>296</v>
      </c>
      <c r="G481" t="s">
        <v>116</v>
      </c>
      <c r="H481" t="s">
        <v>50</v>
      </c>
      <c r="K481" t="s">
        <v>52</v>
      </c>
      <c r="L481">
        <v>1</v>
      </c>
      <c r="M481" t="s">
        <v>52</v>
      </c>
      <c r="N481" t="s">
        <v>53</v>
      </c>
      <c r="R481">
        <v>0.5</v>
      </c>
      <c r="S481">
        <v>0.75</v>
      </c>
      <c r="T481">
        <v>0</v>
      </c>
      <c r="U481">
        <v>0</v>
      </c>
      <c r="V481" s="1">
        <v>46569</v>
      </c>
      <c r="W481" s="1">
        <v>46675</v>
      </c>
      <c r="X481" s="1">
        <v>46357</v>
      </c>
      <c r="Z481" t="s">
        <v>52</v>
      </c>
      <c r="AB481" t="s">
        <v>52</v>
      </c>
      <c r="AC481">
        <v>102</v>
      </c>
      <c r="AD481">
        <v>1</v>
      </c>
      <c r="AK481" t="s">
        <v>52</v>
      </c>
      <c r="AN481" t="s">
        <v>52</v>
      </c>
      <c r="AO481" t="s">
        <v>52</v>
      </c>
      <c r="AP481" t="s">
        <v>52</v>
      </c>
      <c r="AQ481" t="s">
        <v>52</v>
      </c>
      <c r="AR481" t="s">
        <v>55</v>
      </c>
    </row>
    <row r="482" spans="1:45" x14ac:dyDescent="0.25">
      <c r="A482" t="s">
        <v>47</v>
      </c>
      <c r="B482">
        <v>8</v>
      </c>
      <c r="C482" t="s">
        <v>138</v>
      </c>
      <c r="D482">
        <v>33</v>
      </c>
      <c r="E482" t="s">
        <v>75</v>
      </c>
      <c r="F482">
        <v>16</v>
      </c>
      <c r="G482" t="s">
        <v>76</v>
      </c>
      <c r="H482" t="s">
        <v>50</v>
      </c>
      <c r="K482" t="s">
        <v>51</v>
      </c>
      <c r="L482">
        <v>1</v>
      </c>
      <c r="M482" t="s">
        <v>52</v>
      </c>
      <c r="N482" t="s">
        <v>53</v>
      </c>
      <c r="R482">
        <v>0.5</v>
      </c>
      <c r="S482">
        <v>0.75</v>
      </c>
      <c r="T482">
        <v>0</v>
      </c>
      <c r="U482">
        <v>0</v>
      </c>
      <c r="V482" s="1">
        <v>46532</v>
      </c>
      <c r="W482" s="1">
        <v>46691</v>
      </c>
      <c r="X482" s="1">
        <v>46461</v>
      </c>
      <c r="Z482" t="s">
        <v>52</v>
      </c>
      <c r="AB482" t="s">
        <v>52</v>
      </c>
      <c r="AC482">
        <v>16</v>
      </c>
      <c r="AD482">
        <v>2</v>
      </c>
      <c r="AK482" t="s">
        <v>52</v>
      </c>
      <c r="AN482" t="s">
        <v>52</v>
      </c>
      <c r="AO482" t="s">
        <v>52</v>
      </c>
      <c r="AP482" t="s">
        <v>52</v>
      </c>
      <c r="AQ482" t="s">
        <v>52</v>
      </c>
      <c r="AR482" t="s">
        <v>55</v>
      </c>
    </row>
    <row r="483" spans="1:45" x14ac:dyDescent="0.25">
      <c r="A483" t="s">
        <v>47</v>
      </c>
      <c r="B483">
        <v>8</v>
      </c>
      <c r="C483" t="s">
        <v>138</v>
      </c>
      <c r="D483">
        <v>33</v>
      </c>
      <c r="E483" t="s">
        <v>75</v>
      </c>
      <c r="F483">
        <v>16</v>
      </c>
      <c r="G483" t="s">
        <v>76</v>
      </c>
      <c r="H483" t="s">
        <v>50</v>
      </c>
      <c r="K483" t="s">
        <v>52</v>
      </c>
      <c r="L483">
        <v>1</v>
      </c>
      <c r="M483" t="s">
        <v>52</v>
      </c>
      <c r="N483" t="s">
        <v>53</v>
      </c>
      <c r="R483">
        <v>0.5</v>
      </c>
      <c r="S483">
        <v>0.75</v>
      </c>
      <c r="T483">
        <v>0</v>
      </c>
      <c r="U483">
        <v>0</v>
      </c>
      <c r="V483" s="1">
        <v>46532</v>
      </c>
      <c r="W483" s="1">
        <v>46691</v>
      </c>
      <c r="X483" s="1">
        <v>46461</v>
      </c>
      <c r="Z483" t="s">
        <v>52</v>
      </c>
      <c r="AB483" t="s">
        <v>52</v>
      </c>
      <c r="AC483">
        <v>16</v>
      </c>
      <c r="AD483">
        <v>2</v>
      </c>
      <c r="AK483" t="s">
        <v>52</v>
      </c>
      <c r="AN483" t="s">
        <v>52</v>
      </c>
      <c r="AO483" t="s">
        <v>52</v>
      </c>
      <c r="AP483" t="s">
        <v>52</v>
      </c>
      <c r="AQ483" t="s">
        <v>52</v>
      </c>
      <c r="AR483" t="s">
        <v>55</v>
      </c>
    </row>
    <row r="484" spans="1:45" x14ac:dyDescent="0.25">
      <c r="A484" t="s">
        <v>47</v>
      </c>
      <c r="B484">
        <v>8</v>
      </c>
      <c r="C484" t="s">
        <v>138</v>
      </c>
      <c r="D484">
        <v>33</v>
      </c>
      <c r="E484" t="s">
        <v>94</v>
      </c>
      <c r="F484">
        <v>26</v>
      </c>
      <c r="H484" t="s">
        <v>50</v>
      </c>
      <c r="K484" t="s">
        <v>51</v>
      </c>
      <c r="L484">
        <v>1</v>
      </c>
      <c r="M484" t="s">
        <v>52</v>
      </c>
      <c r="N484" t="s">
        <v>53</v>
      </c>
      <c r="R484">
        <v>0</v>
      </c>
      <c r="S484">
        <v>0.92</v>
      </c>
      <c r="U484">
        <v>0</v>
      </c>
      <c r="W484" s="1">
        <v>46675</v>
      </c>
      <c r="X484" s="1">
        <v>46357</v>
      </c>
      <c r="Z484" t="s">
        <v>52</v>
      </c>
      <c r="AB484" t="s">
        <v>52</v>
      </c>
      <c r="AC484">
        <v>102</v>
      </c>
      <c r="AD484">
        <v>1</v>
      </c>
      <c r="AK484" t="s">
        <v>52</v>
      </c>
      <c r="AN484" t="s">
        <v>52</v>
      </c>
      <c r="AO484" t="s">
        <v>52</v>
      </c>
      <c r="AP484" t="s">
        <v>52</v>
      </c>
      <c r="AQ484" t="s">
        <v>52</v>
      </c>
      <c r="AR484" t="s">
        <v>55</v>
      </c>
    </row>
    <row r="485" spans="1:45" x14ac:dyDescent="0.25">
      <c r="A485" t="s">
        <v>47</v>
      </c>
      <c r="B485">
        <v>8</v>
      </c>
      <c r="C485" t="s">
        <v>138</v>
      </c>
      <c r="D485">
        <v>33</v>
      </c>
      <c r="E485" t="s">
        <v>79</v>
      </c>
      <c r="F485">
        <v>50</v>
      </c>
      <c r="G485" t="s">
        <v>65</v>
      </c>
      <c r="H485" t="s">
        <v>50</v>
      </c>
      <c r="K485" t="s">
        <v>51</v>
      </c>
      <c r="L485">
        <v>1</v>
      </c>
      <c r="M485" t="s">
        <v>52</v>
      </c>
      <c r="N485" t="s">
        <v>53</v>
      </c>
      <c r="R485">
        <v>0.5</v>
      </c>
      <c r="S485">
        <v>0.75</v>
      </c>
      <c r="T485">
        <v>0</v>
      </c>
      <c r="U485">
        <v>0</v>
      </c>
      <c r="V485" s="1">
        <v>46553</v>
      </c>
      <c r="W485" s="1">
        <v>46675</v>
      </c>
      <c r="X485" s="1">
        <v>46461</v>
      </c>
      <c r="Z485" t="s">
        <v>52</v>
      </c>
      <c r="AB485" t="s">
        <v>52</v>
      </c>
      <c r="AC485">
        <v>50</v>
      </c>
      <c r="AD485">
        <v>1</v>
      </c>
      <c r="AK485" t="s">
        <v>52</v>
      </c>
      <c r="AN485" t="s">
        <v>52</v>
      </c>
      <c r="AO485" t="s">
        <v>52</v>
      </c>
      <c r="AP485" t="s">
        <v>52</v>
      </c>
      <c r="AQ485" t="s">
        <v>52</v>
      </c>
      <c r="AR485" t="s">
        <v>55</v>
      </c>
    </row>
    <row r="486" spans="1:45" x14ac:dyDescent="0.25">
      <c r="A486" t="s">
        <v>47</v>
      </c>
      <c r="B486">
        <v>8</v>
      </c>
      <c r="C486" t="s">
        <v>138</v>
      </c>
      <c r="D486">
        <v>33</v>
      </c>
      <c r="E486" t="s">
        <v>79</v>
      </c>
      <c r="F486">
        <v>50</v>
      </c>
      <c r="G486" t="s">
        <v>65</v>
      </c>
      <c r="H486" t="s">
        <v>50</v>
      </c>
      <c r="K486" t="s">
        <v>52</v>
      </c>
      <c r="L486">
        <v>1</v>
      </c>
      <c r="M486" t="s">
        <v>52</v>
      </c>
      <c r="N486" t="s">
        <v>53</v>
      </c>
      <c r="R486">
        <v>0.5</v>
      </c>
      <c r="S486">
        <v>0.75</v>
      </c>
      <c r="T486">
        <v>0</v>
      </c>
      <c r="U486">
        <v>0</v>
      </c>
      <c r="V486" s="1">
        <v>46553</v>
      </c>
      <c r="W486" s="1">
        <v>46675</v>
      </c>
      <c r="X486" s="1">
        <v>46461</v>
      </c>
      <c r="Z486" t="s">
        <v>52</v>
      </c>
      <c r="AB486" t="s">
        <v>52</v>
      </c>
      <c r="AC486">
        <v>50</v>
      </c>
      <c r="AD486">
        <v>1</v>
      </c>
      <c r="AK486" t="s">
        <v>52</v>
      </c>
      <c r="AN486" t="s">
        <v>52</v>
      </c>
      <c r="AO486" t="s">
        <v>52</v>
      </c>
      <c r="AP486" t="s">
        <v>52</v>
      </c>
      <c r="AQ486" t="s">
        <v>52</v>
      </c>
      <c r="AR486" t="s">
        <v>55</v>
      </c>
    </row>
    <row r="487" spans="1:45" x14ac:dyDescent="0.25">
      <c r="A487" t="s">
        <v>47</v>
      </c>
      <c r="B487">
        <v>8</v>
      </c>
      <c r="C487" t="s">
        <v>138</v>
      </c>
      <c r="D487">
        <v>33</v>
      </c>
      <c r="E487" t="s">
        <v>79</v>
      </c>
      <c r="F487">
        <v>50</v>
      </c>
      <c r="G487" t="s">
        <v>81</v>
      </c>
      <c r="H487" t="s">
        <v>50</v>
      </c>
      <c r="K487" t="s">
        <v>51</v>
      </c>
      <c r="L487">
        <v>1</v>
      </c>
      <c r="M487" t="s">
        <v>52</v>
      </c>
      <c r="N487" t="s">
        <v>53</v>
      </c>
      <c r="R487">
        <v>0.5</v>
      </c>
      <c r="S487">
        <v>0.75</v>
      </c>
      <c r="T487">
        <v>0</v>
      </c>
      <c r="U487">
        <v>0</v>
      </c>
      <c r="V487" s="1">
        <v>46553</v>
      </c>
      <c r="W487" s="1">
        <v>46675</v>
      </c>
      <c r="X487" s="1">
        <v>46461</v>
      </c>
      <c r="Z487" t="s">
        <v>52</v>
      </c>
      <c r="AB487" t="s">
        <v>52</v>
      </c>
      <c r="AC487">
        <v>50</v>
      </c>
      <c r="AD487">
        <v>1</v>
      </c>
      <c r="AK487" t="s">
        <v>52</v>
      </c>
      <c r="AN487" t="s">
        <v>52</v>
      </c>
      <c r="AO487" t="s">
        <v>52</v>
      </c>
      <c r="AP487" t="s">
        <v>52</v>
      </c>
      <c r="AQ487" t="s">
        <v>52</v>
      </c>
      <c r="AR487" t="s">
        <v>55</v>
      </c>
    </row>
    <row r="488" spans="1:45" x14ac:dyDescent="0.25">
      <c r="A488" t="s">
        <v>47</v>
      </c>
      <c r="B488">
        <v>8</v>
      </c>
      <c r="C488" t="s">
        <v>138</v>
      </c>
      <c r="D488">
        <v>33</v>
      </c>
      <c r="E488" t="s">
        <v>79</v>
      </c>
      <c r="F488">
        <v>50</v>
      </c>
      <c r="G488" t="s">
        <v>81</v>
      </c>
      <c r="H488" t="s">
        <v>50</v>
      </c>
      <c r="K488" t="s">
        <v>52</v>
      </c>
      <c r="L488">
        <v>1</v>
      </c>
      <c r="M488" t="s">
        <v>52</v>
      </c>
      <c r="N488" t="s">
        <v>53</v>
      </c>
      <c r="R488">
        <v>0.5</v>
      </c>
      <c r="S488">
        <v>0.75</v>
      </c>
      <c r="T488">
        <v>0</v>
      </c>
      <c r="U488">
        <v>0</v>
      </c>
      <c r="V488" s="1">
        <v>46553</v>
      </c>
      <c r="W488" s="1">
        <v>46675</v>
      </c>
      <c r="X488" s="1">
        <v>46461</v>
      </c>
      <c r="Z488" t="s">
        <v>52</v>
      </c>
      <c r="AB488" t="s">
        <v>52</v>
      </c>
      <c r="AC488">
        <v>50</v>
      </c>
      <c r="AD488">
        <v>1</v>
      </c>
      <c r="AK488" t="s">
        <v>52</v>
      </c>
      <c r="AN488" t="s">
        <v>52</v>
      </c>
      <c r="AO488" t="s">
        <v>52</v>
      </c>
      <c r="AP488" t="s">
        <v>52</v>
      </c>
      <c r="AQ488" t="s">
        <v>52</v>
      </c>
      <c r="AR488" t="s">
        <v>55</v>
      </c>
    </row>
    <row r="489" spans="1:45" x14ac:dyDescent="0.25">
      <c r="A489" t="s">
        <v>47</v>
      </c>
      <c r="B489">
        <v>8</v>
      </c>
      <c r="C489" t="s">
        <v>138</v>
      </c>
      <c r="D489">
        <v>33</v>
      </c>
      <c r="E489" t="s">
        <v>82</v>
      </c>
      <c r="F489">
        <v>52</v>
      </c>
      <c r="H489" t="s">
        <v>50</v>
      </c>
      <c r="K489" t="s">
        <v>51</v>
      </c>
      <c r="L489">
        <v>1</v>
      </c>
      <c r="M489" t="s">
        <v>52</v>
      </c>
      <c r="N489" t="s">
        <v>53</v>
      </c>
      <c r="R489">
        <v>0.5</v>
      </c>
      <c r="S489">
        <v>0.75</v>
      </c>
      <c r="U489">
        <v>0</v>
      </c>
      <c r="V489" s="1">
        <v>46569</v>
      </c>
      <c r="W489" s="1">
        <v>46675</v>
      </c>
      <c r="X489" s="1">
        <v>46461</v>
      </c>
      <c r="Z489" t="s">
        <v>52</v>
      </c>
      <c r="AB489" t="s">
        <v>52</v>
      </c>
      <c r="AC489">
        <v>50</v>
      </c>
      <c r="AD489">
        <v>1</v>
      </c>
      <c r="AK489" t="s">
        <v>52</v>
      </c>
      <c r="AN489" t="s">
        <v>52</v>
      </c>
      <c r="AO489" t="s">
        <v>52</v>
      </c>
      <c r="AP489" t="s">
        <v>52</v>
      </c>
      <c r="AQ489" t="s">
        <v>52</v>
      </c>
      <c r="AR489" t="s">
        <v>55</v>
      </c>
    </row>
    <row r="490" spans="1:45" x14ac:dyDescent="0.25">
      <c r="A490" t="s">
        <v>47</v>
      </c>
      <c r="B490">
        <v>8</v>
      </c>
      <c r="C490" t="s">
        <v>138</v>
      </c>
      <c r="D490">
        <v>33</v>
      </c>
      <c r="E490" t="s">
        <v>82</v>
      </c>
      <c r="F490">
        <v>52</v>
      </c>
      <c r="H490" t="s">
        <v>50</v>
      </c>
      <c r="K490" t="s">
        <v>52</v>
      </c>
      <c r="L490">
        <v>1</v>
      </c>
      <c r="M490" t="s">
        <v>52</v>
      </c>
      <c r="N490" t="s">
        <v>53</v>
      </c>
      <c r="R490">
        <v>0.5</v>
      </c>
      <c r="S490">
        <v>0.75</v>
      </c>
      <c r="U490">
        <v>0</v>
      </c>
      <c r="V490" s="1">
        <v>46569</v>
      </c>
      <c r="W490" s="1">
        <v>46675</v>
      </c>
      <c r="X490" s="1">
        <v>46461</v>
      </c>
      <c r="Z490" t="s">
        <v>52</v>
      </c>
      <c r="AB490" t="s">
        <v>52</v>
      </c>
      <c r="AC490">
        <v>50</v>
      </c>
      <c r="AD490">
        <v>1</v>
      </c>
      <c r="AK490" t="s">
        <v>52</v>
      </c>
      <c r="AN490" t="s">
        <v>52</v>
      </c>
      <c r="AO490" t="s">
        <v>52</v>
      </c>
      <c r="AP490" t="s">
        <v>52</v>
      </c>
      <c r="AQ490" t="s">
        <v>52</v>
      </c>
      <c r="AR490" t="s">
        <v>55</v>
      </c>
      <c r="AS490" t="s">
        <v>107</v>
      </c>
    </row>
    <row r="491" spans="1:45" x14ac:dyDescent="0.25">
      <c r="A491" t="s">
        <v>47</v>
      </c>
      <c r="B491">
        <v>8</v>
      </c>
      <c r="C491" t="s">
        <v>138</v>
      </c>
      <c r="D491">
        <v>33</v>
      </c>
      <c r="E491" t="s">
        <v>83</v>
      </c>
      <c r="F491">
        <v>158</v>
      </c>
      <c r="H491" t="s">
        <v>50</v>
      </c>
      <c r="K491" t="s">
        <v>51</v>
      </c>
      <c r="L491">
        <v>1</v>
      </c>
      <c r="M491" t="s">
        <v>52</v>
      </c>
      <c r="N491" t="s">
        <v>53</v>
      </c>
      <c r="P491">
        <v>1.37</v>
      </c>
      <c r="R491">
        <v>0.77</v>
      </c>
      <c r="S491">
        <v>0.93</v>
      </c>
      <c r="U491">
        <v>0</v>
      </c>
      <c r="V491" s="1">
        <v>46522</v>
      </c>
      <c r="W491" s="1">
        <v>46691</v>
      </c>
      <c r="X491" s="1">
        <v>46266</v>
      </c>
      <c r="Z491" t="s">
        <v>52</v>
      </c>
      <c r="AA491" t="s">
        <v>54</v>
      </c>
      <c r="AB491" t="s">
        <v>52</v>
      </c>
      <c r="AC491">
        <v>158</v>
      </c>
      <c r="AD491">
        <v>2</v>
      </c>
      <c r="AK491" t="s">
        <v>52</v>
      </c>
      <c r="AN491" t="s">
        <v>52</v>
      </c>
      <c r="AO491" t="s">
        <v>52</v>
      </c>
      <c r="AP491" t="s">
        <v>52</v>
      </c>
      <c r="AQ491" t="s">
        <v>52</v>
      </c>
      <c r="AR491" t="s">
        <v>95</v>
      </c>
      <c r="AS491" t="s">
        <v>140</v>
      </c>
    </row>
    <row r="492" spans="1:45" x14ac:dyDescent="0.25">
      <c r="A492" t="s">
        <v>47</v>
      </c>
      <c r="B492">
        <v>8</v>
      </c>
      <c r="C492" t="s">
        <v>138</v>
      </c>
      <c r="D492">
        <v>33</v>
      </c>
      <c r="E492" t="s">
        <v>83</v>
      </c>
      <c r="F492">
        <v>158</v>
      </c>
      <c r="H492" t="s">
        <v>50</v>
      </c>
      <c r="K492" t="s">
        <v>52</v>
      </c>
      <c r="L492">
        <v>1</v>
      </c>
      <c r="M492" t="s">
        <v>52</v>
      </c>
      <c r="N492" t="s">
        <v>53</v>
      </c>
      <c r="R492">
        <v>0.77</v>
      </c>
      <c r="S492">
        <v>0.93</v>
      </c>
      <c r="U492">
        <v>0</v>
      </c>
      <c r="V492" s="1">
        <v>46522</v>
      </c>
      <c r="W492" s="1">
        <v>46691</v>
      </c>
      <c r="X492" s="1">
        <v>46266</v>
      </c>
      <c r="Z492" t="s">
        <v>52</v>
      </c>
      <c r="AB492" t="s">
        <v>52</v>
      </c>
      <c r="AC492">
        <v>158</v>
      </c>
      <c r="AD492">
        <v>2</v>
      </c>
      <c r="AK492" t="s">
        <v>52</v>
      </c>
      <c r="AN492" t="s">
        <v>52</v>
      </c>
      <c r="AO492" t="s">
        <v>52</v>
      </c>
      <c r="AP492" t="s">
        <v>52</v>
      </c>
      <c r="AQ492" t="s">
        <v>52</v>
      </c>
      <c r="AR492" t="s">
        <v>55</v>
      </c>
    </row>
    <row r="493" spans="1:45" x14ac:dyDescent="0.25">
      <c r="A493" t="s">
        <v>47</v>
      </c>
      <c r="B493">
        <v>8</v>
      </c>
      <c r="C493" t="s">
        <v>138</v>
      </c>
      <c r="D493">
        <v>33</v>
      </c>
      <c r="E493" t="s">
        <v>84</v>
      </c>
      <c r="F493">
        <v>11</v>
      </c>
      <c r="G493" t="s">
        <v>85</v>
      </c>
      <c r="H493" t="s">
        <v>50</v>
      </c>
      <c r="K493" t="s">
        <v>51</v>
      </c>
      <c r="L493">
        <v>1</v>
      </c>
      <c r="M493" t="s">
        <v>52</v>
      </c>
      <c r="N493" t="s">
        <v>53</v>
      </c>
      <c r="R493">
        <v>0.5</v>
      </c>
      <c r="S493">
        <v>0.75</v>
      </c>
      <c r="T493">
        <v>0</v>
      </c>
      <c r="U493">
        <v>0</v>
      </c>
      <c r="V493" s="1">
        <v>46593</v>
      </c>
      <c r="W493" s="1">
        <v>46691</v>
      </c>
      <c r="X493" s="1">
        <v>46295</v>
      </c>
      <c r="Z493" t="s">
        <v>52</v>
      </c>
      <c r="AB493" t="s">
        <v>52</v>
      </c>
      <c r="AC493">
        <v>11</v>
      </c>
      <c r="AD493">
        <v>2</v>
      </c>
      <c r="AK493" t="s">
        <v>52</v>
      </c>
      <c r="AN493" t="s">
        <v>52</v>
      </c>
      <c r="AO493" t="s">
        <v>52</v>
      </c>
      <c r="AP493" t="s">
        <v>52</v>
      </c>
      <c r="AQ493" t="s">
        <v>52</v>
      </c>
      <c r="AR493" t="s">
        <v>55</v>
      </c>
    </row>
    <row r="494" spans="1:45" x14ac:dyDescent="0.25">
      <c r="A494" t="s">
        <v>47</v>
      </c>
      <c r="B494">
        <v>8</v>
      </c>
      <c r="C494" t="s">
        <v>138</v>
      </c>
      <c r="D494">
        <v>33</v>
      </c>
      <c r="E494" t="s">
        <v>84</v>
      </c>
      <c r="F494">
        <v>11</v>
      </c>
      <c r="G494" t="s">
        <v>85</v>
      </c>
      <c r="H494" t="s">
        <v>50</v>
      </c>
      <c r="K494" t="s">
        <v>52</v>
      </c>
      <c r="L494">
        <v>1</v>
      </c>
      <c r="M494" t="s">
        <v>52</v>
      </c>
      <c r="N494" t="s">
        <v>53</v>
      </c>
      <c r="R494">
        <v>0.5</v>
      </c>
      <c r="S494">
        <v>0.75</v>
      </c>
      <c r="T494">
        <v>0</v>
      </c>
      <c r="U494">
        <v>0</v>
      </c>
      <c r="V494" s="1">
        <v>46593</v>
      </c>
      <c r="W494" s="1">
        <v>46691</v>
      </c>
      <c r="X494" s="1">
        <v>46295</v>
      </c>
      <c r="Z494" t="s">
        <v>52</v>
      </c>
      <c r="AB494" t="s">
        <v>52</v>
      </c>
      <c r="AC494">
        <v>11</v>
      </c>
      <c r="AD494">
        <v>2</v>
      </c>
      <c r="AK494" t="s">
        <v>52</v>
      </c>
      <c r="AN494" t="s">
        <v>52</v>
      </c>
      <c r="AO494" t="s">
        <v>52</v>
      </c>
      <c r="AP494" t="s">
        <v>52</v>
      </c>
      <c r="AQ494" t="s">
        <v>52</v>
      </c>
      <c r="AR494" t="s">
        <v>55</v>
      </c>
    </row>
    <row r="495" spans="1:45" x14ac:dyDescent="0.25">
      <c r="A495" t="s">
        <v>47</v>
      </c>
      <c r="B495">
        <v>8</v>
      </c>
      <c r="C495" t="s">
        <v>138</v>
      </c>
      <c r="D495">
        <v>33</v>
      </c>
      <c r="E495" t="s">
        <v>84</v>
      </c>
      <c r="F495">
        <v>11</v>
      </c>
      <c r="G495" t="s">
        <v>96</v>
      </c>
      <c r="H495" t="s">
        <v>50</v>
      </c>
      <c r="K495" t="s">
        <v>51</v>
      </c>
      <c r="L495">
        <v>1</v>
      </c>
      <c r="M495" t="s">
        <v>52</v>
      </c>
      <c r="N495" t="s">
        <v>53</v>
      </c>
      <c r="R495">
        <v>0.5</v>
      </c>
      <c r="S495">
        <v>0.75</v>
      </c>
      <c r="T495">
        <v>0</v>
      </c>
      <c r="U495">
        <v>0</v>
      </c>
      <c r="V495" s="1">
        <v>46326</v>
      </c>
      <c r="W495" s="1">
        <v>46691</v>
      </c>
      <c r="X495" s="1">
        <v>46295</v>
      </c>
      <c r="Z495" t="s">
        <v>52</v>
      </c>
      <c r="AB495" t="s">
        <v>52</v>
      </c>
      <c r="AC495">
        <v>11</v>
      </c>
      <c r="AD495">
        <v>2</v>
      </c>
      <c r="AK495" t="s">
        <v>52</v>
      </c>
      <c r="AN495" t="s">
        <v>52</v>
      </c>
      <c r="AO495" t="s">
        <v>52</v>
      </c>
      <c r="AP495" t="s">
        <v>52</v>
      </c>
      <c r="AQ495" t="s">
        <v>52</v>
      </c>
      <c r="AR495" t="s">
        <v>55</v>
      </c>
    </row>
    <row r="496" spans="1:45" x14ac:dyDescent="0.25">
      <c r="A496" t="s">
        <v>47</v>
      </c>
      <c r="B496">
        <v>8</v>
      </c>
      <c r="C496" t="s">
        <v>138</v>
      </c>
      <c r="D496">
        <v>33</v>
      </c>
      <c r="E496" t="s">
        <v>84</v>
      </c>
      <c r="F496">
        <v>11</v>
      </c>
      <c r="G496" t="s">
        <v>96</v>
      </c>
      <c r="H496" t="s">
        <v>50</v>
      </c>
      <c r="K496" t="s">
        <v>52</v>
      </c>
      <c r="L496">
        <v>1</v>
      </c>
      <c r="M496" t="s">
        <v>52</v>
      </c>
      <c r="N496" t="s">
        <v>53</v>
      </c>
      <c r="R496">
        <v>0.5</v>
      </c>
      <c r="S496">
        <v>0.75</v>
      </c>
      <c r="T496">
        <v>0</v>
      </c>
      <c r="U496">
        <v>0</v>
      </c>
      <c r="V496" s="1">
        <v>46326</v>
      </c>
      <c r="W496" s="1">
        <v>46691</v>
      </c>
      <c r="X496" s="1">
        <v>46295</v>
      </c>
      <c r="Z496" t="s">
        <v>52</v>
      </c>
      <c r="AB496" t="s">
        <v>52</v>
      </c>
      <c r="AC496">
        <v>11</v>
      </c>
      <c r="AD496">
        <v>2</v>
      </c>
      <c r="AK496" t="s">
        <v>52</v>
      </c>
      <c r="AN496" t="s">
        <v>52</v>
      </c>
      <c r="AO496" t="s">
        <v>52</v>
      </c>
      <c r="AP496" t="s">
        <v>52</v>
      </c>
      <c r="AQ496" t="s">
        <v>52</v>
      </c>
      <c r="AR496" t="s">
        <v>55</v>
      </c>
    </row>
    <row r="497" spans="1:45" x14ac:dyDescent="0.25">
      <c r="A497" t="s">
        <v>47</v>
      </c>
      <c r="B497">
        <v>8</v>
      </c>
      <c r="C497" t="s">
        <v>141</v>
      </c>
      <c r="D497">
        <v>35</v>
      </c>
      <c r="E497" t="s">
        <v>49</v>
      </c>
      <c r="F497">
        <v>27</v>
      </c>
      <c r="H497" t="s">
        <v>50</v>
      </c>
      <c r="K497" t="s">
        <v>51</v>
      </c>
      <c r="L497">
        <v>1</v>
      </c>
      <c r="M497" t="s">
        <v>52</v>
      </c>
      <c r="N497" t="s">
        <v>53</v>
      </c>
      <c r="Q497">
        <v>230</v>
      </c>
      <c r="R497">
        <v>0</v>
      </c>
      <c r="S497">
        <v>0.75</v>
      </c>
      <c r="T497">
        <v>0</v>
      </c>
      <c r="U497">
        <v>0</v>
      </c>
      <c r="W497" s="1">
        <v>46675</v>
      </c>
      <c r="X497" s="1">
        <v>46357</v>
      </c>
      <c r="Y497" t="s">
        <v>54</v>
      </c>
      <c r="Z497" t="s">
        <v>52</v>
      </c>
      <c r="AB497" t="s">
        <v>52</v>
      </c>
      <c r="AC497">
        <v>27</v>
      </c>
      <c r="AD497">
        <v>1</v>
      </c>
      <c r="AE497">
        <v>0.97</v>
      </c>
      <c r="AG497">
        <v>0.97</v>
      </c>
      <c r="AK497" t="s">
        <v>52</v>
      </c>
      <c r="AN497" t="s">
        <v>52</v>
      </c>
      <c r="AO497" t="s">
        <v>52</v>
      </c>
      <c r="AP497" t="s">
        <v>52</v>
      </c>
      <c r="AQ497" t="s">
        <v>52</v>
      </c>
      <c r="AR497" t="s">
        <v>55</v>
      </c>
      <c r="AS497" t="s">
        <v>56</v>
      </c>
    </row>
    <row r="498" spans="1:45" x14ac:dyDescent="0.25">
      <c r="A498" t="s">
        <v>47</v>
      </c>
      <c r="B498">
        <v>8</v>
      </c>
      <c r="C498" t="s">
        <v>141</v>
      </c>
      <c r="D498">
        <v>35</v>
      </c>
      <c r="E498" t="s">
        <v>49</v>
      </c>
      <c r="F498">
        <v>27</v>
      </c>
      <c r="H498" t="s">
        <v>50</v>
      </c>
      <c r="K498" t="s">
        <v>52</v>
      </c>
      <c r="L498">
        <v>1</v>
      </c>
      <c r="M498" t="s">
        <v>52</v>
      </c>
      <c r="N498" t="s">
        <v>53</v>
      </c>
      <c r="Q498">
        <v>230</v>
      </c>
      <c r="R498">
        <v>0</v>
      </c>
      <c r="S498">
        <v>0.75</v>
      </c>
      <c r="T498">
        <v>0</v>
      </c>
      <c r="U498">
        <v>0</v>
      </c>
      <c r="W498" s="1">
        <v>46675</v>
      </c>
      <c r="X498" s="1">
        <v>46357</v>
      </c>
      <c r="Y498" t="s">
        <v>54</v>
      </c>
      <c r="Z498" t="s">
        <v>52</v>
      </c>
      <c r="AB498" t="s">
        <v>52</v>
      </c>
      <c r="AC498">
        <v>27</v>
      </c>
      <c r="AD498">
        <v>1</v>
      </c>
      <c r="AK498" t="s">
        <v>52</v>
      </c>
      <c r="AN498" t="s">
        <v>52</v>
      </c>
      <c r="AO498" t="s">
        <v>52</v>
      </c>
      <c r="AP498" t="s">
        <v>52</v>
      </c>
      <c r="AQ498" t="s">
        <v>52</v>
      </c>
      <c r="AR498" t="s">
        <v>55</v>
      </c>
      <c r="AS498" t="s">
        <v>57</v>
      </c>
    </row>
    <row r="499" spans="1:45" x14ac:dyDescent="0.25">
      <c r="A499" t="s">
        <v>47</v>
      </c>
      <c r="B499">
        <v>8</v>
      </c>
      <c r="C499" t="s">
        <v>141</v>
      </c>
      <c r="D499">
        <v>35</v>
      </c>
      <c r="E499" t="s">
        <v>58</v>
      </c>
      <c r="F499">
        <v>102</v>
      </c>
      <c r="G499" t="s">
        <v>62</v>
      </c>
      <c r="H499" t="s">
        <v>50</v>
      </c>
      <c r="K499" t="s">
        <v>51</v>
      </c>
      <c r="L499">
        <v>1</v>
      </c>
      <c r="M499" t="s">
        <v>52</v>
      </c>
      <c r="N499" t="s">
        <v>53</v>
      </c>
      <c r="R499">
        <v>0</v>
      </c>
      <c r="S499">
        <v>0.92</v>
      </c>
      <c r="U499">
        <v>0</v>
      </c>
      <c r="W499" s="1">
        <v>46731</v>
      </c>
      <c r="X499" s="1">
        <v>46357</v>
      </c>
      <c r="Z499" t="s">
        <v>52</v>
      </c>
      <c r="AB499" t="s">
        <v>52</v>
      </c>
      <c r="AC499">
        <v>102</v>
      </c>
      <c r="AD499">
        <v>1</v>
      </c>
      <c r="AK499" t="s">
        <v>52</v>
      </c>
      <c r="AN499" t="s">
        <v>52</v>
      </c>
      <c r="AO499" t="s">
        <v>52</v>
      </c>
      <c r="AP499" t="s">
        <v>52</v>
      </c>
      <c r="AQ499" t="s">
        <v>52</v>
      </c>
      <c r="AR499" t="s">
        <v>55</v>
      </c>
    </row>
    <row r="500" spans="1:45" x14ac:dyDescent="0.25">
      <c r="A500" t="s">
        <v>47</v>
      </c>
      <c r="B500">
        <v>8</v>
      </c>
      <c r="C500" t="s">
        <v>141</v>
      </c>
      <c r="D500">
        <v>35</v>
      </c>
      <c r="E500" t="s">
        <v>58</v>
      </c>
      <c r="F500">
        <v>102</v>
      </c>
      <c r="G500" t="s">
        <v>62</v>
      </c>
      <c r="H500" t="s">
        <v>50</v>
      </c>
      <c r="K500" t="s">
        <v>52</v>
      </c>
      <c r="L500">
        <v>1</v>
      </c>
      <c r="M500" t="s">
        <v>52</v>
      </c>
      <c r="N500" t="s">
        <v>53</v>
      </c>
      <c r="R500">
        <v>0</v>
      </c>
      <c r="S500">
        <v>0.92</v>
      </c>
      <c r="T500">
        <v>0</v>
      </c>
      <c r="U500">
        <v>0</v>
      </c>
      <c r="W500" s="1">
        <v>46731</v>
      </c>
      <c r="X500" s="1">
        <v>46357</v>
      </c>
      <c r="Z500" t="s">
        <v>52</v>
      </c>
      <c r="AB500" t="s">
        <v>52</v>
      </c>
      <c r="AC500">
        <v>102</v>
      </c>
      <c r="AD500">
        <v>1</v>
      </c>
      <c r="AK500" t="s">
        <v>52</v>
      </c>
      <c r="AN500" t="s">
        <v>52</v>
      </c>
      <c r="AO500" t="s">
        <v>52</v>
      </c>
      <c r="AP500" t="s">
        <v>52</v>
      </c>
      <c r="AQ500" t="s">
        <v>52</v>
      </c>
      <c r="AR500" t="s">
        <v>55</v>
      </c>
    </row>
    <row r="501" spans="1:45" x14ac:dyDescent="0.25">
      <c r="A501" t="s">
        <v>47</v>
      </c>
      <c r="B501">
        <v>8</v>
      </c>
      <c r="C501" t="s">
        <v>141</v>
      </c>
      <c r="D501">
        <v>35</v>
      </c>
      <c r="E501" t="s">
        <v>68</v>
      </c>
      <c r="F501">
        <v>80</v>
      </c>
      <c r="G501" t="s">
        <v>69</v>
      </c>
      <c r="H501" t="s">
        <v>50</v>
      </c>
      <c r="K501" t="s">
        <v>52</v>
      </c>
      <c r="L501">
        <v>1</v>
      </c>
      <c r="M501" t="s">
        <v>52</v>
      </c>
      <c r="N501" t="s">
        <v>53</v>
      </c>
      <c r="R501">
        <v>0.5</v>
      </c>
      <c r="S501">
        <v>0.75</v>
      </c>
      <c r="U501">
        <v>0</v>
      </c>
      <c r="V501" s="1">
        <v>46600</v>
      </c>
      <c r="W501" s="1">
        <v>46675</v>
      </c>
      <c r="X501" s="1">
        <v>46461</v>
      </c>
      <c r="Z501" t="s">
        <v>52</v>
      </c>
      <c r="AB501" t="s">
        <v>52</v>
      </c>
      <c r="AC501">
        <v>80</v>
      </c>
      <c r="AD501">
        <v>1</v>
      </c>
      <c r="AK501" t="s">
        <v>52</v>
      </c>
      <c r="AN501" t="s">
        <v>52</v>
      </c>
      <c r="AO501" t="s">
        <v>52</v>
      </c>
      <c r="AP501" t="s">
        <v>52</v>
      </c>
      <c r="AQ501" t="s">
        <v>52</v>
      </c>
      <c r="AR501" t="s">
        <v>55</v>
      </c>
    </row>
    <row r="502" spans="1:45" x14ac:dyDescent="0.25">
      <c r="A502" t="s">
        <v>47</v>
      </c>
      <c r="B502">
        <v>8</v>
      </c>
      <c r="C502" t="s">
        <v>141</v>
      </c>
      <c r="D502">
        <v>35</v>
      </c>
      <c r="E502" t="s">
        <v>70</v>
      </c>
      <c r="F502">
        <v>296</v>
      </c>
      <c r="G502" t="s">
        <v>71</v>
      </c>
      <c r="H502" t="s">
        <v>50</v>
      </c>
      <c r="K502" t="s">
        <v>51</v>
      </c>
      <c r="L502">
        <v>1</v>
      </c>
      <c r="M502" t="s">
        <v>52</v>
      </c>
      <c r="N502" t="s">
        <v>53</v>
      </c>
      <c r="Q502">
        <v>224.33330000000001</v>
      </c>
      <c r="R502">
        <v>0</v>
      </c>
      <c r="S502">
        <v>0.75</v>
      </c>
      <c r="T502">
        <v>0</v>
      </c>
      <c r="U502">
        <v>0</v>
      </c>
      <c r="W502" s="1">
        <v>46675</v>
      </c>
      <c r="X502" s="1">
        <v>46357</v>
      </c>
      <c r="Y502" t="s">
        <v>54</v>
      </c>
      <c r="Z502" t="s">
        <v>52</v>
      </c>
      <c r="AB502" t="s">
        <v>52</v>
      </c>
      <c r="AC502">
        <v>296</v>
      </c>
      <c r="AD502">
        <v>1</v>
      </c>
      <c r="AK502" t="s">
        <v>52</v>
      </c>
      <c r="AN502" t="s">
        <v>52</v>
      </c>
      <c r="AO502" t="s">
        <v>52</v>
      </c>
      <c r="AP502" t="s">
        <v>52</v>
      </c>
      <c r="AQ502" t="s">
        <v>52</v>
      </c>
      <c r="AR502" t="s">
        <v>55</v>
      </c>
    </row>
    <row r="503" spans="1:45" x14ac:dyDescent="0.25">
      <c r="A503" t="s">
        <v>47</v>
      </c>
      <c r="B503">
        <v>8</v>
      </c>
      <c r="C503" t="s">
        <v>141</v>
      </c>
      <c r="D503">
        <v>35</v>
      </c>
      <c r="E503" t="s">
        <v>70</v>
      </c>
      <c r="F503">
        <v>296</v>
      </c>
      <c r="G503" t="s">
        <v>71</v>
      </c>
      <c r="H503" t="s">
        <v>50</v>
      </c>
      <c r="K503" t="s">
        <v>52</v>
      </c>
      <c r="L503">
        <v>1</v>
      </c>
      <c r="M503" t="s">
        <v>52</v>
      </c>
      <c r="N503" t="s">
        <v>53</v>
      </c>
      <c r="Q503">
        <v>224.33330000000001</v>
      </c>
      <c r="R503">
        <v>0</v>
      </c>
      <c r="S503">
        <v>0.75</v>
      </c>
      <c r="T503">
        <v>0</v>
      </c>
      <c r="U503">
        <v>0</v>
      </c>
      <c r="W503" s="1">
        <v>46675</v>
      </c>
      <c r="X503" s="1">
        <v>46357</v>
      </c>
      <c r="Y503" t="s">
        <v>54</v>
      </c>
      <c r="Z503" t="s">
        <v>52</v>
      </c>
      <c r="AB503" t="s">
        <v>52</v>
      </c>
      <c r="AC503">
        <v>296</v>
      </c>
      <c r="AD503">
        <v>1</v>
      </c>
      <c r="AK503" t="s">
        <v>52</v>
      </c>
      <c r="AN503" t="s">
        <v>52</v>
      </c>
      <c r="AO503" t="s">
        <v>52</v>
      </c>
      <c r="AP503" t="s">
        <v>52</v>
      </c>
      <c r="AQ503" t="s">
        <v>52</v>
      </c>
      <c r="AR503" t="s">
        <v>55</v>
      </c>
    </row>
    <row r="504" spans="1:45" x14ac:dyDescent="0.25">
      <c r="A504" t="s">
        <v>47</v>
      </c>
      <c r="B504">
        <v>8</v>
      </c>
      <c r="C504" t="s">
        <v>141</v>
      </c>
      <c r="D504">
        <v>35</v>
      </c>
      <c r="E504" t="s">
        <v>75</v>
      </c>
      <c r="F504">
        <v>16</v>
      </c>
      <c r="G504" t="s">
        <v>76</v>
      </c>
      <c r="H504" t="s">
        <v>50</v>
      </c>
      <c r="K504" t="s">
        <v>52</v>
      </c>
      <c r="L504">
        <v>1</v>
      </c>
      <c r="M504" t="s">
        <v>52</v>
      </c>
      <c r="N504" t="s">
        <v>53</v>
      </c>
      <c r="R504">
        <v>0.5</v>
      </c>
      <c r="S504">
        <v>0.75</v>
      </c>
      <c r="T504">
        <v>0</v>
      </c>
      <c r="U504">
        <v>0</v>
      </c>
      <c r="V504" s="1">
        <v>46507</v>
      </c>
      <c r="W504" s="1">
        <v>46691</v>
      </c>
      <c r="X504" s="1">
        <v>46461</v>
      </c>
      <c r="Z504" t="s">
        <v>52</v>
      </c>
      <c r="AB504" t="s">
        <v>52</v>
      </c>
      <c r="AC504">
        <v>16</v>
      </c>
      <c r="AD504">
        <v>2</v>
      </c>
      <c r="AK504" t="s">
        <v>52</v>
      </c>
      <c r="AN504" t="s">
        <v>52</v>
      </c>
      <c r="AO504" t="s">
        <v>52</v>
      </c>
      <c r="AP504" t="s">
        <v>52</v>
      </c>
      <c r="AQ504" t="s">
        <v>52</v>
      </c>
      <c r="AR504" t="s">
        <v>55</v>
      </c>
      <c r="AS504" t="s">
        <v>60</v>
      </c>
    </row>
    <row r="505" spans="1:45" x14ac:dyDescent="0.25">
      <c r="A505" t="s">
        <v>47</v>
      </c>
      <c r="B505">
        <v>8</v>
      </c>
      <c r="C505" t="s">
        <v>141</v>
      </c>
      <c r="D505">
        <v>35</v>
      </c>
      <c r="E505" t="s">
        <v>79</v>
      </c>
      <c r="F505">
        <v>50</v>
      </c>
      <c r="G505" t="s">
        <v>65</v>
      </c>
      <c r="H505" t="s">
        <v>50</v>
      </c>
      <c r="K505" t="s">
        <v>51</v>
      </c>
      <c r="L505">
        <v>1</v>
      </c>
      <c r="M505" t="s">
        <v>52</v>
      </c>
      <c r="N505" t="s">
        <v>53</v>
      </c>
      <c r="R505">
        <v>0.5</v>
      </c>
      <c r="S505">
        <v>0.75</v>
      </c>
      <c r="T505">
        <v>0</v>
      </c>
      <c r="U505">
        <v>0</v>
      </c>
      <c r="V505" s="1">
        <v>46583</v>
      </c>
      <c r="W505" s="1">
        <v>46675</v>
      </c>
      <c r="X505" s="1">
        <v>46461</v>
      </c>
      <c r="Z505" t="s">
        <v>52</v>
      </c>
      <c r="AB505" t="s">
        <v>52</v>
      </c>
      <c r="AC505">
        <v>50</v>
      </c>
      <c r="AD505">
        <v>1</v>
      </c>
      <c r="AK505" t="s">
        <v>52</v>
      </c>
      <c r="AN505" t="s">
        <v>52</v>
      </c>
      <c r="AO505" t="s">
        <v>52</v>
      </c>
      <c r="AP505" t="s">
        <v>52</v>
      </c>
      <c r="AQ505" t="s">
        <v>52</v>
      </c>
      <c r="AR505" t="s">
        <v>55</v>
      </c>
      <c r="AS505" t="s">
        <v>88</v>
      </c>
    </row>
    <row r="506" spans="1:45" x14ac:dyDescent="0.25">
      <c r="A506" t="s">
        <v>47</v>
      </c>
      <c r="B506">
        <v>8</v>
      </c>
      <c r="C506" t="s">
        <v>141</v>
      </c>
      <c r="D506">
        <v>35</v>
      </c>
      <c r="E506" t="s">
        <v>79</v>
      </c>
      <c r="F506">
        <v>50</v>
      </c>
      <c r="G506" t="s">
        <v>65</v>
      </c>
      <c r="H506" t="s">
        <v>50</v>
      </c>
      <c r="K506" t="s">
        <v>52</v>
      </c>
      <c r="L506">
        <v>1</v>
      </c>
      <c r="M506" t="s">
        <v>52</v>
      </c>
      <c r="N506" t="s">
        <v>53</v>
      </c>
      <c r="R506">
        <v>0.5</v>
      </c>
      <c r="S506">
        <v>0.75</v>
      </c>
      <c r="T506">
        <v>0</v>
      </c>
      <c r="U506">
        <v>0</v>
      </c>
      <c r="V506" s="1">
        <v>46583</v>
      </c>
      <c r="W506" s="1">
        <v>46675</v>
      </c>
      <c r="X506" s="1">
        <v>46461</v>
      </c>
      <c r="Z506" t="s">
        <v>52</v>
      </c>
      <c r="AB506" t="s">
        <v>52</v>
      </c>
      <c r="AC506">
        <v>50</v>
      </c>
      <c r="AD506">
        <v>1</v>
      </c>
      <c r="AK506" t="s">
        <v>52</v>
      </c>
      <c r="AN506" t="s">
        <v>52</v>
      </c>
      <c r="AO506" t="s">
        <v>52</v>
      </c>
      <c r="AP506" t="s">
        <v>52</v>
      </c>
      <c r="AQ506" t="s">
        <v>52</v>
      </c>
      <c r="AR506" t="s">
        <v>55</v>
      </c>
    </row>
    <row r="507" spans="1:45" x14ac:dyDescent="0.25">
      <c r="A507" t="s">
        <v>47</v>
      </c>
      <c r="B507">
        <v>8</v>
      </c>
      <c r="C507" t="s">
        <v>141</v>
      </c>
      <c r="D507">
        <v>35</v>
      </c>
      <c r="E507" t="s">
        <v>83</v>
      </c>
      <c r="F507">
        <v>158</v>
      </c>
      <c r="H507" t="s">
        <v>50</v>
      </c>
      <c r="K507" t="s">
        <v>52</v>
      </c>
      <c r="L507">
        <v>1</v>
      </c>
      <c r="M507" t="s">
        <v>52</v>
      </c>
      <c r="N507" t="s">
        <v>53</v>
      </c>
      <c r="R507">
        <v>0.77</v>
      </c>
      <c r="S507">
        <v>0.93</v>
      </c>
      <c r="T507">
        <v>0</v>
      </c>
      <c r="U507">
        <v>0</v>
      </c>
      <c r="V507" s="1">
        <v>46326</v>
      </c>
      <c r="W507" s="1">
        <v>46691</v>
      </c>
      <c r="X507" s="1">
        <v>46266</v>
      </c>
      <c r="Z507" t="s">
        <v>52</v>
      </c>
      <c r="AB507" t="s">
        <v>52</v>
      </c>
      <c r="AC507">
        <v>158</v>
      </c>
      <c r="AD507">
        <v>2</v>
      </c>
      <c r="AK507" t="s">
        <v>52</v>
      </c>
      <c r="AN507" t="s">
        <v>52</v>
      </c>
      <c r="AO507" t="s">
        <v>52</v>
      </c>
      <c r="AP507" t="s">
        <v>52</v>
      </c>
      <c r="AQ507" t="s">
        <v>52</v>
      </c>
      <c r="AR507" t="s">
        <v>55</v>
      </c>
      <c r="AS507" t="s">
        <v>60</v>
      </c>
    </row>
    <row r="508" spans="1:45" x14ac:dyDescent="0.25">
      <c r="A508" t="s">
        <v>47</v>
      </c>
      <c r="B508">
        <v>8</v>
      </c>
      <c r="C508" t="s">
        <v>141</v>
      </c>
      <c r="D508">
        <v>35</v>
      </c>
      <c r="E508" t="s">
        <v>84</v>
      </c>
      <c r="F508">
        <v>11</v>
      </c>
      <c r="G508" t="s">
        <v>96</v>
      </c>
      <c r="H508" t="s">
        <v>50</v>
      </c>
      <c r="K508" t="s">
        <v>52</v>
      </c>
      <c r="L508">
        <v>1</v>
      </c>
      <c r="M508" t="s">
        <v>52</v>
      </c>
      <c r="N508" t="s">
        <v>53</v>
      </c>
      <c r="R508">
        <v>0.5</v>
      </c>
      <c r="S508">
        <v>0.75</v>
      </c>
      <c r="T508">
        <v>0</v>
      </c>
      <c r="U508">
        <v>0</v>
      </c>
      <c r="V508" s="1">
        <v>46310</v>
      </c>
      <c r="W508" s="1">
        <v>46691</v>
      </c>
      <c r="X508" s="1">
        <v>46295</v>
      </c>
      <c r="Z508" t="s">
        <v>52</v>
      </c>
      <c r="AB508" t="s">
        <v>52</v>
      </c>
      <c r="AC508">
        <v>11</v>
      </c>
      <c r="AD508">
        <v>2</v>
      </c>
      <c r="AK508" t="s">
        <v>52</v>
      </c>
      <c r="AN508" t="s">
        <v>52</v>
      </c>
      <c r="AO508" t="s">
        <v>52</v>
      </c>
      <c r="AP508" t="s">
        <v>52</v>
      </c>
      <c r="AQ508" t="s">
        <v>52</v>
      </c>
      <c r="AR508" t="s">
        <v>55</v>
      </c>
    </row>
    <row r="509" spans="1:45" x14ac:dyDescent="0.25">
      <c r="A509" t="s">
        <v>47</v>
      </c>
      <c r="B509">
        <v>8</v>
      </c>
      <c r="C509" t="s">
        <v>142</v>
      </c>
      <c r="D509">
        <v>37</v>
      </c>
      <c r="E509" t="s">
        <v>49</v>
      </c>
      <c r="F509">
        <v>27</v>
      </c>
      <c r="H509" t="s">
        <v>50</v>
      </c>
      <c r="K509" t="s">
        <v>51</v>
      </c>
      <c r="L509">
        <v>1</v>
      </c>
      <c r="M509" t="s">
        <v>52</v>
      </c>
      <c r="N509" t="s">
        <v>53</v>
      </c>
      <c r="Q509">
        <v>230</v>
      </c>
      <c r="R509">
        <v>0</v>
      </c>
      <c r="S509">
        <v>0.75</v>
      </c>
      <c r="T509">
        <v>0</v>
      </c>
      <c r="U509">
        <v>0</v>
      </c>
      <c r="W509" s="1">
        <v>46675</v>
      </c>
      <c r="X509" s="1">
        <v>46357</v>
      </c>
      <c r="Y509" t="s">
        <v>54</v>
      </c>
      <c r="Z509" t="s">
        <v>52</v>
      </c>
      <c r="AB509" t="s">
        <v>52</v>
      </c>
      <c r="AC509">
        <v>27</v>
      </c>
      <c r="AD509">
        <v>1</v>
      </c>
      <c r="AE509">
        <v>0.97</v>
      </c>
      <c r="AG509">
        <v>0.97</v>
      </c>
      <c r="AK509" t="s">
        <v>52</v>
      </c>
      <c r="AN509" t="s">
        <v>52</v>
      </c>
      <c r="AO509" t="s">
        <v>52</v>
      </c>
      <c r="AP509" t="s">
        <v>52</v>
      </c>
      <c r="AQ509" t="s">
        <v>52</v>
      </c>
      <c r="AR509" t="s">
        <v>55</v>
      </c>
      <c r="AS509" t="s">
        <v>56</v>
      </c>
    </row>
    <row r="510" spans="1:45" x14ac:dyDescent="0.25">
      <c r="A510" t="s">
        <v>47</v>
      </c>
      <c r="B510">
        <v>8</v>
      </c>
      <c r="C510" t="s">
        <v>142</v>
      </c>
      <c r="D510">
        <v>37</v>
      </c>
      <c r="E510" t="s">
        <v>58</v>
      </c>
      <c r="F510">
        <v>102</v>
      </c>
      <c r="G510" t="s">
        <v>62</v>
      </c>
      <c r="H510" t="s">
        <v>50</v>
      </c>
      <c r="K510" t="s">
        <v>51</v>
      </c>
      <c r="L510">
        <v>1</v>
      </c>
      <c r="M510" t="s">
        <v>52</v>
      </c>
      <c r="N510" t="s">
        <v>53</v>
      </c>
      <c r="R510">
        <v>0</v>
      </c>
      <c r="S510">
        <v>0.92</v>
      </c>
      <c r="U510">
        <v>0</v>
      </c>
      <c r="W510" s="1">
        <v>46731</v>
      </c>
      <c r="X510" s="1">
        <v>46357</v>
      </c>
      <c r="Z510" t="s">
        <v>52</v>
      </c>
      <c r="AB510" t="s">
        <v>52</v>
      </c>
      <c r="AC510">
        <v>102</v>
      </c>
      <c r="AD510">
        <v>1</v>
      </c>
      <c r="AK510" t="s">
        <v>52</v>
      </c>
      <c r="AN510" t="s">
        <v>52</v>
      </c>
      <c r="AO510" t="s">
        <v>52</v>
      </c>
      <c r="AP510" t="s">
        <v>52</v>
      </c>
      <c r="AQ510" t="s">
        <v>52</v>
      </c>
      <c r="AR510" t="s">
        <v>55</v>
      </c>
    </row>
    <row r="511" spans="1:45" x14ac:dyDescent="0.25">
      <c r="A511" t="s">
        <v>47</v>
      </c>
      <c r="B511">
        <v>8</v>
      </c>
      <c r="C511" t="s">
        <v>142</v>
      </c>
      <c r="D511">
        <v>37</v>
      </c>
      <c r="E511" t="s">
        <v>58</v>
      </c>
      <c r="F511">
        <v>102</v>
      </c>
      <c r="G511" t="s">
        <v>62</v>
      </c>
      <c r="H511" t="s">
        <v>50</v>
      </c>
      <c r="K511" t="s">
        <v>52</v>
      </c>
      <c r="L511">
        <v>1</v>
      </c>
      <c r="M511" t="s">
        <v>52</v>
      </c>
      <c r="N511" t="s">
        <v>53</v>
      </c>
      <c r="R511">
        <v>0</v>
      </c>
      <c r="S511">
        <v>0.92</v>
      </c>
      <c r="T511">
        <v>0</v>
      </c>
      <c r="U511">
        <v>0</v>
      </c>
      <c r="W511" s="1">
        <v>46731</v>
      </c>
      <c r="X511" s="1">
        <v>46357</v>
      </c>
      <c r="Z511" t="s">
        <v>52</v>
      </c>
      <c r="AB511" t="s">
        <v>52</v>
      </c>
      <c r="AC511">
        <v>102</v>
      </c>
      <c r="AD511">
        <v>1</v>
      </c>
      <c r="AK511" t="s">
        <v>52</v>
      </c>
      <c r="AN511" t="s">
        <v>52</v>
      </c>
      <c r="AO511" t="s">
        <v>52</v>
      </c>
      <c r="AP511" t="s">
        <v>52</v>
      </c>
      <c r="AQ511" t="s">
        <v>52</v>
      </c>
      <c r="AR511" t="s">
        <v>55</v>
      </c>
    </row>
    <row r="512" spans="1:45" x14ac:dyDescent="0.25">
      <c r="A512" t="s">
        <v>47</v>
      </c>
      <c r="B512">
        <v>8</v>
      </c>
      <c r="C512" t="s">
        <v>142</v>
      </c>
      <c r="D512">
        <v>37</v>
      </c>
      <c r="E512" t="s">
        <v>70</v>
      </c>
      <c r="F512">
        <v>296</v>
      </c>
      <c r="G512" t="s">
        <v>71</v>
      </c>
      <c r="H512" t="s">
        <v>50</v>
      </c>
      <c r="K512" t="s">
        <v>51</v>
      </c>
      <c r="L512">
        <v>1</v>
      </c>
      <c r="M512" t="s">
        <v>52</v>
      </c>
      <c r="N512" t="s">
        <v>53</v>
      </c>
      <c r="Q512">
        <v>224.33330000000001</v>
      </c>
      <c r="R512">
        <v>0</v>
      </c>
      <c r="S512">
        <v>0.75</v>
      </c>
      <c r="T512">
        <v>0</v>
      </c>
      <c r="U512">
        <v>0</v>
      </c>
      <c r="W512" s="1">
        <v>46675</v>
      </c>
      <c r="X512" s="1">
        <v>46357</v>
      </c>
      <c r="Y512" t="s">
        <v>54</v>
      </c>
      <c r="Z512" t="s">
        <v>52</v>
      </c>
      <c r="AB512" t="s">
        <v>52</v>
      </c>
      <c r="AC512">
        <v>296</v>
      </c>
      <c r="AD512">
        <v>1</v>
      </c>
      <c r="AK512" t="s">
        <v>52</v>
      </c>
      <c r="AN512" t="s">
        <v>52</v>
      </c>
      <c r="AO512" t="s">
        <v>52</v>
      </c>
      <c r="AP512" t="s">
        <v>52</v>
      </c>
      <c r="AQ512" t="s">
        <v>52</v>
      </c>
      <c r="AR512" t="s">
        <v>55</v>
      </c>
    </row>
    <row r="513" spans="1:45" x14ac:dyDescent="0.25">
      <c r="A513" t="s">
        <v>47</v>
      </c>
      <c r="B513">
        <v>8</v>
      </c>
      <c r="C513" t="s">
        <v>142</v>
      </c>
      <c r="D513">
        <v>37</v>
      </c>
      <c r="E513" t="s">
        <v>70</v>
      </c>
      <c r="F513">
        <v>296</v>
      </c>
      <c r="G513" t="s">
        <v>71</v>
      </c>
      <c r="H513" t="s">
        <v>50</v>
      </c>
      <c r="K513" t="s">
        <v>52</v>
      </c>
      <c r="L513">
        <v>1</v>
      </c>
      <c r="M513" t="s">
        <v>52</v>
      </c>
      <c r="N513" t="s">
        <v>53</v>
      </c>
      <c r="Q513">
        <v>224.33330000000001</v>
      </c>
      <c r="R513">
        <v>0</v>
      </c>
      <c r="S513">
        <v>0.75</v>
      </c>
      <c r="T513">
        <v>0</v>
      </c>
      <c r="U513">
        <v>0</v>
      </c>
      <c r="W513" s="1">
        <v>46675</v>
      </c>
      <c r="X513" s="1">
        <v>46357</v>
      </c>
      <c r="Y513" t="s">
        <v>54</v>
      </c>
      <c r="Z513" t="s">
        <v>52</v>
      </c>
      <c r="AB513" t="s">
        <v>52</v>
      </c>
      <c r="AC513">
        <v>296</v>
      </c>
      <c r="AD513">
        <v>1</v>
      </c>
      <c r="AK513" t="s">
        <v>52</v>
      </c>
      <c r="AN513" t="s">
        <v>52</v>
      </c>
      <c r="AO513" t="s">
        <v>52</v>
      </c>
      <c r="AP513" t="s">
        <v>52</v>
      </c>
      <c r="AQ513" t="s">
        <v>52</v>
      </c>
      <c r="AR513" t="s">
        <v>55</v>
      </c>
    </row>
    <row r="514" spans="1:45" x14ac:dyDescent="0.25">
      <c r="A514" t="s">
        <v>47</v>
      </c>
      <c r="B514">
        <v>8</v>
      </c>
      <c r="C514" t="s">
        <v>142</v>
      </c>
      <c r="D514">
        <v>37</v>
      </c>
      <c r="E514" t="s">
        <v>75</v>
      </c>
      <c r="F514">
        <v>16</v>
      </c>
      <c r="G514" t="s">
        <v>76</v>
      </c>
      <c r="H514" t="s">
        <v>50</v>
      </c>
      <c r="K514" t="s">
        <v>51</v>
      </c>
      <c r="L514">
        <v>1</v>
      </c>
      <c r="M514" t="s">
        <v>52</v>
      </c>
      <c r="N514" t="s">
        <v>53</v>
      </c>
      <c r="R514">
        <v>0.5</v>
      </c>
      <c r="S514">
        <v>0.75</v>
      </c>
      <c r="T514">
        <v>0</v>
      </c>
      <c r="U514">
        <v>0</v>
      </c>
      <c r="V514" s="1">
        <v>46583</v>
      </c>
      <c r="W514" s="1">
        <v>46691</v>
      </c>
      <c r="X514" s="1">
        <v>46461</v>
      </c>
      <c r="Z514" t="s">
        <v>52</v>
      </c>
      <c r="AB514" t="s">
        <v>52</v>
      </c>
      <c r="AC514">
        <v>16</v>
      </c>
      <c r="AD514">
        <v>2</v>
      </c>
      <c r="AK514" t="s">
        <v>52</v>
      </c>
      <c r="AN514" t="s">
        <v>52</v>
      </c>
      <c r="AO514" t="s">
        <v>52</v>
      </c>
      <c r="AP514" t="s">
        <v>52</v>
      </c>
      <c r="AQ514" t="s">
        <v>52</v>
      </c>
      <c r="AR514" t="s">
        <v>55</v>
      </c>
    </row>
    <row r="515" spans="1:45" x14ac:dyDescent="0.25">
      <c r="A515" t="s">
        <v>47</v>
      </c>
      <c r="B515">
        <v>8</v>
      </c>
      <c r="C515" t="s">
        <v>143</v>
      </c>
      <c r="D515">
        <v>39</v>
      </c>
      <c r="E515" t="s">
        <v>49</v>
      </c>
      <c r="F515">
        <v>27</v>
      </c>
      <c r="H515" t="s">
        <v>50</v>
      </c>
      <c r="K515" t="s">
        <v>51</v>
      </c>
      <c r="L515">
        <v>1</v>
      </c>
      <c r="M515" t="s">
        <v>52</v>
      </c>
      <c r="N515" t="s">
        <v>53</v>
      </c>
      <c r="Q515">
        <v>230</v>
      </c>
      <c r="R515">
        <v>0</v>
      </c>
      <c r="S515">
        <v>0.75</v>
      </c>
      <c r="T515">
        <v>0</v>
      </c>
      <c r="U515">
        <v>0</v>
      </c>
      <c r="W515" s="1">
        <v>46675</v>
      </c>
      <c r="X515" s="1">
        <v>46357</v>
      </c>
      <c r="Y515" t="s">
        <v>54</v>
      </c>
      <c r="Z515" t="s">
        <v>52</v>
      </c>
      <c r="AB515" t="s">
        <v>52</v>
      </c>
      <c r="AC515">
        <v>27</v>
      </c>
      <c r="AD515">
        <v>1</v>
      </c>
      <c r="AE515">
        <v>0.97</v>
      </c>
      <c r="AG515">
        <v>0.97</v>
      </c>
      <c r="AK515" t="s">
        <v>52</v>
      </c>
      <c r="AN515" t="s">
        <v>52</v>
      </c>
      <c r="AO515" t="s">
        <v>52</v>
      </c>
      <c r="AP515" t="s">
        <v>52</v>
      </c>
      <c r="AQ515" t="s">
        <v>52</v>
      </c>
      <c r="AR515" t="s">
        <v>55</v>
      </c>
      <c r="AS515" t="s">
        <v>56</v>
      </c>
    </row>
    <row r="516" spans="1:45" x14ac:dyDescent="0.25">
      <c r="A516" t="s">
        <v>47</v>
      </c>
      <c r="B516">
        <v>8</v>
      </c>
      <c r="C516" t="s">
        <v>143</v>
      </c>
      <c r="D516">
        <v>39</v>
      </c>
      <c r="E516" t="s">
        <v>49</v>
      </c>
      <c r="F516">
        <v>27</v>
      </c>
      <c r="H516" t="s">
        <v>50</v>
      </c>
      <c r="K516" t="s">
        <v>52</v>
      </c>
      <c r="L516">
        <v>1</v>
      </c>
      <c r="M516" t="s">
        <v>52</v>
      </c>
      <c r="N516" t="s">
        <v>53</v>
      </c>
      <c r="Q516">
        <v>230</v>
      </c>
      <c r="R516">
        <v>0</v>
      </c>
      <c r="S516">
        <v>0.75</v>
      </c>
      <c r="T516">
        <v>0</v>
      </c>
      <c r="U516">
        <v>0</v>
      </c>
      <c r="W516" s="1">
        <v>46675</v>
      </c>
      <c r="X516" s="1">
        <v>46357</v>
      </c>
      <c r="Y516" t="s">
        <v>54</v>
      </c>
      <c r="Z516" t="s">
        <v>52</v>
      </c>
      <c r="AB516" t="s">
        <v>52</v>
      </c>
      <c r="AC516">
        <v>27</v>
      </c>
      <c r="AD516">
        <v>1</v>
      </c>
      <c r="AE516">
        <v>0.97</v>
      </c>
      <c r="AG516">
        <v>0.97</v>
      </c>
      <c r="AK516" t="s">
        <v>52</v>
      </c>
      <c r="AN516" t="s">
        <v>52</v>
      </c>
      <c r="AO516" t="s">
        <v>52</v>
      </c>
      <c r="AP516" t="s">
        <v>52</v>
      </c>
      <c r="AQ516" t="s">
        <v>52</v>
      </c>
      <c r="AR516" t="s">
        <v>55</v>
      </c>
      <c r="AS516" t="s">
        <v>57</v>
      </c>
    </row>
    <row r="517" spans="1:45" x14ac:dyDescent="0.25">
      <c r="A517" t="s">
        <v>47</v>
      </c>
      <c r="B517">
        <v>8</v>
      </c>
      <c r="C517" t="s">
        <v>143</v>
      </c>
      <c r="D517">
        <v>39</v>
      </c>
      <c r="E517" t="s">
        <v>58</v>
      </c>
      <c r="F517">
        <v>102</v>
      </c>
      <c r="G517" t="s">
        <v>62</v>
      </c>
      <c r="H517" t="s">
        <v>50</v>
      </c>
      <c r="K517" t="s">
        <v>52</v>
      </c>
      <c r="L517">
        <v>1</v>
      </c>
      <c r="M517" t="s">
        <v>52</v>
      </c>
      <c r="N517" t="s">
        <v>53</v>
      </c>
      <c r="R517">
        <v>0</v>
      </c>
      <c r="S517">
        <v>0.92</v>
      </c>
      <c r="T517">
        <v>0</v>
      </c>
      <c r="U517">
        <v>0</v>
      </c>
      <c r="W517" s="1">
        <v>46731</v>
      </c>
      <c r="X517" s="1">
        <v>46357</v>
      </c>
      <c r="Z517" t="s">
        <v>52</v>
      </c>
      <c r="AB517" t="s">
        <v>52</v>
      </c>
      <c r="AC517">
        <v>102</v>
      </c>
      <c r="AD517">
        <v>1</v>
      </c>
      <c r="AK517" t="s">
        <v>52</v>
      </c>
      <c r="AN517" t="s">
        <v>52</v>
      </c>
      <c r="AO517" t="s">
        <v>52</v>
      </c>
      <c r="AP517" t="s">
        <v>52</v>
      </c>
      <c r="AQ517" t="s">
        <v>52</v>
      </c>
      <c r="AR517" t="s">
        <v>55</v>
      </c>
    </row>
    <row r="518" spans="1:45" x14ac:dyDescent="0.25">
      <c r="A518" t="s">
        <v>47</v>
      </c>
      <c r="B518">
        <v>8</v>
      </c>
      <c r="C518" t="s">
        <v>143</v>
      </c>
      <c r="D518">
        <v>39</v>
      </c>
      <c r="E518" t="s">
        <v>68</v>
      </c>
      <c r="F518">
        <v>80</v>
      </c>
      <c r="G518" t="s">
        <v>69</v>
      </c>
      <c r="H518" t="s">
        <v>50</v>
      </c>
      <c r="K518" t="s">
        <v>51</v>
      </c>
      <c r="L518">
        <v>1</v>
      </c>
      <c r="M518" t="s">
        <v>52</v>
      </c>
      <c r="N518" t="s">
        <v>53</v>
      </c>
      <c r="R518">
        <v>0.5</v>
      </c>
      <c r="S518">
        <v>0.75</v>
      </c>
      <c r="V518" s="1">
        <v>46600</v>
      </c>
      <c r="W518" s="1">
        <v>46675</v>
      </c>
      <c r="X518" s="1">
        <v>46461</v>
      </c>
      <c r="Z518" t="s">
        <v>52</v>
      </c>
      <c r="AB518" t="s">
        <v>52</v>
      </c>
      <c r="AC518">
        <v>80</v>
      </c>
      <c r="AD518">
        <v>1</v>
      </c>
      <c r="AK518" t="s">
        <v>52</v>
      </c>
      <c r="AN518" t="s">
        <v>52</v>
      </c>
      <c r="AO518" t="s">
        <v>52</v>
      </c>
      <c r="AP518" t="s">
        <v>52</v>
      </c>
      <c r="AQ518" t="s">
        <v>52</v>
      </c>
      <c r="AR518" t="s">
        <v>95</v>
      </c>
    </row>
    <row r="519" spans="1:45" x14ac:dyDescent="0.25">
      <c r="A519" t="s">
        <v>47</v>
      </c>
      <c r="B519">
        <v>8</v>
      </c>
      <c r="C519" t="s">
        <v>143</v>
      </c>
      <c r="D519">
        <v>39</v>
      </c>
      <c r="E519" t="s">
        <v>68</v>
      </c>
      <c r="F519">
        <v>80</v>
      </c>
      <c r="G519" t="s">
        <v>69</v>
      </c>
      <c r="H519" t="s">
        <v>50</v>
      </c>
      <c r="K519" t="s">
        <v>52</v>
      </c>
      <c r="L519">
        <v>1</v>
      </c>
      <c r="M519" t="s">
        <v>52</v>
      </c>
      <c r="N519" t="s">
        <v>53</v>
      </c>
      <c r="R519">
        <v>0.5</v>
      </c>
      <c r="S519">
        <v>0.75</v>
      </c>
      <c r="U519">
        <v>0</v>
      </c>
      <c r="V519" s="1">
        <v>46600</v>
      </c>
      <c r="W519" s="1">
        <v>46675</v>
      </c>
      <c r="X519" s="1">
        <v>46461</v>
      </c>
      <c r="Z519" t="s">
        <v>52</v>
      </c>
      <c r="AB519" t="s">
        <v>52</v>
      </c>
      <c r="AC519">
        <v>80</v>
      </c>
      <c r="AD519">
        <v>1</v>
      </c>
      <c r="AK519" t="s">
        <v>52</v>
      </c>
      <c r="AN519" t="s">
        <v>52</v>
      </c>
      <c r="AO519" t="s">
        <v>52</v>
      </c>
      <c r="AP519" t="s">
        <v>52</v>
      </c>
      <c r="AQ519" t="s">
        <v>52</v>
      </c>
      <c r="AR519" t="s">
        <v>55</v>
      </c>
    </row>
    <row r="520" spans="1:45" x14ac:dyDescent="0.25">
      <c r="A520" t="s">
        <v>47</v>
      </c>
      <c r="B520">
        <v>8</v>
      </c>
      <c r="C520" t="s">
        <v>143</v>
      </c>
      <c r="D520">
        <v>39</v>
      </c>
      <c r="E520" t="s">
        <v>70</v>
      </c>
      <c r="F520">
        <v>296</v>
      </c>
      <c r="G520" t="s">
        <v>71</v>
      </c>
      <c r="H520" t="s">
        <v>50</v>
      </c>
      <c r="K520" t="s">
        <v>51</v>
      </c>
      <c r="L520">
        <v>1</v>
      </c>
      <c r="M520" t="s">
        <v>52</v>
      </c>
      <c r="N520" t="s">
        <v>53</v>
      </c>
      <c r="Q520">
        <v>224.33330000000001</v>
      </c>
      <c r="R520">
        <v>0</v>
      </c>
      <c r="S520">
        <v>0.75</v>
      </c>
      <c r="T520">
        <v>0</v>
      </c>
      <c r="U520">
        <v>0</v>
      </c>
      <c r="W520" s="1">
        <v>46675</v>
      </c>
      <c r="X520" s="1">
        <v>46357</v>
      </c>
      <c r="Y520" t="s">
        <v>54</v>
      </c>
      <c r="Z520" t="s">
        <v>52</v>
      </c>
      <c r="AB520" t="s">
        <v>52</v>
      </c>
      <c r="AC520">
        <v>296</v>
      </c>
      <c r="AD520">
        <v>1</v>
      </c>
      <c r="AK520" t="s">
        <v>52</v>
      </c>
      <c r="AN520" t="s">
        <v>52</v>
      </c>
      <c r="AO520" t="s">
        <v>52</v>
      </c>
      <c r="AP520" t="s">
        <v>52</v>
      </c>
      <c r="AQ520" t="s">
        <v>52</v>
      </c>
      <c r="AR520" t="s">
        <v>55</v>
      </c>
    </row>
    <row r="521" spans="1:45" x14ac:dyDescent="0.25">
      <c r="A521" t="s">
        <v>47</v>
      </c>
      <c r="B521">
        <v>8</v>
      </c>
      <c r="C521" t="s">
        <v>143</v>
      </c>
      <c r="D521">
        <v>39</v>
      </c>
      <c r="E521" t="s">
        <v>70</v>
      </c>
      <c r="F521">
        <v>296</v>
      </c>
      <c r="G521" t="s">
        <v>71</v>
      </c>
      <c r="H521" t="s">
        <v>50</v>
      </c>
      <c r="K521" t="s">
        <v>52</v>
      </c>
      <c r="L521">
        <v>1</v>
      </c>
      <c r="M521" t="s">
        <v>52</v>
      </c>
      <c r="N521" t="s">
        <v>53</v>
      </c>
      <c r="Q521">
        <v>224.33330000000001</v>
      </c>
      <c r="R521">
        <v>0</v>
      </c>
      <c r="S521">
        <v>0.75</v>
      </c>
      <c r="T521">
        <v>0</v>
      </c>
      <c r="U521">
        <v>0</v>
      </c>
      <c r="W521" s="1">
        <v>46675</v>
      </c>
      <c r="X521" s="1">
        <v>46357</v>
      </c>
      <c r="Y521" t="s">
        <v>54</v>
      </c>
      <c r="Z521" t="s">
        <v>52</v>
      </c>
      <c r="AB521" t="s">
        <v>52</v>
      </c>
      <c r="AC521">
        <v>296</v>
      </c>
      <c r="AD521">
        <v>1</v>
      </c>
      <c r="AK521" t="s">
        <v>52</v>
      </c>
      <c r="AN521" t="s">
        <v>52</v>
      </c>
      <c r="AO521" t="s">
        <v>52</v>
      </c>
      <c r="AP521" t="s">
        <v>52</v>
      </c>
      <c r="AQ521" t="s">
        <v>52</v>
      </c>
      <c r="AR521" t="s">
        <v>55</v>
      </c>
    </row>
    <row r="522" spans="1:45" x14ac:dyDescent="0.25">
      <c r="A522" t="s">
        <v>47</v>
      </c>
      <c r="B522">
        <v>8</v>
      </c>
      <c r="C522" t="s">
        <v>143</v>
      </c>
      <c r="D522">
        <v>39</v>
      </c>
      <c r="E522" t="s">
        <v>70</v>
      </c>
      <c r="F522">
        <v>296</v>
      </c>
      <c r="G522" t="s">
        <v>92</v>
      </c>
      <c r="H522" t="s">
        <v>50</v>
      </c>
      <c r="K522" t="s">
        <v>52</v>
      </c>
      <c r="L522">
        <v>1</v>
      </c>
      <c r="M522" t="s">
        <v>52</v>
      </c>
      <c r="N522" t="s">
        <v>53</v>
      </c>
      <c r="R522">
        <v>0.5</v>
      </c>
      <c r="S522">
        <v>0.75</v>
      </c>
      <c r="T522">
        <v>0</v>
      </c>
      <c r="U522">
        <v>0</v>
      </c>
      <c r="V522" s="1">
        <v>46583</v>
      </c>
      <c r="W522" s="1">
        <v>46675</v>
      </c>
      <c r="X522" s="1">
        <v>46357</v>
      </c>
      <c r="Z522" t="s">
        <v>52</v>
      </c>
      <c r="AB522" t="s">
        <v>52</v>
      </c>
      <c r="AC522">
        <v>102</v>
      </c>
      <c r="AD522">
        <v>1</v>
      </c>
      <c r="AK522" t="s">
        <v>52</v>
      </c>
      <c r="AN522" t="s">
        <v>52</v>
      </c>
      <c r="AO522" t="s">
        <v>52</v>
      </c>
      <c r="AP522" t="s">
        <v>52</v>
      </c>
      <c r="AQ522" t="s">
        <v>52</v>
      </c>
      <c r="AR522" t="s">
        <v>55</v>
      </c>
      <c r="AS522" t="s">
        <v>60</v>
      </c>
    </row>
    <row r="523" spans="1:45" x14ac:dyDescent="0.25">
      <c r="A523" t="s">
        <v>47</v>
      </c>
      <c r="B523">
        <v>8</v>
      </c>
      <c r="C523" t="s">
        <v>143</v>
      </c>
      <c r="D523">
        <v>39</v>
      </c>
      <c r="E523" t="s">
        <v>75</v>
      </c>
      <c r="F523">
        <v>16</v>
      </c>
      <c r="G523" t="s">
        <v>76</v>
      </c>
      <c r="H523" t="s">
        <v>50</v>
      </c>
      <c r="K523" t="s">
        <v>51</v>
      </c>
      <c r="L523">
        <v>1</v>
      </c>
      <c r="M523" t="s">
        <v>52</v>
      </c>
      <c r="N523" t="s">
        <v>53</v>
      </c>
      <c r="R523">
        <v>0.5</v>
      </c>
      <c r="S523">
        <v>0.75</v>
      </c>
      <c r="U523">
        <v>0</v>
      </c>
      <c r="V523" s="1">
        <v>46507</v>
      </c>
      <c r="W523" s="1">
        <v>46691</v>
      </c>
      <c r="X523" s="1">
        <v>46461</v>
      </c>
      <c r="Z523" t="s">
        <v>52</v>
      </c>
      <c r="AB523" t="s">
        <v>52</v>
      </c>
      <c r="AC523">
        <v>16</v>
      </c>
      <c r="AD523">
        <v>2</v>
      </c>
      <c r="AE523">
        <v>0.95</v>
      </c>
      <c r="AG523">
        <v>0.95</v>
      </c>
      <c r="AK523" t="s">
        <v>52</v>
      </c>
      <c r="AN523" t="s">
        <v>52</v>
      </c>
      <c r="AO523" t="s">
        <v>52</v>
      </c>
      <c r="AP523" t="s">
        <v>52</v>
      </c>
      <c r="AQ523" t="s">
        <v>52</v>
      </c>
      <c r="AR523" t="s">
        <v>55</v>
      </c>
    </row>
    <row r="524" spans="1:45" x14ac:dyDescent="0.25">
      <c r="A524" t="s">
        <v>47</v>
      </c>
      <c r="B524">
        <v>8</v>
      </c>
      <c r="C524" t="s">
        <v>143</v>
      </c>
      <c r="D524">
        <v>39</v>
      </c>
      <c r="E524" t="s">
        <v>75</v>
      </c>
      <c r="F524">
        <v>16</v>
      </c>
      <c r="G524" t="s">
        <v>76</v>
      </c>
      <c r="H524" t="s">
        <v>50</v>
      </c>
      <c r="K524" t="s">
        <v>52</v>
      </c>
      <c r="L524">
        <v>1</v>
      </c>
      <c r="M524" t="s">
        <v>52</v>
      </c>
      <c r="N524" t="s">
        <v>53</v>
      </c>
      <c r="R524">
        <v>0.5</v>
      </c>
      <c r="S524">
        <v>0.75</v>
      </c>
      <c r="T524">
        <v>0</v>
      </c>
      <c r="U524">
        <v>0</v>
      </c>
      <c r="V524" s="1">
        <v>46507</v>
      </c>
      <c r="W524" s="1">
        <v>46691</v>
      </c>
      <c r="X524" s="1">
        <v>46461</v>
      </c>
      <c r="Z524" t="s">
        <v>52</v>
      </c>
      <c r="AB524" t="s">
        <v>52</v>
      </c>
      <c r="AC524">
        <v>16</v>
      </c>
      <c r="AD524">
        <v>2</v>
      </c>
      <c r="AK524" t="s">
        <v>52</v>
      </c>
      <c r="AN524" t="s">
        <v>52</v>
      </c>
      <c r="AO524" t="s">
        <v>52</v>
      </c>
      <c r="AP524" t="s">
        <v>52</v>
      </c>
      <c r="AQ524" t="s">
        <v>52</v>
      </c>
      <c r="AR524" t="s">
        <v>55</v>
      </c>
    </row>
    <row r="525" spans="1:45" x14ac:dyDescent="0.25">
      <c r="A525" t="s">
        <v>47</v>
      </c>
      <c r="B525">
        <v>8</v>
      </c>
      <c r="C525" t="s">
        <v>143</v>
      </c>
      <c r="D525">
        <v>39</v>
      </c>
      <c r="E525" t="s">
        <v>93</v>
      </c>
      <c r="F525">
        <v>94</v>
      </c>
      <c r="H525" t="s">
        <v>50</v>
      </c>
      <c r="K525" t="s">
        <v>52</v>
      </c>
      <c r="L525">
        <v>1</v>
      </c>
      <c r="M525" t="s">
        <v>52</v>
      </c>
      <c r="N525" t="s">
        <v>53</v>
      </c>
      <c r="R525">
        <v>0.77</v>
      </c>
      <c r="S525">
        <v>0.93</v>
      </c>
      <c r="U525">
        <v>0</v>
      </c>
      <c r="V525" s="1">
        <v>46326</v>
      </c>
      <c r="W525" s="1">
        <v>46691</v>
      </c>
      <c r="X525" s="1">
        <v>46266</v>
      </c>
      <c r="Z525" t="s">
        <v>52</v>
      </c>
      <c r="AB525" t="s">
        <v>52</v>
      </c>
      <c r="AC525">
        <v>94</v>
      </c>
      <c r="AD525">
        <v>2</v>
      </c>
      <c r="AK525" t="s">
        <v>52</v>
      </c>
      <c r="AN525" t="s">
        <v>52</v>
      </c>
      <c r="AO525" t="s">
        <v>52</v>
      </c>
      <c r="AP525" t="s">
        <v>52</v>
      </c>
      <c r="AQ525" t="s">
        <v>52</v>
      </c>
      <c r="AR525" t="s">
        <v>55</v>
      </c>
      <c r="AS525" t="s">
        <v>60</v>
      </c>
    </row>
    <row r="526" spans="1:45" x14ac:dyDescent="0.25">
      <c r="A526" t="s">
        <v>47</v>
      </c>
      <c r="B526">
        <v>8</v>
      </c>
      <c r="C526" t="s">
        <v>143</v>
      </c>
      <c r="D526">
        <v>39</v>
      </c>
      <c r="E526" t="s">
        <v>79</v>
      </c>
      <c r="F526">
        <v>50</v>
      </c>
      <c r="G526" t="s">
        <v>65</v>
      </c>
      <c r="H526" t="s">
        <v>50</v>
      </c>
      <c r="K526" t="s">
        <v>51</v>
      </c>
      <c r="L526">
        <v>1</v>
      </c>
      <c r="M526" t="s">
        <v>52</v>
      </c>
      <c r="N526" t="s">
        <v>53</v>
      </c>
      <c r="R526">
        <v>0.5</v>
      </c>
      <c r="S526">
        <v>0.75</v>
      </c>
      <c r="T526">
        <v>0</v>
      </c>
      <c r="U526">
        <v>0</v>
      </c>
      <c r="V526" s="1">
        <v>46583</v>
      </c>
      <c r="W526" s="1">
        <v>46675</v>
      </c>
      <c r="X526" s="1">
        <v>46461</v>
      </c>
      <c r="Z526" t="s">
        <v>52</v>
      </c>
      <c r="AB526" t="s">
        <v>52</v>
      </c>
      <c r="AC526">
        <v>50</v>
      </c>
      <c r="AD526">
        <v>1</v>
      </c>
      <c r="AK526" t="s">
        <v>52</v>
      </c>
      <c r="AN526" t="s">
        <v>52</v>
      </c>
      <c r="AO526" t="s">
        <v>52</v>
      </c>
      <c r="AP526" t="s">
        <v>52</v>
      </c>
      <c r="AQ526" t="s">
        <v>52</v>
      </c>
      <c r="AR526" t="s">
        <v>55</v>
      </c>
    </row>
    <row r="527" spans="1:45" x14ac:dyDescent="0.25">
      <c r="A527" t="s">
        <v>47</v>
      </c>
      <c r="B527">
        <v>8</v>
      </c>
      <c r="C527" t="s">
        <v>143</v>
      </c>
      <c r="D527">
        <v>39</v>
      </c>
      <c r="E527" t="s">
        <v>79</v>
      </c>
      <c r="F527">
        <v>50</v>
      </c>
      <c r="G527" t="s">
        <v>65</v>
      </c>
      <c r="H527" t="s">
        <v>50</v>
      </c>
      <c r="K527" t="s">
        <v>52</v>
      </c>
      <c r="L527">
        <v>1</v>
      </c>
      <c r="M527" t="s">
        <v>52</v>
      </c>
      <c r="N527" t="s">
        <v>53</v>
      </c>
      <c r="R527">
        <v>0.5</v>
      </c>
      <c r="S527">
        <v>0.75</v>
      </c>
      <c r="T527">
        <v>0</v>
      </c>
      <c r="U527">
        <v>0</v>
      </c>
      <c r="V527" s="1">
        <v>46583</v>
      </c>
      <c r="W527" s="1">
        <v>46675</v>
      </c>
      <c r="X527" s="1">
        <v>46461</v>
      </c>
      <c r="Z527" t="s">
        <v>52</v>
      </c>
      <c r="AB527" t="s">
        <v>52</v>
      </c>
      <c r="AC527">
        <v>50</v>
      </c>
      <c r="AD527">
        <v>1</v>
      </c>
      <c r="AK527" t="s">
        <v>52</v>
      </c>
      <c r="AN527" t="s">
        <v>52</v>
      </c>
      <c r="AO527" t="s">
        <v>52</v>
      </c>
      <c r="AP527" t="s">
        <v>52</v>
      </c>
      <c r="AQ527" t="s">
        <v>52</v>
      </c>
      <c r="AR527" t="s">
        <v>55</v>
      </c>
    </row>
    <row r="528" spans="1:45" x14ac:dyDescent="0.25">
      <c r="A528" t="s">
        <v>47</v>
      </c>
      <c r="B528">
        <v>8</v>
      </c>
      <c r="C528" t="s">
        <v>143</v>
      </c>
      <c r="D528">
        <v>39</v>
      </c>
      <c r="E528" t="s">
        <v>144</v>
      </c>
      <c r="F528">
        <v>81</v>
      </c>
      <c r="G528" t="s">
        <v>69</v>
      </c>
      <c r="H528" t="s">
        <v>50</v>
      </c>
      <c r="K528" t="s">
        <v>52</v>
      </c>
      <c r="L528">
        <v>1</v>
      </c>
      <c r="M528" t="s">
        <v>52</v>
      </c>
      <c r="N528" t="s">
        <v>53</v>
      </c>
      <c r="R528">
        <v>0.67</v>
      </c>
      <c r="S528">
        <v>0.92</v>
      </c>
      <c r="U528">
        <v>0</v>
      </c>
      <c r="V528" s="1">
        <v>46553</v>
      </c>
      <c r="W528" s="1">
        <v>46731</v>
      </c>
      <c r="X528" s="1">
        <v>46461</v>
      </c>
      <c r="Z528" t="s">
        <v>52</v>
      </c>
      <c r="AB528" t="s">
        <v>52</v>
      </c>
      <c r="AC528">
        <v>81</v>
      </c>
      <c r="AD528">
        <v>1</v>
      </c>
      <c r="AK528" t="s">
        <v>52</v>
      </c>
      <c r="AN528" t="s">
        <v>52</v>
      </c>
      <c r="AO528" t="s">
        <v>52</v>
      </c>
      <c r="AP528" t="s">
        <v>52</v>
      </c>
      <c r="AQ528" t="s">
        <v>52</v>
      </c>
      <c r="AR528" t="s">
        <v>55</v>
      </c>
      <c r="AS528" t="s">
        <v>145</v>
      </c>
    </row>
    <row r="529" spans="1:45" x14ac:dyDescent="0.25">
      <c r="A529" t="s">
        <v>47</v>
      </c>
      <c r="B529">
        <v>8</v>
      </c>
      <c r="C529" t="s">
        <v>143</v>
      </c>
      <c r="D529">
        <v>39</v>
      </c>
      <c r="E529" t="s">
        <v>83</v>
      </c>
      <c r="F529">
        <v>158</v>
      </c>
      <c r="H529" t="s">
        <v>50</v>
      </c>
      <c r="K529" t="s">
        <v>51</v>
      </c>
      <c r="L529">
        <v>1</v>
      </c>
      <c r="M529" t="s">
        <v>52</v>
      </c>
      <c r="N529" t="s">
        <v>53</v>
      </c>
      <c r="P529">
        <v>1.3</v>
      </c>
      <c r="R529">
        <v>0.77</v>
      </c>
      <c r="S529">
        <v>0.93</v>
      </c>
      <c r="U529">
        <v>0</v>
      </c>
      <c r="V529" s="1">
        <v>46326</v>
      </c>
      <c r="W529" s="1">
        <v>46691</v>
      </c>
      <c r="X529" s="1">
        <v>46266</v>
      </c>
      <c r="Z529" t="s">
        <v>52</v>
      </c>
      <c r="AA529" t="s">
        <v>54</v>
      </c>
      <c r="AB529" t="s">
        <v>52</v>
      </c>
      <c r="AC529">
        <v>158</v>
      </c>
      <c r="AD529">
        <v>2</v>
      </c>
      <c r="AK529" t="s">
        <v>52</v>
      </c>
      <c r="AN529" t="s">
        <v>52</v>
      </c>
      <c r="AO529" t="s">
        <v>52</v>
      </c>
      <c r="AP529" t="s">
        <v>52</v>
      </c>
      <c r="AQ529" t="s">
        <v>52</v>
      </c>
      <c r="AR529" t="s">
        <v>95</v>
      </c>
      <c r="AS529" t="s">
        <v>140</v>
      </c>
    </row>
    <row r="530" spans="1:45" x14ac:dyDescent="0.25">
      <c r="A530" t="s">
        <v>47</v>
      </c>
      <c r="B530">
        <v>8</v>
      </c>
      <c r="C530" t="s">
        <v>143</v>
      </c>
      <c r="D530">
        <v>39</v>
      </c>
      <c r="E530" t="s">
        <v>83</v>
      </c>
      <c r="F530">
        <v>158</v>
      </c>
      <c r="H530" t="s">
        <v>50</v>
      </c>
      <c r="K530" t="s">
        <v>52</v>
      </c>
      <c r="L530">
        <v>1</v>
      </c>
      <c r="M530" t="s">
        <v>52</v>
      </c>
      <c r="N530" t="s">
        <v>53</v>
      </c>
      <c r="R530">
        <v>0.77</v>
      </c>
      <c r="S530">
        <v>0.93</v>
      </c>
      <c r="T530">
        <v>0</v>
      </c>
      <c r="U530">
        <v>0</v>
      </c>
      <c r="V530" s="1">
        <v>46326</v>
      </c>
      <c r="W530" s="1">
        <v>46691</v>
      </c>
      <c r="X530" s="1">
        <v>46266</v>
      </c>
      <c r="Z530" t="s">
        <v>52</v>
      </c>
      <c r="AB530" t="s">
        <v>52</v>
      </c>
      <c r="AC530">
        <v>158</v>
      </c>
      <c r="AD530">
        <v>2</v>
      </c>
      <c r="AK530" t="s">
        <v>52</v>
      </c>
      <c r="AN530" t="s">
        <v>52</v>
      </c>
      <c r="AO530" t="s">
        <v>52</v>
      </c>
      <c r="AP530" t="s">
        <v>52</v>
      </c>
      <c r="AQ530" t="s">
        <v>52</v>
      </c>
      <c r="AR530" t="s">
        <v>55</v>
      </c>
    </row>
    <row r="531" spans="1:45" x14ac:dyDescent="0.25">
      <c r="A531" t="s">
        <v>47</v>
      </c>
      <c r="B531">
        <v>8</v>
      </c>
      <c r="C531" t="s">
        <v>143</v>
      </c>
      <c r="D531">
        <v>39</v>
      </c>
      <c r="E531" t="s">
        <v>84</v>
      </c>
      <c r="F531">
        <v>11</v>
      </c>
      <c r="G531" t="s">
        <v>96</v>
      </c>
      <c r="H531" t="s">
        <v>50</v>
      </c>
      <c r="K531" t="s">
        <v>52</v>
      </c>
      <c r="L531">
        <v>1</v>
      </c>
      <c r="M531" t="s">
        <v>52</v>
      </c>
      <c r="N531" t="s">
        <v>53</v>
      </c>
      <c r="R531">
        <v>0.5</v>
      </c>
      <c r="S531">
        <v>0.75</v>
      </c>
      <c r="T531">
        <v>0</v>
      </c>
      <c r="U531">
        <v>0</v>
      </c>
      <c r="V531" s="1">
        <v>46310</v>
      </c>
      <c r="W531" s="1">
        <v>46691</v>
      </c>
      <c r="X531" s="1">
        <v>46295</v>
      </c>
      <c r="Z531" t="s">
        <v>52</v>
      </c>
      <c r="AB531" t="s">
        <v>52</v>
      </c>
      <c r="AC531">
        <v>11</v>
      </c>
      <c r="AD531">
        <v>2</v>
      </c>
      <c r="AK531" t="s">
        <v>52</v>
      </c>
      <c r="AN531" t="s">
        <v>52</v>
      </c>
      <c r="AO531" t="s">
        <v>52</v>
      </c>
      <c r="AP531" t="s">
        <v>52</v>
      </c>
      <c r="AQ531" t="s">
        <v>52</v>
      </c>
      <c r="AR531" t="s">
        <v>55</v>
      </c>
    </row>
    <row r="532" spans="1:45" x14ac:dyDescent="0.25">
      <c r="A532" t="s">
        <v>47</v>
      </c>
      <c r="B532">
        <v>8</v>
      </c>
      <c r="C532" t="s">
        <v>146</v>
      </c>
      <c r="D532">
        <v>41</v>
      </c>
      <c r="E532" t="s">
        <v>49</v>
      </c>
      <c r="F532">
        <v>27</v>
      </c>
      <c r="H532" t="s">
        <v>50</v>
      </c>
      <c r="K532" t="s">
        <v>51</v>
      </c>
      <c r="L532">
        <v>1</v>
      </c>
      <c r="M532" t="s">
        <v>52</v>
      </c>
      <c r="N532" t="s">
        <v>53</v>
      </c>
      <c r="Q532">
        <v>230</v>
      </c>
      <c r="R532">
        <v>0</v>
      </c>
      <c r="S532">
        <v>0.75</v>
      </c>
      <c r="T532">
        <v>0</v>
      </c>
      <c r="U532">
        <v>0</v>
      </c>
      <c r="W532" s="1">
        <v>46675</v>
      </c>
      <c r="X532" s="1">
        <v>46357</v>
      </c>
      <c r="Y532" t="s">
        <v>54</v>
      </c>
      <c r="Z532" t="s">
        <v>52</v>
      </c>
      <c r="AB532" t="s">
        <v>52</v>
      </c>
      <c r="AC532">
        <v>27</v>
      </c>
      <c r="AD532">
        <v>1</v>
      </c>
      <c r="AE532">
        <v>0.97</v>
      </c>
      <c r="AG532">
        <v>0.97</v>
      </c>
      <c r="AK532" t="s">
        <v>52</v>
      </c>
      <c r="AN532" t="s">
        <v>52</v>
      </c>
      <c r="AO532" t="s">
        <v>52</v>
      </c>
      <c r="AP532" t="s">
        <v>52</v>
      </c>
      <c r="AQ532" t="s">
        <v>52</v>
      </c>
      <c r="AR532" t="s">
        <v>55</v>
      </c>
      <c r="AS532" t="s">
        <v>56</v>
      </c>
    </row>
    <row r="533" spans="1:45" x14ac:dyDescent="0.25">
      <c r="A533" t="s">
        <v>47</v>
      </c>
      <c r="B533">
        <v>8</v>
      </c>
      <c r="C533" t="s">
        <v>146</v>
      </c>
      <c r="D533">
        <v>41</v>
      </c>
      <c r="E533" t="s">
        <v>49</v>
      </c>
      <c r="F533">
        <v>27</v>
      </c>
      <c r="H533" t="s">
        <v>50</v>
      </c>
      <c r="K533" t="s">
        <v>52</v>
      </c>
      <c r="L533">
        <v>1</v>
      </c>
      <c r="M533" t="s">
        <v>52</v>
      </c>
      <c r="N533" t="s">
        <v>53</v>
      </c>
      <c r="Q533">
        <v>230</v>
      </c>
      <c r="R533">
        <v>0</v>
      </c>
      <c r="S533">
        <v>0.75</v>
      </c>
      <c r="T533">
        <v>0</v>
      </c>
      <c r="U533">
        <v>0</v>
      </c>
      <c r="W533" s="1">
        <v>46675</v>
      </c>
      <c r="X533" s="1">
        <v>46357</v>
      </c>
      <c r="Y533" t="s">
        <v>54</v>
      </c>
      <c r="Z533" t="s">
        <v>52</v>
      </c>
      <c r="AB533" t="s">
        <v>52</v>
      </c>
      <c r="AC533">
        <v>27</v>
      </c>
      <c r="AD533">
        <v>1</v>
      </c>
      <c r="AE533">
        <v>0.97</v>
      </c>
      <c r="AG533">
        <v>0.97</v>
      </c>
      <c r="AK533" t="s">
        <v>52</v>
      </c>
      <c r="AN533" t="s">
        <v>52</v>
      </c>
      <c r="AO533" t="s">
        <v>52</v>
      </c>
      <c r="AP533" t="s">
        <v>52</v>
      </c>
      <c r="AQ533" t="s">
        <v>52</v>
      </c>
      <c r="AR533" t="s">
        <v>55</v>
      </c>
      <c r="AS533" t="s">
        <v>57</v>
      </c>
    </row>
    <row r="534" spans="1:45" x14ac:dyDescent="0.25">
      <c r="A534" t="s">
        <v>47</v>
      </c>
      <c r="B534">
        <v>8</v>
      </c>
      <c r="C534" t="s">
        <v>146</v>
      </c>
      <c r="D534">
        <v>41</v>
      </c>
      <c r="E534" t="s">
        <v>87</v>
      </c>
      <c r="F534">
        <v>91</v>
      </c>
      <c r="G534" t="s">
        <v>76</v>
      </c>
      <c r="H534" t="s">
        <v>50</v>
      </c>
      <c r="K534" t="s">
        <v>52</v>
      </c>
      <c r="L534">
        <v>1</v>
      </c>
      <c r="M534" t="s">
        <v>52</v>
      </c>
      <c r="N534" t="s">
        <v>53</v>
      </c>
      <c r="R534">
        <v>0.77</v>
      </c>
      <c r="S534">
        <v>0.93</v>
      </c>
      <c r="T534">
        <v>0</v>
      </c>
      <c r="U534">
        <v>0</v>
      </c>
      <c r="V534" s="1">
        <v>46583</v>
      </c>
      <c r="W534" s="1">
        <v>46691</v>
      </c>
      <c r="X534" s="1">
        <v>46295</v>
      </c>
      <c r="Z534" t="s">
        <v>52</v>
      </c>
      <c r="AB534" t="s">
        <v>52</v>
      </c>
      <c r="AC534">
        <v>91</v>
      </c>
      <c r="AD534">
        <v>2</v>
      </c>
      <c r="AK534" t="s">
        <v>52</v>
      </c>
      <c r="AN534" t="s">
        <v>52</v>
      </c>
      <c r="AO534" t="s">
        <v>52</v>
      </c>
      <c r="AP534" t="s">
        <v>52</v>
      </c>
      <c r="AQ534" t="s">
        <v>52</v>
      </c>
      <c r="AR534" t="s">
        <v>55</v>
      </c>
      <c r="AS534" t="s">
        <v>60</v>
      </c>
    </row>
    <row r="535" spans="1:45" x14ac:dyDescent="0.25">
      <c r="A535" t="s">
        <v>47</v>
      </c>
      <c r="B535">
        <v>8</v>
      </c>
      <c r="C535" t="s">
        <v>146</v>
      </c>
      <c r="D535">
        <v>41</v>
      </c>
      <c r="E535" t="s">
        <v>58</v>
      </c>
      <c r="F535">
        <v>102</v>
      </c>
      <c r="G535" t="s">
        <v>147</v>
      </c>
      <c r="H535" t="s">
        <v>50</v>
      </c>
      <c r="K535" t="s">
        <v>52</v>
      </c>
      <c r="L535">
        <v>1</v>
      </c>
      <c r="M535" t="s">
        <v>52</v>
      </c>
      <c r="N535" t="s">
        <v>53</v>
      </c>
      <c r="R535">
        <v>0</v>
      </c>
      <c r="S535">
        <v>0.92</v>
      </c>
      <c r="T535">
        <v>0</v>
      </c>
      <c r="U535">
        <v>0</v>
      </c>
      <c r="W535" s="1">
        <v>46731</v>
      </c>
      <c r="X535" s="1">
        <v>46357</v>
      </c>
      <c r="Z535" t="s">
        <v>52</v>
      </c>
      <c r="AB535" t="s">
        <v>52</v>
      </c>
      <c r="AC535">
        <v>102</v>
      </c>
      <c r="AD535">
        <v>1</v>
      </c>
      <c r="AK535" t="s">
        <v>52</v>
      </c>
      <c r="AN535" t="s">
        <v>52</v>
      </c>
      <c r="AO535" t="s">
        <v>52</v>
      </c>
      <c r="AP535" t="s">
        <v>52</v>
      </c>
      <c r="AQ535" t="s">
        <v>52</v>
      </c>
      <c r="AR535" t="s">
        <v>55</v>
      </c>
    </row>
    <row r="536" spans="1:45" x14ac:dyDescent="0.25">
      <c r="A536" t="s">
        <v>47</v>
      </c>
      <c r="B536">
        <v>8</v>
      </c>
      <c r="C536" t="s">
        <v>146</v>
      </c>
      <c r="D536">
        <v>41</v>
      </c>
      <c r="E536" t="s">
        <v>58</v>
      </c>
      <c r="F536">
        <v>102</v>
      </c>
      <c r="G536" t="s">
        <v>59</v>
      </c>
      <c r="H536" t="s">
        <v>50</v>
      </c>
      <c r="K536" t="s">
        <v>51</v>
      </c>
      <c r="L536">
        <v>1</v>
      </c>
      <c r="M536" t="s">
        <v>52</v>
      </c>
      <c r="N536" t="s">
        <v>53</v>
      </c>
      <c r="R536">
        <v>0</v>
      </c>
      <c r="S536">
        <v>0.92</v>
      </c>
      <c r="U536">
        <v>0</v>
      </c>
      <c r="W536" s="1">
        <v>46731</v>
      </c>
      <c r="X536" s="1">
        <v>46357</v>
      </c>
      <c r="Z536" t="s">
        <v>52</v>
      </c>
      <c r="AB536" t="s">
        <v>52</v>
      </c>
      <c r="AC536">
        <v>102</v>
      </c>
      <c r="AD536">
        <v>1</v>
      </c>
      <c r="AK536" t="s">
        <v>52</v>
      </c>
      <c r="AN536" t="s">
        <v>52</v>
      </c>
      <c r="AO536" t="s">
        <v>52</v>
      </c>
      <c r="AP536" t="s">
        <v>52</v>
      </c>
      <c r="AQ536" t="s">
        <v>52</v>
      </c>
      <c r="AR536" t="s">
        <v>55</v>
      </c>
    </row>
    <row r="537" spans="1:45" x14ac:dyDescent="0.25">
      <c r="A537" t="s">
        <v>47</v>
      </c>
      <c r="B537">
        <v>8</v>
      </c>
      <c r="C537" t="s">
        <v>146</v>
      </c>
      <c r="D537">
        <v>41</v>
      </c>
      <c r="E537" t="s">
        <v>58</v>
      </c>
      <c r="F537">
        <v>102</v>
      </c>
      <c r="G537" t="s">
        <v>61</v>
      </c>
      <c r="H537" t="s">
        <v>50</v>
      </c>
      <c r="K537" t="s">
        <v>51</v>
      </c>
      <c r="L537">
        <v>1</v>
      </c>
      <c r="M537" t="s">
        <v>52</v>
      </c>
      <c r="N537" t="s">
        <v>53</v>
      </c>
      <c r="R537">
        <v>0</v>
      </c>
      <c r="S537">
        <v>0.92</v>
      </c>
      <c r="T537">
        <v>0</v>
      </c>
      <c r="U537">
        <v>0</v>
      </c>
      <c r="W537" s="1">
        <v>46731</v>
      </c>
      <c r="X537" s="1">
        <v>46357</v>
      </c>
      <c r="Z537" t="s">
        <v>52</v>
      </c>
      <c r="AB537" t="s">
        <v>52</v>
      </c>
      <c r="AC537">
        <v>102</v>
      </c>
      <c r="AD537">
        <v>1</v>
      </c>
      <c r="AK537" t="s">
        <v>52</v>
      </c>
      <c r="AN537" t="s">
        <v>52</v>
      </c>
      <c r="AO537" t="s">
        <v>52</v>
      </c>
      <c r="AP537" t="s">
        <v>52</v>
      </c>
      <c r="AQ537" t="s">
        <v>52</v>
      </c>
      <c r="AR537" t="s">
        <v>55</v>
      </c>
      <c r="AS537" t="s">
        <v>60</v>
      </c>
    </row>
    <row r="538" spans="1:45" x14ac:dyDescent="0.25">
      <c r="A538" t="s">
        <v>47</v>
      </c>
      <c r="B538">
        <v>8</v>
      </c>
      <c r="C538" t="s">
        <v>146</v>
      </c>
      <c r="D538">
        <v>41</v>
      </c>
      <c r="E538" t="s">
        <v>58</v>
      </c>
      <c r="F538">
        <v>102</v>
      </c>
      <c r="G538" t="s">
        <v>148</v>
      </c>
      <c r="H538" t="s">
        <v>50</v>
      </c>
      <c r="K538" t="s">
        <v>52</v>
      </c>
      <c r="L538">
        <v>1</v>
      </c>
      <c r="M538" t="s">
        <v>52</v>
      </c>
      <c r="N538" t="s">
        <v>53</v>
      </c>
      <c r="R538">
        <v>0</v>
      </c>
      <c r="S538">
        <v>0.92</v>
      </c>
      <c r="T538">
        <v>0</v>
      </c>
      <c r="U538">
        <v>0</v>
      </c>
      <c r="W538" s="1">
        <v>46731</v>
      </c>
      <c r="X538" s="1">
        <v>46357</v>
      </c>
      <c r="Z538" t="s">
        <v>52</v>
      </c>
      <c r="AB538" t="s">
        <v>52</v>
      </c>
      <c r="AC538">
        <v>102</v>
      </c>
      <c r="AD538">
        <v>1</v>
      </c>
      <c r="AK538" t="s">
        <v>52</v>
      </c>
      <c r="AN538" t="s">
        <v>52</v>
      </c>
      <c r="AO538" t="s">
        <v>52</v>
      </c>
      <c r="AP538" t="s">
        <v>52</v>
      </c>
      <c r="AQ538" t="s">
        <v>52</v>
      </c>
      <c r="AR538" t="s">
        <v>55</v>
      </c>
      <c r="AS538" t="s">
        <v>60</v>
      </c>
    </row>
    <row r="539" spans="1:45" x14ac:dyDescent="0.25">
      <c r="A539" t="s">
        <v>47</v>
      </c>
      <c r="B539">
        <v>8</v>
      </c>
      <c r="C539" t="s">
        <v>146</v>
      </c>
      <c r="D539">
        <v>41</v>
      </c>
      <c r="E539" t="s">
        <v>58</v>
      </c>
      <c r="F539">
        <v>102</v>
      </c>
      <c r="G539" t="s">
        <v>62</v>
      </c>
      <c r="H539" t="s">
        <v>50</v>
      </c>
      <c r="K539" t="s">
        <v>51</v>
      </c>
      <c r="L539">
        <v>1</v>
      </c>
      <c r="M539" t="s">
        <v>52</v>
      </c>
      <c r="N539" t="s">
        <v>53</v>
      </c>
      <c r="R539">
        <v>0</v>
      </c>
      <c r="S539">
        <v>0.92</v>
      </c>
      <c r="T539">
        <v>0</v>
      </c>
      <c r="U539">
        <v>0</v>
      </c>
      <c r="W539" s="1">
        <v>46731</v>
      </c>
      <c r="X539" s="1">
        <v>46357</v>
      </c>
      <c r="Z539" t="s">
        <v>52</v>
      </c>
      <c r="AB539" t="s">
        <v>52</v>
      </c>
      <c r="AC539">
        <v>102</v>
      </c>
      <c r="AD539">
        <v>1</v>
      </c>
      <c r="AK539" t="s">
        <v>52</v>
      </c>
      <c r="AN539" t="s">
        <v>52</v>
      </c>
      <c r="AO539" t="s">
        <v>52</v>
      </c>
      <c r="AP539" t="s">
        <v>52</v>
      </c>
      <c r="AQ539" t="s">
        <v>52</v>
      </c>
      <c r="AR539" t="s">
        <v>55</v>
      </c>
    </row>
    <row r="540" spans="1:45" x14ac:dyDescent="0.25">
      <c r="A540" t="s">
        <v>47</v>
      </c>
      <c r="B540">
        <v>8</v>
      </c>
      <c r="C540" t="s">
        <v>146</v>
      </c>
      <c r="D540">
        <v>41</v>
      </c>
      <c r="E540" t="s">
        <v>58</v>
      </c>
      <c r="F540">
        <v>102</v>
      </c>
      <c r="G540" t="s">
        <v>62</v>
      </c>
      <c r="H540" t="s">
        <v>50</v>
      </c>
      <c r="K540" t="s">
        <v>52</v>
      </c>
      <c r="L540">
        <v>1</v>
      </c>
      <c r="M540" t="s">
        <v>52</v>
      </c>
      <c r="N540" t="s">
        <v>53</v>
      </c>
      <c r="R540">
        <v>0</v>
      </c>
      <c r="S540">
        <v>0.92</v>
      </c>
      <c r="T540">
        <v>0</v>
      </c>
      <c r="U540">
        <v>0</v>
      </c>
      <c r="W540" s="1">
        <v>46731</v>
      </c>
      <c r="X540" s="1">
        <v>46357</v>
      </c>
      <c r="Z540" t="s">
        <v>52</v>
      </c>
      <c r="AB540" t="s">
        <v>52</v>
      </c>
      <c r="AC540">
        <v>102</v>
      </c>
      <c r="AD540">
        <v>1</v>
      </c>
      <c r="AK540" t="s">
        <v>52</v>
      </c>
      <c r="AN540" t="s">
        <v>52</v>
      </c>
      <c r="AO540" t="s">
        <v>52</v>
      </c>
      <c r="AP540" t="s">
        <v>52</v>
      </c>
      <c r="AQ540" t="s">
        <v>52</v>
      </c>
      <c r="AR540" t="s">
        <v>55</v>
      </c>
    </row>
    <row r="541" spans="1:45" x14ac:dyDescent="0.25">
      <c r="A541" t="s">
        <v>47</v>
      </c>
      <c r="B541">
        <v>8</v>
      </c>
      <c r="C541" t="s">
        <v>146</v>
      </c>
      <c r="D541">
        <v>41</v>
      </c>
      <c r="E541" t="s">
        <v>58</v>
      </c>
      <c r="F541">
        <v>102</v>
      </c>
      <c r="G541" t="s">
        <v>149</v>
      </c>
      <c r="H541" t="s">
        <v>50</v>
      </c>
      <c r="K541" t="s">
        <v>52</v>
      </c>
      <c r="L541">
        <v>1</v>
      </c>
      <c r="M541" t="s">
        <v>52</v>
      </c>
      <c r="N541" t="s">
        <v>53</v>
      </c>
      <c r="R541">
        <v>0</v>
      </c>
      <c r="S541">
        <v>0.92</v>
      </c>
      <c r="T541">
        <v>0</v>
      </c>
      <c r="U541">
        <v>0</v>
      </c>
      <c r="W541" s="1">
        <v>46731</v>
      </c>
      <c r="X541" s="1">
        <v>46357</v>
      </c>
      <c r="Z541" t="s">
        <v>52</v>
      </c>
      <c r="AB541" t="s">
        <v>52</v>
      </c>
      <c r="AC541">
        <v>102</v>
      </c>
      <c r="AD541">
        <v>1</v>
      </c>
      <c r="AK541" t="s">
        <v>52</v>
      </c>
      <c r="AN541" t="s">
        <v>52</v>
      </c>
      <c r="AO541" t="s">
        <v>52</v>
      </c>
      <c r="AP541" t="s">
        <v>52</v>
      </c>
      <c r="AQ541" t="s">
        <v>52</v>
      </c>
      <c r="AR541" t="s">
        <v>55</v>
      </c>
      <c r="AS541" t="s">
        <v>60</v>
      </c>
    </row>
    <row r="542" spans="1:45" x14ac:dyDescent="0.25">
      <c r="A542" t="s">
        <v>47</v>
      </c>
      <c r="B542">
        <v>8</v>
      </c>
      <c r="C542" t="s">
        <v>146</v>
      </c>
      <c r="D542">
        <v>41</v>
      </c>
      <c r="E542" t="s">
        <v>58</v>
      </c>
      <c r="F542">
        <v>102</v>
      </c>
      <c r="G542" t="s">
        <v>136</v>
      </c>
      <c r="H542" t="s">
        <v>50</v>
      </c>
      <c r="K542" t="s">
        <v>51</v>
      </c>
      <c r="L542">
        <v>1</v>
      </c>
      <c r="M542" t="s">
        <v>52</v>
      </c>
      <c r="N542" t="s">
        <v>53</v>
      </c>
      <c r="R542">
        <v>0</v>
      </c>
      <c r="S542">
        <v>0.92</v>
      </c>
      <c r="U542">
        <v>0</v>
      </c>
      <c r="W542" s="1">
        <v>46731</v>
      </c>
      <c r="X542" s="1">
        <v>46357</v>
      </c>
      <c r="Z542" t="s">
        <v>52</v>
      </c>
      <c r="AB542" t="s">
        <v>52</v>
      </c>
      <c r="AC542">
        <v>102</v>
      </c>
      <c r="AD542">
        <v>1</v>
      </c>
      <c r="AK542" t="s">
        <v>52</v>
      </c>
      <c r="AN542" t="s">
        <v>52</v>
      </c>
      <c r="AO542" t="s">
        <v>52</v>
      </c>
      <c r="AP542" t="s">
        <v>52</v>
      </c>
      <c r="AQ542" t="s">
        <v>52</v>
      </c>
      <c r="AR542" t="s">
        <v>55</v>
      </c>
      <c r="AS542" t="s">
        <v>60</v>
      </c>
    </row>
    <row r="543" spans="1:45" x14ac:dyDescent="0.25">
      <c r="A543" t="s">
        <v>47</v>
      </c>
      <c r="B543">
        <v>8</v>
      </c>
      <c r="C543" t="s">
        <v>146</v>
      </c>
      <c r="D543">
        <v>41</v>
      </c>
      <c r="E543" t="s">
        <v>58</v>
      </c>
      <c r="F543">
        <v>102</v>
      </c>
      <c r="G543" t="s">
        <v>114</v>
      </c>
      <c r="H543" t="s">
        <v>50</v>
      </c>
      <c r="K543" t="s">
        <v>51</v>
      </c>
      <c r="L543">
        <v>1</v>
      </c>
      <c r="M543" t="s">
        <v>52</v>
      </c>
      <c r="N543" t="s">
        <v>53</v>
      </c>
      <c r="R543">
        <v>0</v>
      </c>
      <c r="S543">
        <v>0.92</v>
      </c>
      <c r="U543">
        <v>0</v>
      </c>
      <c r="W543" s="1">
        <v>46731</v>
      </c>
      <c r="X543" s="1">
        <v>46357</v>
      </c>
      <c r="Z543" t="s">
        <v>52</v>
      </c>
      <c r="AB543" t="s">
        <v>52</v>
      </c>
      <c r="AC543">
        <v>102</v>
      </c>
      <c r="AD543">
        <v>1</v>
      </c>
      <c r="AK543" t="s">
        <v>52</v>
      </c>
      <c r="AN543" t="s">
        <v>52</v>
      </c>
      <c r="AO543" t="s">
        <v>52</v>
      </c>
      <c r="AP543" t="s">
        <v>52</v>
      </c>
      <c r="AQ543" t="s">
        <v>52</v>
      </c>
      <c r="AR543" t="s">
        <v>55</v>
      </c>
      <c r="AS543" t="s">
        <v>60</v>
      </c>
    </row>
    <row r="544" spans="1:45" x14ac:dyDescent="0.25">
      <c r="A544" t="s">
        <v>47</v>
      </c>
      <c r="B544">
        <v>8</v>
      </c>
      <c r="C544" t="s">
        <v>146</v>
      </c>
      <c r="D544">
        <v>41</v>
      </c>
      <c r="E544" t="s">
        <v>68</v>
      </c>
      <c r="F544">
        <v>80</v>
      </c>
      <c r="G544" t="s">
        <v>69</v>
      </c>
      <c r="H544" t="s">
        <v>50</v>
      </c>
      <c r="K544" t="s">
        <v>51</v>
      </c>
      <c r="L544">
        <v>1</v>
      </c>
      <c r="M544" t="s">
        <v>52</v>
      </c>
      <c r="N544" t="s">
        <v>53</v>
      </c>
      <c r="R544">
        <v>0.5</v>
      </c>
      <c r="S544">
        <v>0.75</v>
      </c>
      <c r="T544">
        <v>0</v>
      </c>
      <c r="U544">
        <v>0</v>
      </c>
      <c r="V544" s="1">
        <v>46600</v>
      </c>
      <c r="W544" s="1">
        <v>46675</v>
      </c>
      <c r="X544" s="1">
        <v>46461</v>
      </c>
      <c r="Z544" t="s">
        <v>52</v>
      </c>
      <c r="AB544" t="s">
        <v>52</v>
      </c>
      <c r="AC544">
        <v>80</v>
      </c>
      <c r="AD544">
        <v>1</v>
      </c>
      <c r="AK544" t="s">
        <v>52</v>
      </c>
      <c r="AN544" t="s">
        <v>52</v>
      </c>
      <c r="AO544" t="s">
        <v>52</v>
      </c>
      <c r="AP544" t="s">
        <v>52</v>
      </c>
      <c r="AQ544" t="s">
        <v>52</v>
      </c>
      <c r="AR544" t="s">
        <v>55</v>
      </c>
    </row>
    <row r="545" spans="1:45" x14ac:dyDescent="0.25">
      <c r="A545" t="s">
        <v>47</v>
      </c>
      <c r="B545">
        <v>8</v>
      </c>
      <c r="C545" t="s">
        <v>146</v>
      </c>
      <c r="D545">
        <v>41</v>
      </c>
      <c r="E545" t="s">
        <v>68</v>
      </c>
      <c r="F545">
        <v>80</v>
      </c>
      <c r="G545" t="s">
        <v>69</v>
      </c>
      <c r="H545" t="s">
        <v>50</v>
      </c>
      <c r="K545" t="s">
        <v>52</v>
      </c>
      <c r="L545">
        <v>1</v>
      </c>
      <c r="M545" t="s">
        <v>52</v>
      </c>
      <c r="N545" t="s">
        <v>53</v>
      </c>
      <c r="R545">
        <v>0.5</v>
      </c>
      <c r="S545">
        <v>0.75</v>
      </c>
      <c r="T545">
        <v>0</v>
      </c>
      <c r="U545">
        <v>0</v>
      </c>
      <c r="V545" s="1">
        <v>46600</v>
      </c>
      <c r="W545" s="1">
        <v>46675</v>
      </c>
      <c r="X545" s="1">
        <v>46461</v>
      </c>
      <c r="Z545" t="s">
        <v>52</v>
      </c>
      <c r="AB545" t="s">
        <v>52</v>
      </c>
      <c r="AC545">
        <v>80</v>
      </c>
      <c r="AD545">
        <v>1</v>
      </c>
      <c r="AK545" t="s">
        <v>52</v>
      </c>
      <c r="AN545" t="s">
        <v>52</v>
      </c>
      <c r="AO545" t="s">
        <v>52</v>
      </c>
      <c r="AP545" t="s">
        <v>52</v>
      </c>
      <c r="AQ545" t="s">
        <v>52</v>
      </c>
      <c r="AR545" t="s">
        <v>55</v>
      </c>
    </row>
    <row r="546" spans="1:45" x14ac:dyDescent="0.25">
      <c r="A546" t="s">
        <v>47</v>
      </c>
      <c r="B546">
        <v>8</v>
      </c>
      <c r="C546" t="s">
        <v>146</v>
      </c>
      <c r="D546">
        <v>41</v>
      </c>
      <c r="E546" t="s">
        <v>70</v>
      </c>
      <c r="F546">
        <v>296</v>
      </c>
      <c r="G546" t="s">
        <v>71</v>
      </c>
      <c r="H546" t="s">
        <v>50</v>
      </c>
      <c r="K546" t="s">
        <v>51</v>
      </c>
      <c r="L546">
        <v>1</v>
      </c>
      <c r="M546" t="s">
        <v>52</v>
      </c>
      <c r="N546" t="s">
        <v>53</v>
      </c>
      <c r="Q546">
        <v>224.33330000000001</v>
      </c>
      <c r="R546">
        <v>0</v>
      </c>
      <c r="S546">
        <v>0.75</v>
      </c>
      <c r="T546">
        <v>0</v>
      </c>
      <c r="U546">
        <v>0</v>
      </c>
      <c r="W546" s="1">
        <v>46675</v>
      </c>
      <c r="X546" s="1">
        <v>46357</v>
      </c>
      <c r="Y546" t="s">
        <v>54</v>
      </c>
      <c r="Z546" t="s">
        <v>52</v>
      </c>
      <c r="AB546" t="s">
        <v>52</v>
      </c>
      <c r="AC546">
        <v>296</v>
      </c>
      <c r="AD546">
        <v>1</v>
      </c>
      <c r="AK546" t="s">
        <v>52</v>
      </c>
      <c r="AN546" t="s">
        <v>52</v>
      </c>
      <c r="AO546" t="s">
        <v>52</v>
      </c>
      <c r="AP546" t="s">
        <v>52</v>
      </c>
      <c r="AQ546" t="s">
        <v>52</v>
      </c>
      <c r="AR546" t="s">
        <v>55</v>
      </c>
    </row>
    <row r="547" spans="1:45" x14ac:dyDescent="0.25">
      <c r="A547" t="s">
        <v>47</v>
      </c>
      <c r="B547">
        <v>8</v>
      </c>
      <c r="C547" t="s">
        <v>146</v>
      </c>
      <c r="D547">
        <v>41</v>
      </c>
      <c r="E547" t="s">
        <v>70</v>
      </c>
      <c r="F547">
        <v>296</v>
      </c>
      <c r="G547" t="s">
        <v>71</v>
      </c>
      <c r="H547" t="s">
        <v>50</v>
      </c>
      <c r="K547" t="s">
        <v>52</v>
      </c>
      <c r="L547">
        <v>1</v>
      </c>
      <c r="M547" t="s">
        <v>52</v>
      </c>
      <c r="N547" t="s">
        <v>53</v>
      </c>
      <c r="Q547">
        <v>224.33330000000001</v>
      </c>
      <c r="R547">
        <v>0</v>
      </c>
      <c r="S547">
        <v>0.75</v>
      </c>
      <c r="T547">
        <v>0</v>
      </c>
      <c r="U547">
        <v>0</v>
      </c>
      <c r="W547" s="1">
        <v>46675</v>
      </c>
      <c r="X547" s="1">
        <v>46357</v>
      </c>
      <c r="Y547" t="s">
        <v>54</v>
      </c>
      <c r="Z547" t="s">
        <v>52</v>
      </c>
      <c r="AB547" t="s">
        <v>52</v>
      </c>
      <c r="AC547">
        <v>296</v>
      </c>
      <c r="AD547">
        <v>1</v>
      </c>
      <c r="AK547" t="s">
        <v>52</v>
      </c>
      <c r="AN547" t="s">
        <v>52</v>
      </c>
      <c r="AO547" t="s">
        <v>52</v>
      </c>
      <c r="AP547" t="s">
        <v>52</v>
      </c>
      <c r="AQ547" t="s">
        <v>52</v>
      </c>
      <c r="AR547" t="s">
        <v>55</v>
      </c>
    </row>
    <row r="548" spans="1:45" x14ac:dyDescent="0.25">
      <c r="A548" t="s">
        <v>47</v>
      </c>
      <c r="B548">
        <v>8</v>
      </c>
      <c r="C548" t="s">
        <v>146</v>
      </c>
      <c r="D548">
        <v>41</v>
      </c>
      <c r="E548" t="s">
        <v>70</v>
      </c>
      <c r="F548">
        <v>296</v>
      </c>
      <c r="G548" t="s">
        <v>74</v>
      </c>
      <c r="H548" t="s">
        <v>50</v>
      </c>
      <c r="K548" t="s">
        <v>51</v>
      </c>
      <c r="L548">
        <v>1</v>
      </c>
      <c r="M548" t="s">
        <v>52</v>
      </c>
      <c r="N548" t="s">
        <v>53</v>
      </c>
      <c r="R548">
        <v>0</v>
      </c>
      <c r="S548">
        <v>0.75</v>
      </c>
      <c r="U548">
        <v>0</v>
      </c>
      <c r="W548" s="1">
        <v>46675</v>
      </c>
      <c r="X548" s="1">
        <v>46357</v>
      </c>
      <c r="Z548" t="s">
        <v>52</v>
      </c>
      <c r="AB548" t="s">
        <v>52</v>
      </c>
      <c r="AC548">
        <v>102</v>
      </c>
      <c r="AD548">
        <v>1</v>
      </c>
      <c r="AK548" t="s">
        <v>52</v>
      </c>
      <c r="AN548" t="s">
        <v>52</v>
      </c>
      <c r="AO548" t="s">
        <v>52</v>
      </c>
      <c r="AP548" t="s">
        <v>52</v>
      </c>
      <c r="AQ548" t="s">
        <v>52</v>
      </c>
      <c r="AR548" t="s">
        <v>55</v>
      </c>
    </row>
    <row r="549" spans="1:45" x14ac:dyDescent="0.25">
      <c r="A549" t="s">
        <v>47</v>
      </c>
      <c r="B549">
        <v>8</v>
      </c>
      <c r="C549" t="s">
        <v>146</v>
      </c>
      <c r="D549">
        <v>41</v>
      </c>
      <c r="E549" t="s">
        <v>70</v>
      </c>
      <c r="F549">
        <v>296</v>
      </c>
      <c r="G549" t="s">
        <v>74</v>
      </c>
      <c r="H549" t="s">
        <v>50</v>
      </c>
      <c r="K549" t="s">
        <v>52</v>
      </c>
      <c r="L549">
        <v>1</v>
      </c>
      <c r="M549" t="s">
        <v>52</v>
      </c>
      <c r="N549" t="s">
        <v>53</v>
      </c>
      <c r="R549">
        <v>0</v>
      </c>
      <c r="S549">
        <v>0.75</v>
      </c>
      <c r="T549">
        <v>0</v>
      </c>
      <c r="U549">
        <v>0</v>
      </c>
      <c r="W549" s="1">
        <v>46675</v>
      </c>
      <c r="X549" s="1">
        <v>46357</v>
      </c>
      <c r="Z549" t="s">
        <v>52</v>
      </c>
      <c r="AB549" t="s">
        <v>52</v>
      </c>
      <c r="AC549">
        <v>102</v>
      </c>
      <c r="AD549">
        <v>1</v>
      </c>
      <c r="AK549" t="s">
        <v>52</v>
      </c>
      <c r="AN549" t="s">
        <v>52</v>
      </c>
      <c r="AO549" t="s">
        <v>52</v>
      </c>
      <c r="AP549" t="s">
        <v>52</v>
      </c>
      <c r="AQ549" t="s">
        <v>52</v>
      </c>
      <c r="AR549" t="s">
        <v>55</v>
      </c>
      <c r="AS549" t="s">
        <v>106</v>
      </c>
    </row>
    <row r="550" spans="1:45" x14ac:dyDescent="0.25">
      <c r="A550" t="s">
        <v>47</v>
      </c>
      <c r="B550">
        <v>8</v>
      </c>
      <c r="C550" t="s">
        <v>146</v>
      </c>
      <c r="D550">
        <v>41</v>
      </c>
      <c r="E550" t="s">
        <v>75</v>
      </c>
      <c r="F550">
        <v>16</v>
      </c>
      <c r="G550" t="s">
        <v>76</v>
      </c>
      <c r="H550" t="s">
        <v>50</v>
      </c>
      <c r="K550" t="s">
        <v>51</v>
      </c>
      <c r="L550">
        <v>1</v>
      </c>
      <c r="M550" t="s">
        <v>52</v>
      </c>
      <c r="N550" t="s">
        <v>53</v>
      </c>
      <c r="R550">
        <v>0.5</v>
      </c>
      <c r="S550">
        <v>0.75</v>
      </c>
      <c r="T550">
        <v>0</v>
      </c>
      <c r="U550">
        <v>0</v>
      </c>
      <c r="V550" s="1">
        <v>46569</v>
      </c>
      <c r="W550" s="1">
        <v>46691</v>
      </c>
      <c r="X550" s="1">
        <v>46461</v>
      </c>
      <c r="Z550" t="s">
        <v>52</v>
      </c>
      <c r="AB550" t="s">
        <v>52</v>
      </c>
      <c r="AC550">
        <v>16</v>
      </c>
      <c r="AD550">
        <v>2</v>
      </c>
      <c r="AK550" t="s">
        <v>52</v>
      </c>
      <c r="AN550" t="s">
        <v>52</v>
      </c>
      <c r="AO550" t="s">
        <v>52</v>
      </c>
      <c r="AP550" t="s">
        <v>52</v>
      </c>
      <c r="AQ550" t="s">
        <v>52</v>
      </c>
      <c r="AR550" t="s">
        <v>55</v>
      </c>
    </row>
    <row r="551" spans="1:45" x14ac:dyDescent="0.25">
      <c r="A551" t="s">
        <v>47</v>
      </c>
      <c r="B551">
        <v>8</v>
      </c>
      <c r="C551" t="s">
        <v>146</v>
      </c>
      <c r="D551">
        <v>41</v>
      </c>
      <c r="E551" t="s">
        <v>75</v>
      </c>
      <c r="F551">
        <v>16</v>
      </c>
      <c r="G551" t="s">
        <v>76</v>
      </c>
      <c r="H551" t="s">
        <v>50</v>
      </c>
      <c r="K551" t="s">
        <v>52</v>
      </c>
      <c r="L551">
        <v>1</v>
      </c>
      <c r="M551" t="s">
        <v>52</v>
      </c>
      <c r="N551" t="s">
        <v>53</v>
      </c>
      <c r="R551">
        <v>0.5</v>
      </c>
      <c r="S551">
        <v>0.75</v>
      </c>
      <c r="T551">
        <v>0</v>
      </c>
      <c r="U551">
        <v>0</v>
      </c>
      <c r="V551" s="1">
        <v>46569</v>
      </c>
      <c r="W551" s="1">
        <v>46691</v>
      </c>
      <c r="X551" s="1">
        <v>46461</v>
      </c>
      <c r="Z551" t="s">
        <v>52</v>
      </c>
      <c r="AB551" t="s">
        <v>52</v>
      </c>
      <c r="AC551">
        <v>16</v>
      </c>
      <c r="AD551">
        <v>2</v>
      </c>
      <c r="AK551" t="s">
        <v>52</v>
      </c>
      <c r="AN551" t="s">
        <v>52</v>
      </c>
      <c r="AO551" t="s">
        <v>52</v>
      </c>
      <c r="AP551" t="s">
        <v>52</v>
      </c>
      <c r="AQ551" t="s">
        <v>52</v>
      </c>
      <c r="AR551" t="s">
        <v>55</v>
      </c>
    </row>
    <row r="552" spans="1:45" x14ac:dyDescent="0.25">
      <c r="A552" t="s">
        <v>47</v>
      </c>
      <c r="B552">
        <v>8</v>
      </c>
      <c r="C552" t="s">
        <v>146</v>
      </c>
      <c r="D552">
        <v>41</v>
      </c>
      <c r="E552" t="s">
        <v>93</v>
      </c>
      <c r="F552">
        <v>94</v>
      </c>
      <c r="H552" t="s">
        <v>50</v>
      </c>
      <c r="K552" t="s">
        <v>52</v>
      </c>
      <c r="L552">
        <v>1</v>
      </c>
      <c r="M552" t="s">
        <v>52</v>
      </c>
      <c r="N552" t="s">
        <v>53</v>
      </c>
      <c r="R552">
        <v>0.77</v>
      </c>
      <c r="S552">
        <v>0.93</v>
      </c>
      <c r="T552">
        <v>0</v>
      </c>
      <c r="U552">
        <v>0</v>
      </c>
      <c r="V552" s="1">
        <v>46326</v>
      </c>
      <c r="W552" s="1">
        <v>46691</v>
      </c>
      <c r="X552" s="1">
        <v>46266</v>
      </c>
      <c r="Z552" t="s">
        <v>52</v>
      </c>
      <c r="AB552" t="s">
        <v>52</v>
      </c>
      <c r="AC552">
        <v>94</v>
      </c>
      <c r="AD552">
        <v>2</v>
      </c>
      <c r="AK552" t="s">
        <v>52</v>
      </c>
      <c r="AN552" t="s">
        <v>52</v>
      </c>
      <c r="AO552" t="s">
        <v>52</v>
      </c>
      <c r="AP552" t="s">
        <v>52</v>
      </c>
      <c r="AQ552" t="s">
        <v>52</v>
      </c>
      <c r="AR552" t="s">
        <v>55</v>
      </c>
    </row>
    <row r="553" spans="1:45" x14ac:dyDescent="0.25">
      <c r="A553" t="s">
        <v>47</v>
      </c>
      <c r="B553">
        <v>8</v>
      </c>
      <c r="C553" t="s">
        <v>146</v>
      </c>
      <c r="D553">
        <v>41</v>
      </c>
      <c r="E553" t="s">
        <v>77</v>
      </c>
      <c r="F553">
        <v>51</v>
      </c>
      <c r="G553" t="s">
        <v>78</v>
      </c>
      <c r="H553" t="s">
        <v>50</v>
      </c>
      <c r="K553" t="s">
        <v>51</v>
      </c>
      <c r="L553">
        <v>1</v>
      </c>
      <c r="M553" t="s">
        <v>52</v>
      </c>
      <c r="N553" t="s">
        <v>53</v>
      </c>
      <c r="R553">
        <v>0.5</v>
      </c>
      <c r="S553">
        <v>0.73</v>
      </c>
      <c r="T553">
        <v>0</v>
      </c>
      <c r="U553">
        <v>0</v>
      </c>
      <c r="V553" s="1">
        <v>46569</v>
      </c>
      <c r="W553" s="1">
        <v>46675</v>
      </c>
      <c r="X553" s="1">
        <v>46461</v>
      </c>
      <c r="Z553" t="s">
        <v>52</v>
      </c>
      <c r="AB553" t="s">
        <v>52</v>
      </c>
      <c r="AC553">
        <v>51</v>
      </c>
      <c r="AD553">
        <v>2</v>
      </c>
      <c r="AK553" t="s">
        <v>52</v>
      </c>
      <c r="AN553" t="s">
        <v>52</v>
      </c>
      <c r="AO553" t="s">
        <v>52</v>
      </c>
      <c r="AP553" t="s">
        <v>52</v>
      </c>
      <c r="AQ553" t="s">
        <v>52</v>
      </c>
      <c r="AR553" t="s">
        <v>55</v>
      </c>
      <c r="AS553" t="s">
        <v>60</v>
      </c>
    </row>
    <row r="554" spans="1:45" x14ac:dyDescent="0.25">
      <c r="A554" t="s">
        <v>47</v>
      </c>
      <c r="B554">
        <v>8</v>
      </c>
      <c r="C554" t="s">
        <v>146</v>
      </c>
      <c r="D554">
        <v>41</v>
      </c>
      <c r="E554" t="s">
        <v>77</v>
      </c>
      <c r="F554">
        <v>51</v>
      </c>
      <c r="G554" t="s">
        <v>78</v>
      </c>
      <c r="H554" t="s">
        <v>50</v>
      </c>
      <c r="K554" t="s">
        <v>52</v>
      </c>
      <c r="L554">
        <v>1</v>
      </c>
      <c r="M554" t="s">
        <v>52</v>
      </c>
      <c r="N554" t="s">
        <v>53</v>
      </c>
      <c r="R554">
        <v>0.5</v>
      </c>
      <c r="S554">
        <v>0.73</v>
      </c>
      <c r="T554">
        <v>0</v>
      </c>
      <c r="U554">
        <v>0</v>
      </c>
      <c r="V554" s="1">
        <v>46569</v>
      </c>
      <c r="W554" s="1">
        <v>46675</v>
      </c>
      <c r="X554" s="1">
        <v>46461</v>
      </c>
      <c r="Z554" t="s">
        <v>52</v>
      </c>
      <c r="AB554" t="s">
        <v>52</v>
      </c>
      <c r="AC554">
        <v>51</v>
      </c>
      <c r="AD554">
        <v>2</v>
      </c>
      <c r="AK554" t="s">
        <v>52</v>
      </c>
      <c r="AN554" t="s">
        <v>52</v>
      </c>
      <c r="AO554" t="s">
        <v>52</v>
      </c>
      <c r="AP554" t="s">
        <v>52</v>
      </c>
      <c r="AQ554" t="s">
        <v>52</v>
      </c>
      <c r="AR554" t="s">
        <v>55</v>
      </c>
      <c r="AS554" t="s">
        <v>60</v>
      </c>
    </row>
    <row r="555" spans="1:45" x14ac:dyDescent="0.25">
      <c r="A555" t="s">
        <v>47</v>
      </c>
      <c r="B555">
        <v>8</v>
      </c>
      <c r="C555" t="s">
        <v>146</v>
      </c>
      <c r="D555">
        <v>41</v>
      </c>
      <c r="E555" t="s">
        <v>79</v>
      </c>
      <c r="F555">
        <v>50</v>
      </c>
      <c r="G555" t="s">
        <v>65</v>
      </c>
      <c r="H555" t="s">
        <v>50</v>
      </c>
      <c r="K555" t="s">
        <v>51</v>
      </c>
      <c r="L555">
        <v>1</v>
      </c>
      <c r="M555" t="s">
        <v>52</v>
      </c>
      <c r="N555" t="s">
        <v>53</v>
      </c>
      <c r="R555">
        <v>0.5</v>
      </c>
      <c r="S555">
        <v>0.75</v>
      </c>
      <c r="T555">
        <v>0</v>
      </c>
      <c r="U555">
        <v>0</v>
      </c>
      <c r="V555" s="1">
        <v>46583</v>
      </c>
      <c r="W555" s="1">
        <v>46675</v>
      </c>
      <c r="X555" s="1">
        <v>46461</v>
      </c>
      <c r="Z555" t="s">
        <v>52</v>
      </c>
      <c r="AB555" t="s">
        <v>52</v>
      </c>
      <c r="AC555">
        <v>50</v>
      </c>
      <c r="AD555">
        <v>1</v>
      </c>
      <c r="AK555" t="s">
        <v>52</v>
      </c>
      <c r="AN555" t="s">
        <v>52</v>
      </c>
      <c r="AO555" t="s">
        <v>52</v>
      </c>
      <c r="AP555" t="s">
        <v>52</v>
      </c>
      <c r="AQ555" t="s">
        <v>52</v>
      </c>
      <c r="AR555" t="s">
        <v>55</v>
      </c>
    </row>
    <row r="556" spans="1:45" x14ac:dyDescent="0.25">
      <c r="A556" t="s">
        <v>47</v>
      </c>
      <c r="B556">
        <v>8</v>
      </c>
      <c r="C556" t="s">
        <v>146</v>
      </c>
      <c r="D556">
        <v>41</v>
      </c>
      <c r="E556" t="s">
        <v>79</v>
      </c>
      <c r="F556">
        <v>50</v>
      </c>
      <c r="G556" t="s">
        <v>65</v>
      </c>
      <c r="H556" t="s">
        <v>50</v>
      </c>
      <c r="K556" t="s">
        <v>52</v>
      </c>
      <c r="L556">
        <v>1</v>
      </c>
      <c r="M556" t="s">
        <v>52</v>
      </c>
      <c r="N556" t="s">
        <v>53</v>
      </c>
      <c r="R556">
        <v>0.5</v>
      </c>
      <c r="S556">
        <v>0.75</v>
      </c>
      <c r="T556">
        <v>0</v>
      </c>
      <c r="U556">
        <v>0</v>
      </c>
      <c r="V556" s="1">
        <v>46583</v>
      </c>
      <c r="W556" s="1">
        <v>46675</v>
      </c>
      <c r="X556" s="1">
        <v>46461</v>
      </c>
      <c r="Z556" t="s">
        <v>52</v>
      </c>
      <c r="AB556" t="s">
        <v>52</v>
      </c>
      <c r="AC556">
        <v>50</v>
      </c>
      <c r="AD556">
        <v>1</v>
      </c>
      <c r="AK556" t="s">
        <v>52</v>
      </c>
      <c r="AN556" t="s">
        <v>52</v>
      </c>
      <c r="AO556" t="s">
        <v>52</v>
      </c>
      <c r="AP556" t="s">
        <v>52</v>
      </c>
      <c r="AQ556" t="s">
        <v>52</v>
      </c>
      <c r="AR556" t="s">
        <v>55</v>
      </c>
    </row>
    <row r="557" spans="1:45" x14ac:dyDescent="0.25">
      <c r="A557" t="s">
        <v>47</v>
      </c>
      <c r="B557">
        <v>8</v>
      </c>
      <c r="C557" t="s">
        <v>146</v>
      </c>
      <c r="D557">
        <v>41</v>
      </c>
      <c r="E557" t="s">
        <v>79</v>
      </c>
      <c r="F557">
        <v>50</v>
      </c>
      <c r="G557" t="s">
        <v>81</v>
      </c>
      <c r="H557" t="s">
        <v>50</v>
      </c>
      <c r="K557" t="s">
        <v>51</v>
      </c>
      <c r="L557">
        <v>1</v>
      </c>
      <c r="M557" t="s">
        <v>52</v>
      </c>
      <c r="N557" t="s">
        <v>53</v>
      </c>
      <c r="R557">
        <v>0.5</v>
      </c>
      <c r="S557">
        <v>0.75</v>
      </c>
      <c r="T557">
        <v>0</v>
      </c>
      <c r="U557">
        <v>0</v>
      </c>
      <c r="V557" s="1">
        <v>46583</v>
      </c>
      <c r="W557" s="1">
        <v>46675</v>
      </c>
      <c r="X557" s="1">
        <v>46461</v>
      </c>
      <c r="Z557" t="s">
        <v>52</v>
      </c>
      <c r="AB557" t="s">
        <v>52</v>
      </c>
      <c r="AC557">
        <v>50</v>
      </c>
      <c r="AD557">
        <v>1</v>
      </c>
      <c r="AK557" t="s">
        <v>52</v>
      </c>
      <c r="AN557" t="s">
        <v>52</v>
      </c>
      <c r="AO557" t="s">
        <v>52</v>
      </c>
      <c r="AP557" t="s">
        <v>52</v>
      </c>
      <c r="AQ557" t="s">
        <v>52</v>
      </c>
      <c r="AR557" t="s">
        <v>55</v>
      </c>
    </row>
    <row r="558" spans="1:45" x14ac:dyDescent="0.25">
      <c r="A558" t="s">
        <v>47</v>
      </c>
      <c r="B558">
        <v>8</v>
      </c>
      <c r="C558" t="s">
        <v>146</v>
      </c>
      <c r="D558">
        <v>41</v>
      </c>
      <c r="E558" t="s">
        <v>79</v>
      </c>
      <c r="F558">
        <v>50</v>
      </c>
      <c r="G558" t="s">
        <v>81</v>
      </c>
      <c r="H558" t="s">
        <v>50</v>
      </c>
      <c r="K558" t="s">
        <v>52</v>
      </c>
      <c r="L558">
        <v>1</v>
      </c>
      <c r="M558" t="s">
        <v>52</v>
      </c>
      <c r="N558" t="s">
        <v>53</v>
      </c>
      <c r="R558">
        <v>0.5</v>
      </c>
      <c r="S558">
        <v>0.75</v>
      </c>
      <c r="T558">
        <v>0</v>
      </c>
      <c r="U558">
        <v>0</v>
      </c>
      <c r="V558" s="1">
        <v>46583</v>
      </c>
      <c r="W558" s="1">
        <v>46675</v>
      </c>
      <c r="X558" s="1">
        <v>46461</v>
      </c>
      <c r="Z558" t="s">
        <v>52</v>
      </c>
      <c r="AB558" t="s">
        <v>52</v>
      </c>
      <c r="AC558">
        <v>50</v>
      </c>
      <c r="AD558">
        <v>1</v>
      </c>
      <c r="AK558" t="s">
        <v>52</v>
      </c>
      <c r="AN558" t="s">
        <v>52</v>
      </c>
      <c r="AO558" t="s">
        <v>52</v>
      </c>
      <c r="AP558" t="s">
        <v>52</v>
      </c>
      <c r="AQ558" t="s">
        <v>52</v>
      </c>
      <c r="AR558" t="s">
        <v>55</v>
      </c>
    </row>
    <row r="559" spans="1:45" x14ac:dyDescent="0.25">
      <c r="A559" t="s">
        <v>47</v>
      </c>
      <c r="B559">
        <v>8</v>
      </c>
      <c r="C559" t="s">
        <v>146</v>
      </c>
      <c r="D559">
        <v>41</v>
      </c>
      <c r="E559" t="s">
        <v>83</v>
      </c>
      <c r="F559">
        <v>158</v>
      </c>
      <c r="H559" t="s">
        <v>50</v>
      </c>
      <c r="K559" t="s">
        <v>51</v>
      </c>
      <c r="L559">
        <v>1</v>
      </c>
      <c r="M559" t="s">
        <v>52</v>
      </c>
      <c r="N559" t="s">
        <v>53</v>
      </c>
      <c r="P559">
        <v>1.3</v>
      </c>
      <c r="R559">
        <v>0.77</v>
      </c>
      <c r="S559">
        <v>0.93</v>
      </c>
      <c r="T559">
        <v>0</v>
      </c>
      <c r="U559">
        <v>0</v>
      </c>
      <c r="V559" s="1">
        <v>46326</v>
      </c>
      <c r="W559" s="1">
        <v>46691</v>
      </c>
      <c r="X559" s="1">
        <v>46266</v>
      </c>
      <c r="Z559" t="s">
        <v>52</v>
      </c>
      <c r="AA559" t="s">
        <v>54</v>
      </c>
      <c r="AB559" t="s">
        <v>52</v>
      </c>
      <c r="AC559">
        <v>158</v>
      </c>
      <c r="AD559">
        <v>2</v>
      </c>
      <c r="AK559" t="s">
        <v>52</v>
      </c>
      <c r="AN559" t="s">
        <v>52</v>
      </c>
      <c r="AO559" t="s">
        <v>52</v>
      </c>
      <c r="AP559" t="s">
        <v>52</v>
      </c>
      <c r="AQ559" t="s">
        <v>52</v>
      </c>
      <c r="AR559" t="s">
        <v>95</v>
      </c>
      <c r="AS559" t="s">
        <v>140</v>
      </c>
    </row>
    <row r="560" spans="1:45" x14ac:dyDescent="0.25">
      <c r="A560" t="s">
        <v>47</v>
      </c>
      <c r="B560">
        <v>8</v>
      </c>
      <c r="C560" t="s">
        <v>146</v>
      </c>
      <c r="D560">
        <v>41</v>
      </c>
      <c r="E560" t="s">
        <v>83</v>
      </c>
      <c r="F560">
        <v>158</v>
      </c>
      <c r="H560" t="s">
        <v>50</v>
      </c>
      <c r="K560" t="s">
        <v>52</v>
      </c>
      <c r="L560">
        <v>1</v>
      </c>
      <c r="M560" t="s">
        <v>52</v>
      </c>
      <c r="N560" t="s">
        <v>53</v>
      </c>
      <c r="R560">
        <v>0.77</v>
      </c>
      <c r="S560">
        <v>0.93</v>
      </c>
      <c r="T560">
        <v>0</v>
      </c>
      <c r="U560">
        <v>0</v>
      </c>
      <c r="V560" s="1">
        <v>46326</v>
      </c>
      <c r="W560" s="1">
        <v>46691</v>
      </c>
      <c r="X560" s="1">
        <v>46266</v>
      </c>
      <c r="Z560" t="s">
        <v>52</v>
      </c>
      <c r="AB560" t="s">
        <v>52</v>
      </c>
      <c r="AC560">
        <v>158</v>
      </c>
      <c r="AD560">
        <v>2</v>
      </c>
      <c r="AK560" t="s">
        <v>52</v>
      </c>
      <c r="AN560" t="s">
        <v>52</v>
      </c>
      <c r="AO560" t="s">
        <v>52</v>
      </c>
      <c r="AP560" t="s">
        <v>52</v>
      </c>
      <c r="AQ560" t="s">
        <v>52</v>
      </c>
      <c r="AR560" t="s">
        <v>55</v>
      </c>
    </row>
    <row r="561" spans="1:45" x14ac:dyDescent="0.25">
      <c r="A561" t="s">
        <v>47</v>
      </c>
      <c r="B561">
        <v>8</v>
      </c>
      <c r="C561" t="s">
        <v>150</v>
      </c>
      <c r="D561">
        <v>43</v>
      </c>
      <c r="E561" t="s">
        <v>49</v>
      </c>
      <c r="F561">
        <v>27</v>
      </c>
      <c r="H561" t="s">
        <v>50</v>
      </c>
      <c r="K561" t="s">
        <v>51</v>
      </c>
      <c r="L561">
        <v>1</v>
      </c>
      <c r="M561" t="s">
        <v>52</v>
      </c>
      <c r="N561" t="s">
        <v>53</v>
      </c>
      <c r="Q561">
        <v>230</v>
      </c>
      <c r="R561">
        <v>0</v>
      </c>
      <c r="S561">
        <v>0.75</v>
      </c>
      <c r="T561">
        <v>0</v>
      </c>
      <c r="U561">
        <v>0</v>
      </c>
      <c r="W561" s="1">
        <v>46675</v>
      </c>
      <c r="X561" s="1">
        <v>46357</v>
      </c>
      <c r="Y561" t="s">
        <v>54</v>
      </c>
      <c r="Z561" t="s">
        <v>52</v>
      </c>
      <c r="AB561" t="s">
        <v>52</v>
      </c>
      <c r="AC561">
        <v>27</v>
      </c>
      <c r="AD561">
        <v>1</v>
      </c>
      <c r="AE561">
        <v>0.97</v>
      </c>
      <c r="AG561">
        <v>0.97</v>
      </c>
      <c r="AK561" t="s">
        <v>52</v>
      </c>
      <c r="AN561" t="s">
        <v>52</v>
      </c>
      <c r="AO561" t="s">
        <v>52</v>
      </c>
      <c r="AP561" t="s">
        <v>52</v>
      </c>
      <c r="AQ561" t="s">
        <v>52</v>
      </c>
      <c r="AR561" t="s">
        <v>55</v>
      </c>
      <c r="AS561" t="s">
        <v>56</v>
      </c>
    </row>
    <row r="562" spans="1:45" x14ac:dyDescent="0.25">
      <c r="A562" t="s">
        <v>47</v>
      </c>
      <c r="B562">
        <v>8</v>
      </c>
      <c r="C562" t="s">
        <v>150</v>
      </c>
      <c r="D562">
        <v>43</v>
      </c>
      <c r="E562" t="s">
        <v>58</v>
      </c>
      <c r="F562">
        <v>102</v>
      </c>
      <c r="G562" t="s">
        <v>61</v>
      </c>
      <c r="H562" t="s">
        <v>50</v>
      </c>
      <c r="K562" t="s">
        <v>51</v>
      </c>
      <c r="L562">
        <v>1</v>
      </c>
      <c r="M562" t="s">
        <v>52</v>
      </c>
      <c r="N562" t="s">
        <v>53</v>
      </c>
      <c r="R562">
        <v>0</v>
      </c>
      <c r="S562">
        <v>0.92</v>
      </c>
      <c r="T562">
        <v>0</v>
      </c>
      <c r="U562">
        <v>0</v>
      </c>
      <c r="W562" s="1">
        <v>46731</v>
      </c>
      <c r="X562" s="1">
        <v>46357</v>
      </c>
      <c r="Z562" t="s">
        <v>52</v>
      </c>
      <c r="AB562" t="s">
        <v>52</v>
      </c>
      <c r="AC562">
        <v>102</v>
      </c>
      <c r="AD562">
        <v>1</v>
      </c>
      <c r="AK562" t="s">
        <v>52</v>
      </c>
      <c r="AN562" t="s">
        <v>52</v>
      </c>
      <c r="AO562" t="s">
        <v>52</v>
      </c>
      <c r="AP562" t="s">
        <v>52</v>
      </c>
      <c r="AQ562" t="s">
        <v>52</v>
      </c>
      <c r="AR562" t="s">
        <v>55</v>
      </c>
    </row>
    <row r="563" spans="1:45" x14ac:dyDescent="0.25">
      <c r="A563" t="s">
        <v>47</v>
      </c>
      <c r="B563">
        <v>8</v>
      </c>
      <c r="C563" t="s">
        <v>150</v>
      </c>
      <c r="D563">
        <v>43</v>
      </c>
      <c r="E563" t="s">
        <v>58</v>
      </c>
      <c r="F563">
        <v>102</v>
      </c>
      <c r="G563" t="s">
        <v>61</v>
      </c>
      <c r="H563" t="s">
        <v>50</v>
      </c>
      <c r="K563" t="s">
        <v>52</v>
      </c>
      <c r="L563">
        <v>1</v>
      </c>
      <c r="M563" t="s">
        <v>52</v>
      </c>
      <c r="N563" t="s">
        <v>53</v>
      </c>
      <c r="R563">
        <v>0</v>
      </c>
      <c r="S563">
        <v>0.92</v>
      </c>
      <c r="T563">
        <v>0</v>
      </c>
      <c r="U563">
        <v>0</v>
      </c>
      <c r="W563" s="1">
        <v>46731</v>
      </c>
      <c r="X563" s="1">
        <v>46357</v>
      </c>
      <c r="Z563" t="s">
        <v>52</v>
      </c>
      <c r="AB563" t="s">
        <v>52</v>
      </c>
      <c r="AC563">
        <v>102</v>
      </c>
      <c r="AD563">
        <v>1</v>
      </c>
      <c r="AK563" t="s">
        <v>52</v>
      </c>
      <c r="AN563" t="s">
        <v>52</v>
      </c>
      <c r="AO563" t="s">
        <v>52</v>
      </c>
      <c r="AP563" t="s">
        <v>52</v>
      </c>
      <c r="AQ563" t="s">
        <v>52</v>
      </c>
      <c r="AR563" t="s">
        <v>55</v>
      </c>
    </row>
    <row r="564" spans="1:45" x14ac:dyDescent="0.25">
      <c r="A564" t="s">
        <v>47</v>
      </c>
      <c r="B564">
        <v>8</v>
      </c>
      <c r="C564" t="s">
        <v>150</v>
      </c>
      <c r="D564">
        <v>43</v>
      </c>
      <c r="E564" t="s">
        <v>58</v>
      </c>
      <c r="F564">
        <v>102</v>
      </c>
      <c r="G564" t="s">
        <v>151</v>
      </c>
      <c r="H564" t="s">
        <v>50</v>
      </c>
      <c r="K564" t="s">
        <v>51</v>
      </c>
      <c r="L564">
        <v>1</v>
      </c>
      <c r="M564" t="s">
        <v>52</v>
      </c>
      <c r="N564" t="s">
        <v>53</v>
      </c>
      <c r="R564">
        <v>0</v>
      </c>
      <c r="S564">
        <v>0.92</v>
      </c>
      <c r="T564">
        <v>0</v>
      </c>
      <c r="U564">
        <v>0</v>
      </c>
      <c r="W564" s="1">
        <v>46731</v>
      </c>
      <c r="X564" s="1">
        <v>46357</v>
      </c>
      <c r="Z564" t="s">
        <v>52</v>
      </c>
      <c r="AB564" t="s">
        <v>52</v>
      </c>
      <c r="AC564">
        <v>102</v>
      </c>
      <c r="AD564">
        <v>1</v>
      </c>
      <c r="AK564" t="s">
        <v>52</v>
      </c>
      <c r="AN564" t="s">
        <v>52</v>
      </c>
      <c r="AO564" t="s">
        <v>52</v>
      </c>
      <c r="AP564" t="s">
        <v>52</v>
      </c>
      <c r="AQ564" t="s">
        <v>52</v>
      </c>
      <c r="AR564" t="s">
        <v>55</v>
      </c>
    </row>
    <row r="565" spans="1:45" x14ac:dyDescent="0.25">
      <c r="A565" t="s">
        <v>47</v>
      </c>
      <c r="B565">
        <v>8</v>
      </c>
      <c r="C565" t="s">
        <v>150</v>
      </c>
      <c r="D565">
        <v>43</v>
      </c>
      <c r="E565" t="s">
        <v>58</v>
      </c>
      <c r="F565">
        <v>102</v>
      </c>
      <c r="G565" t="s">
        <v>62</v>
      </c>
      <c r="H565" t="s">
        <v>50</v>
      </c>
      <c r="K565" t="s">
        <v>51</v>
      </c>
      <c r="L565">
        <v>1</v>
      </c>
      <c r="M565" t="s">
        <v>52</v>
      </c>
      <c r="N565" t="s">
        <v>53</v>
      </c>
      <c r="R565">
        <v>0</v>
      </c>
      <c r="S565">
        <v>0.92</v>
      </c>
      <c r="T565">
        <v>0</v>
      </c>
      <c r="U565">
        <v>0</v>
      </c>
      <c r="W565" s="1">
        <v>46731</v>
      </c>
      <c r="X565" s="1">
        <v>46357</v>
      </c>
      <c r="Z565" t="s">
        <v>52</v>
      </c>
      <c r="AB565" t="s">
        <v>52</v>
      </c>
      <c r="AC565">
        <v>102</v>
      </c>
      <c r="AD565">
        <v>1</v>
      </c>
      <c r="AK565" t="s">
        <v>52</v>
      </c>
      <c r="AN565" t="s">
        <v>52</v>
      </c>
      <c r="AO565" t="s">
        <v>52</v>
      </c>
      <c r="AP565" t="s">
        <v>52</v>
      </c>
      <c r="AQ565" t="s">
        <v>52</v>
      </c>
      <c r="AR565" t="s">
        <v>55</v>
      </c>
    </row>
    <row r="566" spans="1:45" x14ac:dyDescent="0.25">
      <c r="A566" t="s">
        <v>47</v>
      </c>
      <c r="B566">
        <v>8</v>
      </c>
      <c r="C566" t="s">
        <v>150</v>
      </c>
      <c r="D566">
        <v>43</v>
      </c>
      <c r="E566" t="s">
        <v>58</v>
      </c>
      <c r="F566">
        <v>102</v>
      </c>
      <c r="G566" t="s">
        <v>62</v>
      </c>
      <c r="H566" t="s">
        <v>50</v>
      </c>
      <c r="K566" t="s">
        <v>52</v>
      </c>
      <c r="L566">
        <v>1</v>
      </c>
      <c r="M566" t="s">
        <v>52</v>
      </c>
      <c r="N566" t="s">
        <v>53</v>
      </c>
      <c r="R566">
        <v>0</v>
      </c>
      <c r="S566">
        <v>0.92</v>
      </c>
      <c r="T566">
        <v>0</v>
      </c>
      <c r="U566">
        <v>0</v>
      </c>
      <c r="W566" s="1">
        <v>46731</v>
      </c>
      <c r="X566" s="1">
        <v>46357</v>
      </c>
      <c r="Z566" t="s">
        <v>52</v>
      </c>
      <c r="AB566" t="s">
        <v>52</v>
      </c>
      <c r="AC566">
        <v>102</v>
      </c>
      <c r="AD566">
        <v>1</v>
      </c>
      <c r="AK566" t="s">
        <v>52</v>
      </c>
      <c r="AN566" t="s">
        <v>52</v>
      </c>
      <c r="AO566" t="s">
        <v>52</v>
      </c>
      <c r="AP566" t="s">
        <v>52</v>
      </c>
      <c r="AQ566" t="s">
        <v>52</v>
      </c>
      <c r="AR566" t="s">
        <v>55</v>
      </c>
    </row>
    <row r="567" spans="1:45" x14ac:dyDescent="0.25">
      <c r="A567" t="s">
        <v>47</v>
      </c>
      <c r="B567">
        <v>8</v>
      </c>
      <c r="C567" t="s">
        <v>150</v>
      </c>
      <c r="D567">
        <v>43</v>
      </c>
      <c r="E567" t="s">
        <v>58</v>
      </c>
      <c r="F567">
        <v>102</v>
      </c>
      <c r="G567" t="s">
        <v>63</v>
      </c>
      <c r="H567" t="s">
        <v>50</v>
      </c>
      <c r="K567" t="s">
        <v>51</v>
      </c>
      <c r="L567">
        <v>1</v>
      </c>
      <c r="M567" t="s">
        <v>52</v>
      </c>
      <c r="N567" t="s">
        <v>53</v>
      </c>
      <c r="R567">
        <v>0</v>
      </c>
      <c r="S567">
        <v>0.92</v>
      </c>
      <c r="T567">
        <v>0</v>
      </c>
      <c r="U567">
        <v>0</v>
      </c>
      <c r="W567" s="1">
        <v>46731</v>
      </c>
      <c r="X567" s="1">
        <v>46357</v>
      </c>
      <c r="Z567" t="s">
        <v>52</v>
      </c>
      <c r="AB567" t="s">
        <v>52</v>
      </c>
      <c r="AC567">
        <v>102</v>
      </c>
      <c r="AD567">
        <v>1</v>
      </c>
      <c r="AK567" t="s">
        <v>52</v>
      </c>
      <c r="AN567" t="s">
        <v>52</v>
      </c>
      <c r="AO567" t="s">
        <v>52</v>
      </c>
      <c r="AP567" t="s">
        <v>52</v>
      </c>
      <c r="AQ567" t="s">
        <v>52</v>
      </c>
      <c r="AR567" t="s">
        <v>55</v>
      </c>
      <c r="AS567" t="s">
        <v>60</v>
      </c>
    </row>
    <row r="568" spans="1:45" x14ac:dyDescent="0.25">
      <c r="A568" t="s">
        <v>47</v>
      </c>
      <c r="B568">
        <v>8</v>
      </c>
      <c r="C568" t="s">
        <v>150</v>
      </c>
      <c r="D568">
        <v>43</v>
      </c>
      <c r="E568" t="s">
        <v>58</v>
      </c>
      <c r="F568">
        <v>102</v>
      </c>
      <c r="G568" t="s">
        <v>63</v>
      </c>
      <c r="H568" t="s">
        <v>50</v>
      </c>
      <c r="K568" t="s">
        <v>52</v>
      </c>
      <c r="L568">
        <v>1</v>
      </c>
      <c r="M568" t="s">
        <v>52</v>
      </c>
      <c r="N568" t="s">
        <v>53</v>
      </c>
      <c r="R568">
        <v>0</v>
      </c>
      <c r="S568">
        <v>0.92</v>
      </c>
      <c r="T568">
        <v>0</v>
      </c>
      <c r="U568">
        <v>0</v>
      </c>
      <c r="W568" s="1">
        <v>46731</v>
      </c>
      <c r="X568" s="1">
        <v>46357</v>
      </c>
      <c r="Z568" t="s">
        <v>52</v>
      </c>
      <c r="AB568" t="s">
        <v>52</v>
      </c>
      <c r="AC568">
        <v>102</v>
      </c>
      <c r="AD568">
        <v>1</v>
      </c>
      <c r="AK568" t="s">
        <v>52</v>
      </c>
      <c r="AN568" t="s">
        <v>52</v>
      </c>
      <c r="AO568" t="s">
        <v>52</v>
      </c>
      <c r="AP568" t="s">
        <v>52</v>
      </c>
      <c r="AQ568" t="s">
        <v>52</v>
      </c>
      <c r="AR568" t="s">
        <v>55</v>
      </c>
      <c r="AS568" t="s">
        <v>60</v>
      </c>
    </row>
    <row r="569" spans="1:45" x14ac:dyDescent="0.25">
      <c r="A569" t="s">
        <v>47</v>
      </c>
      <c r="B569">
        <v>8</v>
      </c>
      <c r="C569" t="s">
        <v>150</v>
      </c>
      <c r="D569">
        <v>43</v>
      </c>
      <c r="E569" t="s">
        <v>58</v>
      </c>
      <c r="F569">
        <v>102</v>
      </c>
      <c r="G569" t="s">
        <v>64</v>
      </c>
      <c r="H569" t="s">
        <v>50</v>
      </c>
      <c r="K569" t="s">
        <v>51</v>
      </c>
      <c r="L569">
        <v>1</v>
      </c>
      <c r="M569" t="s">
        <v>52</v>
      </c>
      <c r="N569" t="s">
        <v>53</v>
      </c>
      <c r="R569">
        <v>0</v>
      </c>
      <c r="S569">
        <v>0.92</v>
      </c>
      <c r="U569">
        <v>0</v>
      </c>
      <c r="W569" s="1">
        <v>46675</v>
      </c>
      <c r="X569" s="1">
        <v>46357</v>
      </c>
      <c r="Z569" t="s">
        <v>52</v>
      </c>
      <c r="AB569" t="s">
        <v>52</v>
      </c>
      <c r="AC569">
        <v>102</v>
      </c>
      <c r="AD569">
        <v>1</v>
      </c>
      <c r="AK569" t="s">
        <v>52</v>
      </c>
      <c r="AN569" t="s">
        <v>52</v>
      </c>
      <c r="AO569" t="s">
        <v>52</v>
      </c>
      <c r="AP569" t="s">
        <v>52</v>
      </c>
      <c r="AQ569" t="s">
        <v>52</v>
      </c>
      <c r="AR569" t="s">
        <v>55</v>
      </c>
      <c r="AS569" t="s">
        <v>60</v>
      </c>
    </row>
    <row r="570" spans="1:45" x14ac:dyDescent="0.25">
      <c r="A570" t="s">
        <v>47</v>
      </c>
      <c r="B570">
        <v>8</v>
      </c>
      <c r="C570" t="s">
        <v>150</v>
      </c>
      <c r="D570">
        <v>43</v>
      </c>
      <c r="E570" t="s">
        <v>58</v>
      </c>
      <c r="F570">
        <v>102</v>
      </c>
      <c r="G570" t="s">
        <v>65</v>
      </c>
      <c r="H570" t="s">
        <v>50</v>
      </c>
      <c r="K570" t="s">
        <v>52</v>
      </c>
      <c r="L570">
        <v>1</v>
      </c>
      <c r="M570" t="s">
        <v>52</v>
      </c>
      <c r="N570" t="s">
        <v>53</v>
      </c>
      <c r="R570">
        <v>0</v>
      </c>
      <c r="S570">
        <v>0.92</v>
      </c>
      <c r="T570">
        <v>0</v>
      </c>
      <c r="U570">
        <v>0</v>
      </c>
      <c r="W570" s="1">
        <v>46731</v>
      </c>
      <c r="X570" s="1">
        <v>46357</v>
      </c>
      <c r="Z570" t="s">
        <v>52</v>
      </c>
      <c r="AB570" t="s">
        <v>52</v>
      </c>
      <c r="AC570">
        <v>102</v>
      </c>
      <c r="AD570">
        <v>1</v>
      </c>
      <c r="AK570" t="s">
        <v>52</v>
      </c>
      <c r="AN570" t="s">
        <v>52</v>
      </c>
      <c r="AO570" t="s">
        <v>52</v>
      </c>
      <c r="AP570" t="s">
        <v>52</v>
      </c>
      <c r="AQ570" t="s">
        <v>52</v>
      </c>
      <c r="AR570" t="s">
        <v>55</v>
      </c>
    </row>
    <row r="571" spans="1:45" x14ac:dyDescent="0.25">
      <c r="A571" t="s">
        <v>47</v>
      </c>
      <c r="B571">
        <v>8</v>
      </c>
      <c r="C571" t="s">
        <v>150</v>
      </c>
      <c r="D571">
        <v>43</v>
      </c>
      <c r="E571" t="s">
        <v>58</v>
      </c>
      <c r="F571">
        <v>102</v>
      </c>
      <c r="G571" t="s">
        <v>118</v>
      </c>
      <c r="H571" t="s">
        <v>50</v>
      </c>
      <c r="K571" t="s">
        <v>51</v>
      </c>
      <c r="L571">
        <v>1</v>
      </c>
      <c r="M571" t="s">
        <v>52</v>
      </c>
      <c r="N571" t="s">
        <v>53</v>
      </c>
      <c r="R571">
        <v>0</v>
      </c>
      <c r="S571">
        <v>0.92</v>
      </c>
      <c r="T571">
        <v>0</v>
      </c>
      <c r="U571">
        <v>0</v>
      </c>
      <c r="W571" s="1">
        <v>46731</v>
      </c>
      <c r="X571" s="1">
        <v>46357</v>
      </c>
      <c r="Z571" t="s">
        <v>52</v>
      </c>
      <c r="AB571" t="s">
        <v>52</v>
      </c>
      <c r="AC571">
        <v>102</v>
      </c>
      <c r="AD571">
        <v>1</v>
      </c>
      <c r="AK571" t="s">
        <v>52</v>
      </c>
      <c r="AN571" t="s">
        <v>52</v>
      </c>
      <c r="AO571" t="s">
        <v>52</v>
      </c>
      <c r="AP571" t="s">
        <v>52</v>
      </c>
      <c r="AQ571" t="s">
        <v>52</v>
      </c>
      <c r="AR571" t="s">
        <v>55</v>
      </c>
      <c r="AS571" t="s">
        <v>60</v>
      </c>
    </row>
    <row r="572" spans="1:45" x14ac:dyDescent="0.25">
      <c r="A572" t="s">
        <v>47</v>
      </c>
      <c r="B572">
        <v>8</v>
      </c>
      <c r="C572" t="s">
        <v>150</v>
      </c>
      <c r="D572">
        <v>43</v>
      </c>
      <c r="E572" t="s">
        <v>58</v>
      </c>
      <c r="F572">
        <v>102</v>
      </c>
      <c r="G572" t="s">
        <v>118</v>
      </c>
      <c r="H572" t="s">
        <v>50</v>
      </c>
      <c r="K572" t="s">
        <v>52</v>
      </c>
      <c r="L572">
        <v>1</v>
      </c>
      <c r="M572" t="s">
        <v>52</v>
      </c>
      <c r="N572" t="s">
        <v>53</v>
      </c>
      <c r="R572">
        <v>0</v>
      </c>
      <c r="S572">
        <v>0.92</v>
      </c>
      <c r="T572">
        <v>0</v>
      </c>
      <c r="U572">
        <v>0</v>
      </c>
      <c r="W572" s="1">
        <v>46731</v>
      </c>
      <c r="X572" s="1">
        <v>46357</v>
      </c>
      <c r="Z572" t="s">
        <v>52</v>
      </c>
      <c r="AB572" t="s">
        <v>52</v>
      </c>
      <c r="AC572">
        <v>102</v>
      </c>
      <c r="AD572">
        <v>1</v>
      </c>
      <c r="AK572" t="s">
        <v>52</v>
      </c>
      <c r="AN572" t="s">
        <v>52</v>
      </c>
      <c r="AO572" t="s">
        <v>52</v>
      </c>
      <c r="AP572" t="s">
        <v>52</v>
      </c>
      <c r="AQ572" t="s">
        <v>52</v>
      </c>
      <c r="AR572" t="s">
        <v>55</v>
      </c>
      <c r="AS572" t="s">
        <v>60</v>
      </c>
    </row>
    <row r="573" spans="1:45" x14ac:dyDescent="0.25">
      <c r="A573" t="s">
        <v>47</v>
      </c>
      <c r="B573">
        <v>8</v>
      </c>
      <c r="C573" t="s">
        <v>150</v>
      </c>
      <c r="D573">
        <v>43</v>
      </c>
      <c r="E573" t="s">
        <v>58</v>
      </c>
      <c r="F573">
        <v>102</v>
      </c>
      <c r="G573" t="s">
        <v>67</v>
      </c>
      <c r="H573" t="s">
        <v>50</v>
      </c>
      <c r="K573" t="s">
        <v>51</v>
      </c>
      <c r="L573">
        <v>1</v>
      </c>
      <c r="M573" t="s">
        <v>52</v>
      </c>
      <c r="N573" t="s">
        <v>53</v>
      </c>
      <c r="R573">
        <v>0</v>
      </c>
      <c r="S573">
        <v>0.92</v>
      </c>
      <c r="T573">
        <v>0</v>
      </c>
      <c r="U573">
        <v>0</v>
      </c>
      <c r="W573" s="1">
        <v>46731</v>
      </c>
      <c r="X573" s="1">
        <v>46357</v>
      </c>
      <c r="Z573" t="s">
        <v>52</v>
      </c>
      <c r="AB573" t="s">
        <v>52</v>
      </c>
      <c r="AC573">
        <v>102</v>
      </c>
      <c r="AD573">
        <v>1</v>
      </c>
      <c r="AK573" t="s">
        <v>52</v>
      </c>
      <c r="AN573" t="s">
        <v>52</v>
      </c>
      <c r="AO573" t="s">
        <v>52</v>
      </c>
      <c r="AP573" t="s">
        <v>52</v>
      </c>
      <c r="AQ573" t="s">
        <v>52</v>
      </c>
      <c r="AR573" t="s">
        <v>55</v>
      </c>
    </row>
    <row r="574" spans="1:45" x14ac:dyDescent="0.25">
      <c r="A574" t="s">
        <v>47</v>
      </c>
      <c r="B574">
        <v>8</v>
      </c>
      <c r="C574" t="s">
        <v>150</v>
      </c>
      <c r="D574">
        <v>43</v>
      </c>
      <c r="E574" t="s">
        <v>58</v>
      </c>
      <c r="F574">
        <v>102</v>
      </c>
      <c r="G574" t="s">
        <v>67</v>
      </c>
      <c r="H574" t="s">
        <v>50</v>
      </c>
      <c r="K574" t="s">
        <v>52</v>
      </c>
      <c r="L574">
        <v>1</v>
      </c>
      <c r="M574" t="s">
        <v>52</v>
      </c>
      <c r="N574" t="s">
        <v>53</v>
      </c>
      <c r="R574">
        <v>0</v>
      </c>
      <c r="S574">
        <v>0.92</v>
      </c>
      <c r="T574">
        <v>0</v>
      </c>
      <c r="U574">
        <v>0</v>
      </c>
      <c r="W574" s="1">
        <v>46731</v>
      </c>
      <c r="X574" s="1">
        <v>46357</v>
      </c>
      <c r="Z574" t="s">
        <v>52</v>
      </c>
      <c r="AB574" t="s">
        <v>52</v>
      </c>
      <c r="AC574">
        <v>102</v>
      </c>
      <c r="AD574">
        <v>1</v>
      </c>
      <c r="AK574" t="s">
        <v>52</v>
      </c>
      <c r="AN574" t="s">
        <v>52</v>
      </c>
      <c r="AO574" t="s">
        <v>52</v>
      </c>
      <c r="AP574" t="s">
        <v>52</v>
      </c>
      <c r="AQ574" t="s">
        <v>52</v>
      </c>
      <c r="AR574" t="s">
        <v>55</v>
      </c>
      <c r="AS574" t="s">
        <v>60</v>
      </c>
    </row>
    <row r="575" spans="1:45" x14ac:dyDescent="0.25">
      <c r="A575" t="s">
        <v>47</v>
      </c>
      <c r="B575">
        <v>8</v>
      </c>
      <c r="C575" t="s">
        <v>150</v>
      </c>
      <c r="D575">
        <v>43</v>
      </c>
      <c r="E575" t="s">
        <v>70</v>
      </c>
      <c r="F575">
        <v>296</v>
      </c>
      <c r="G575" t="s">
        <v>71</v>
      </c>
      <c r="H575" t="s">
        <v>50</v>
      </c>
      <c r="K575" t="s">
        <v>51</v>
      </c>
      <c r="L575">
        <v>1</v>
      </c>
      <c r="M575" t="s">
        <v>52</v>
      </c>
      <c r="N575" t="s">
        <v>53</v>
      </c>
      <c r="Q575">
        <v>224.33330000000001</v>
      </c>
      <c r="R575">
        <v>0</v>
      </c>
      <c r="S575">
        <v>0.75</v>
      </c>
      <c r="T575">
        <v>0</v>
      </c>
      <c r="U575">
        <v>0</v>
      </c>
      <c r="W575" s="1">
        <v>46675</v>
      </c>
      <c r="X575" s="1">
        <v>46357</v>
      </c>
      <c r="Y575" t="s">
        <v>54</v>
      </c>
      <c r="Z575" t="s">
        <v>52</v>
      </c>
      <c r="AB575" t="s">
        <v>52</v>
      </c>
      <c r="AC575">
        <v>296</v>
      </c>
      <c r="AD575">
        <v>1</v>
      </c>
      <c r="AK575" t="s">
        <v>52</v>
      </c>
      <c r="AN575" t="s">
        <v>52</v>
      </c>
      <c r="AO575" t="s">
        <v>52</v>
      </c>
      <c r="AP575" t="s">
        <v>52</v>
      </c>
      <c r="AQ575" t="s">
        <v>52</v>
      </c>
      <c r="AR575" t="s">
        <v>55</v>
      </c>
    </row>
    <row r="576" spans="1:45" x14ac:dyDescent="0.25">
      <c r="A576" t="s">
        <v>47</v>
      </c>
      <c r="B576">
        <v>8</v>
      </c>
      <c r="C576" t="s">
        <v>150</v>
      </c>
      <c r="D576">
        <v>43</v>
      </c>
      <c r="E576" t="s">
        <v>70</v>
      </c>
      <c r="F576">
        <v>296</v>
      </c>
      <c r="G576" t="s">
        <v>72</v>
      </c>
      <c r="H576" t="s">
        <v>50</v>
      </c>
      <c r="K576" t="s">
        <v>51</v>
      </c>
      <c r="L576">
        <v>1</v>
      </c>
      <c r="M576" t="s">
        <v>52</v>
      </c>
      <c r="N576" t="s">
        <v>53</v>
      </c>
      <c r="R576">
        <v>0.5</v>
      </c>
      <c r="S576">
        <v>0.75</v>
      </c>
      <c r="T576">
        <v>0</v>
      </c>
      <c r="U576">
        <v>0</v>
      </c>
      <c r="W576" s="1">
        <v>46675</v>
      </c>
      <c r="X576" s="1">
        <v>46357</v>
      </c>
      <c r="Z576" t="s">
        <v>52</v>
      </c>
      <c r="AB576" t="s">
        <v>52</v>
      </c>
      <c r="AC576">
        <v>296</v>
      </c>
      <c r="AD576">
        <v>1</v>
      </c>
      <c r="AK576" t="s">
        <v>52</v>
      </c>
      <c r="AN576" t="s">
        <v>52</v>
      </c>
      <c r="AO576" t="s">
        <v>52</v>
      </c>
      <c r="AP576" t="s">
        <v>52</v>
      </c>
      <c r="AQ576" t="s">
        <v>52</v>
      </c>
      <c r="AR576" t="s">
        <v>55</v>
      </c>
      <c r="AS576" t="s">
        <v>60</v>
      </c>
    </row>
    <row r="577" spans="1:45" x14ac:dyDescent="0.25">
      <c r="A577" t="s">
        <v>47</v>
      </c>
      <c r="B577">
        <v>8</v>
      </c>
      <c r="C577" t="s">
        <v>150</v>
      </c>
      <c r="D577">
        <v>43</v>
      </c>
      <c r="E577" t="s">
        <v>70</v>
      </c>
      <c r="F577">
        <v>296</v>
      </c>
      <c r="G577" t="s">
        <v>74</v>
      </c>
      <c r="H577" t="s">
        <v>50</v>
      </c>
      <c r="K577" t="s">
        <v>51</v>
      </c>
      <c r="L577">
        <v>1</v>
      </c>
      <c r="M577" t="s">
        <v>52</v>
      </c>
      <c r="N577" t="s">
        <v>53</v>
      </c>
      <c r="R577">
        <v>0</v>
      </c>
      <c r="S577">
        <v>0.75</v>
      </c>
      <c r="T577">
        <v>0</v>
      </c>
      <c r="U577">
        <v>0</v>
      </c>
      <c r="W577" s="1">
        <v>46675</v>
      </c>
      <c r="X577" s="1">
        <v>46357</v>
      </c>
      <c r="Z577" t="s">
        <v>52</v>
      </c>
      <c r="AB577" t="s">
        <v>52</v>
      </c>
      <c r="AC577">
        <v>102</v>
      </c>
      <c r="AD577">
        <v>1</v>
      </c>
      <c r="AK577" t="s">
        <v>52</v>
      </c>
      <c r="AN577" t="s">
        <v>52</v>
      </c>
      <c r="AO577" t="s">
        <v>52</v>
      </c>
      <c r="AP577" t="s">
        <v>52</v>
      </c>
      <c r="AQ577" t="s">
        <v>52</v>
      </c>
      <c r="AR577" t="s">
        <v>55</v>
      </c>
    </row>
    <row r="578" spans="1:45" x14ac:dyDescent="0.25">
      <c r="A578" t="s">
        <v>47</v>
      </c>
      <c r="B578">
        <v>8</v>
      </c>
      <c r="C578" t="s">
        <v>150</v>
      </c>
      <c r="D578">
        <v>43</v>
      </c>
      <c r="E578" t="s">
        <v>70</v>
      </c>
      <c r="F578">
        <v>296</v>
      </c>
      <c r="G578" t="s">
        <v>74</v>
      </c>
      <c r="H578" t="s">
        <v>50</v>
      </c>
      <c r="K578" t="s">
        <v>52</v>
      </c>
      <c r="L578">
        <v>1</v>
      </c>
      <c r="M578" t="s">
        <v>52</v>
      </c>
      <c r="N578" t="s">
        <v>53</v>
      </c>
      <c r="R578">
        <v>0</v>
      </c>
      <c r="S578">
        <v>0.75</v>
      </c>
      <c r="T578">
        <v>0</v>
      </c>
      <c r="U578">
        <v>0</v>
      </c>
      <c r="W578" s="1">
        <v>46675</v>
      </c>
      <c r="X578" s="1">
        <v>46357</v>
      </c>
      <c r="Z578" t="s">
        <v>52</v>
      </c>
      <c r="AB578" t="s">
        <v>52</v>
      </c>
      <c r="AC578">
        <v>102</v>
      </c>
      <c r="AD578">
        <v>1</v>
      </c>
      <c r="AK578" t="s">
        <v>52</v>
      </c>
      <c r="AN578" t="s">
        <v>52</v>
      </c>
      <c r="AO578" t="s">
        <v>52</v>
      </c>
      <c r="AP578" t="s">
        <v>52</v>
      </c>
      <c r="AQ578" t="s">
        <v>52</v>
      </c>
      <c r="AR578" t="s">
        <v>55</v>
      </c>
      <c r="AS578" t="s">
        <v>106</v>
      </c>
    </row>
    <row r="579" spans="1:45" x14ac:dyDescent="0.25">
      <c r="A579" t="s">
        <v>47</v>
      </c>
      <c r="B579">
        <v>8</v>
      </c>
      <c r="C579" t="s">
        <v>150</v>
      </c>
      <c r="D579">
        <v>43</v>
      </c>
      <c r="E579" t="s">
        <v>70</v>
      </c>
      <c r="F579">
        <v>296</v>
      </c>
      <c r="G579" t="s">
        <v>122</v>
      </c>
      <c r="H579" t="s">
        <v>50</v>
      </c>
      <c r="K579" t="s">
        <v>51</v>
      </c>
      <c r="L579">
        <v>1</v>
      </c>
      <c r="M579" t="s">
        <v>52</v>
      </c>
      <c r="N579" t="s">
        <v>53</v>
      </c>
      <c r="R579">
        <v>0</v>
      </c>
      <c r="S579">
        <v>0.75</v>
      </c>
      <c r="T579">
        <v>0</v>
      </c>
      <c r="U579">
        <v>0</v>
      </c>
      <c r="W579" s="1">
        <v>46675</v>
      </c>
      <c r="X579" s="1">
        <v>46357</v>
      </c>
      <c r="Z579" t="s">
        <v>52</v>
      </c>
      <c r="AB579" t="s">
        <v>52</v>
      </c>
      <c r="AC579">
        <v>102</v>
      </c>
      <c r="AD579">
        <v>1</v>
      </c>
      <c r="AK579" t="s">
        <v>52</v>
      </c>
      <c r="AN579" t="s">
        <v>52</v>
      </c>
      <c r="AO579" t="s">
        <v>52</v>
      </c>
      <c r="AP579" t="s">
        <v>52</v>
      </c>
      <c r="AQ579" t="s">
        <v>52</v>
      </c>
      <c r="AR579" t="s">
        <v>55</v>
      </c>
    </row>
    <row r="580" spans="1:45" x14ac:dyDescent="0.25">
      <c r="A580" t="s">
        <v>47</v>
      </c>
      <c r="B580">
        <v>8</v>
      </c>
      <c r="C580" t="s">
        <v>150</v>
      </c>
      <c r="D580">
        <v>43</v>
      </c>
      <c r="E580" t="s">
        <v>70</v>
      </c>
      <c r="F580">
        <v>296</v>
      </c>
      <c r="G580" t="s">
        <v>122</v>
      </c>
      <c r="H580" t="s">
        <v>50</v>
      </c>
      <c r="K580" t="s">
        <v>52</v>
      </c>
      <c r="L580">
        <v>1</v>
      </c>
      <c r="M580" t="s">
        <v>52</v>
      </c>
      <c r="N580" t="s">
        <v>53</v>
      </c>
      <c r="R580">
        <v>0</v>
      </c>
      <c r="S580">
        <v>0.75</v>
      </c>
      <c r="T580">
        <v>0</v>
      </c>
      <c r="U580">
        <v>0</v>
      </c>
      <c r="W580" s="1">
        <v>46675</v>
      </c>
      <c r="X580" s="1">
        <v>46357</v>
      </c>
      <c r="Z580" t="s">
        <v>52</v>
      </c>
      <c r="AB580" t="s">
        <v>52</v>
      </c>
      <c r="AC580">
        <v>102</v>
      </c>
      <c r="AD580">
        <v>1</v>
      </c>
      <c r="AK580" t="s">
        <v>52</v>
      </c>
      <c r="AN580" t="s">
        <v>52</v>
      </c>
      <c r="AO580" t="s">
        <v>52</v>
      </c>
      <c r="AP580" t="s">
        <v>52</v>
      </c>
      <c r="AQ580" t="s">
        <v>52</v>
      </c>
      <c r="AR580" t="s">
        <v>55</v>
      </c>
    </row>
    <row r="581" spans="1:45" x14ac:dyDescent="0.25">
      <c r="A581" t="s">
        <v>47</v>
      </c>
      <c r="B581">
        <v>8</v>
      </c>
      <c r="C581" t="s">
        <v>150</v>
      </c>
      <c r="D581">
        <v>43</v>
      </c>
      <c r="E581" t="s">
        <v>70</v>
      </c>
      <c r="F581">
        <v>296</v>
      </c>
      <c r="G581" t="s">
        <v>90</v>
      </c>
      <c r="H581" t="s">
        <v>50</v>
      </c>
      <c r="K581" t="s">
        <v>51</v>
      </c>
      <c r="L581">
        <v>1</v>
      </c>
      <c r="M581" t="s">
        <v>52</v>
      </c>
      <c r="N581" t="s">
        <v>53</v>
      </c>
      <c r="R581">
        <v>0.5</v>
      </c>
      <c r="S581">
        <v>0.75</v>
      </c>
      <c r="T581">
        <v>0</v>
      </c>
      <c r="U581">
        <v>0</v>
      </c>
      <c r="V581" s="1">
        <v>46593</v>
      </c>
      <c r="W581" s="1">
        <v>46675</v>
      </c>
      <c r="X581" s="1">
        <v>46357</v>
      </c>
      <c r="Z581" t="s">
        <v>52</v>
      </c>
      <c r="AB581" t="s">
        <v>52</v>
      </c>
      <c r="AC581">
        <v>102</v>
      </c>
      <c r="AD581">
        <v>1</v>
      </c>
      <c r="AK581" t="s">
        <v>52</v>
      </c>
      <c r="AN581" t="s">
        <v>52</v>
      </c>
      <c r="AO581" t="s">
        <v>52</v>
      </c>
      <c r="AP581" t="s">
        <v>52</v>
      </c>
      <c r="AQ581" t="s">
        <v>52</v>
      </c>
      <c r="AR581" t="s">
        <v>55</v>
      </c>
      <c r="AS581" t="s">
        <v>60</v>
      </c>
    </row>
    <row r="582" spans="1:45" x14ac:dyDescent="0.25">
      <c r="A582" t="s">
        <v>47</v>
      </c>
      <c r="B582">
        <v>8</v>
      </c>
      <c r="C582" t="s">
        <v>150</v>
      </c>
      <c r="D582">
        <v>43</v>
      </c>
      <c r="E582" t="s">
        <v>70</v>
      </c>
      <c r="F582">
        <v>296</v>
      </c>
      <c r="G582" t="s">
        <v>92</v>
      </c>
      <c r="H582" t="s">
        <v>50</v>
      </c>
      <c r="K582" t="s">
        <v>51</v>
      </c>
      <c r="L582">
        <v>1</v>
      </c>
      <c r="M582" t="s">
        <v>52</v>
      </c>
      <c r="N582" t="s">
        <v>53</v>
      </c>
      <c r="R582">
        <v>0.5</v>
      </c>
      <c r="S582">
        <v>0.75</v>
      </c>
      <c r="U582">
        <v>0</v>
      </c>
      <c r="V582" s="1">
        <v>46583</v>
      </c>
      <c r="W582" s="1">
        <v>46675</v>
      </c>
      <c r="X582" s="1">
        <v>46357</v>
      </c>
      <c r="Z582" t="s">
        <v>52</v>
      </c>
      <c r="AB582" t="s">
        <v>52</v>
      </c>
      <c r="AC582">
        <v>102</v>
      </c>
      <c r="AD582">
        <v>1</v>
      </c>
      <c r="AK582" t="s">
        <v>52</v>
      </c>
      <c r="AN582" t="s">
        <v>52</v>
      </c>
      <c r="AO582" t="s">
        <v>52</v>
      </c>
      <c r="AP582" t="s">
        <v>52</v>
      </c>
      <c r="AQ582" t="s">
        <v>52</v>
      </c>
      <c r="AR582" t="s">
        <v>55</v>
      </c>
    </row>
    <row r="583" spans="1:45" x14ac:dyDescent="0.25">
      <c r="A583" t="s">
        <v>47</v>
      </c>
      <c r="B583">
        <v>8</v>
      </c>
      <c r="C583" t="s">
        <v>150</v>
      </c>
      <c r="D583">
        <v>43</v>
      </c>
      <c r="E583" t="s">
        <v>70</v>
      </c>
      <c r="F583">
        <v>296</v>
      </c>
      <c r="G583" t="s">
        <v>116</v>
      </c>
      <c r="H583" t="s">
        <v>50</v>
      </c>
      <c r="K583" t="s">
        <v>51</v>
      </c>
      <c r="L583">
        <v>1</v>
      </c>
      <c r="M583" t="s">
        <v>52</v>
      </c>
      <c r="N583" t="s">
        <v>53</v>
      </c>
      <c r="R583">
        <v>0.5</v>
      </c>
      <c r="S583">
        <v>0.75</v>
      </c>
      <c r="U583">
        <v>0</v>
      </c>
      <c r="W583" s="1">
        <v>46675</v>
      </c>
      <c r="X583" s="1">
        <v>46357</v>
      </c>
      <c r="Z583" t="s">
        <v>52</v>
      </c>
      <c r="AB583" t="s">
        <v>52</v>
      </c>
      <c r="AC583">
        <v>102</v>
      </c>
      <c r="AD583">
        <v>1</v>
      </c>
      <c r="AK583" t="s">
        <v>52</v>
      </c>
      <c r="AN583" t="s">
        <v>52</v>
      </c>
      <c r="AO583" t="s">
        <v>52</v>
      </c>
      <c r="AP583" t="s">
        <v>52</v>
      </c>
      <c r="AQ583" t="s">
        <v>52</v>
      </c>
      <c r="AR583" t="s">
        <v>55</v>
      </c>
      <c r="AS583" t="s">
        <v>60</v>
      </c>
    </row>
    <row r="584" spans="1:45" x14ac:dyDescent="0.25">
      <c r="A584" t="s">
        <v>47</v>
      </c>
      <c r="B584">
        <v>8</v>
      </c>
      <c r="C584" t="s">
        <v>150</v>
      </c>
      <c r="D584">
        <v>43</v>
      </c>
      <c r="E584" t="s">
        <v>75</v>
      </c>
      <c r="F584">
        <v>16</v>
      </c>
      <c r="G584" t="s">
        <v>76</v>
      </c>
      <c r="H584" t="s">
        <v>50</v>
      </c>
      <c r="K584" t="s">
        <v>51</v>
      </c>
      <c r="L584">
        <v>1</v>
      </c>
      <c r="M584" t="s">
        <v>52</v>
      </c>
      <c r="N584" t="s">
        <v>53</v>
      </c>
      <c r="R584">
        <v>0.5</v>
      </c>
      <c r="S584">
        <v>0.75</v>
      </c>
      <c r="T584">
        <v>0</v>
      </c>
      <c r="U584">
        <v>0</v>
      </c>
      <c r="V584" s="1">
        <v>46522</v>
      </c>
      <c r="W584" s="1">
        <v>46691</v>
      </c>
      <c r="X584" s="1">
        <v>46461</v>
      </c>
      <c r="Z584" t="s">
        <v>52</v>
      </c>
      <c r="AB584" t="s">
        <v>52</v>
      </c>
      <c r="AC584">
        <v>16</v>
      </c>
      <c r="AD584">
        <v>2</v>
      </c>
      <c r="AK584" t="s">
        <v>52</v>
      </c>
      <c r="AN584" t="s">
        <v>52</v>
      </c>
      <c r="AO584" t="s">
        <v>52</v>
      </c>
      <c r="AP584" t="s">
        <v>52</v>
      </c>
      <c r="AQ584" t="s">
        <v>52</v>
      </c>
      <c r="AR584" t="s">
        <v>55</v>
      </c>
    </row>
    <row r="585" spans="1:45" x14ac:dyDescent="0.25">
      <c r="A585" t="s">
        <v>47</v>
      </c>
      <c r="B585">
        <v>8</v>
      </c>
      <c r="C585" t="s">
        <v>150</v>
      </c>
      <c r="D585">
        <v>43</v>
      </c>
      <c r="E585" t="s">
        <v>79</v>
      </c>
      <c r="F585">
        <v>50</v>
      </c>
      <c r="G585" t="s">
        <v>65</v>
      </c>
      <c r="H585" t="s">
        <v>50</v>
      </c>
      <c r="K585" t="s">
        <v>51</v>
      </c>
      <c r="L585">
        <v>1</v>
      </c>
      <c r="M585" t="s">
        <v>52</v>
      </c>
      <c r="N585" t="s">
        <v>53</v>
      </c>
      <c r="R585">
        <v>0.5</v>
      </c>
      <c r="S585">
        <v>0.75</v>
      </c>
      <c r="T585">
        <v>0</v>
      </c>
      <c r="U585">
        <v>0</v>
      </c>
      <c r="V585" s="1">
        <v>46583</v>
      </c>
      <c r="W585" s="1">
        <v>46675</v>
      </c>
      <c r="X585" s="1">
        <v>46461</v>
      </c>
      <c r="Z585" t="s">
        <v>52</v>
      </c>
      <c r="AB585" t="s">
        <v>52</v>
      </c>
      <c r="AC585">
        <v>50</v>
      </c>
      <c r="AD585">
        <v>1</v>
      </c>
      <c r="AK585" t="s">
        <v>52</v>
      </c>
      <c r="AN585" t="s">
        <v>52</v>
      </c>
      <c r="AO585" t="s">
        <v>52</v>
      </c>
      <c r="AP585" t="s">
        <v>52</v>
      </c>
      <c r="AQ585" t="s">
        <v>52</v>
      </c>
      <c r="AR585" t="s">
        <v>55</v>
      </c>
    </row>
    <row r="586" spans="1:45" x14ac:dyDescent="0.25">
      <c r="A586" t="s">
        <v>47</v>
      </c>
      <c r="B586">
        <v>8</v>
      </c>
      <c r="C586" t="s">
        <v>150</v>
      </c>
      <c r="D586">
        <v>43</v>
      </c>
      <c r="E586" t="s">
        <v>79</v>
      </c>
      <c r="F586">
        <v>50</v>
      </c>
      <c r="G586" t="s">
        <v>81</v>
      </c>
      <c r="H586" t="s">
        <v>50</v>
      </c>
      <c r="K586" t="s">
        <v>51</v>
      </c>
      <c r="L586">
        <v>1</v>
      </c>
      <c r="M586" t="s">
        <v>52</v>
      </c>
      <c r="N586" t="s">
        <v>53</v>
      </c>
      <c r="R586">
        <v>0.5</v>
      </c>
      <c r="S586">
        <v>0.75</v>
      </c>
      <c r="T586">
        <v>0</v>
      </c>
      <c r="U586">
        <v>0</v>
      </c>
      <c r="V586" s="1">
        <v>46583</v>
      </c>
      <c r="W586" s="1">
        <v>46675</v>
      </c>
      <c r="X586" s="1">
        <v>46461</v>
      </c>
      <c r="Z586" t="s">
        <v>52</v>
      </c>
      <c r="AB586" t="s">
        <v>52</v>
      </c>
      <c r="AC586">
        <v>50</v>
      </c>
      <c r="AD586">
        <v>1</v>
      </c>
      <c r="AK586" t="s">
        <v>52</v>
      </c>
      <c r="AN586" t="s">
        <v>52</v>
      </c>
      <c r="AO586" t="s">
        <v>52</v>
      </c>
      <c r="AP586" t="s">
        <v>52</v>
      </c>
      <c r="AQ586" t="s">
        <v>52</v>
      </c>
      <c r="AR586" t="s">
        <v>55</v>
      </c>
    </row>
    <row r="587" spans="1:45" x14ac:dyDescent="0.25">
      <c r="A587" t="s">
        <v>47</v>
      </c>
      <c r="B587">
        <v>8</v>
      </c>
      <c r="C587" t="s">
        <v>150</v>
      </c>
      <c r="D587">
        <v>43</v>
      </c>
      <c r="E587" t="s">
        <v>83</v>
      </c>
      <c r="F587">
        <v>158</v>
      </c>
      <c r="H587" t="s">
        <v>50</v>
      </c>
      <c r="K587" t="s">
        <v>51</v>
      </c>
      <c r="L587">
        <v>1</v>
      </c>
      <c r="M587" t="s">
        <v>52</v>
      </c>
      <c r="N587" t="s">
        <v>53</v>
      </c>
      <c r="R587">
        <v>0.77</v>
      </c>
      <c r="S587">
        <v>0.93</v>
      </c>
      <c r="U587">
        <v>0</v>
      </c>
      <c r="V587" s="1">
        <v>46326</v>
      </c>
      <c r="W587" s="1">
        <v>46691</v>
      </c>
      <c r="X587" s="1">
        <v>46266</v>
      </c>
      <c r="Z587" t="s">
        <v>52</v>
      </c>
      <c r="AB587" t="s">
        <v>52</v>
      </c>
      <c r="AC587">
        <v>158</v>
      </c>
      <c r="AD587">
        <v>2</v>
      </c>
      <c r="AK587" t="s">
        <v>52</v>
      </c>
      <c r="AN587" t="s">
        <v>52</v>
      </c>
      <c r="AO587" t="s">
        <v>52</v>
      </c>
      <c r="AP587" t="s">
        <v>52</v>
      </c>
      <c r="AQ587" t="s">
        <v>52</v>
      </c>
      <c r="AR587" t="s">
        <v>55</v>
      </c>
      <c r="AS587" t="s">
        <v>60</v>
      </c>
    </row>
    <row r="588" spans="1:45" x14ac:dyDescent="0.25">
      <c r="A588" t="s">
        <v>47</v>
      </c>
      <c r="B588">
        <v>8</v>
      </c>
      <c r="C588" t="s">
        <v>150</v>
      </c>
      <c r="D588">
        <v>43</v>
      </c>
      <c r="E588" t="s">
        <v>84</v>
      </c>
      <c r="F588">
        <v>11</v>
      </c>
      <c r="G588" t="s">
        <v>96</v>
      </c>
      <c r="H588" t="s">
        <v>50</v>
      </c>
      <c r="K588" t="s">
        <v>51</v>
      </c>
      <c r="L588">
        <v>1</v>
      </c>
      <c r="M588" t="s">
        <v>52</v>
      </c>
      <c r="N588" t="s">
        <v>53</v>
      </c>
      <c r="R588">
        <v>0.5</v>
      </c>
      <c r="S588">
        <v>0.75</v>
      </c>
      <c r="T588">
        <v>0</v>
      </c>
      <c r="U588">
        <v>0</v>
      </c>
      <c r="V588" s="1">
        <v>46300</v>
      </c>
      <c r="W588" s="1">
        <v>46691</v>
      </c>
      <c r="X588" s="1">
        <v>46295</v>
      </c>
      <c r="Z588" t="s">
        <v>52</v>
      </c>
      <c r="AB588" t="s">
        <v>52</v>
      </c>
      <c r="AC588">
        <v>11</v>
      </c>
      <c r="AD588">
        <v>2</v>
      </c>
      <c r="AK588" t="s">
        <v>52</v>
      </c>
      <c r="AN588" t="s">
        <v>52</v>
      </c>
      <c r="AO588" t="s">
        <v>52</v>
      </c>
      <c r="AP588" t="s">
        <v>52</v>
      </c>
      <c r="AQ588" t="s">
        <v>52</v>
      </c>
      <c r="AR588" t="s">
        <v>55</v>
      </c>
      <c r="AS588" t="s">
        <v>60</v>
      </c>
    </row>
    <row r="589" spans="1:45" x14ac:dyDescent="0.25">
      <c r="A589" t="s">
        <v>47</v>
      </c>
      <c r="B589">
        <v>8</v>
      </c>
      <c r="C589" t="s">
        <v>152</v>
      </c>
      <c r="D589">
        <v>45</v>
      </c>
      <c r="E589" t="s">
        <v>49</v>
      </c>
      <c r="F589">
        <v>27</v>
      </c>
      <c r="H589" t="s">
        <v>50</v>
      </c>
      <c r="K589" t="s">
        <v>51</v>
      </c>
      <c r="L589">
        <v>1</v>
      </c>
      <c r="M589" t="s">
        <v>52</v>
      </c>
      <c r="N589" t="s">
        <v>53</v>
      </c>
      <c r="Q589">
        <v>230</v>
      </c>
      <c r="R589">
        <v>0</v>
      </c>
      <c r="S589">
        <v>0.75</v>
      </c>
      <c r="T589">
        <v>0</v>
      </c>
      <c r="U589">
        <v>0</v>
      </c>
      <c r="W589" s="1">
        <v>46675</v>
      </c>
      <c r="X589" s="1">
        <v>46357</v>
      </c>
      <c r="Y589" t="s">
        <v>54</v>
      </c>
      <c r="Z589" t="s">
        <v>52</v>
      </c>
      <c r="AB589" t="s">
        <v>52</v>
      </c>
      <c r="AC589">
        <v>27</v>
      </c>
      <c r="AD589">
        <v>1</v>
      </c>
      <c r="AE589">
        <v>0.97</v>
      </c>
      <c r="AG589">
        <v>0.97</v>
      </c>
      <c r="AK589" t="s">
        <v>52</v>
      </c>
      <c r="AN589" t="s">
        <v>52</v>
      </c>
      <c r="AO589" t="s">
        <v>52</v>
      </c>
      <c r="AP589" t="s">
        <v>52</v>
      </c>
      <c r="AQ589" t="s">
        <v>52</v>
      </c>
      <c r="AR589" t="s">
        <v>55</v>
      </c>
      <c r="AS589" t="s">
        <v>56</v>
      </c>
    </row>
    <row r="590" spans="1:45" x14ac:dyDescent="0.25">
      <c r="A590" t="s">
        <v>47</v>
      </c>
      <c r="B590">
        <v>8</v>
      </c>
      <c r="C590" t="s">
        <v>152</v>
      </c>
      <c r="D590">
        <v>45</v>
      </c>
      <c r="E590" t="s">
        <v>49</v>
      </c>
      <c r="F590">
        <v>27</v>
      </c>
      <c r="H590" t="s">
        <v>50</v>
      </c>
      <c r="K590" t="s">
        <v>52</v>
      </c>
      <c r="L590">
        <v>1</v>
      </c>
      <c r="M590" t="s">
        <v>52</v>
      </c>
      <c r="N590" t="s">
        <v>53</v>
      </c>
      <c r="Q590">
        <v>230</v>
      </c>
      <c r="R590">
        <v>0</v>
      </c>
      <c r="S590">
        <v>0.75</v>
      </c>
      <c r="T590">
        <v>0</v>
      </c>
      <c r="U590">
        <v>0</v>
      </c>
      <c r="W590" s="1">
        <v>46675</v>
      </c>
      <c r="X590" s="1">
        <v>46357</v>
      </c>
      <c r="Y590" t="s">
        <v>54</v>
      </c>
      <c r="Z590" t="s">
        <v>52</v>
      </c>
      <c r="AB590" t="s">
        <v>52</v>
      </c>
      <c r="AC590">
        <v>27</v>
      </c>
      <c r="AD590">
        <v>1</v>
      </c>
      <c r="AE590">
        <v>0.97</v>
      </c>
      <c r="AG590">
        <v>0.97</v>
      </c>
      <c r="AK590" t="s">
        <v>52</v>
      </c>
      <c r="AN590" t="s">
        <v>52</v>
      </c>
      <c r="AO590" t="s">
        <v>52</v>
      </c>
      <c r="AP590" t="s">
        <v>52</v>
      </c>
      <c r="AQ590" t="s">
        <v>52</v>
      </c>
      <c r="AR590" t="s">
        <v>55</v>
      </c>
      <c r="AS590" t="s">
        <v>57</v>
      </c>
    </row>
    <row r="591" spans="1:45" x14ac:dyDescent="0.25">
      <c r="A591" t="s">
        <v>47</v>
      </c>
      <c r="B591">
        <v>8</v>
      </c>
      <c r="C591" t="s">
        <v>152</v>
      </c>
      <c r="D591">
        <v>45</v>
      </c>
      <c r="E591" t="s">
        <v>58</v>
      </c>
      <c r="F591">
        <v>102</v>
      </c>
      <c r="G591" t="s">
        <v>62</v>
      </c>
      <c r="H591" t="s">
        <v>50</v>
      </c>
      <c r="K591" t="s">
        <v>51</v>
      </c>
      <c r="L591">
        <v>1</v>
      </c>
      <c r="M591" t="s">
        <v>52</v>
      </c>
      <c r="N591" t="s">
        <v>53</v>
      </c>
      <c r="R591">
        <v>0</v>
      </c>
      <c r="S591">
        <v>0.92</v>
      </c>
      <c r="U591">
        <v>0</v>
      </c>
      <c r="W591" s="1">
        <v>46731</v>
      </c>
      <c r="X591" s="1">
        <v>46357</v>
      </c>
      <c r="Z591" t="s">
        <v>52</v>
      </c>
      <c r="AB591" t="s">
        <v>52</v>
      </c>
      <c r="AC591">
        <v>102</v>
      </c>
      <c r="AD591">
        <v>1</v>
      </c>
      <c r="AK591" t="s">
        <v>52</v>
      </c>
      <c r="AN591" t="s">
        <v>52</v>
      </c>
      <c r="AO591" t="s">
        <v>52</v>
      </c>
      <c r="AP591" t="s">
        <v>52</v>
      </c>
      <c r="AQ591" t="s">
        <v>52</v>
      </c>
      <c r="AR591" t="s">
        <v>55</v>
      </c>
    </row>
    <row r="592" spans="1:45" x14ac:dyDescent="0.25">
      <c r="A592" t="s">
        <v>47</v>
      </c>
      <c r="B592">
        <v>8</v>
      </c>
      <c r="C592" t="s">
        <v>152</v>
      </c>
      <c r="D592">
        <v>45</v>
      </c>
      <c r="E592" t="s">
        <v>58</v>
      </c>
      <c r="F592">
        <v>102</v>
      </c>
      <c r="G592" t="s">
        <v>62</v>
      </c>
      <c r="H592" t="s">
        <v>50</v>
      </c>
      <c r="K592" t="s">
        <v>52</v>
      </c>
      <c r="L592">
        <v>1</v>
      </c>
      <c r="M592" t="s">
        <v>52</v>
      </c>
      <c r="N592" t="s">
        <v>53</v>
      </c>
      <c r="R592">
        <v>0</v>
      </c>
      <c r="S592">
        <v>0.92</v>
      </c>
      <c r="T592">
        <v>0</v>
      </c>
      <c r="U592">
        <v>0</v>
      </c>
      <c r="W592" s="1">
        <v>46731</v>
      </c>
      <c r="X592" s="1">
        <v>46357</v>
      </c>
      <c r="Z592" t="s">
        <v>52</v>
      </c>
      <c r="AB592" t="s">
        <v>52</v>
      </c>
      <c r="AC592">
        <v>102</v>
      </c>
      <c r="AD592">
        <v>1</v>
      </c>
      <c r="AK592" t="s">
        <v>52</v>
      </c>
      <c r="AN592" t="s">
        <v>52</v>
      </c>
      <c r="AO592" t="s">
        <v>52</v>
      </c>
      <c r="AP592" t="s">
        <v>52</v>
      </c>
      <c r="AQ592" t="s">
        <v>52</v>
      </c>
      <c r="AR592" t="s">
        <v>55</v>
      </c>
    </row>
    <row r="593" spans="1:45" x14ac:dyDescent="0.25">
      <c r="A593" t="s">
        <v>47</v>
      </c>
      <c r="B593">
        <v>8</v>
      </c>
      <c r="C593" t="s">
        <v>152</v>
      </c>
      <c r="D593">
        <v>45</v>
      </c>
      <c r="E593" t="s">
        <v>58</v>
      </c>
      <c r="F593">
        <v>102</v>
      </c>
      <c r="G593" t="s">
        <v>136</v>
      </c>
      <c r="H593" t="s">
        <v>50</v>
      </c>
      <c r="K593" t="s">
        <v>51</v>
      </c>
      <c r="L593">
        <v>1</v>
      </c>
      <c r="M593" t="s">
        <v>52</v>
      </c>
      <c r="N593" t="s">
        <v>53</v>
      </c>
      <c r="R593">
        <v>0</v>
      </c>
      <c r="S593">
        <v>0.92</v>
      </c>
      <c r="U593">
        <v>0</v>
      </c>
      <c r="W593" s="1">
        <v>46731</v>
      </c>
      <c r="X593" s="1">
        <v>46357</v>
      </c>
      <c r="Z593" t="s">
        <v>52</v>
      </c>
      <c r="AB593" t="s">
        <v>52</v>
      </c>
      <c r="AC593">
        <v>102</v>
      </c>
      <c r="AD593">
        <v>1</v>
      </c>
      <c r="AK593" t="s">
        <v>52</v>
      </c>
      <c r="AN593" t="s">
        <v>52</v>
      </c>
      <c r="AO593" t="s">
        <v>52</v>
      </c>
      <c r="AP593" t="s">
        <v>52</v>
      </c>
      <c r="AQ593" t="s">
        <v>52</v>
      </c>
      <c r="AR593" t="s">
        <v>55</v>
      </c>
    </row>
    <row r="594" spans="1:45" x14ac:dyDescent="0.25">
      <c r="A594" t="s">
        <v>47</v>
      </c>
      <c r="B594">
        <v>8</v>
      </c>
      <c r="C594" t="s">
        <v>152</v>
      </c>
      <c r="D594">
        <v>45</v>
      </c>
      <c r="E594" t="s">
        <v>58</v>
      </c>
      <c r="F594">
        <v>102</v>
      </c>
      <c r="G594" t="s">
        <v>136</v>
      </c>
      <c r="H594" t="s">
        <v>50</v>
      </c>
      <c r="K594" t="s">
        <v>52</v>
      </c>
      <c r="L594">
        <v>1</v>
      </c>
      <c r="M594" t="s">
        <v>52</v>
      </c>
      <c r="N594" t="s">
        <v>53</v>
      </c>
      <c r="R594">
        <v>0</v>
      </c>
      <c r="S594">
        <v>0.92</v>
      </c>
      <c r="U594">
        <v>0</v>
      </c>
      <c r="W594" s="1">
        <v>46731</v>
      </c>
      <c r="X594" s="1">
        <v>46357</v>
      </c>
      <c r="Z594" t="s">
        <v>52</v>
      </c>
      <c r="AB594" t="s">
        <v>52</v>
      </c>
      <c r="AC594">
        <v>102</v>
      </c>
      <c r="AD594">
        <v>1</v>
      </c>
      <c r="AK594" t="s">
        <v>52</v>
      </c>
      <c r="AN594" t="s">
        <v>52</v>
      </c>
      <c r="AO594" t="s">
        <v>52</v>
      </c>
      <c r="AP594" t="s">
        <v>52</v>
      </c>
      <c r="AQ594" t="s">
        <v>52</v>
      </c>
      <c r="AR594" t="s">
        <v>55</v>
      </c>
    </row>
    <row r="595" spans="1:45" x14ac:dyDescent="0.25">
      <c r="A595" t="s">
        <v>47</v>
      </c>
      <c r="B595">
        <v>8</v>
      </c>
      <c r="C595" t="s">
        <v>152</v>
      </c>
      <c r="D595">
        <v>45</v>
      </c>
      <c r="E595" t="s">
        <v>70</v>
      </c>
      <c r="F595">
        <v>296</v>
      </c>
      <c r="G595" t="s">
        <v>71</v>
      </c>
      <c r="H595" t="s">
        <v>50</v>
      </c>
      <c r="K595" t="s">
        <v>51</v>
      </c>
      <c r="L595">
        <v>1</v>
      </c>
      <c r="M595" t="s">
        <v>52</v>
      </c>
      <c r="N595" t="s">
        <v>53</v>
      </c>
      <c r="Q595">
        <v>224.33330000000001</v>
      </c>
      <c r="R595">
        <v>0</v>
      </c>
      <c r="S595">
        <v>0.75</v>
      </c>
      <c r="T595">
        <v>0</v>
      </c>
      <c r="U595">
        <v>0</v>
      </c>
      <c r="W595" s="1">
        <v>46675</v>
      </c>
      <c r="X595" s="1">
        <v>46357</v>
      </c>
      <c r="Y595" t="s">
        <v>54</v>
      </c>
      <c r="Z595" t="s">
        <v>52</v>
      </c>
      <c r="AB595" t="s">
        <v>52</v>
      </c>
      <c r="AC595">
        <v>296</v>
      </c>
      <c r="AD595">
        <v>1</v>
      </c>
      <c r="AK595" t="s">
        <v>52</v>
      </c>
      <c r="AN595" t="s">
        <v>52</v>
      </c>
      <c r="AO595" t="s">
        <v>52</v>
      </c>
      <c r="AP595" t="s">
        <v>52</v>
      </c>
      <c r="AQ595" t="s">
        <v>52</v>
      </c>
      <c r="AR595" t="s">
        <v>55</v>
      </c>
    </row>
    <row r="596" spans="1:45" x14ac:dyDescent="0.25">
      <c r="A596" t="s">
        <v>47</v>
      </c>
      <c r="B596">
        <v>8</v>
      </c>
      <c r="C596" t="s">
        <v>152</v>
      </c>
      <c r="D596">
        <v>45</v>
      </c>
      <c r="E596" t="s">
        <v>70</v>
      </c>
      <c r="F596">
        <v>296</v>
      </c>
      <c r="G596" t="s">
        <v>71</v>
      </c>
      <c r="H596" t="s">
        <v>50</v>
      </c>
      <c r="K596" t="s">
        <v>52</v>
      </c>
      <c r="L596">
        <v>1</v>
      </c>
      <c r="M596" t="s">
        <v>52</v>
      </c>
      <c r="N596" t="s">
        <v>53</v>
      </c>
      <c r="Q596">
        <v>224.33330000000001</v>
      </c>
      <c r="R596">
        <v>0</v>
      </c>
      <c r="S596">
        <v>0.75</v>
      </c>
      <c r="T596">
        <v>0</v>
      </c>
      <c r="U596">
        <v>0</v>
      </c>
      <c r="W596" s="1">
        <v>46675</v>
      </c>
      <c r="X596" s="1">
        <v>46357</v>
      </c>
      <c r="Y596" t="s">
        <v>54</v>
      </c>
      <c r="Z596" t="s">
        <v>52</v>
      </c>
      <c r="AB596" t="s">
        <v>52</v>
      </c>
      <c r="AC596">
        <v>296</v>
      </c>
      <c r="AD596">
        <v>1</v>
      </c>
      <c r="AK596" t="s">
        <v>52</v>
      </c>
      <c r="AN596" t="s">
        <v>52</v>
      </c>
      <c r="AO596" t="s">
        <v>52</v>
      </c>
      <c r="AP596" t="s">
        <v>52</v>
      </c>
      <c r="AQ596" t="s">
        <v>52</v>
      </c>
      <c r="AR596" t="s">
        <v>55</v>
      </c>
    </row>
    <row r="597" spans="1:45" x14ac:dyDescent="0.25">
      <c r="A597" t="s">
        <v>47</v>
      </c>
      <c r="B597">
        <v>8</v>
      </c>
      <c r="C597" t="s">
        <v>152</v>
      </c>
      <c r="D597">
        <v>45</v>
      </c>
      <c r="E597" t="s">
        <v>75</v>
      </c>
      <c r="F597">
        <v>16</v>
      </c>
      <c r="G597" t="s">
        <v>76</v>
      </c>
      <c r="H597" t="s">
        <v>50</v>
      </c>
      <c r="K597" t="s">
        <v>51</v>
      </c>
      <c r="L597">
        <v>1</v>
      </c>
      <c r="M597" t="s">
        <v>52</v>
      </c>
      <c r="N597" t="s">
        <v>53</v>
      </c>
      <c r="R597">
        <v>0.5</v>
      </c>
      <c r="S597">
        <v>0.75</v>
      </c>
      <c r="T597">
        <v>0</v>
      </c>
      <c r="U597">
        <v>0</v>
      </c>
      <c r="V597" s="1">
        <v>46583</v>
      </c>
      <c r="W597" s="1">
        <v>46691</v>
      </c>
      <c r="X597" s="1">
        <v>46461</v>
      </c>
      <c r="Z597" t="s">
        <v>52</v>
      </c>
      <c r="AB597" t="s">
        <v>52</v>
      </c>
      <c r="AC597">
        <v>16</v>
      </c>
      <c r="AD597">
        <v>2</v>
      </c>
      <c r="AK597" t="s">
        <v>52</v>
      </c>
      <c r="AN597" t="s">
        <v>52</v>
      </c>
      <c r="AO597" t="s">
        <v>52</v>
      </c>
      <c r="AP597" t="s">
        <v>52</v>
      </c>
      <c r="AQ597" t="s">
        <v>52</v>
      </c>
      <c r="AR597" t="s">
        <v>55</v>
      </c>
    </row>
    <row r="598" spans="1:45" x14ac:dyDescent="0.25">
      <c r="A598" t="s">
        <v>47</v>
      </c>
      <c r="B598">
        <v>8</v>
      </c>
      <c r="C598" t="s">
        <v>152</v>
      </c>
      <c r="D598">
        <v>45</v>
      </c>
      <c r="E598" t="s">
        <v>93</v>
      </c>
      <c r="F598">
        <v>94</v>
      </c>
      <c r="H598" t="s">
        <v>50</v>
      </c>
      <c r="K598" t="s">
        <v>51</v>
      </c>
      <c r="L598">
        <v>1</v>
      </c>
      <c r="M598" t="s">
        <v>52</v>
      </c>
      <c r="N598" t="s">
        <v>53</v>
      </c>
      <c r="R598">
        <v>0.77</v>
      </c>
      <c r="S598">
        <v>0.93</v>
      </c>
      <c r="U598">
        <v>0</v>
      </c>
      <c r="V598" s="1">
        <v>46326</v>
      </c>
      <c r="W598" s="1">
        <v>46691</v>
      </c>
      <c r="X598" s="1">
        <v>46266</v>
      </c>
      <c r="Z598" t="s">
        <v>52</v>
      </c>
      <c r="AB598" t="s">
        <v>52</v>
      </c>
      <c r="AC598">
        <v>94</v>
      </c>
      <c r="AD598">
        <v>2</v>
      </c>
      <c r="AK598" t="s">
        <v>52</v>
      </c>
      <c r="AN598" t="s">
        <v>52</v>
      </c>
      <c r="AO598" t="s">
        <v>52</v>
      </c>
      <c r="AP598" t="s">
        <v>52</v>
      </c>
      <c r="AQ598" t="s">
        <v>52</v>
      </c>
      <c r="AR598" t="s">
        <v>55</v>
      </c>
      <c r="AS598" t="s">
        <v>60</v>
      </c>
    </row>
    <row r="599" spans="1:45" x14ac:dyDescent="0.25">
      <c r="A599" t="s">
        <v>47</v>
      </c>
      <c r="B599">
        <v>8</v>
      </c>
      <c r="C599" t="s">
        <v>152</v>
      </c>
      <c r="D599">
        <v>45</v>
      </c>
      <c r="E599" t="s">
        <v>83</v>
      </c>
      <c r="F599">
        <v>158</v>
      </c>
      <c r="H599" t="s">
        <v>50</v>
      </c>
      <c r="K599" t="s">
        <v>51</v>
      </c>
      <c r="L599">
        <v>1</v>
      </c>
      <c r="M599" t="s">
        <v>52</v>
      </c>
      <c r="N599" t="s">
        <v>53</v>
      </c>
      <c r="P599">
        <v>1.3</v>
      </c>
      <c r="R599">
        <v>0.77</v>
      </c>
      <c r="S599">
        <v>0.93</v>
      </c>
      <c r="U599">
        <v>0</v>
      </c>
      <c r="V599" s="1">
        <v>46326</v>
      </c>
      <c r="W599" s="1">
        <v>46691</v>
      </c>
      <c r="X599" s="1">
        <v>46266</v>
      </c>
      <c r="Z599" t="s">
        <v>52</v>
      </c>
      <c r="AA599" t="s">
        <v>54</v>
      </c>
      <c r="AB599" t="s">
        <v>52</v>
      </c>
      <c r="AC599">
        <v>158</v>
      </c>
      <c r="AD599">
        <v>2</v>
      </c>
      <c r="AK599" t="s">
        <v>52</v>
      </c>
      <c r="AN599" t="s">
        <v>52</v>
      </c>
      <c r="AO599" t="s">
        <v>52</v>
      </c>
      <c r="AP599" t="s">
        <v>52</v>
      </c>
      <c r="AQ599" t="s">
        <v>52</v>
      </c>
      <c r="AR599" t="s">
        <v>95</v>
      </c>
    </row>
    <row r="600" spans="1:45" x14ac:dyDescent="0.25">
      <c r="A600" t="s">
        <v>47</v>
      </c>
      <c r="B600">
        <v>8</v>
      </c>
      <c r="C600" t="s">
        <v>153</v>
      </c>
      <c r="D600">
        <v>49</v>
      </c>
      <c r="E600" t="s">
        <v>49</v>
      </c>
      <c r="F600">
        <v>27</v>
      </c>
      <c r="H600" t="s">
        <v>50</v>
      </c>
      <c r="K600" t="s">
        <v>51</v>
      </c>
      <c r="L600">
        <v>1</v>
      </c>
      <c r="M600" t="s">
        <v>52</v>
      </c>
      <c r="N600" t="s">
        <v>53</v>
      </c>
      <c r="Q600">
        <v>230</v>
      </c>
      <c r="R600">
        <v>0</v>
      </c>
      <c r="S600">
        <v>0.75</v>
      </c>
      <c r="T600">
        <v>0</v>
      </c>
      <c r="U600">
        <v>0</v>
      </c>
      <c r="W600" s="1">
        <v>46675</v>
      </c>
      <c r="X600" s="1">
        <v>46357</v>
      </c>
      <c r="Y600" t="s">
        <v>54</v>
      </c>
      <c r="Z600" t="s">
        <v>52</v>
      </c>
      <c r="AB600" t="s">
        <v>52</v>
      </c>
      <c r="AC600">
        <v>27</v>
      </c>
      <c r="AD600">
        <v>1</v>
      </c>
      <c r="AE600">
        <v>0.97</v>
      </c>
      <c r="AG600">
        <v>0.97</v>
      </c>
      <c r="AK600" t="s">
        <v>52</v>
      </c>
      <c r="AN600" t="s">
        <v>52</v>
      </c>
      <c r="AO600" t="s">
        <v>52</v>
      </c>
      <c r="AP600" t="s">
        <v>52</v>
      </c>
      <c r="AQ600" t="s">
        <v>52</v>
      </c>
      <c r="AR600" t="s">
        <v>55</v>
      </c>
      <c r="AS600" t="s">
        <v>88</v>
      </c>
    </row>
    <row r="601" spans="1:45" x14ac:dyDescent="0.25">
      <c r="A601" t="s">
        <v>47</v>
      </c>
      <c r="B601">
        <v>8</v>
      </c>
      <c r="C601" t="s">
        <v>153</v>
      </c>
      <c r="D601">
        <v>49</v>
      </c>
      <c r="E601" t="s">
        <v>49</v>
      </c>
      <c r="F601">
        <v>27</v>
      </c>
      <c r="H601" t="s">
        <v>50</v>
      </c>
      <c r="K601" t="s">
        <v>52</v>
      </c>
      <c r="L601">
        <v>1</v>
      </c>
      <c r="M601" t="s">
        <v>52</v>
      </c>
      <c r="N601" t="s">
        <v>53</v>
      </c>
      <c r="Q601">
        <v>230</v>
      </c>
      <c r="R601">
        <v>0</v>
      </c>
      <c r="S601">
        <v>0.75</v>
      </c>
      <c r="T601">
        <v>0</v>
      </c>
      <c r="U601">
        <v>0</v>
      </c>
      <c r="W601" s="1">
        <v>46675</v>
      </c>
      <c r="X601" s="1">
        <v>46357</v>
      </c>
      <c r="Y601" t="s">
        <v>54</v>
      </c>
      <c r="Z601" t="s">
        <v>52</v>
      </c>
      <c r="AB601" t="s">
        <v>52</v>
      </c>
      <c r="AC601">
        <v>27</v>
      </c>
      <c r="AD601">
        <v>1</v>
      </c>
      <c r="AE601">
        <v>0.97</v>
      </c>
      <c r="AG601">
        <v>0.97</v>
      </c>
      <c r="AK601" t="s">
        <v>52</v>
      </c>
      <c r="AN601" t="s">
        <v>52</v>
      </c>
      <c r="AO601" t="s">
        <v>52</v>
      </c>
      <c r="AP601" t="s">
        <v>52</v>
      </c>
      <c r="AQ601" t="s">
        <v>52</v>
      </c>
      <c r="AR601" t="s">
        <v>55</v>
      </c>
      <c r="AS601" t="s">
        <v>60</v>
      </c>
    </row>
    <row r="602" spans="1:45" x14ac:dyDescent="0.25">
      <c r="A602" t="s">
        <v>47</v>
      </c>
      <c r="B602">
        <v>8</v>
      </c>
      <c r="C602" t="s">
        <v>153</v>
      </c>
      <c r="D602">
        <v>49</v>
      </c>
      <c r="E602" t="s">
        <v>58</v>
      </c>
      <c r="F602">
        <v>102</v>
      </c>
      <c r="G602" t="s">
        <v>62</v>
      </c>
      <c r="H602" t="s">
        <v>50</v>
      </c>
      <c r="K602" t="s">
        <v>51</v>
      </c>
      <c r="L602">
        <v>1</v>
      </c>
      <c r="M602" t="s">
        <v>52</v>
      </c>
      <c r="N602" t="s">
        <v>53</v>
      </c>
      <c r="R602">
        <v>0</v>
      </c>
      <c r="S602">
        <v>0.92</v>
      </c>
      <c r="T602">
        <v>0</v>
      </c>
      <c r="U602">
        <v>0</v>
      </c>
      <c r="W602" s="1">
        <v>46731</v>
      </c>
      <c r="X602" s="1">
        <v>46357</v>
      </c>
      <c r="Z602" t="s">
        <v>52</v>
      </c>
      <c r="AB602" t="s">
        <v>52</v>
      </c>
      <c r="AC602">
        <v>102</v>
      </c>
      <c r="AD602">
        <v>1</v>
      </c>
      <c r="AK602" t="s">
        <v>52</v>
      </c>
      <c r="AN602" t="s">
        <v>52</v>
      </c>
      <c r="AO602" t="s">
        <v>52</v>
      </c>
      <c r="AP602" t="s">
        <v>52</v>
      </c>
      <c r="AQ602" t="s">
        <v>52</v>
      </c>
      <c r="AR602" t="s">
        <v>55</v>
      </c>
    </row>
    <row r="603" spans="1:45" x14ac:dyDescent="0.25">
      <c r="A603" t="s">
        <v>47</v>
      </c>
      <c r="B603">
        <v>8</v>
      </c>
      <c r="C603" t="s">
        <v>153</v>
      </c>
      <c r="D603">
        <v>49</v>
      </c>
      <c r="E603" t="s">
        <v>58</v>
      </c>
      <c r="F603">
        <v>102</v>
      </c>
      <c r="G603" t="s">
        <v>62</v>
      </c>
      <c r="H603" t="s">
        <v>50</v>
      </c>
      <c r="K603" t="s">
        <v>52</v>
      </c>
      <c r="L603">
        <v>1</v>
      </c>
      <c r="M603" t="s">
        <v>52</v>
      </c>
      <c r="N603" t="s">
        <v>53</v>
      </c>
      <c r="R603">
        <v>0</v>
      </c>
      <c r="S603">
        <v>0.92</v>
      </c>
      <c r="T603">
        <v>0</v>
      </c>
      <c r="U603">
        <v>0</v>
      </c>
      <c r="W603" s="1">
        <v>46731</v>
      </c>
      <c r="X603" s="1">
        <v>46357</v>
      </c>
      <c r="Z603" t="s">
        <v>52</v>
      </c>
      <c r="AB603" t="s">
        <v>52</v>
      </c>
      <c r="AC603">
        <v>102</v>
      </c>
      <c r="AD603">
        <v>1</v>
      </c>
      <c r="AK603" t="s">
        <v>52</v>
      </c>
      <c r="AN603" t="s">
        <v>52</v>
      </c>
      <c r="AO603" t="s">
        <v>52</v>
      </c>
      <c r="AP603" t="s">
        <v>52</v>
      </c>
      <c r="AQ603" t="s">
        <v>52</v>
      </c>
      <c r="AR603" t="s">
        <v>55</v>
      </c>
    </row>
    <row r="604" spans="1:45" x14ac:dyDescent="0.25">
      <c r="A604" t="s">
        <v>47</v>
      </c>
      <c r="B604">
        <v>8</v>
      </c>
      <c r="C604" t="s">
        <v>153</v>
      </c>
      <c r="D604">
        <v>49</v>
      </c>
      <c r="E604" t="s">
        <v>70</v>
      </c>
      <c r="F604">
        <v>296</v>
      </c>
      <c r="G604" t="s">
        <v>71</v>
      </c>
      <c r="H604" t="s">
        <v>50</v>
      </c>
      <c r="K604" t="s">
        <v>51</v>
      </c>
      <c r="L604">
        <v>1</v>
      </c>
      <c r="M604" t="s">
        <v>52</v>
      </c>
      <c r="N604" t="s">
        <v>53</v>
      </c>
      <c r="Q604">
        <v>224.33330000000001</v>
      </c>
      <c r="R604">
        <v>0</v>
      </c>
      <c r="S604">
        <v>0.75</v>
      </c>
      <c r="U604">
        <v>0</v>
      </c>
      <c r="W604" s="1">
        <v>46675</v>
      </c>
      <c r="X604" s="1">
        <v>46357</v>
      </c>
      <c r="Y604" t="s">
        <v>54</v>
      </c>
      <c r="Z604" t="s">
        <v>52</v>
      </c>
      <c r="AB604" t="s">
        <v>52</v>
      </c>
      <c r="AC604">
        <v>296</v>
      </c>
      <c r="AD604">
        <v>1</v>
      </c>
      <c r="AK604" t="s">
        <v>52</v>
      </c>
      <c r="AN604" t="s">
        <v>52</v>
      </c>
      <c r="AO604" t="s">
        <v>52</v>
      </c>
      <c r="AP604" t="s">
        <v>52</v>
      </c>
      <c r="AQ604" t="s">
        <v>52</v>
      </c>
      <c r="AR604" t="s">
        <v>55</v>
      </c>
      <c r="AS604" t="s">
        <v>60</v>
      </c>
    </row>
    <row r="605" spans="1:45" x14ac:dyDescent="0.25">
      <c r="A605" t="s">
        <v>47</v>
      </c>
      <c r="B605">
        <v>8</v>
      </c>
      <c r="C605" t="s">
        <v>153</v>
      </c>
      <c r="D605">
        <v>49</v>
      </c>
      <c r="E605" t="s">
        <v>70</v>
      </c>
      <c r="F605">
        <v>296</v>
      </c>
      <c r="G605" t="s">
        <v>71</v>
      </c>
      <c r="H605" t="s">
        <v>50</v>
      </c>
      <c r="K605" t="s">
        <v>52</v>
      </c>
      <c r="L605">
        <v>1</v>
      </c>
      <c r="M605" t="s">
        <v>52</v>
      </c>
      <c r="N605" t="s">
        <v>53</v>
      </c>
      <c r="Q605">
        <v>224.33330000000001</v>
      </c>
      <c r="R605">
        <v>0</v>
      </c>
      <c r="S605">
        <v>0.75</v>
      </c>
      <c r="U605">
        <v>0</v>
      </c>
      <c r="W605" s="1">
        <v>46675</v>
      </c>
      <c r="X605" s="1">
        <v>46357</v>
      </c>
      <c r="Y605" t="s">
        <v>54</v>
      </c>
      <c r="Z605" t="s">
        <v>52</v>
      </c>
      <c r="AB605" t="s">
        <v>52</v>
      </c>
      <c r="AC605">
        <v>296</v>
      </c>
      <c r="AD605">
        <v>1</v>
      </c>
      <c r="AK605" t="s">
        <v>52</v>
      </c>
      <c r="AN605" t="s">
        <v>52</v>
      </c>
      <c r="AO605" t="s">
        <v>52</v>
      </c>
      <c r="AP605" t="s">
        <v>52</v>
      </c>
      <c r="AQ605" t="s">
        <v>52</v>
      </c>
      <c r="AR605" t="s">
        <v>55</v>
      </c>
      <c r="AS605" t="s">
        <v>60</v>
      </c>
    </row>
    <row r="606" spans="1:45" x14ac:dyDescent="0.25">
      <c r="A606" t="s">
        <v>47</v>
      </c>
      <c r="B606">
        <v>8</v>
      </c>
      <c r="C606" t="s">
        <v>153</v>
      </c>
      <c r="D606">
        <v>49</v>
      </c>
      <c r="E606" t="s">
        <v>70</v>
      </c>
      <c r="F606">
        <v>296</v>
      </c>
      <c r="G606" t="s">
        <v>73</v>
      </c>
      <c r="H606" t="s">
        <v>50</v>
      </c>
      <c r="K606" t="s">
        <v>51</v>
      </c>
      <c r="L606">
        <v>1</v>
      </c>
      <c r="M606" t="s">
        <v>52</v>
      </c>
      <c r="N606" t="s">
        <v>53</v>
      </c>
      <c r="R606">
        <v>0</v>
      </c>
      <c r="S606">
        <v>0.75</v>
      </c>
      <c r="T606">
        <v>0</v>
      </c>
      <c r="U606">
        <v>0</v>
      </c>
      <c r="W606" s="1">
        <v>46675</v>
      </c>
      <c r="X606" s="1">
        <v>46357</v>
      </c>
      <c r="Z606" t="s">
        <v>52</v>
      </c>
      <c r="AB606" t="s">
        <v>52</v>
      </c>
      <c r="AC606">
        <v>296</v>
      </c>
      <c r="AD606">
        <v>1</v>
      </c>
      <c r="AK606" t="s">
        <v>52</v>
      </c>
      <c r="AN606" t="s">
        <v>52</v>
      </c>
      <c r="AO606" t="s">
        <v>52</v>
      </c>
      <c r="AP606" t="s">
        <v>52</v>
      </c>
      <c r="AQ606" t="s">
        <v>52</v>
      </c>
      <c r="AR606" t="s">
        <v>55</v>
      </c>
      <c r="AS606" t="s">
        <v>60</v>
      </c>
    </row>
    <row r="607" spans="1:45" x14ac:dyDescent="0.25">
      <c r="A607" t="s">
        <v>47</v>
      </c>
      <c r="B607">
        <v>8</v>
      </c>
      <c r="C607" t="s">
        <v>153</v>
      </c>
      <c r="D607">
        <v>49</v>
      </c>
      <c r="E607" t="s">
        <v>70</v>
      </c>
      <c r="F607">
        <v>296</v>
      </c>
      <c r="G607" t="s">
        <v>73</v>
      </c>
      <c r="H607" t="s">
        <v>50</v>
      </c>
      <c r="K607" t="s">
        <v>52</v>
      </c>
      <c r="L607">
        <v>1</v>
      </c>
      <c r="M607" t="s">
        <v>52</v>
      </c>
      <c r="N607" t="s">
        <v>53</v>
      </c>
      <c r="R607">
        <v>0</v>
      </c>
      <c r="S607">
        <v>0.75</v>
      </c>
      <c r="T607">
        <v>0</v>
      </c>
      <c r="U607">
        <v>0</v>
      </c>
      <c r="W607" s="1">
        <v>46675</v>
      </c>
      <c r="X607" s="1">
        <v>46357</v>
      </c>
      <c r="Z607" t="s">
        <v>52</v>
      </c>
      <c r="AB607" t="s">
        <v>52</v>
      </c>
      <c r="AC607">
        <v>296</v>
      </c>
      <c r="AD607">
        <v>1</v>
      </c>
      <c r="AK607" t="s">
        <v>52</v>
      </c>
      <c r="AN607" t="s">
        <v>52</v>
      </c>
      <c r="AO607" t="s">
        <v>52</v>
      </c>
      <c r="AP607" t="s">
        <v>52</v>
      </c>
      <c r="AQ607" t="s">
        <v>52</v>
      </c>
      <c r="AR607" t="s">
        <v>55</v>
      </c>
      <c r="AS607" t="s">
        <v>60</v>
      </c>
    </row>
    <row r="608" spans="1:45" x14ac:dyDescent="0.25">
      <c r="A608" t="s">
        <v>47</v>
      </c>
      <c r="B608">
        <v>8</v>
      </c>
      <c r="C608" t="s">
        <v>153</v>
      </c>
      <c r="D608">
        <v>49</v>
      </c>
      <c r="E608" t="s">
        <v>70</v>
      </c>
      <c r="F608">
        <v>296</v>
      </c>
      <c r="G608" t="s">
        <v>74</v>
      </c>
      <c r="H608" t="s">
        <v>50</v>
      </c>
      <c r="K608" t="s">
        <v>51</v>
      </c>
      <c r="L608">
        <v>1</v>
      </c>
      <c r="M608" t="s">
        <v>52</v>
      </c>
      <c r="N608" t="s">
        <v>53</v>
      </c>
      <c r="R608">
        <v>0</v>
      </c>
      <c r="S608">
        <v>0.75</v>
      </c>
      <c r="U608">
        <v>0</v>
      </c>
      <c r="W608" s="1">
        <v>46675</v>
      </c>
      <c r="X608" s="1">
        <v>46357</v>
      </c>
      <c r="Z608" t="s">
        <v>52</v>
      </c>
      <c r="AB608" t="s">
        <v>52</v>
      </c>
      <c r="AC608">
        <v>102</v>
      </c>
      <c r="AD608">
        <v>1</v>
      </c>
      <c r="AK608" t="s">
        <v>52</v>
      </c>
      <c r="AN608" t="s">
        <v>52</v>
      </c>
      <c r="AO608" t="s">
        <v>52</v>
      </c>
      <c r="AP608" t="s">
        <v>52</v>
      </c>
      <c r="AQ608" t="s">
        <v>52</v>
      </c>
      <c r="AR608" t="s">
        <v>55</v>
      </c>
    </row>
    <row r="609" spans="1:45" x14ac:dyDescent="0.25">
      <c r="A609" t="s">
        <v>47</v>
      </c>
      <c r="B609">
        <v>8</v>
      </c>
      <c r="C609" t="s">
        <v>153</v>
      </c>
      <c r="D609">
        <v>49</v>
      </c>
      <c r="E609" t="s">
        <v>70</v>
      </c>
      <c r="F609">
        <v>296</v>
      </c>
      <c r="G609" t="s">
        <v>74</v>
      </c>
      <c r="H609" t="s">
        <v>50</v>
      </c>
      <c r="K609" t="s">
        <v>52</v>
      </c>
      <c r="L609">
        <v>1</v>
      </c>
      <c r="M609" t="s">
        <v>52</v>
      </c>
      <c r="N609" t="s">
        <v>53</v>
      </c>
      <c r="R609">
        <v>0</v>
      </c>
      <c r="S609">
        <v>0.75</v>
      </c>
      <c r="U609">
        <v>0</v>
      </c>
      <c r="W609" s="1">
        <v>46675</v>
      </c>
      <c r="X609" s="1">
        <v>46357</v>
      </c>
      <c r="Z609" t="s">
        <v>52</v>
      </c>
      <c r="AB609" t="s">
        <v>52</v>
      </c>
      <c r="AC609">
        <v>102</v>
      </c>
      <c r="AD609">
        <v>1</v>
      </c>
      <c r="AK609" t="s">
        <v>52</v>
      </c>
      <c r="AN609" t="s">
        <v>52</v>
      </c>
      <c r="AO609" t="s">
        <v>52</v>
      </c>
      <c r="AP609" t="s">
        <v>52</v>
      </c>
      <c r="AQ609" t="s">
        <v>52</v>
      </c>
      <c r="AR609" t="s">
        <v>55</v>
      </c>
      <c r="AS609" t="s">
        <v>60</v>
      </c>
    </row>
    <row r="610" spans="1:45" x14ac:dyDescent="0.25">
      <c r="A610" t="s">
        <v>47</v>
      </c>
      <c r="B610">
        <v>8</v>
      </c>
      <c r="C610" t="s">
        <v>154</v>
      </c>
      <c r="D610">
        <v>51</v>
      </c>
      <c r="E610" t="s">
        <v>49</v>
      </c>
      <c r="F610">
        <v>27</v>
      </c>
      <c r="H610" t="s">
        <v>50</v>
      </c>
      <c r="K610" t="s">
        <v>51</v>
      </c>
      <c r="L610">
        <v>1</v>
      </c>
      <c r="M610" t="s">
        <v>52</v>
      </c>
      <c r="N610" t="s">
        <v>53</v>
      </c>
      <c r="Q610">
        <v>230</v>
      </c>
      <c r="R610">
        <v>0</v>
      </c>
      <c r="S610">
        <v>0.75</v>
      </c>
      <c r="T610">
        <v>0</v>
      </c>
      <c r="U610">
        <v>0</v>
      </c>
      <c r="W610" s="1">
        <v>46675</v>
      </c>
      <c r="X610" s="1">
        <v>46357</v>
      </c>
      <c r="Y610" t="s">
        <v>54</v>
      </c>
      <c r="Z610" t="s">
        <v>52</v>
      </c>
      <c r="AB610" t="s">
        <v>52</v>
      </c>
      <c r="AC610">
        <v>27</v>
      </c>
      <c r="AD610">
        <v>1</v>
      </c>
      <c r="AE610">
        <v>0.97</v>
      </c>
      <c r="AG610">
        <v>0.97</v>
      </c>
      <c r="AK610" t="s">
        <v>52</v>
      </c>
      <c r="AN610" t="s">
        <v>52</v>
      </c>
      <c r="AO610" t="s">
        <v>52</v>
      </c>
      <c r="AP610" t="s">
        <v>52</v>
      </c>
      <c r="AQ610" t="s">
        <v>52</v>
      </c>
      <c r="AR610" t="s">
        <v>55</v>
      </c>
      <c r="AS610" t="s">
        <v>60</v>
      </c>
    </row>
    <row r="611" spans="1:45" x14ac:dyDescent="0.25">
      <c r="A611" t="s">
        <v>47</v>
      </c>
      <c r="B611">
        <v>8</v>
      </c>
      <c r="C611" t="s">
        <v>154</v>
      </c>
      <c r="D611">
        <v>51</v>
      </c>
      <c r="E611" t="s">
        <v>49</v>
      </c>
      <c r="F611">
        <v>27</v>
      </c>
      <c r="H611" t="s">
        <v>50</v>
      </c>
      <c r="K611" t="s">
        <v>52</v>
      </c>
      <c r="L611">
        <v>1</v>
      </c>
      <c r="M611" t="s">
        <v>52</v>
      </c>
      <c r="N611" t="s">
        <v>53</v>
      </c>
      <c r="Q611">
        <v>230</v>
      </c>
      <c r="R611">
        <v>0</v>
      </c>
      <c r="S611">
        <v>0.75</v>
      </c>
      <c r="T611">
        <v>0</v>
      </c>
      <c r="U611">
        <v>0</v>
      </c>
      <c r="W611" s="1">
        <v>46675</v>
      </c>
      <c r="X611" s="1">
        <v>46357</v>
      </c>
      <c r="Y611" t="s">
        <v>54</v>
      </c>
      <c r="Z611" t="s">
        <v>52</v>
      </c>
      <c r="AB611" t="s">
        <v>52</v>
      </c>
      <c r="AC611">
        <v>27</v>
      </c>
      <c r="AD611">
        <v>1</v>
      </c>
      <c r="AE611">
        <v>0.97</v>
      </c>
      <c r="AG611">
        <v>0.97</v>
      </c>
      <c r="AK611" t="s">
        <v>52</v>
      </c>
      <c r="AN611" t="s">
        <v>52</v>
      </c>
      <c r="AO611" t="s">
        <v>52</v>
      </c>
      <c r="AP611" t="s">
        <v>52</v>
      </c>
      <c r="AQ611" t="s">
        <v>52</v>
      </c>
      <c r="AR611" t="s">
        <v>55</v>
      </c>
      <c r="AS611" t="s">
        <v>60</v>
      </c>
    </row>
    <row r="612" spans="1:45" x14ac:dyDescent="0.25">
      <c r="A612" t="s">
        <v>47</v>
      </c>
      <c r="B612">
        <v>8</v>
      </c>
      <c r="C612" t="s">
        <v>154</v>
      </c>
      <c r="D612">
        <v>51</v>
      </c>
      <c r="E612" t="s">
        <v>58</v>
      </c>
      <c r="F612">
        <v>102</v>
      </c>
      <c r="G612" t="s">
        <v>62</v>
      </c>
      <c r="H612" t="s">
        <v>50</v>
      </c>
      <c r="K612" t="s">
        <v>51</v>
      </c>
      <c r="L612">
        <v>1</v>
      </c>
      <c r="M612" t="s">
        <v>52</v>
      </c>
      <c r="N612" t="s">
        <v>53</v>
      </c>
      <c r="R612">
        <v>0</v>
      </c>
      <c r="S612">
        <v>0.92</v>
      </c>
      <c r="T612">
        <v>0</v>
      </c>
      <c r="U612">
        <v>0</v>
      </c>
      <c r="W612" s="1">
        <v>46731</v>
      </c>
      <c r="X612" s="1">
        <v>46357</v>
      </c>
      <c r="Z612" t="s">
        <v>52</v>
      </c>
      <c r="AB612" t="s">
        <v>52</v>
      </c>
      <c r="AC612">
        <v>102</v>
      </c>
      <c r="AD612">
        <v>1</v>
      </c>
      <c r="AK612" t="s">
        <v>52</v>
      </c>
      <c r="AN612" t="s">
        <v>52</v>
      </c>
      <c r="AO612" t="s">
        <v>52</v>
      </c>
      <c r="AP612" t="s">
        <v>52</v>
      </c>
      <c r="AQ612" t="s">
        <v>52</v>
      </c>
      <c r="AR612" t="s">
        <v>55</v>
      </c>
    </row>
    <row r="613" spans="1:45" x14ac:dyDescent="0.25">
      <c r="A613" t="s">
        <v>47</v>
      </c>
      <c r="B613">
        <v>8</v>
      </c>
      <c r="C613" t="s">
        <v>154</v>
      </c>
      <c r="D613">
        <v>51</v>
      </c>
      <c r="E613" t="s">
        <v>58</v>
      </c>
      <c r="F613">
        <v>102</v>
      </c>
      <c r="G613" t="s">
        <v>62</v>
      </c>
      <c r="H613" t="s">
        <v>50</v>
      </c>
      <c r="K613" t="s">
        <v>52</v>
      </c>
      <c r="L613">
        <v>1</v>
      </c>
      <c r="M613" t="s">
        <v>52</v>
      </c>
      <c r="N613" t="s">
        <v>53</v>
      </c>
      <c r="R613">
        <v>0</v>
      </c>
      <c r="S613">
        <v>0.92</v>
      </c>
      <c r="T613">
        <v>0</v>
      </c>
      <c r="U613">
        <v>0</v>
      </c>
      <c r="W613" s="1">
        <v>46731</v>
      </c>
      <c r="X613" s="1">
        <v>46357</v>
      </c>
      <c r="Z613" t="s">
        <v>52</v>
      </c>
      <c r="AB613" t="s">
        <v>52</v>
      </c>
      <c r="AC613">
        <v>102</v>
      </c>
      <c r="AD613">
        <v>1</v>
      </c>
      <c r="AK613" t="s">
        <v>52</v>
      </c>
      <c r="AN613" t="s">
        <v>52</v>
      </c>
      <c r="AO613" t="s">
        <v>52</v>
      </c>
      <c r="AP613" t="s">
        <v>52</v>
      </c>
      <c r="AQ613" t="s">
        <v>52</v>
      </c>
      <c r="AR613" t="s">
        <v>55</v>
      </c>
    </row>
    <row r="614" spans="1:45" x14ac:dyDescent="0.25">
      <c r="A614" t="s">
        <v>47</v>
      </c>
      <c r="B614">
        <v>8</v>
      </c>
      <c r="C614" t="s">
        <v>155</v>
      </c>
      <c r="D614">
        <v>53</v>
      </c>
      <c r="E614" t="s">
        <v>58</v>
      </c>
      <c r="F614">
        <v>102</v>
      </c>
      <c r="G614" t="s">
        <v>62</v>
      </c>
      <c r="H614" t="s">
        <v>50</v>
      </c>
      <c r="K614" t="s">
        <v>51</v>
      </c>
      <c r="L614">
        <v>1</v>
      </c>
      <c r="M614" t="s">
        <v>52</v>
      </c>
      <c r="N614" t="s">
        <v>53</v>
      </c>
      <c r="R614">
        <v>0</v>
      </c>
      <c r="S614">
        <v>0.92</v>
      </c>
      <c r="T614">
        <v>0</v>
      </c>
      <c r="U614">
        <v>0</v>
      </c>
      <c r="W614" s="1">
        <v>46731</v>
      </c>
      <c r="X614" s="1">
        <v>46357</v>
      </c>
      <c r="Z614" t="s">
        <v>52</v>
      </c>
      <c r="AB614" t="s">
        <v>52</v>
      </c>
      <c r="AC614">
        <v>102</v>
      </c>
      <c r="AD614">
        <v>1</v>
      </c>
      <c r="AK614" t="s">
        <v>52</v>
      </c>
      <c r="AN614" t="s">
        <v>52</v>
      </c>
      <c r="AO614" t="s">
        <v>52</v>
      </c>
      <c r="AP614" t="s">
        <v>52</v>
      </c>
      <c r="AQ614" t="s">
        <v>52</v>
      </c>
      <c r="AR614" t="s">
        <v>55</v>
      </c>
    </row>
    <row r="615" spans="1:45" x14ac:dyDescent="0.25">
      <c r="A615" t="s">
        <v>47</v>
      </c>
      <c r="B615">
        <v>8</v>
      </c>
      <c r="C615" t="s">
        <v>155</v>
      </c>
      <c r="D615">
        <v>53</v>
      </c>
      <c r="E615" t="s">
        <v>58</v>
      </c>
      <c r="F615">
        <v>102</v>
      </c>
      <c r="G615" t="s">
        <v>62</v>
      </c>
      <c r="H615" t="s">
        <v>50</v>
      </c>
      <c r="K615" t="s">
        <v>52</v>
      </c>
      <c r="L615">
        <v>1</v>
      </c>
      <c r="M615" t="s">
        <v>52</v>
      </c>
      <c r="N615" t="s">
        <v>53</v>
      </c>
      <c r="R615">
        <v>0</v>
      </c>
      <c r="S615">
        <v>0.92</v>
      </c>
      <c r="T615">
        <v>0</v>
      </c>
      <c r="U615">
        <v>0</v>
      </c>
      <c r="W615" s="1">
        <v>46731</v>
      </c>
      <c r="X615" s="1">
        <v>46357</v>
      </c>
      <c r="Z615" t="s">
        <v>52</v>
      </c>
      <c r="AB615" t="s">
        <v>52</v>
      </c>
      <c r="AC615">
        <v>102</v>
      </c>
      <c r="AD615">
        <v>1</v>
      </c>
      <c r="AK615" t="s">
        <v>52</v>
      </c>
      <c r="AN615" t="s">
        <v>52</v>
      </c>
      <c r="AO615" t="s">
        <v>52</v>
      </c>
      <c r="AP615" t="s">
        <v>52</v>
      </c>
      <c r="AQ615" t="s">
        <v>52</v>
      </c>
      <c r="AR615" t="s">
        <v>55</v>
      </c>
    </row>
    <row r="616" spans="1:45" x14ac:dyDescent="0.25">
      <c r="A616" t="s">
        <v>47</v>
      </c>
      <c r="B616">
        <v>8</v>
      </c>
      <c r="C616" t="s">
        <v>155</v>
      </c>
      <c r="D616">
        <v>53</v>
      </c>
      <c r="E616" t="s">
        <v>58</v>
      </c>
      <c r="F616">
        <v>102</v>
      </c>
      <c r="G616" t="s">
        <v>156</v>
      </c>
      <c r="H616" t="s">
        <v>50</v>
      </c>
      <c r="K616" t="s">
        <v>52</v>
      </c>
      <c r="L616">
        <v>1</v>
      </c>
      <c r="M616" t="s">
        <v>52</v>
      </c>
      <c r="N616" t="s">
        <v>53</v>
      </c>
      <c r="R616">
        <v>0</v>
      </c>
      <c r="S616">
        <v>0.92</v>
      </c>
      <c r="T616">
        <v>0</v>
      </c>
      <c r="U616">
        <v>0</v>
      </c>
      <c r="W616" s="1">
        <v>46731</v>
      </c>
      <c r="X616" s="1">
        <v>46357</v>
      </c>
      <c r="Z616" t="s">
        <v>52</v>
      </c>
      <c r="AB616" t="s">
        <v>52</v>
      </c>
      <c r="AC616">
        <v>102</v>
      </c>
      <c r="AD616">
        <v>1</v>
      </c>
      <c r="AK616" t="s">
        <v>52</v>
      </c>
      <c r="AN616" t="s">
        <v>52</v>
      </c>
      <c r="AO616" t="s">
        <v>52</v>
      </c>
      <c r="AP616" t="s">
        <v>52</v>
      </c>
      <c r="AQ616" t="s">
        <v>52</v>
      </c>
      <c r="AR616" t="s">
        <v>55</v>
      </c>
      <c r="AS616" t="s">
        <v>60</v>
      </c>
    </row>
    <row r="617" spans="1:45" x14ac:dyDescent="0.25">
      <c r="A617" t="s">
        <v>47</v>
      </c>
      <c r="B617">
        <v>8</v>
      </c>
      <c r="C617" t="s">
        <v>157</v>
      </c>
      <c r="D617">
        <v>55</v>
      </c>
      <c r="E617" t="s">
        <v>49</v>
      </c>
      <c r="F617">
        <v>27</v>
      </c>
      <c r="H617" t="s">
        <v>50</v>
      </c>
      <c r="K617" t="s">
        <v>51</v>
      </c>
      <c r="L617">
        <v>1</v>
      </c>
      <c r="M617" t="s">
        <v>52</v>
      </c>
      <c r="N617" t="s">
        <v>53</v>
      </c>
      <c r="Q617">
        <v>230</v>
      </c>
      <c r="R617">
        <v>0</v>
      </c>
      <c r="S617">
        <v>0.75</v>
      </c>
      <c r="T617">
        <v>0</v>
      </c>
      <c r="U617">
        <v>0</v>
      </c>
      <c r="W617" s="1">
        <v>46675</v>
      </c>
      <c r="X617" s="1">
        <v>46357</v>
      </c>
      <c r="Y617" t="s">
        <v>54</v>
      </c>
      <c r="Z617" t="s">
        <v>52</v>
      </c>
      <c r="AB617" t="s">
        <v>52</v>
      </c>
      <c r="AC617">
        <v>27</v>
      </c>
      <c r="AD617">
        <v>1</v>
      </c>
      <c r="AE617">
        <v>0.97</v>
      </c>
      <c r="AG617">
        <v>0.97</v>
      </c>
      <c r="AK617" t="s">
        <v>52</v>
      </c>
      <c r="AN617" t="s">
        <v>52</v>
      </c>
      <c r="AO617" t="s">
        <v>52</v>
      </c>
      <c r="AP617" t="s">
        <v>52</v>
      </c>
      <c r="AQ617" t="s">
        <v>52</v>
      </c>
      <c r="AR617" t="s">
        <v>55</v>
      </c>
      <c r="AS617" t="s">
        <v>56</v>
      </c>
    </row>
    <row r="618" spans="1:45" x14ac:dyDescent="0.25">
      <c r="A618" t="s">
        <v>47</v>
      </c>
      <c r="B618">
        <v>8</v>
      </c>
      <c r="C618" t="s">
        <v>157</v>
      </c>
      <c r="D618">
        <v>55</v>
      </c>
      <c r="E618" t="s">
        <v>49</v>
      </c>
      <c r="F618">
        <v>27</v>
      </c>
      <c r="H618" t="s">
        <v>50</v>
      </c>
      <c r="K618" t="s">
        <v>52</v>
      </c>
      <c r="L618">
        <v>1</v>
      </c>
      <c r="M618" t="s">
        <v>52</v>
      </c>
      <c r="N618" t="s">
        <v>53</v>
      </c>
      <c r="Q618">
        <v>230</v>
      </c>
      <c r="R618">
        <v>0</v>
      </c>
      <c r="S618">
        <v>0.75</v>
      </c>
      <c r="T618">
        <v>0</v>
      </c>
      <c r="U618">
        <v>0</v>
      </c>
      <c r="W618" s="1">
        <v>46675</v>
      </c>
      <c r="X618" s="1">
        <v>46357</v>
      </c>
      <c r="Y618" t="s">
        <v>54</v>
      </c>
      <c r="Z618" t="s">
        <v>52</v>
      </c>
      <c r="AB618" t="s">
        <v>52</v>
      </c>
      <c r="AC618">
        <v>27</v>
      </c>
      <c r="AD618">
        <v>1</v>
      </c>
      <c r="AE618">
        <v>0.97</v>
      </c>
      <c r="AG618">
        <v>0.97</v>
      </c>
      <c r="AK618" t="s">
        <v>52</v>
      </c>
      <c r="AN618" t="s">
        <v>52</v>
      </c>
      <c r="AO618" t="s">
        <v>52</v>
      </c>
      <c r="AP618" t="s">
        <v>52</v>
      </c>
      <c r="AQ618" t="s">
        <v>52</v>
      </c>
      <c r="AR618" t="s">
        <v>55</v>
      </c>
      <c r="AS618" t="s">
        <v>57</v>
      </c>
    </row>
    <row r="619" spans="1:45" x14ac:dyDescent="0.25">
      <c r="A619" t="s">
        <v>47</v>
      </c>
      <c r="B619">
        <v>8</v>
      </c>
      <c r="C619" t="s">
        <v>157</v>
      </c>
      <c r="D619">
        <v>55</v>
      </c>
      <c r="E619" t="s">
        <v>58</v>
      </c>
      <c r="F619">
        <v>102</v>
      </c>
      <c r="G619" t="s">
        <v>62</v>
      </c>
      <c r="H619" t="s">
        <v>50</v>
      </c>
      <c r="K619" t="s">
        <v>51</v>
      </c>
      <c r="L619">
        <v>1</v>
      </c>
      <c r="M619" t="s">
        <v>52</v>
      </c>
      <c r="N619" t="s">
        <v>53</v>
      </c>
      <c r="R619">
        <v>0</v>
      </c>
      <c r="S619">
        <v>0.92</v>
      </c>
      <c r="T619">
        <v>0</v>
      </c>
      <c r="U619">
        <v>0</v>
      </c>
      <c r="W619" s="1">
        <v>46731</v>
      </c>
      <c r="X619" s="1">
        <v>46357</v>
      </c>
      <c r="Z619" t="s">
        <v>52</v>
      </c>
      <c r="AB619" t="s">
        <v>52</v>
      </c>
      <c r="AC619">
        <v>102</v>
      </c>
      <c r="AD619">
        <v>1</v>
      </c>
      <c r="AK619" t="s">
        <v>52</v>
      </c>
      <c r="AN619" t="s">
        <v>52</v>
      </c>
      <c r="AO619" t="s">
        <v>52</v>
      </c>
      <c r="AP619" t="s">
        <v>52</v>
      </c>
      <c r="AQ619" t="s">
        <v>52</v>
      </c>
      <c r="AR619" t="s">
        <v>55</v>
      </c>
    </row>
    <row r="620" spans="1:45" x14ac:dyDescent="0.25">
      <c r="A620" t="s">
        <v>47</v>
      </c>
      <c r="B620">
        <v>8</v>
      </c>
      <c r="C620" t="s">
        <v>157</v>
      </c>
      <c r="D620">
        <v>55</v>
      </c>
      <c r="E620" t="s">
        <v>58</v>
      </c>
      <c r="F620">
        <v>102</v>
      </c>
      <c r="G620" t="s">
        <v>62</v>
      </c>
      <c r="H620" t="s">
        <v>50</v>
      </c>
      <c r="K620" t="s">
        <v>52</v>
      </c>
      <c r="L620">
        <v>1</v>
      </c>
      <c r="M620" t="s">
        <v>52</v>
      </c>
      <c r="N620" t="s">
        <v>53</v>
      </c>
      <c r="R620">
        <v>0</v>
      </c>
      <c r="S620">
        <v>0.92</v>
      </c>
      <c r="T620">
        <v>0</v>
      </c>
      <c r="U620">
        <v>0</v>
      </c>
      <c r="W620" s="1">
        <v>46731</v>
      </c>
      <c r="X620" s="1">
        <v>46357</v>
      </c>
      <c r="Z620" t="s">
        <v>52</v>
      </c>
      <c r="AB620" t="s">
        <v>52</v>
      </c>
      <c r="AC620">
        <v>102</v>
      </c>
      <c r="AD620">
        <v>1</v>
      </c>
      <c r="AK620" t="s">
        <v>52</v>
      </c>
      <c r="AN620" t="s">
        <v>52</v>
      </c>
      <c r="AO620" t="s">
        <v>52</v>
      </c>
      <c r="AP620" t="s">
        <v>52</v>
      </c>
      <c r="AQ620" t="s">
        <v>52</v>
      </c>
      <c r="AR620" t="s">
        <v>55</v>
      </c>
    </row>
    <row r="621" spans="1:45" x14ac:dyDescent="0.25">
      <c r="A621" t="s">
        <v>47</v>
      </c>
      <c r="B621">
        <v>8</v>
      </c>
      <c r="C621" t="s">
        <v>157</v>
      </c>
      <c r="D621">
        <v>55</v>
      </c>
      <c r="E621" t="s">
        <v>70</v>
      </c>
      <c r="F621">
        <v>296</v>
      </c>
      <c r="G621" t="s">
        <v>71</v>
      </c>
      <c r="H621" t="s">
        <v>50</v>
      </c>
      <c r="K621" t="s">
        <v>51</v>
      </c>
      <c r="L621">
        <v>1</v>
      </c>
      <c r="M621" t="s">
        <v>52</v>
      </c>
      <c r="N621" t="s">
        <v>53</v>
      </c>
      <c r="Q621">
        <v>224.33330000000001</v>
      </c>
      <c r="R621">
        <v>0</v>
      </c>
      <c r="S621">
        <v>0.75</v>
      </c>
      <c r="T621">
        <v>0</v>
      </c>
      <c r="U621">
        <v>0</v>
      </c>
      <c r="W621" s="1">
        <v>46675</v>
      </c>
      <c r="X621" s="1">
        <v>46357</v>
      </c>
      <c r="Y621" t="s">
        <v>54</v>
      </c>
      <c r="Z621" t="s">
        <v>52</v>
      </c>
      <c r="AB621" t="s">
        <v>52</v>
      </c>
      <c r="AC621">
        <v>296</v>
      </c>
      <c r="AD621">
        <v>1</v>
      </c>
      <c r="AK621" t="s">
        <v>52</v>
      </c>
      <c r="AN621" t="s">
        <v>52</v>
      </c>
      <c r="AO621" t="s">
        <v>52</v>
      </c>
      <c r="AP621" t="s">
        <v>52</v>
      </c>
      <c r="AQ621" t="s">
        <v>52</v>
      </c>
      <c r="AR621" t="s">
        <v>55</v>
      </c>
    </row>
    <row r="622" spans="1:45" x14ac:dyDescent="0.25">
      <c r="A622" t="s">
        <v>47</v>
      </c>
      <c r="B622">
        <v>8</v>
      </c>
      <c r="C622" t="s">
        <v>157</v>
      </c>
      <c r="D622">
        <v>55</v>
      </c>
      <c r="E622" t="s">
        <v>70</v>
      </c>
      <c r="F622">
        <v>296</v>
      </c>
      <c r="G622" t="s">
        <v>71</v>
      </c>
      <c r="H622" t="s">
        <v>50</v>
      </c>
      <c r="K622" t="s">
        <v>52</v>
      </c>
      <c r="L622">
        <v>1</v>
      </c>
      <c r="M622" t="s">
        <v>52</v>
      </c>
      <c r="N622" t="s">
        <v>53</v>
      </c>
      <c r="Q622">
        <v>224.33330000000001</v>
      </c>
      <c r="R622">
        <v>0</v>
      </c>
      <c r="S622">
        <v>0.75</v>
      </c>
      <c r="T622">
        <v>0</v>
      </c>
      <c r="U622">
        <v>0</v>
      </c>
      <c r="W622" s="1">
        <v>46675</v>
      </c>
      <c r="X622" s="1">
        <v>46357</v>
      </c>
      <c r="Y622" t="s">
        <v>54</v>
      </c>
      <c r="Z622" t="s">
        <v>52</v>
      </c>
      <c r="AB622" t="s">
        <v>52</v>
      </c>
      <c r="AC622">
        <v>296</v>
      </c>
      <c r="AD622">
        <v>1</v>
      </c>
      <c r="AK622" t="s">
        <v>52</v>
      </c>
      <c r="AN622" t="s">
        <v>52</v>
      </c>
      <c r="AO622" t="s">
        <v>52</v>
      </c>
      <c r="AP622" t="s">
        <v>52</v>
      </c>
      <c r="AQ622" t="s">
        <v>52</v>
      </c>
      <c r="AR622" t="s">
        <v>55</v>
      </c>
    </row>
    <row r="623" spans="1:45" x14ac:dyDescent="0.25">
      <c r="A623" t="s">
        <v>47</v>
      </c>
      <c r="B623">
        <v>8</v>
      </c>
      <c r="C623" t="s">
        <v>157</v>
      </c>
      <c r="D623">
        <v>55</v>
      </c>
      <c r="E623" t="s">
        <v>70</v>
      </c>
      <c r="F623">
        <v>296</v>
      </c>
      <c r="G623" t="s">
        <v>72</v>
      </c>
      <c r="H623" t="s">
        <v>50</v>
      </c>
      <c r="K623" t="s">
        <v>51</v>
      </c>
      <c r="L623">
        <v>1</v>
      </c>
      <c r="M623" t="s">
        <v>52</v>
      </c>
      <c r="N623" t="s">
        <v>53</v>
      </c>
      <c r="R623">
        <v>0.5</v>
      </c>
      <c r="S623">
        <v>0.75</v>
      </c>
      <c r="T623">
        <v>0</v>
      </c>
      <c r="U623">
        <v>0</v>
      </c>
      <c r="V623" s="1">
        <v>46522</v>
      </c>
      <c r="W623" s="1">
        <v>46675</v>
      </c>
      <c r="X623" s="1">
        <v>46357</v>
      </c>
      <c r="Z623" t="s">
        <v>52</v>
      </c>
      <c r="AB623" t="s">
        <v>52</v>
      </c>
      <c r="AC623">
        <v>296</v>
      </c>
      <c r="AD623">
        <v>1</v>
      </c>
      <c r="AK623" t="s">
        <v>52</v>
      </c>
      <c r="AN623" t="s">
        <v>52</v>
      </c>
      <c r="AO623" t="s">
        <v>52</v>
      </c>
      <c r="AP623" t="s">
        <v>52</v>
      </c>
      <c r="AQ623" t="s">
        <v>52</v>
      </c>
      <c r="AR623" t="s">
        <v>55</v>
      </c>
    </row>
    <row r="624" spans="1:45" x14ac:dyDescent="0.25">
      <c r="A624" t="s">
        <v>47</v>
      </c>
      <c r="B624">
        <v>8</v>
      </c>
      <c r="C624" t="s">
        <v>157</v>
      </c>
      <c r="D624">
        <v>55</v>
      </c>
      <c r="E624" t="s">
        <v>70</v>
      </c>
      <c r="F624">
        <v>296</v>
      </c>
      <c r="G624" t="s">
        <v>72</v>
      </c>
      <c r="H624" t="s">
        <v>50</v>
      </c>
      <c r="K624" t="s">
        <v>52</v>
      </c>
      <c r="L624">
        <v>1</v>
      </c>
      <c r="M624" t="s">
        <v>52</v>
      </c>
      <c r="N624" t="s">
        <v>53</v>
      </c>
      <c r="R624">
        <v>0.5</v>
      </c>
      <c r="S624">
        <v>0.75</v>
      </c>
      <c r="T624">
        <v>0</v>
      </c>
      <c r="U624">
        <v>0</v>
      </c>
      <c r="V624" s="1">
        <v>46522</v>
      </c>
      <c r="W624" s="1">
        <v>46675</v>
      </c>
      <c r="X624" s="1">
        <v>46357</v>
      </c>
      <c r="Z624" t="s">
        <v>52</v>
      </c>
      <c r="AB624" t="s">
        <v>52</v>
      </c>
      <c r="AC624">
        <v>296</v>
      </c>
      <c r="AD624">
        <v>1</v>
      </c>
      <c r="AK624" t="s">
        <v>52</v>
      </c>
      <c r="AN624" t="s">
        <v>52</v>
      </c>
      <c r="AO624" t="s">
        <v>52</v>
      </c>
      <c r="AP624" t="s">
        <v>52</v>
      </c>
      <c r="AQ624" t="s">
        <v>52</v>
      </c>
      <c r="AR624" t="s">
        <v>55</v>
      </c>
    </row>
    <row r="625" spans="1:45" x14ac:dyDescent="0.25">
      <c r="A625" t="s">
        <v>47</v>
      </c>
      <c r="B625">
        <v>8</v>
      </c>
      <c r="C625" t="s">
        <v>157</v>
      </c>
      <c r="D625">
        <v>55</v>
      </c>
      <c r="E625" t="s">
        <v>70</v>
      </c>
      <c r="F625">
        <v>296</v>
      </c>
      <c r="G625" t="s">
        <v>74</v>
      </c>
      <c r="H625" t="s">
        <v>50</v>
      </c>
      <c r="K625" t="s">
        <v>51</v>
      </c>
      <c r="L625">
        <v>1</v>
      </c>
      <c r="M625" t="s">
        <v>52</v>
      </c>
      <c r="N625" t="s">
        <v>53</v>
      </c>
      <c r="R625">
        <v>0</v>
      </c>
      <c r="S625">
        <v>0.75</v>
      </c>
      <c r="T625">
        <v>0</v>
      </c>
      <c r="U625">
        <v>0</v>
      </c>
      <c r="W625" s="1">
        <v>46675</v>
      </c>
      <c r="X625" s="1">
        <v>46357</v>
      </c>
      <c r="Z625" t="s">
        <v>52</v>
      </c>
      <c r="AB625" t="s">
        <v>52</v>
      </c>
      <c r="AC625">
        <v>102</v>
      </c>
      <c r="AD625">
        <v>1</v>
      </c>
      <c r="AK625" t="s">
        <v>52</v>
      </c>
      <c r="AN625" t="s">
        <v>52</v>
      </c>
      <c r="AO625" t="s">
        <v>52</v>
      </c>
      <c r="AP625" t="s">
        <v>52</v>
      </c>
      <c r="AQ625" t="s">
        <v>52</v>
      </c>
      <c r="AR625" t="s">
        <v>55</v>
      </c>
      <c r="AS625" t="s">
        <v>60</v>
      </c>
    </row>
    <row r="626" spans="1:45" x14ac:dyDescent="0.25">
      <c r="A626" t="s">
        <v>47</v>
      </c>
      <c r="B626">
        <v>8</v>
      </c>
      <c r="C626" t="s">
        <v>157</v>
      </c>
      <c r="D626">
        <v>55</v>
      </c>
      <c r="E626" t="s">
        <v>70</v>
      </c>
      <c r="F626">
        <v>296</v>
      </c>
      <c r="G626" t="s">
        <v>74</v>
      </c>
      <c r="H626" t="s">
        <v>50</v>
      </c>
      <c r="K626" t="s">
        <v>52</v>
      </c>
      <c r="L626">
        <v>1</v>
      </c>
      <c r="M626" t="s">
        <v>52</v>
      </c>
      <c r="N626" t="s">
        <v>53</v>
      </c>
      <c r="R626">
        <v>0</v>
      </c>
      <c r="S626">
        <v>0.75</v>
      </c>
      <c r="T626">
        <v>0</v>
      </c>
      <c r="U626">
        <v>0</v>
      </c>
      <c r="W626" s="1">
        <v>46675</v>
      </c>
      <c r="X626" s="1">
        <v>46357</v>
      </c>
      <c r="Z626" t="s">
        <v>52</v>
      </c>
      <c r="AB626" t="s">
        <v>52</v>
      </c>
      <c r="AC626">
        <v>102</v>
      </c>
      <c r="AD626">
        <v>1</v>
      </c>
      <c r="AK626" t="s">
        <v>52</v>
      </c>
      <c r="AN626" t="s">
        <v>52</v>
      </c>
      <c r="AO626" t="s">
        <v>52</v>
      </c>
      <c r="AP626" t="s">
        <v>52</v>
      </c>
      <c r="AQ626" t="s">
        <v>52</v>
      </c>
      <c r="AR626" t="s">
        <v>55</v>
      </c>
      <c r="AS626" t="s">
        <v>60</v>
      </c>
    </row>
    <row r="627" spans="1:45" x14ac:dyDescent="0.25">
      <c r="A627" t="s">
        <v>47</v>
      </c>
      <c r="B627">
        <v>8</v>
      </c>
      <c r="C627" t="s">
        <v>157</v>
      </c>
      <c r="D627">
        <v>55</v>
      </c>
      <c r="E627" t="s">
        <v>70</v>
      </c>
      <c r="F627">
        <v>296</v>
      </c>
      <c r="G627" t="s">
        <v>122</v>
      </c>
      <c r="H627" t="s">
        <v>50</v>
      </c>
      <c r="K627" t="s">
        <v>51</v>
      </c>
      <c r="L627">
        <v>1</v>
      </c>
      <c r="M627" t="s">
        <v>52</v>
      </c>
      <c r="N627" t="s">
        <v>53</v>
      </c>
      <c r="R627">
        <v>0</v>
      </c>
      <c r="S627">
        <v>0.75</v>
      </c>
      <c r="T627">
        <v>0</v>
      </c>
      <c r="U627">
        <v>0</v>
      </c>
      <c r="W627" s="1">
        <v>46675</v>
      </c>
      <c r="X627" s="1">
        <v>46357</v>
      </c>
      <c r="Z627" t="s">
        <v>52</v>
      </c>
      <c r="AB627" t="s">
        <v>52</v>
      </c>
      <c r="AC627">
        <v>102</v>
      </c>
      <c r="AD627">
        <v>1</v>
      </c>
      <c r="AK627" t="s">
        <v>52</v>
      </c>
      <c r="AN627" t="s">
        <v>52</v>
      </c>
      <c r="AO627" t="s">
        <v>52</v>
      </c>
      <c r="AP627" t="s">
        <v>52</v>
      </c>
      <c r="AQ627" t="s">
        <v>52</v>
      </c>
      <c r="AR627" t="s">
        <v>55</v>
      </c>
    </row>
    <row r="628" spans="1:45" x14ac:dyDescent="0.25">
      <c r="A628" t="s">
        <v>47</v>
      </c>
      <c r="B628">
        <v>8</v>
      </c>
      <c r="C628" t="s">
        <v>157</v>
      </c>
      <c r="D628">
        <v>55</v>
      </c>
      <c r="E628" t="s">
        <v>75</v>
      </c>
      <c r="F628">
        <v>16</v>
      </c>
      <c r="G628" t="s">
        <v>76</v>
      </c>
      <c r="H628" t="s">
        <v>50</v>
      </c>
      <c r="K628" t="s">
        <v>51</v>
      </c>
      <c r="L628">
        <v>1</v>
      </c>
      <c r="M628" t="s">
        <v>52</v>
      </c>
      <c r="N628" t="s">
        <v>53</v>
      </c>
      <c r="R628">
        <v>0.5</v>
      </c>
      <c r="S628">
        <v>0.75</v>
      </c>
      <c r="T628">
        <v>0</v>
      </c>
      <c r="U628">
        <v>0</v>
      </c>
      <c r="V628" s="1">
        <v>46522</v>
      </c>
      <c r="W628" s="1">
        <v>46691</v>
      </c>
      <c r="X628" s="1">
        <v>46461</v>
      </c>
      <c r="Z628" t="s">
        <v>52</v>
      </c>
      <c r="AB628" t="s">
        <v>52</v>
      </c>
      <c r="AC628">
        <v>16</v>
      </c>
      <c r="AD628">
        <v>2</v>
      </c>
      <c r="AE628">
        <v>0.95</v>
      </c>
      <c r="AG628">
        <v>0.95</v>
      </c>
      <c r="AK628" t="s">
        <v>52</v>
      </c>
      <c r="AN628" t="s">
        <v>52</v>
      </c>
      <c r="AO628" t="s">
        <v>52</v>
      </c>
      <c r="AP628" t="s">
        <v>52</v>
      </c>
      <c r="AQ628" t="s">
        <v>52</v>
      </c>
      <c r="AR628" t="s">
        <v>55</v>
      </c>
    </row>
    <row r="629" spans="1:45" x14ac:dyDescent="0.25">
      <c r="A629" t="s">
        <v>47</v>
      </c>
      <c r="B629">
        <v>8</v>
      </c>
      <c r="C629" t="s">
        <v>157</v>
      </c>
      <c r="D629">
        <v>55</v>
      </c>
      <c r="E629" t="s">
        <v>93</v>
      </c>
      <c r="F629">
        <v>94</v>
      </c>
      <c r="H629" t="s">
        <v>50</v>
      </c>
      <c r="K629" t="s">
        <v>51</v>
      </c>
      <c r="L629">
        <v>1</v>
      </c>
      <c r="M629" t="s">
        <v>52</v>
      </c>
      <c r="N629" t="s">
        <v>53</v>
      </c>
      <c r="R629">
        <v>0.77</v>
      </c>
      <c r="S629">
        <v>0.93</v>
      </c>
      <c r="U629">
        <v>0</v>
      </c>
      <c r="V629" s="1">
        <v>46326</v>
      </c>
      <c r="W629" s="1">
        <v>46691</v>
      </c>
      <c r="X629" s="1">
        <v>46266</v>
      </c>
      <c r="Z629" t="s">
        <v>52</v>
      </c>
      <c r="AB629" t="s">
        <v>52</v>
      </c>
      <c r="AC629">
        <v>94</v>
      </c>
      <c r="AD629">
        <v>2</v>
      </c>
      <c r="AK629" t="s">
        <v>52</v>
      </c>
      <c r="AN629" t="s">
        <v>52</v>
      </c>
      <c r="AO629" t="s">
        <v>52</v>
      </c>
      <c r="AP629" t="s">
        <v>52</v>
      </c>
      <c r="AQ629" t="s">
        <v>52</v>
      </c>
      <c r="AR629" t="s">
        <v>55</v>
      </c>
    </row>
    <row r="630" spans="1:45" x14ac:dyDescent="0.25">
      <c r="A630" t="s">
        <v>47</v>
      </c>
      <c r="B630">
        <v>8</v>
      </c>
      <c r="C630" t="s">
        <v>157</v>
      </c>
      <c r="D630">
        <v>55</v>
      </c>
      <c r="E630" t="s">
        <v>79</v>
      </c>
      <c r="F630">
        <v>50</v>
      </c>
      <c r="G630" t="s">
        <v>100</v>
      </c>
      <c r="H630" t="s">
        <v>50</v>
      </c>
      <c r="K630" t="s">
        <v>51</v>
      </c>
      <c r="L630">
        <v>1</v>
      </c>
      <c r="M630" t="s">
        <v>52</v>
      </c>
      <c r="N630" t="s">
        <v>53</v>
      </c>
      <c r="R630">
        <v>0.5</v>
      </c>
      <c r="S630">
        <v>0.75</v>
      </c>
      <c r="T630">
        <v>0</v>
      </c>
      <c r="U630">
        <v>0</v>
      </c>
      <c r="V630" s="1">
        <v>46583</v>
      </c>
      <c r="W630" s="1">
        <v>46675</v>
      </c>
      <c r="X630" s="1">
        <v>46461</v>
      </c>
      <c r="Z630" t="s">
        <v>52</v>
      </c>
      <c r="AB630" t="s">
        <v>52</v>
      </c>
      <c r="AC630">
        <v>50</v>
      </c>
      <c r="AD630">
        <v>1</v>
      </c>
      <c r="AK630" t="s">
        <v>52</v>
      </c>
      <c r="AN630" t="s">
        <v>52</v>
      </c>
      <c r="AO630" t="s">
        <v>52</v>
      </c>
      <c r="AP630" t="s">
        <v>52</v>
      </c>
      <c r="AQ630" t="s">
        <v>52</v>
      </c>
      <c r="AR630" t="s">
        <v>55</v>
      </c>
    </row>
    <row r="631" spans="1:45" x14ac:dyDescent="0.25">
      <c r="A631" t="s">
        <v>47</v>
      </c>
      <c r="B631">
        <v>8</v>
      </c>
      <c r="C631" t="s">
        <v>157</v>
      </c>
      <c r="D631">
        <v>55</v>
      </c>
      <c r="E631" t="s">
        <v>79</v>
      </c>
      <c r="F631">
        <v>50</v>
      </c>
      <c r="G631" t="s">
        <v>100</v>
      </c>
      <c r="H631" t="s">
        <v>50</v>
      </c>
      <c r="K631" t="s">
        <v>52</v>
      </c>
      <c r="L631">
        <v>1</v>
      </c>
      <c r="M631" t="s">
        <v>52</v>
      </c>
      <c r="N631" t="s">
        <v>53</v>
      </c>
      <c r="R631">
        <v>0.5</v>
      </c>
      <c r="S631">
        <v>0.75</v>
      </c>
      <c r="T631">
        <v>0</v>
      </c>
      <c r="U631">
        <v>0</v>
      </c>
      <c r="V631" s="1">
        <v>46583</v>
      </c>
      <c r="W631" s="1">
        <v>46675</v>
      </c>
      <c r="X631" s="1">
        <v>46461</v>
      </c>
      <c r="Z631" t="s">
        <v>52</v>
      </c>
      <c r="AB631" t="s">
        <v>52</v>
      </c>
      <c r="AC631">
        <v>50</v>
      </c>
      <c r="AD631">
        <v>1</v>
      </c>
      <c r="AK631" t="s">
        <v>52</v>
      </c>
      <c r="AN631" t="s">
        <v>52</v>
      </c>
      <c r="AO631" t="s">
        <v>52</v>
      </c>
      <c r="AP631" t="s">
        <v>52</v>
      </c>
      <c r="AQ631" t="s">
        <v>52</v>
      </c>
      <c r="AR631" t="s">
        <v>55</v>
      </c>
    </row>
    <row r="632" spans="1:45" x14ac:dyDescent="0.25">
      <c r="A632" t="s">
        <v>47</v>
      </c>
      <c r="B632">
        <v>8</v>
      </c>
      <c r="C632" t="s">
        <v>157</v>
      </c>
      <c r="D632">
        <v>55</v>
      </c>
      <c r="E632" t="s">
        <v>79</v>
      </c>
      <c r="F632">
        <v>50</v>
      </c>
      <c r="G632" t="s">
        <v>80</v>
      </c>
      <c r="H632" t="s">
        <v>50</v>
      </c>
      <c r="K632" t="s">
        <v>51</v>
      </c>
      <c r="L632">
        <v>1</v>
      </c>
      <c r="M632" t="s">
        <v>52</v>
      </c>
      <c r="N632" t="s">
        <v>53</v>
      </c>
      <c r="R632">
        <v>0.5</v>
      </c>
      <c r="S632">
        <v>0.75</v>
      </c>
      <c r="T632">
        <v>0</v>
      </c>
      <c r="U632">
        <v>0</v>
      </c>
      <c r="V632" s="1">
        <v>46583</v>
      </c>
      <c r="W632" s="1">
        <v>46675</v>
      </c>
      <c r="X632" s="1">
        <v>46461</v>
      </c>
      <c r="Z632" t="s">
        <v>52</v>
      </c>
      <c r="AB632" t="s">
        <v>52</v>
      </c>
      <c r="AC632">
        <v>50</v>
      </c>
      <c r="AD632">
        <v>1</v>
      </c>
      <c r="AK632" t="s">
        <v>52</v>
      </c>
      <c r="AN632" t="s">
        <v>52</v>
      </c>
      <c r="AO632" t="s">
        <v>52</v>
      </c>
      <c r="AP632" t="s">
        <v>52</v>
      </c>
      <c r="AQ632" t="s">
        <v>52</v>
      </c>
      <c r="AR632" t="s">
        <v>55</v>
      </c>
    </row>
    <row r="633" spans="1:45" x14ac:dyDescent="0.25">
      <c r="A633" t="s">
        <v>47</v>
      </c>
      <c r="B633">
        <v>8</v>
      </c>
      <c r="C633" t="s">
        <v>157</v>
      </c>
      <c r="D633">
        <v>55</v>
      </c>
      <c r="E633" t="s">
        <v>79</v>
      </c>
      <c r="F633">
        <v>50</v>
      </c>
      <c r="G633" t="s">
        <v>80</v>
      </c>
      <c r="H633" t="s">
        <v>50</v>
      </c>
      <c r="K633" t="s">
        <v>52</v>
      </c>
      <c r="L633">
        <v>1</v>
      </c>
      <c r="M633" t="s">
        <v>52</v>
      </c>
      <c r="N633" t="s">
        <v>53</v>
      </c>
      <c r="R633">
        <v>0.5</v>
      </c>
      <c r="S633">
        <v>0.75</v>
      </c>
      <c r="T633">
        <v>0</v>
      </c>
      <c r="U633">
        <v>0</v>
      </c>
      <c r="V633" s="1">
        <v>46583</v>
      </c>
      <c r="W633" s="1">
        <v>46675</v>
      </c>
      <c r="X633" s="1">
        <v>46461</v>
      </c>
      <c r="Z633" t="s">
        <v>52</v>
      </c>
      <c r="AB633" t="s">
        <v>52</v>
      </c>
      <c r="AC633">
        <v>50</v>
      </c>
      <c r="AD633">
        <v>1</v>
      </c>
      <c r="AK633" t="s">
        <v>52</v>
      </c>
      <c r="AN633" t="s">
        <v>52</v>
      </c>
      <c r="AO633" t="s">
        <v>52</v>
      </c>
      <c r="AP633" t="s">
        <v>52</v>
      </c>
      <c r="AQ633" t="s">
        <v>52</v>
      </c>
      <c r="AR633" t="s">
        <v>55</v>
      </c>
    </row>
    <row r="634" spans="1:45" x14ac:dyDescent="0.25">
      <c r="A634" t="s">
        <v>47</v>
      </c>
      <c r="B634">
        <v>8</v>
      </c>
      <c r="C634" t="s">
        <v>157</v>
      </c>
      <c r="D634">
        <v>55</v>
      </c>
      <c r="E634" t="s">
        <v>79</v>
      </c>
      <c r="F634">
        <v>50</v>
      </c>
      <c r="G634" t="s">
        <v>65</v>
      </c>
      <c r="H634" t="s">
        <v>50</v>
      </c>
      <c r="K634" t="s">
        <v>51</v>
      </c>
      <c r="L634">
        <v>1</v>
      </c>
      <c r="M634" t="s">
        <v>52</v>
      </c>
      <c r="N634" t="s">
        <v>53</v>
      </c>
      <c r="R634">
        <v>0.5</v>
      </c>
      <c r="S634">
        <v>0.75</v>
      </c>
      <c r="T634">
        <v>0</v>
      </c>
      <c r="U634">
        <v>0</v>
      </c>
      <c r="V634" s="1">
        <v>46583</v>
      </c>
      <c r="W634" s="1">
        <v>46675</v>
      </c>
      <c r="X634" s="1">
        <v>46461</v>
      </c>
      <c r="Z634" t="s">
        <v>52</v>
      </c>
      <c r="AB634" t="s">
        <v>52</v>
      </c>
      <c r="AC634">
        <v>50</v>
      </c>
      <c r="AD634">
        <v>1</v>
      </c>
      <c r="AK634" t="s">
        <v>52</v>
      </c>
      <c r="AN634" t="s">
        <v>52</v>
      </c>
      <c r="AO634" t="s">
        <v>52</v>
      </c>
      <c r="AP634" t="s">
        <v>52</v>
      </c>
      <c r="AQ634" t="s">
        <v>52</v>
      </c>
      <c r="AR634" t="s">
        <v>55</v>
      </c>
    </row>
    <row r="635" spans="1:45" x14ac:dyDescent="0.25">
      <c r="A635" t="s">
        <v>47</v>
      </c>
      <c r="B635">
        <v>8</v>
      </c>
      <c r="C635" t="s">
        <v>157</v>
      </c>
      <c r="D635">
        <v>55</v>
      </c>
      <c r="E635" t="s">
        <v>79</v>
      </c>
      <c r="F635">
        <v>50</v>
      </c>
      <c r="G635" t="s">
        <v>65</v>
      </c>
      <c r="H635" t="s">
        <v>50</v>
      </c>
      <c r="K635" t="s">
        <v>52</v>
      </c>
      <c r="L635">
        <v>1</v>
      </c>
      <c r="M635" t="s">
        <v>52</v>
      </c>
      <c r="N635" t="s">
        <v>53</v>
      </c>
      <c r="R635">
        <v>0.5</v>
      </c>
      <c r="S635">
        <v>0.75</v>
      </c>
      <c r="T635">
        <v>0</v>
      </c>
      <c r="U635">
        <v>0</v>
      </c>
      <c r="V635" s="1">
        <v>46583</v>
      </c>
      <c r="W635" s="1">
        <v>46675</v>
      </c>
      <c r="X635" s="1">
        <v>46461</v>
      </c>
      <c r="Z635" t="s">
        <v>52</v>
      </c>
      <c r="AB635" t="s">
        <v>52</v>
      </c>
      <c r="AC635">
        <v>50</v>
      </c>
      <c r="AD635">
        <v>1</v>
      </c>
      <c r="AK635" t="s">
        <v>52</v>
      </c>
      <c r="AN635" t="s">
        <v>52</v>
      </c>
      <c r="AO635" t="s">
        <v>52</v>
      </c>
      <c r="AP635" t="s">
        <v>52</v>
      </c>
      <c r="AQ635" t="s">
        <v>52</v>
      </c>
      <c r="AR635" t="s">
        <v>55</v>
      </c>
    </row>
    <row r="636" spans="1:45" x14ac:dyDescent="0.25">
      <c r="A636" t="s">
        <v>47</v>
      </c>
      <c r="B636">
        <v>8</v>
      </c>
      <c r="C636" t="s">
        <v>157</v>
      </c>
      <c r="D636">
        <v>55</v>
      </c>
      <c r="E636" t="s">
        <v>79</v>
      </c>
      <c r="F636">
        <v>50</v>
      </c>
      <c r="G636" t="s">
        <v>81</v>
      </c>
      <c r="H636" t="s">
        <v>50</v>
      </c>
      <c r="K636" t="s">
        <v>51</v>
      </c>
      <c r="L636">
        <v>1</v>
      </c>
      <c r="M636" t="s">
        <v>52</v>
      </c>
      <c r="N636" t="s">
        <v>53</v>
      </c>
      <c r="R636">
        <v>0.5</v>
      </c>
      <c r="S636">
        <v>0.75</v>
      </c>
      <c r="T636">
        <v>0</v>
      </c>
      <c r="U636">
        <v>0</v>
      </c>
      <c r="V636" s="1">
        <v>46583</v>
      </c>
      <c r="W636" s="1">
        <v>46675</v>
      </c>
      <c r="X636" s="1">
        <v>46461</v>
      </c>
      <c r="Z636" t="s">
        <v>52</v>
      </c>
      <c r="AB636" t="s">
        <v>52</v>
      </c>
      <c r="AC636">
        <v>50</v>
      </c>
      <c r="AD636">
        <v>1</v>
      </c>
      <c r="AK636" t="s">
        <v>52</v>
      </c>
      <c r="AN636" t="s">
        <v>52</v>
      </c>
      <c r="AO636" t="s">
        <v>52</v>
      </c>
      <c r="AP636" t="s">
        <v>52</v>
      </c>
      <c r="AQ636" t="s">
        <v>52</v>
      </c>
      <c r="AR636" t="s">
        <v>55</v>
      </c>
    </row>
    <row r="637" spans="1:45" x14ac:dyDescent="0.25">
      <c r="A637" t="s">
        <v>47</v>
      </c>
      <c r="B637">
        <v>8</v>
      </c>
      <c r="C637" t="s">
        <v>157</v>
      </c>
      <c r="D637">
        <v>55</v>
      </c>
      <c r="E637" t="s">
        <v>79</v>
      </c>
      <c r="F637">
        <v>50</v>
      </c>
      <c r="G637" t="s">
        <v>81</v>
      </c>
      <c r="H637" t="s">
        <v>50</v>
      </c>
      <c r="K637" t="s">
        <v>52</v>
      </c>
      <c r="L637">
        <v>1</v>
      </c>
      <c r="M637" t="s">
        <v>52</v>
      </c>
      <c r="N637" t="s">
        <v>53</v>
      </c>
      <c r="R637">
        <v>0.5</v>
      </c>
      <c r="S637">
        <v>0.75</v>
      </c>
      <c r="T637">
        <v>0</v>
      </c>
      <c r="U637">
        <v>0</v>
      </c>
      <c r="V637" s="1">
        <v>46583</v>
      </c>
      <c r="W637" s="1">
        <v>46675</v>
      </c>
      <c r="X637" s="1">
        <v>46461</v>
      </c>
      <c r="Z637" t="s">
        <v>52</v>
      </c>
      <c r="AB637" t="s">
        <v>52</v>
      </c>
      <c r="AC637">
        <v>50</v>
      </c>
      <c r="AD637">
        <v>1</v>
      </c>
      <c r="AK637" t="s">
        <v>52</v>
      </c>
      <c r="AN637" t="s">
        <v>52</v>
      </c>
      <c r="AO637" t="s">
        <v>52</v>
      </c>
      <c r="AP637" t="s">
        <v>52</v>
      </c>
      <c r="AQ637" t="s">
        <v>52</v>
      </c>
      <c r="AR637" t="s">
        <v>55</v>
      </c>
    </row>
    <row r="638" spans="1:45" x14ac:dyDescent="0.25">
      <c r="A638" t="s">
        <v>47</v>
      </c>
      <c r="B638">
        <v>8</v>
      </c>
      <c r="C638" t="s">
        <v>157</v>
      </c>
      <c r="D638">
        <v>55</v>
      </c>
      <c r="E638" t="s">
        <v>82</v>
      </c>
      <c r="F638">
        <v>52</v>
      </c>
      <c r="H638" t="s">
        <v>50</v>
      </c>
      <c r="K638" t="s">
        <v>51</v>
      </c>
      <c r="L638">
        <v>1</v>
      </c>
      <c r="M638" t="s">
        <v>52</v>
      </c>
      <c r="N638" t="s">
        <v>53</v>
      </c>
      <c r="R638">
        <v>0.5</v>
      </c>
      <c r="S638">
        <v>0.75</v>
      </c>
      <c r="U638">
        <v>0</v>
      </c>
      <c r="V638" s="1">
        <v>46583</v>
      </c>
      <c r="W638" s="1">
        <v>46675</v>
      </c>
      <c r="X638" s="1">
        <v>46461</v>
      </c>
      <c r="Z638" t="s">
        <v>52</v>
      </c>
      <c r="AB638" t="s">
        <v>52</v>
      </c>
      <c r="AC638">
        <v>50</v>
      </c>
      <c r="AD638">
        <v>1</v>
      </c>
      <c r="AK638" t="s">
        <v>52</v>
      </c>
      <c r="AN638" t="s">
        <v>52</v>
      </c>
      <c r="AO638" t="s">
        <v>52</v>
      </c>
      <c r="AP638" t="s">
        <v>52</v>
      </c>
      <c r="AQ638" t="s">
        <v>52</v>
      </c>
      <c r="AR638" t="s">
        <v>55</v>
      </c>
    </row>
    <row r="639" spans="1:45" x14ac:dyDescent="0.25">
      <c r="A639" t="s">
        <v>47</v>
      </c>
      <c r="B639">
        <v>8</v>
      </c>
      <c r="C639" t="s">
        <v>157</v>
      </c>
      <c r="D639">
        <v>55</v>
      </c>
      <c r="E639" t="s">
        <v>82</v>
      </c>
      <c r="F639">
        <v>52</v>
      </c>
      <c r="H639" t="s">
        <v>50</v>
      </c>
      <c r="K639" t="s">
        <v>52</v>
      </c>
      <c r="L639">
        <v>1</v>
      </c>
      <c r="M639" t="s">
        <v>52</v>
      </c>
      <c r="N639" t="s">
        <v>53</v>
      </c>
      <c r="R639">
        <v>0.5</v>
      </c>
      <c r="S639">
        <v>0.75</v>
      </c>
      <c r="U639">
        <v>0</v>
      </c>
      <c r="V639" s="1">
        <v>46583</v>
      </c>
      <c r="W639" s="1">
        <v>46675</v>
      </c>
      <c r="X639" s="1">
        <v>46461</v>
      </c>
      <c r="Z639" t="s">
        <v>52</v>
      </c>
      <c r="AB639" t="s">
        <v>52</v>
      </c>
      <c r="AC639">
        <v>50</v>
      </c>
      <c r="AD639">
        <v>1</v>
      </c>
      <c r="AK639" t="s">
        <v>52</v>
      </c>
      <c r="AN639" t="s">
        <v>52</v>
      </c>
      <c r="AO639" t="s">
        <v>52</v>
      </c>
      <c r="AP639" t="s">
        <v>52</v>
      </c>
      <c r="AQ639" t="s">
        <v>52</v>
      </c>
      <c r="AR639" t="s">
        <v>55</v>
      </c>
    </row>
    <row r="640" spans="1:45" x14ac:dyDescent="0.25">
      <c r="A640" t="s">
        <v>47</v>
      </c>
      <c r="B640">
        <v>8</v>
      </c>
      <c r="C640" t="s">
        <v>158</v>
      </c>
      <c r="D640">
        <v>57</v>
      </c>
      <c r="E640" t="s">
        <v>58</v>
      </c>
      <c r="F640">
        <v>102</v>
      </c>
      <c r="G640" t="s">
        <v>62</v>
      </c>
      <c r="H640" t="s">
        <v>50</v>
      </c>
      <c r="K640" t="s">
        <v>51</v>
      </c>
      <c r="L640">
        <v>1</v>
      </c>
      <c r="M640" t="s">
        <v>52</v>
      </c>
      <c r="N640" t="s">
        <v>53</v>
      </c>
      <c r="R640">
        <v>0</v>
      </c>
      <c r="S640">
        <v>0.92</v>
      </c>
      <c r="T640">
        <v>0</v>
      </c>
      <c r="U640">
        <v>0</v>
      </c>
      <c r="W640" s="1">
        <v>46731</v>
      </c>
      <c r="X640" s="1">
        <v>46357</v>
      </c>
      <c r="Z640" t="s">
        <v>52</v>
      </c>
      <c r="AB640" t="s">
        <v>52</v>
      </c>
      <c r="AC640">
        <v>102</v>
      </c>
      <c r="AD640">
        <v>1</v>
      </c>
      <c r="AE640">
        <v>0.85</v>
      </c>
      <c r="AG640">
        <v>0.85</v>
      </c>
      <c r="AK640" t="s">
        <v>52</v>
      </c>
      <c r="AN640" t="s">
        <v>52</v>
      </c>
      <c r="AO640" t="s">
        <v>52</v>
      </c>
      <c r="AP640" t="s">
        <v>52</v>
      </c>
      <c r="AQ640" t="s">
        <v>52</v>
      </c>
      <c r="AR640" t="s">
        <v>55</v>
      </c>
    </row>
    <row r="641" spans="1:45" x14ac:dyDescent="0.25">
      <c r="A641" t="s">
        <v>47</v>
      </c>
      <c r="B641">
        <v>8</v>
      </c>
      <c r="C641" t="s">
        <v>158</v>
      </c>
      <c r="D641">
        <v>57</v>
      </c>
      <c r="E641" t="s">
        <v>58</v>
      </c>
      <c r="F641">
        <v>102</v>
      </c>
      <c r="G641" t="s">
        <v>62</v>
      </c>
      <c r="H641" t="s">
        <v>50</v>
      </c>
      <c r="K641" t="s">
        <v>52</v>
      </c>
      <c r="L641">
        <v>1</v>
      </c>
      <c r="M641" t="s">
        <v>52</v>
      </c>
      <c r="N641" t="s">
        <v>53</v>
      </c>
      <c r="R641">
        <v>0</v>
      </c>
      <c r="S641">
        <v>0.92</v>
      </c>
      <c r="T641">
        <v>0</v>
      </c>
      <c r="U641">
        <v>0</v>
      </c>
      <c r="W641" s="1">
        <v>46731</v>
      </c>
      <c r="X641" s="1">
        <v>46357</v>
      </c>
      <c r="Z641" t="s">
        <v>52</v>
      </c>
      <c r="AB641" t="s">
        <v>52</v>
      </c>
      <c r="AC641">
        <v>102</v>
      </c>
      <c r="AD641">
        <v>1</v>
      </c>
      <c r="AE641">
        <v>0.85</v>
      </c>
      <c r="AG641">
        <v>0.85</v>
      </c>
      <c r="AK641" t="s">
        <v>52</v>
      </c>
      <c r="AN641" t="s">
        <v>52</v>
      </c>
      <c r="AO641" t="s">
        <v>52</v>
      </c>
      <c r="AP641" t="s">
        <v>52</v>
      </c>
      <c r="AQ641" t="s">
        <v>52</v>
      </c>
      <c r="AR641" t="s">
        <v>55</v>
      </c>
    </row>
    <row r="642" spans="1:45" x14ac:dyDescent="0.25">
      <c r="A642" t="s">
        <v>47</v>
      </c>
      <c r="B642">
        <v>8</v>
      </c>
      <c r="C642" t="s">
        <v>158</v>
      </c>
      <c r="D642">
        <v>57</v>
      </c>
      <c r="E642" t="s">
        <v>70</v>
      </c>
      <c r="F642">
        <v>296</v>
      </c>
      <c r="G642" t="s">
        <v>74</v>
      </c>
      <c r="H642" t="s">
        <v>50</v>
      </c>
      <c r="K642" t="s">
        <v>51</v>
      </c>
      <c r="L642">
        <v>1</v>
      </c>
      <c r="M642" t="s">
        <v>52</v>
      </c>
      <c r="N642" t="s">
        <v>53</v>
      </c>
      <c r="R642">
        <v>0</v>
      </c>
      <c r="S642">
        <v>0.75</v>
      </c>
      <c r="U642">
        <v>0</v>
      </c>
      <c r="W642" s="1">
        <v>46675</v>
      </c>
      <c r="X642" s="1">
        <v>46357</v>
      </c>
      <c r="Z642" t="s">
        <v>52</v>
      </c>
      <c r="AB642" t="s">
        <v>52</v>
      </c>
      <c r="AC642">
        <v>102</v>
      </c>
      <c r="AD642">
        <v>1</v>
      </c>
      <c r="AK642" t="s">
        <v>52</v>
      </c>
      <c r="AN642" t="s">
        <v>52</v>
      </c>
      <c r="AO642" t="s">
        <v>52</v>
      </c>
      <c r="AP642" t="s">
        <v>52</v>
      </c>
      <c r="AQ642" t="s">
        <v>52</v>
      </c>
      <c r="AR642" t="s">
        <v>55</v>
      </c>
      <c r="AS642" t="s">
        <v>60</v>
      </c>
    </row>
    <row r="643" spans="1:45" x14ac:dyDescent="0.25">
      <c r="A643" t="s">
        <v>47</v>
      </c>
      <c r="B643">
        <v>8</v>
      </c>
      <c r="C643" t="s">
        <v>158</v>
      </c>
      <c r="D643">
        <v>57</v>
      </c>
      <c r="E643" t="s">
        <v>70</v>
      </c>
      <c r="F643">
        <v>296</v>
      </c>
      <c r="G643" t="s">
        <v>74</v>
      </c>
      <c r="H643" t="s">
        <v>50</v>
      </c>
      <c r="K643" t="s">
        <v>52</v>
      </c>
      <c r="L643">
        <v>1</v>
      </c>
      <c r="M643" t="s">
        <v>52</v>
      </c>
      <c r="N643" t="s">
        <v>53</v>
      </c>
      <c r="R643">
        <v>0</v>
      </c>
      <c r="S643">
        <v>0.75</v>
      </c>
      <c r="U643">
        <v>0</v>
      </c>
      <c r="W643" s="1">
        <v>46675</v>
      </c>
      <c r="X643" s="1">
        <v>46357</v>
      </c>
      <c r="Z643" t="s">
        <v>52</v>
      </c>
      <c r="AB643" t="s">
        <v>52</v>
      </c>
      <c r="AC643">
        <v>102</v>
      </c>
      <c r="AD643">
        <v>1</v>
      </c>
      <c r="AK643" t="s">
        <v>52</v>
      </c>
      <c r="AN643" t="s">
        <v>52</v>
      </c>
      <c r="AO643" t="s">
        <v>52</v>
      </c>
      <c r="AP643" t="s">
        <v>52</v>
      </c>
      <c r="AQ643" t="s">
        <v>52</v>
      </c>
      <c r="AR643" t="s">
        <v>55</v>
      </c>
      <c r="AS643" t="s">
        <v>60</v>
      </c>
    </row>
    <row r="644" spans="1:45" x14ac:dyDescent="0.25">
      <c r="A644" t="s">
        <v>47</v>
      </c>
      <c r="B644">
        <v>8</v>
      </c>
      <c r="C644" t="s">
        <v>159</v>
      </c>
      <c r="D644">
        <v>61</v>
      </c>
      <c r="E644" t="s">
        <v>49</v>
      </c>
      <c r="F644">
        <v>27</v>
      </c>
      <c r="H644" t="s">
        <v>50</v>
      </c>
      <c r="K644" t="s">
        <v>51</v>
      </c>
      <c r="L644">
        <v>1</v>
      </c>
      <c r="M644" t="s">
        <v>52</v>
      </c>
      <c r="N644" t="s">
        <v>53</v>
      </c>
      <c r="Q644">
        <v>230</v>
      </c>
      <c r="R644">
        <v>0</v>
      </c>
      <c r="S644">
        <v>0.75</v>
      </c>
      <c r="T644">
        <v>0</v>
      </c>
      <c r="U644">
        <v>0</v>
      </c>
      <c r="W644" s="1">
        <v>46675</v>
      </c>
      <c r="X644" s="1">
        <v>46357</v>
      </c>
      <c r="Y644" t="s">
        <v>54</v>
      </c>
      <c r="Z644" t="s">
        <v>52</v>
      </c>
      <c r="AB644" t="s">
        <v>52</v>
      </c>
      <c r="AC644">
        <v>27</v>
      </c>
      <c r="AD644">
        <v>1</v>
      </c>
      <c r="AE644">
        <v>0.97</v>
      </c>
      <c r="AG644">
        <v>0.97</v>
      </c>
      <c r="AK644" t="s">
        <v>52</v>
      </c>
      <c r="AN644" t="s">
        <v>52</v>
      </c>
      <c r="AO644" t="s">
        <v>52</v>
      </c>
      <c r="AP644" t="s">
        <v>52</v>
      </c>
      <c r="AQ644" t="s">
        <v>52</v>
      </c>
      <c r="AR644" t="s">
        <v>55</v>
      </c>
      <c r="AS644" t="s">
        <v>56</v>
      </c>
    </row>
    <row r="645" spans="1:45" x14ac:dyDescent="0.25">
      <c r="A645" t="s">
        <v>47</v>
      </c>
      <c r="B645">
        <v>8</v>
      </c>
      <c r="C645" t="s">
        <v>159</v>
      </c>
      <c r="D645">
        <v>61</v>
      </c>
      <c r="E645" t="s">
        <v>49</v>
      </c>
      <c r="F645">
        <v>27</v>
      </c>
      <c r="H645" t="s">
        <v>50</v>
      </c>
      <c r="K645" t="s">
        <v>52</v>
      </c>
      <c r="L645">
        <v>1</v>
      </c>
      <c r="M645" t="s">
        <v>52</v>
      </c>
      <c r="N645" t="s">
        <v>53</v>
      </c>
      <c r="Q645">
        <v>230</v>
      </c>
      <c r="R645">
        <v>0</v>
      </c>
      <c r="S645">
        <v>0.75</v>
      </c>
      <c r="T645">
        <v>0</v>
      </c>
      <c r="U645">
        <v>0</v>
      </c>
      <c r="W645" s="1">
        <v>46675</v>
      </c>
      <c r="X645" s="1">
        <v>46357</v>
      </c>
      <c r="Y645" t="s">
        <v>54</v>
      </c>
      <c r="Z645" t="s">
        <v>52</v>
      </c>
      <c r="AB645" t="s">
        <v>52</v>
      </c>
      <c r="AC645">
        <v>27</v>
      </c>
      <c r="AD645">
        <v>1</v>
      </c>
      <c r="AE645">
        <v>0.97</v>
      </c>
      <c r="AG645">
        <v>0.97</v>
      </c>
      <c r="AK645" t="s">
        <v>52</v>
      </c>
      <c r="AN645" t="s">
        <v>52</v>
      </c>
      <c r="AO645" t="s">
        <v>52</v>
      </c>
      <c r="AP645" t="s">
        <v>52</v>
      </c>
      <c r="AQ645" t="s">
        <v>52</v>
      </c>
      <c r="AR645" t="s">
        <v>55</v>
      </c>
      <c r="AS645" t="s">
        <v>57</v>
      </c>
    </row>
    <row r="646" spans="1:45" x14ac:dyDescent="0.25">
      <c r="A646" t="s">
        <v>47</v>
      </c>
      <c r="B646">
        <v>8</v>
      </c>
      <c r="C646" t="s">
        <v>159</v>
      </c>
      <c r="D646">
        <v>61</v>
      </c>
      <c r="E646" t="s">
        <v>58</v>
      </c>
      <c r="F646">
        <v>102</v>
      </c>
      <c r="G646" t="s">
        <v>104</v>
      </c>
      <c r="H646" t="s">
        <v>50</v>
      </c>
      <c r="K646" t="s">
        <v>51</v>
      </c>
      <c r="L646">
        <v>1</v>
      </c>
      <c r="M646" t="s">
        <v>52</v>
      </c>
      <c r="N646" t="s">
        <v>53</v>
      </c>
      <c r="R646">
        <v>0</v>
      </c>
      <c r="S646">
        <v>0.92</v>
      </c>
      <c r="T646">
        <v>0</v>
      </c>
      <c r="U646">
        <v>0</v>
      </c>
      <c r="W646" s="1">
        <v>46731</v>
      </c>
      <c r="X646" s="1">
        <v>46357</v>
      </c>
      <c r="Z646" t="s">
        <v>52</v>
      </c>
      <c r="AB646" t="s">
        <v>52</v>
      </c>
      <c r="AC646">
        <v>102</v>
      </c>
      <c r="AD646">
        <v>1</v>
      </c>
      <c r="AK646" t="s">
        <v>52</v>
      </c>
      <c r="AN646" t="s">
        <v>52</v>
      </c>
      <c r="AO646" t="s">
        <v>52</v>
      </c>
      <c r="AP646" t="s">
        <v>52</v>
      </c>
      <c r="AQ646" t="s">
        <v>52</v>
      </c>
      <c r="AR646" t="s">
        <v>55</v>
      </c>
      <c r="AS646">
        <v>1</v>
      </c>
    </row>
    <row r="647" spans="1:45" x14ac:dyDescent="0.25">
      <c r="A647" t="s">
        <v>47</v>
      </c>
      <c r="B647">
        <v>8</v>
      </c>
      <c r="C647" t="s">
        <v>159</v>
      </c>
      <c r="D647">
        <v>61</v>
      </c>
      <c r="E647" t="s">
        <v>58</v>
      </c>
      <c r="F647">
        <v>102</v>
      </c>
      <c r="G647" t="s">
        <v>104</v>
      </c>
      <c r="H647" t="s">
        <v>50</v>
      </c>
      <c r="K647" t="s">
        <v>52</v>
      </c>
      <c r="L647">
        <v>1</v>
      </c>
      <c r="M647" t="s">
        <v>52</v>
      </c>
      <c r="N647" t="s">
        <v>53</v>
      </c>
      <c r="R647">
        <v>0</v>
      </c>
      <c r="S647">
        <v>0.92</v>
      </c>
      <c r="T647">
        <v>0</v>
      </c>
      <c r="U647">
        <v>0</v>
      </c>
      <c r="W647" s="1">
        <v>46731</v>
      </c>
      <c r="X647" s="1">
        <v>46357</v>
      </c>
      <c r="Z647" t="s">
        <v>52</v>
      </c>
      <c r="AB647" t="s">
        <v>52</v>
      </c>
      <c r="AC647">
        <v>102</v>
      </c>
      <c r="AD647">
        <v>1</v>
      </c>
      <c r="AK647" t="s">
        <v>52</v>
      </c>
      <c r="AN647" t="s">
        <v>52</v>
      </c>
      <c r="AO647" t="s">
        <v>52</v>
      </c>
      <c r="AP647" t="s">
        <v>52</v>
      </c>
      <c r="AQ647" t="s">
        <v>52</v>
      </c>
      <c r="AR647" t="s">
        <v>55</v>
      </c>
    </row>
    <row r="648" spans="1:45" x14ac:dyDescent="0.25">
      <c r="A648" t="s">
        <v>47</v>
      </c>
      <c r="B648">
        <v>8</v>
      </c>
      <c r="C648" t="s">
        <v>159</v>
      </c>
      <c r="D648">
        <v>61</v>
      </c>
      <c r="E648" t="s">
        <v>58</v>
      </c>
      <c r="F648">
        <v>102</v>
      </c>
      <c r="G648" t="s">
        <v>62</v>
      </c>
      <c r="H648" t="s">
        <v>50</v>
      </c>
      <c r="K648" t="s">
        <v>52</v>
      </c>
      <c r="L648">
        <v>1</v>
      </c>
      <c r="M648" t="s">
        <v>52</v>
      </c>
      <c r="N648" t="s">
        <v>53</v>
      </c>
      <c r="R648">
        <v>0</v>
      </c>
      <c r="S648">
        <v>0.92</v>
      </c>
      <c r="T648">
        <v>0</v>
      </c>
      <c r="U648">
        <v>0</v>
      </c>
      <c r="W648" s="1">
        <v>46731</v>
      </c>
      <c r="X648" s="1">
        <v>46357</v>
      </c>
      <c r="Z648" t="s">
        <v>52</v>
      </c>
      <c r="AB648" t="s">
        <v>52</v>
      </c>
      <c r="AC648">
        <v>102</v>
      </c>
      <c r="AD648">
        <v>1</v>
      </c>
      <c r="AK648" t="s">
        <v>52</v>
      </c>
      <c r="AN648" t="s">
        <v>52</v>
      </c>
      <c r="AO648" t="s">
        <v>52</v>
      </c>
      <c r="AP648" t="s">
        <v>52</v>
      </c>
      <c r="AQ648" t="s">
        <v>52</v>
      </c>
      <c r="AR648" t="s">
        <v>55</v>
      </c>
    </row>
    <row r="649" spans="1:45" x14ac:dyDescent="0.25">
      <c r="A649" t="s">
        <v>47</v>
      </c>
      <c r="B649">
        <v>8</v>
      </c>
      <c r="C649" t="s">
        <v>159</v>
      </c>
      <c r="D649">
        <v>61</v>
      </c>
      <c r="E649" t="s">
        <v>68</v>
      </c>
      <c r="F649">
        <v>80</v>
      </c>
      <c r="G649" t="s">
        <v>69</v>
      </c>
      <c r="H649" t="s">
        <v>50</v>
      </c>
      <c r="K649" t="s">
        <v>51</v>
      </c>
      <c r="L649">
        <v>1</v>
      </c>
      <c r="M649" t="s">
        <v>52</v>
      </c>
      <c r="N649" t="s">
        <v>53</v>
      </c>
      <c r="R649">
        <v>0.5</v>
      </c>
      <c r="S649">
        <v>0.75</v>
      </c>
      <c r="T649">
        <v>0</v>
      </c>
      <c r="U649">
        <v>0</v>
      </c>
      <c r="V649" s="1">
        <v>46600</v>
      </c>
      <c r="W649" s="1">
        <v>46675</v>
      </c>
      <c r="X649" s="1">
        <v>46461</v>
      </c>
      <c r="Z649" t="s">
        <v>52</v>
      </c>
      <c r="AB649" t="s">
        <v>52</v>
      </c>
      <c r="AC649">
        <v>80</v>
      </c>
      <c r="AD649">
        <v>1</v>
      </c>
      <c r="AK649" t="s">
        <v>52</v>
      </c>
      <c r="AN649" t="s">
        <v>52</v>
      </c>
      <c r="AO649" t="s">
        <v>52</v>
      </c>
      <c r="AP649" t="s">
        <v>52</v>
      </c>
      <c r="AQ649" t="s">
        <v>52</v>
      </c>
      <c r="AR649" t="s">
        <v>55</v>
      </c>
    </row>
    <row r="650" spans="1:45" x14ac:dyDescent="0.25">
      <c r="A650" t="s">
        <v>47</v>
      </c>
      <c r="B650">
        <v>8</v>
      </c>
      <c r="C650" t="s">
        <v>159</v>
      </c>
      <c r="D650">
        <v>61</v>
      </c>
      <c r="E650" t="s">
        <v>68</v>
      </c>
      <c r="F650">
        <v>80</v>
      </c>
      <c r="G650" t="s">
        <v>69</v>
      </c>
      <c r="H650" t="s">
        <v>50</v>
      </c>
      <c r="K650" t="s">
        <v>52</v>
      </c>
      <c r="L650">
        <v>1</v>
      </c>
      <c r="M650" t="s">
        <v>52</v>
      </c>
      <c r="N650" t="s">
        <v>53</v>
      </c>
      <c r="R650">
        <v>0.5</v>
      </c>
      <c r="S650">
        <v>0.75</v>
      </c>
      <c r="T650">
        <v>0</v>
      </c>
      <c r="U650">
        <v>0</v>
      </c>
      <c r="V650" s="1">
        <v>46600</v>
      </c>
      <c r="W650" s="1">
        <v>46675</v>
      </c>
      <c r="X650" s="1">
        <v>46461</v>
      </c>
      <c r="Z650" t="s">
        <v>52</v>
      </c>
      <c r="AB650" t="s">
        <v>52</v>
      </c>
      <c r="AC650">
        <v>80</v>
      </c>
      <c r="AD650">
        <v>1</v>
      </c>
      <c r="AK650" t="s">
        <v>52</v>
      </c>
      <c r="AN650" t="s">
        <v>52</v>
      </c>
      <c r="AO650" t="s">
        <v>52</v>
      </c>
      <c r="AP650" t="s">
        <v>52</v>
      </c>
      <c r="AQ650" t="s">
        <v>52</v>
      </c>
      <c r="AR650" t="s">
        <v>55</v>
      </c>
    </row>
    <row r="651" spans="1:45" x14ac:dyDescent="0.25">
      <c r="A651" t="s">
        <v>47</v>
      </c>
      <c r="B651">
        <v>8</v>
      </c>
      <c r="C651" t="s">
        <v>159</v>
      </c>
      <c r="D651">
        <v>61</v>
      </c>
      <c r="E651" t="s">
        <v>70</v>
      </c>
      <c r="F651">
        <v>296</v>
      </c>
      <c r="G651" t="s">
        <v>71</v>
      </c>
      <c r="H651" t="s">
        <v>50</v>
      </c>
      <c r="K651" t="s">
        <v>52</v>
      </c>
      <c r="L651">
        <v>1</v>
      </c>
      <c r="M651" t="s">
        <v>52</v>
      </c>
      <c r="N651" t="s">
        <v>53</v>
      </c>
      <c r="Q651">
        <v>224.33330000000001</v>
      </c>
      <c r="R651">
        <v>0</v>
      </c>
      <c r="S651">
        <v>0.75</v>
      </c>
      <c r="U651">
        <v>0</v>
      </c>
      <c r="W651" s="1">
        <v>46675</v>
      </c>
      <c r="X651" s="1">
        <v>46357</v>
      </c>
      <c r="Y651" t="s">
        <v>54</v>
      </c>
      <c r="Z651" t="s">
        <v>52</v>
      </c>
      <c r="AB651" t="s">
        <v>52</v>
      </c>
      <c r="AC651">
        <v>296</v>
      </c>
      <c r="AD651">
        <v>1</v>
      </c>
      <c r="AK651" t="s">
        <v>52</v>
      </c>
      <c r="AN651" t="s">
        <v>52</v>
      </c>
      <c r="AO651" t="s">
        <v>52</v>
      </c>
      <c r="AP651" t="s">
        <v>52</v>
      </c>
      <c r="AQ651" t="s">
        <v>52</v>
      </c>
      <c r="AR651" t="s">
        <v>55</v>
      </c>
      <c r="AS651" t="s">
        <v>60</v>
      </c>
    </row>
    <row r="652" spans="1:45" x14ac:dyDescent="0.25">
      <c r="A652" t="s">
        <v>47</v>
      </c>
      <c r="B652">
        <v>8</v>
      </c>
      <c r="C652" t="s">
        <v>159</v>
      </c>
      <c r="D652">
        <v>61</v>
      </c>
      <c r="E652" t="s">
        <v>70</v>
      </c>
      <c r="F652">
        <v>296</v>
      </c>
      <c r="G652" t="s">
        <v>91</v>
      </c>
      <c r="H652" t="s">
        <v>50</v>
      </c>
      <c r="K652" t="s">
        <v>52</v>
      </c>
      <c r="L652">
        <v>1</v>
      </c>
      <c r="M652" t="s">
        <v>52</v>
      </c>
      <c r="N652" t="s">
        <v>53</v>
      </c>
      <c r="R652">
        <v>0.5</v>
      </c>
      <c r="S652">
        <v>0.75</v>
      </c>
      <c r="T652">
        <v>0</v>
      </c>
      <c r="U652">
        <v>0</v>
      </c>
      <c r="V652" s="1">
        <v>46522</v>
      </c>
      <c r="W652" s="1">
        <v>46675</v>
      </c>
      <c r="X652" s="1">
        <v>46357</v>
      </c>
      <c r="Z652" t="s">
        <v>52</v>
      </c>
      <c r="AB652" t="s">
        <v>52</v>
      </c>
      <c r="AC652">
        <v>102</v>
      </c>
      <c r="AD652">
        <v>1</v>
      </c>
      <c r="AK652" t="s">
        <v>52</v>
      </c>
      <c r="AN652" t="s">
        <v>52</v>
      </c>
      <c r="AO652" t="s">
        <v>52</v>
      </c>
      <c r="AP652" t="s">
        <v>52</v>
      </c>
      <c r="AQ652" t="s">
        <v>52</v>
      </c>
      <c r="AR652" t="s">
        <v>55</v>
      </c>
    </row>
    <row r="653" spans="1:45" x14ac:dyDescent="0.25">
      <c r="A653" t="s">
        <v>47</v>
      </c>
      <c r="B653">
        <v>8</v>
      </c>
      <c r="C653" t="s">
        <v>159</v>
      </c>
      <c r="D653">
        <v>61</v>
      </c>
      <c r="E653" t="s">
        <v>75</v>
      </c>
      <c r="F653">
        <v>16</v>
      </c>
      <c r="G653" t="s">
        <v>76</v>
      </c>
      <c r="H653" t="s">
        <v>50</v>
      </c>
      <c r="K653" t="s">
        <v>51</v>
      </c>
      <c r="L653">
        <v>1</v>
      </c>
      <c r="M653" t="s">
        <v>52</v>
      </c>
      <c r="N653" t="s">
        <v>53</v>
      </c>
      <c r="R653">
        <v>0.5</v>
      </c>
      <c r="S653">
        <v>0.75</v>
      </c>
      <c r="T653">
        <v>0</v>
      </c>
      <c r="U653">
        <v>0</v>
      </c>
      <c r="V653" s="1">
        <v>46522</v>
      </c>
      <c r="W653" s="1">
        <v>46691</v>
      </c>
      <c r="X653" s="1">
        <v>46461</v>
      </c>
      <c r="Z653" t="s">
        <v>52</v>
      </c>
      <c r="AB653" t="s">
        <v>52</v>
      </c>
      <c r="AC653">
        <v>16</v>
      </c>
      <c r="AD653">
        <v>2</v>
      </c>
      <c r="AK653" t="s">
        <v>52</v>
      </c>
      <c r="AN653" t="s">
        <v>52</v>
      </c>
      <c r="AO653" t="s">
        <v>52</v>
      </c>
      <c r="AP653" t="s">
        <v>52</v>
      </c>
      <c r="AQ653" t="s">
        <v>52</v>
      </c>
      <c r="AR653" t="s">
        <v>55</v>
      </c>
    </row>
    <row r="654" spans="1:45" x14ac:dyDescent="0.25">
      <c r="A654" t="s">
        <v>47</v>
      </c>
      <c r="B654">
        <v>8</v>
      </c>
      <c r="C654" t="s">
        <v>159</v>
      </c>
      <c r="D654">
        <v>61</v>
      </c>
      <c r="E654" t="s">
        <v>75</v>
      </c>
      <c r="F654">
        <v>16</v>
      </c>
      <c r="G654" t="s">
        <v>76</v>
      </c>
      <c r="H654" t="s">
        <v>50</v>
      </c>
      <c r="K654" t="s">
        <v>52</v>
      </c>
      <c r="L654">
        <v>1</v>
      </c>
      <c r="M654" t="s">
        <v>52</v>
      </c>
      <c r="N654" t="s">
        <v>53</v>
      </c>
      <c r="R654">
        <v>0.5</v>
      </c>
      <c r="S654">
        <v>0.75</v>
      </c>
      <c r="T654">
        <v>0</v>
      </c>
      <c r="U654">
        <v>0</v>
      </c>
      <c r="V654" s="1">
        <v>46522</v>
      </c>
      <c r="W654" s="1">
        <v>46691</v>
      </c>
      <c r="X654" s="1">
        <v>46461</v>
      </c>
      <c r="Z654" t="s">
        <v>52</v>
      </c>
      <c r="AB654" t="s">
        <v>52</v>
      </c>
      <c r="AC654">
        <v>16</v>
      </c>
      <c r="AD654">
        <v>2</v>
      </c>
      <c r="AK654" t="s">
        <v>52</v>
      </c>
      <c r="AN654" t="s">
        <v>52</v>
      </c>
      <c r="AO654" t="s">
        <v>52</v>
      </c>
      <c r="AP654" t="s">
        <v>52</v>
      </c>
      <c r="AQ654" t="s">
        <v>52</v>
      </c>
      <c r="AR654" t="s">
        <v>55</v>
      </c>
    </row>
    <row r="655" spans="1:45" x14ac:dyDescent="0.25">
      <c r="A655" t="s">
        <v>47</v>
      </c>
      <c r="B655">
        <v>8</v>
      </c>
      <c r="C655" t="s">
        <v>159</v>
      </c>
      <c r="D655">
        <v>61</v>
      </c>
      <c r="E655" t="s">
        <v>125</v>
      </c>
      <c r="F655">
        <v>67</v>
      </c>
      <c r="G655" t="s">
        <v>160</v>
      </c>
      <c r="H655" t="s">
        <v>50</v>
      </c>
      <c r="K655" t="s">
        <v>52</v>
      </c>
      <c r="L655">
        <v>1</v>
      </c>
      <c r="M655" t="s">
        <v>52</v>
      </c>
      <c r="N655" t="s">
        <v>53</v>
      </c>
      <c r="R655">
        <v>0.3</v>
      </c>
      <c r="S655">
        <v>0.87</v>
      </c>
      <c r="U655">
        <v>0</v>
      </c>
      <c r="V655" s="1">
        <v>46583</v>
      </c>
      <c r="W655" s="1">
        <v>46691</v>
      </c>
      <c r="X655" s="1">
        <v>46461</v>
      </c>
      <c r="Z655" t="s">
        <v>52</v>
      </c>
      <c r="AB655" t="s">
        <v>52</v>
      </c>
      <c r="AC655">
        <v>67</v>
      </c>
      <c r="AD655">
        <v>1</v>
      </c>
      <c r="AK655" t="s">
        <v>52</v>
      </c>
      <c r="AN655" t="s">
        <v>52</v>
      </c>
      <c r="AO655" t="s">
        <v>52</v>
      </c>
      <c r="AP655" t="s">
        <v>52</v>
      </c>
      <c r="AQ655" t="s">
        <v>52</v>
      </c>
      <c r="AR655" t="s">
        <v>55</v>
      </c>
      <c r="AS655" t="s">
        <v>161</v>
      </c>
    </row>
    <row r="656" spans="1:45" x14ac:dyDescent="0.25">
      <c r="A656" t="s">
        <v>47</v>
      </c>
      <c r="B656">
        <v>8</v>
      </c>
      <c r="C656" t="s">
        <v>159</v>
      </c>
      <c r="D656">
        <v>61</v>
      </c>
      <c r="E656" t="s">
        <v>77</v>
      </c>
      <c r="F656">
        <v>51</v>
      </c>
      <c r="G656" t="s">
        <v>78</v>
      </c>
      <c r="H656" t="s">
        <v>50</v>
      </c>
      <c r="K656" t="s">
        <v>51</v>
      </c>
      <c r="L656">
        <v>1</v>
      </c>
      <c r="M656" t="s">
        <v>52</v>
      </c>
      <c r="N656" t="s">
        <v>53</v>
      </c>
      <c r="R656">
        <v>0.5</v>
      </c>
      <c r="S656">
        <v>0.73</v>
      </c>
      <c r="T656">
        <v>0</v>
      </c>
      <c r="U656">
        <v>0</v>
      </c>
      <c r="V656" s="1">
        <v>46583</v>
      </c>
      <c r="W656" s="1">
        <v>46675</v>
      </c>
      <c r="X656" s="1">
        <v>46461</v>
      </c>
      <c r="Z656" t="s">
        <v>52</v>
      </c>
      <c r="AB656" t="s">
        <v>52</v>
      </c>
      <c r="AC656">
        <v>51</v>
      </c>
      <c r="AD656">
        <v>2</v>
      </c>
      <c r="AK656" t="s">
        <v>52</v>
      </c>
      <c r="AN656" t="s">
        <v>52</v>
      </c>
      <c r="AO656" t="s">
        <v>52</v>
      </c>
      <c r="AP656" t="s">
        <v>52</v>
      </c>
      <c r="AQ656" t="s">
        <v>52</v>
      </c>
      <c r="AR656" t="s">
        <v>55</v>
      </c>
    </row>
    <row r="657" spans="1:45" x14ac:dyDescent="0.25">
      <c r="A657" t="s">
        <v>47</v>
      </c>
      <c r="B657">
        <v>8</v>
      </c>
      <c r="C657" t="s">
        <v>159</v>
      </c>
      <c r="D657">
        <v>61</v>
      </c>
      <c r="E657" t="s">
        <v>77</v>
      </c>
      <c r="F657">
        <v>51</v>
      </c>
      <c r="G657" t="s">
        <v>78</v>
      </c>
      <c r="H657" t="s">
        <v>50</v>
      </c>
      <c r="K657" t="s">
        <v>52</v>
      </c>
      <c r="L657">
        <v>1</v>
      </c>
      <c r="M657" t="s">
        <v>52</v>
      </c>
      <c r="N657" t="s">
        <v>53</v>
      </c>
      <c r="R657">
        <v>0.5</v>
      </c>
      <c r="S657">
        <v>0.73</v>
      </c>
      <c r="T657">
        <v>0</v>
      </c>
      <c r="U657">
        <v>0</v>
      </c>
      <c r="V657" s="1">
        <v>46569</v>
      </c>
      <c r="W657" s="1">
        <v>46675</v>
      </c>
      <c r="X657" s="1">
        <v>46461</v>
      </c>
      <c r="Z657" t="s">
        <v>52</v>
      </c>
      <c r="AB657" t="s">
        <v>52</v>
      </c>
      <c r="AC657">
        <v>51</v>
      </c>
      <c r="AD657">
        <v>2</v>
      </c>
      <c r="AK657" t="s">
        <v>52</v>
      </c>
      <c r="AN657" t="s">
        <v>52</v>
      </c>
      <c r="AO657" t="s">
        <v>52</v>
      </c>
      <c r="AP657" t="s">
        <v>52</v>
      </c>
      <c r="AQ657" t="s">
        <v>52</v>
      </c>
      <c r="AR657" t="s">
        <v>55</v>
      </c>
    </row>
    <row r="658" spans="1:45" x14ac:dyDescent="0.25">
      <c r="A658" t="s">
        <v>47</v>
      </c>
      <c r="B658">
        <v>8</v>
      </c>
      <c r="C658" t="s">
        <v>159</v>
      </c>
      <c r="D658">
        <v>61</v>
      </c>
      <c r="E658" t="s">
        <v>79</v>
      </c>
      <c r="F658">
        <v>50</v>
      </c>
      <c r="G658" t="s">
        <v>80</v>
      </c>
      <c r="H658" t="s">
        <v>50</v>
      </c>
      <c r="K658" t="s">
        <v>51</v>
      </c>
      <c r="L658">
        <v>1</v>
      </c>
      <c r="M658" t="s">
        <v>52</v>
      </c>
      <c r="N658" t="s">
        <v>53</v>
      </c>
      <c r="R658">
        <v>0.5</v>
      </c>
      <c r="S658">
        <v>0.75</v>
      </c>
      <c r="T658">
        <v>0</v>
      </c>
      <c r="U658">
        <v>0</v>
      </c>
      <c r="V658" s="1">
        <v>46583</v>
      </c>
      <c r="W658" s="1">
        <v>46675</v>
      </c>
      <c r="X658" s="1">
        <v>46461</v>
      </c>
      <c r="Z658" t="s">
        <v>52</v>
      </c>
      <c r="AB658" t="s">
        <v>52</v>
      </c>
      <c r="AC658">
        <v>50</v>
      </c>
      <c r="AD658">
        <v>1</v>
      </c>
      <c r="AK658" t="s">
        <v>52</v>
      </c>
      <c r="AN658" t="s">
        <v>52</v>
      </c>
      <c r="AO658" t="s">
        <v>52</v>
      </c>
      <c r="AP658" t="s">
        <v>52</v>
      </c>
      <c r="AQ658" t="s">
        <v>52</v>
      </c>
      <c r="AR658" t="s">
        <v>55</v>
      </c>
    </row>
    <row r="659" spans="1:45" x14ac:dyDescent="0.25">
      <c r="A659" t="s">
        <v>47</v>
      </c>
      <c r="B659">
        <v>8</v>
      </c>
      <c r="C659" t="s">
        <v>159</v>
      </c>
      <c r="D659">
        <v>61</v>
      </c>
      <c r="E659" t="s">
        <v>79</v>
      </c>
      <c r="F659">
        <v>50</v>
      </c>
      <c r="G659" t="s">
        <v>80</v>
      </c>
      <c r="H659" t="s">
        <v>50</v>
      </c>
      <c r="K659" t="s">
        <v>52</v>
      </c>
      <c r="L659">
        <v>1</v>
      </c>
      <c r="M659" t="s">
        <v>52</v>
      </c>
      <c r="N659" t="s">
        <v>53</v>
      </c>
      <c r="R659">
        <v>0.5</v>
      </c>
      <c r="S659">
        <v>0.75</v>
      </c>
      <c r="T659">
        <v>0</v>
      </c>
      <c r="U659">
        <v>0</v>
      </c>
      <c r="V659" s="1">
        <v>46583</v>
      </c>
      <c r="W659" s="1">
        <v>46675</v>
      </c>
      <c r="X659" s="1">
        <v>46461</v>
      </c>
      <c r="Z659" t="s">
        <v>52</v>
      </c>
      <c r="AB659" t="s">
        <v>52</v>
      </c>
      <c r="AC659">
        <v>50</v>
      </c>
      <c r="AD659">
        <v>1</v>
      </c>
      <c r="AK659" t="s">
        <v>52</v>
      </c>
      <c r="AN659" t="s">
        <v>52</v>
      </c>
      <c r="AO659" t="s">
        <v>52</v>
      </c>
      <c r="AP659" t="s">
        <v>52</v>
      </c>
      <c r="AQ659" t="s">
        <v>52</v>
      </c>
      <c r="AR659" t="s">
        <v>55</v>
      </c>
    </row>
    <row r="660" spans="1:45" x14ac:dyDescent="0.25">
      <c r="A660" t="s">
        <v>47</v>
      </c>
      <c r="B660">
        <v>8</v>
      </c>
      <c r="C660" t="s">
        <v>159</v>
      </c>
      <c r="D660">
        <v>61</v>
      </c>
      <c r="E660" t="s">
        <v>79</v>
      </c>
      <c r="F660">
        <v>50</v>
      </c>
      <c r="G660" t="s">
        <v>81</v>
      </c>
      <c r="H660" t="s">
        <v>50</v>
      </c>
      <c r="K660" t="s">
        <v>51</v>
      </c>
      <c r="L660">
        <v>1</v>
      </c>
      <c r="M660" t="s">
        <v>52</v>
      </c>
      <c r="N660" t="s">
        <v>53</v>
      </c>
      <c r="R660">
        <v>0.5</v>
      </c>
      <c r="S660">
        <v>0.75</v>
      </c>
      <c r="T660">
        <v>0</v>
      </c>
      <c r="U660">
        <v>0</v>
      </c>
      <c r="V660" s="1">
        <v>46583</v>
      </c>
      <c r="W660" s="1">
        <v>46675</v>
      </c>
      <c r="X660" s="1">
        <v>46461</v>
      </c>
      <c r="Z660" t="s">
        <v>52</v>
      </c>
      <c r="AB660" t="s">
        <v>52</v>
      </c>
      <c r="AC660">
        <v>50</v>
      </c>
      <c r="AD660">
        <v>1</v>
      </c>
      <c r="AK660" t="s">
        <v>52</v>
      </c>
      <c r="AN660" t="s">
        <v>52</v>
      </c>
      <c r="AO660" t="s">
        <v>52</v>
      </c>
      <c r="AP660" t="s">
        <v>52</v>
      </c>
      <c r="AQ660" t="s">
        <v>52</v>
      </c>
      <c r="AR660" t="s">
        <v>55</v>
      </c>
    </row>
    <row r="661" spans="1:45" x14ac:dyDescent="0.25">
      <c r="A661" t="s">
        <v>47</v>
      </c>
      <c r="B661">
        <v>8</v>
      </c>
      <c r="C661" t="s">
        <v>159</v>
      </c>
      <c r="D661">
        <v>61</v>
      </c>
      <c r="E661" t="s">
        <v>79</v>
      </c>
      <c r="F661">
        <v>50</v>
      </c>
      <c r="G661" t="s">
        <v>81</v>
      </c>
      <c r="H661" t="s">
        <v>50</v>
      </c>
      <c r="K661" t="s">
        <v>52</v>
      </c>
      <c r="L661">
        <v>1</v>
      </c>
      <c r="M661" t="s">
        <v>52</v>
      </c>
      <c r="N661" t="s">
        <v>53</v>
      </c>
      <c r="R661">
        <v>0.5</v>
      </c>
      <c r="S661">
        <v>0.75</v>
      </c>
      <c r="T661">
        <v>0</v>
      </c>
      <c r="U661">
        <v>0</v>
      </c>
      <c r="V661" s="1">
        <v>46583</v>
      </c>
      <c r="W661" s="1">
        <v>46675</v>
      </c>
      <c r="X661" s="1">
        <v>46461</v>
      </c>
      <c r="Z661" t="s">
        <v>52</v>
      </c>
      <c r="AB661" t="s">
        <v>52</v>
      </c>
      <c r="AC661">
        <v>50</v>
      </c>
      <c r="AD661">
        <v>1</v>
      </c>
      <c r="AK661" t="s">
        <v>52</v>
      </c>
      <c r="AN661" t="s">
        <v>52</v>
      </c>
      <c r="AO661" t="s">
        <v>52</v>
      </c>
      <c r="AP661" t="s">
        <v>52</v>
      </c>
      <c r="AQ661" t="s">
        <v>52</v>
      </c>
      <c r="AR661" t="s">
        <v>55</v>
      </c>
    </row>
    <row r="662" spans="1:45" x14ac:dyDescent="0.25">
      <c r="A662" t="s">
        <v>47</v>
      </c>
      <c r="B662">
        <v>8</v>
      </c>
      <c r="C662" t="s">
        <v>159</v>
      </c>
      <c r="D662">
        <v>61</v>
      </c>
      <c r="E662" t="s">
        <v>82</v>
      </c>
      <c r="F662">
        <v>52</v>
      </c>
      <c r="H662" t="s">
        <v>50</v>
      </c>
      <c r="K662" t="s">
        <v>52</v>
      </c>
      <c r="L662">
        <v>1</v>
      </c>
      <c r="M662" t="s">
        <v>52</v>
      </c>
      <c r="N662" t="s">
        <v>53</v>
      </c>
      <c r="R662">
        <v>0.5</v>
      </c>
      <c r="S662">
        <v>0.75</v>
      </c>
      <c r="U662">
        <v>0</v>
      </c>
      <c r="V662" s="1">
        <v>46583</v>
      </c>
      <c r="W662" s="1">
        <v>46675</v>
      </c>
      <c r="X662" s="1">
        <v>46461</v>
      </c>
      <c r="Z662" t="s">
        <v>52</v>
      </c>
      <c r="AB662" t="s">
        <v>52</v>
      </c>
      <c r="AC662">
        <v>50</v>
      </c>
      <c r="AD662">
        <v>1</v>
      </c>
      <c r="AK662" t="s">
        <v>52</v>
      </c>
      <c r="AN662" t="s">
        <v>52</v>
      </c>
      <c r="AO662" t="s">
        <v>52</v>
      </c>
      <c r="AP662" t="s">
        <v>52</v>
      </c>
      <c r="AQ662" t="s">
        <v>52</v>
      </c>
      <c r="AR662" t="s">
        <v>55</v>
      </c>
    </row>
    <row r="663" spans="1:45" x14ac:dyDescent="0.25">
      <c r="A663" t="s">
        <v>47</v>
      </c>
      <c r="B663">
        <v>8</v>
      </c>
      <c r="C663" t="s">
        <v>159</v>
      </c>
      <c r="D663">
        <v>61</v>
      </c>
      <c r="E663" t="s">
        <v>83</v>
      </c>
      <c r="F663">
        <v>158</v>
      </c>
      <c r="H663" t="s">
        <v>50</v>
      </c>
      <c r="K663" t="s">
        <v>51</v>
      </c>
      <c r="L663">
        <v>1</v>
      </c>
      <c r="M663" t="s">
        <v>52</v>
      </c>
      <c r="N663" t="s">
        <v>53</v>
      </c>
      <c r="P663">
        <v>1.3</v>
      </c>
      <c r="R663">
        <v>0.77</v>
      </c>
      <c r="S663">
        <v>0.93</v>
      </c>
      <c r="T663">
        <v>0</v>
      </c>
      <c r="U663">
        <v>0</v>
      </c>
      <c r="V663" s="1">
        <v>46326</v>
      </c>
      <c r="W663" s="1">
        <v>46691</v>
      </c>
      <c r="X663" s="1">
        <v>46266</v>
      </c>
      <c r="Z663" t="s">
        <v>52</v>
      </c>
      <c r="AA663" t="s">
        <v>54</v>
      </c>
      <c r="AB663" t="s">
        <v>52</v>
      </c>
      <c r="AC663">
        <v>158</v>
      </c>
      <c r="AD663">
        <v>2</v>
      </c>
      <c r="AK663" t="s">
        <v>52</v>
      </c>
      <c r="AN663" t="s">
        <v>52</v>
      </c>
      <c r="AO663" t="s">
        <v>52</v>
      </c>
      <c r="AP663" t="s">
        <v>52</v>
      </c>
      <c r="AQ663" t="s">
        <v>52</v>
      </c>
      <c r="AR663" t="s">
        <v>95</v>
      </c>
      <c r="AS663" t="s">
        <v>140</v>
      </c>
    </row>
    <row r="664" spans="1:45" x14ac:dyDescent="0.25">
      <c r="A664" t="s">
        <v>47</v>
      </c>
      <c r="B664">
        <v>8</v>
      </c>
      <c r="C664" t="s">
        <v>159</v>
      </c>
      <c r="D664">
        <v>61</v>
      </c>
      <c r="E664" t="s">
        <v>83</v>
      </c>
      <c r="F664">
        <v>158</v>
      </c>
      <c r="H664" t="s">
        <v>50</v>
      </c>
      <c r="K664" t="s">
        <v>52</v>
      </c>
      <c r="L664">
        <v>1</v>
      </c>
      <c r="M664" t="s">
        <v>52</v>
      </c>
      <c r="N664" t="s">
        <v>53</v>
      </c>
      <c r="R664">
        <v>0.77</v>
      </c>
      <c r="S664">
        <v>0.93</v>
      </c>
      <c r="T664">
        <v>0</v>
      </c>
      <c r="U664">
        <v>0</v>
      </c>
      <c r="V664" s="1">
        <v>46326</v>
      </c>
      <c r="W664" s="1">
        <v>46691</v>
      </c>
      <c r="X664" s="1">
        <v>46266</v>
      </c>
      <c r="Z664" t="s">
        <v>52</v>
      </c>
      <c r="AB664" t="s">
        <v>52</v>
      </c>
      <c r="AC664">
        <v>158</v>
      </c>
      <c r="AD664">
        <v>2</v>
      </c>
      <c r="AK664" t="s">
        <v>52</v>
      </c>
      <c r="AN664" t="s">
        <v>52</v>
      </c>
      <c r="AO664" t="s">
        <v>52</v>
      </c>
      <c r="AP664" t="s">
        <v>52</v>
      </c>
      <c r="AQ664" t="s">
        <v>52</v>
      </c>
      <c r="AR664" t="s">
        <v>55</v>
      </c>
    </row>
    <row r="665" spans="1:45" x14ac:dyDescent="0.25">
      <c r="A665" t="s">
        <v>47</v>
      </c>
      <c r="B665">
        <v>8</v>
      </c>
      <c r="C665" t="s">
        <v>162</v>
      </c>
      <c r="D665">
        <v>63</v>
      </c>
      <c r="E665" t="s">
        <v>49</v>
      </c>
      <c r="F665">
        <v>27</v>
      </c>
      <c r="H665" t="s">
        <v>50</v>
      </c>
      <c r="K665" t="s">
        <v>51</v>
      </c>
      <c r="L665">
        <v>1</v>
      </c>
      <c r="M665" t="s">
        <v>52</v>
      </c>
      <c r="N665" t="s">
        <v>53</v>
      </c>
      <c r="Q665">
        <v>230</v>
      </c>
      <c r="R665">
        <v>0</v>
      </c>
      <c r="S665">
        <v>0.75</v>
      </c>
      <c r="T665">
        <v>0</v>
      </c>
      <c r="U665">
        <v>0</v>
      </c>
      <c r="W665" s="1">
        <v>46675</v>
      </c>
      <c r="X665" s="1">
        <v>46357</v>
      </c>
      <c r="Y665" t="s">
        <v>54</v>
      </c>
      <c r="Z665" t="s">
        <v>52</v>
      </c>
      <c r="AB665" t="s">
        <v>52</v>
      </c>
      <c r="AC665">
        <v>27</v>
      </c>
      <c r="AD665">
        <v>1</v>
      </c>
      <c r="AE665">
        <v>0.97</v>
      </c>
      <c r="AG665">
        <v>0.97</v>
      </c>
      <c r="AK665" t="s">
        <v>52</v>
      </c>
      <c r="AN665" t="s">
        <v>52</v>
      </c>
      <c r="AO665" t="s">
        <v>52</v>
      </c>
      <c r="AP665" t="s">
        <v>52</v>
      </c>
      <c r="AQ665" t="s">
        <v>52</v>
      </c>
      <c r="AR665" t="s">
        <v>55</v>
      </c>
      <c r="AS665" t="s">
        <v>56</v>
      </c>
    </row>
    <row r="666" spans="1:45" x14ac:dyDescent="0.25">
      <c r="A666" t="s">
        <v>47</v>
      </c>
      <c r="B666">
        <v>8</v>
      </c>
      <c r="C666" t="s">
        <v>162</v>
      </c>
      <c r="D666">
        <v>63</v>
      </c>
      <c r="E666" t="s">
        <v>49</v>
      </c>
      <c r="F666">
        <v>27</v>
      </c>
      <c r="H666" t="s">
        <v>50</v>
      </c>
      <c r="K666" t="s">
        <v>52</v>
      </c>
      <c r="L666">
        <v>1</v>
      </c>
      <c r="M666" t="s">
        <v>52</v>
      </c>
      <c r="N666" t="s">
        <v>53</v>
      </c>
      <c r="Q666">
        <v>230</v>
      </c>
      <c r="R666">
        <v>0</v>
      </c>
      <c r="S666">
        <v>0.75</v>
      </c>
      <c r="T666">
        <v>0</v>
      </c>
      <c r="U666">
        <v>0</v>
      </c>
      <c r="W666" s="1">
        <v>46675</v>
      </c>
      <c r="X666" s="1">
        <v>46357</v>
      </c>
      <c r="Y666" t="s">
        <v>54</v>
      </c>
      <c r="Z666" t="s">
        <v>52</v>
      </c>
      <c r="AB666" t="s">
        <v>52</v>
      </c>
      <c r="AC666">
        <v>27</v>
      </c>
      <c r="AD666">
        <v>1</v>
      </c>
      <c r="AE666">
        <v>0.97</v>
      </c>
      <c r="AG666">
        <v>0.97</v>
      </c>
      <c r="AK666" t="s">
        <v>52</v>
      </c>
      <c r="AN666" t="s">
        <v>52</v>
      </c>
      <c r="AO666" t="s">
        <v>52</v>
      </c>
      <c r="AP666" t="s">
        <v>52</v>
      </c>
      <c r="AQ666" t="s">
        <v>52</v>
      </c>
      <c r="AR666" t="s">
        <v>55</v>
      </c>
      <c r="AS666" t="s">
        <v>57</v>
      </c>
    </row>
    <row r="667" spans="1:45" x14ac:dyDescent="0.25">
      <c r="A667" t="s">
        <v>47</v>
      </c>
      <c r="B667">
        <v>8</v>
      </c>
      <c r="C667" t="s">
        <v>162</v>
      </c>
      <c r="D667">
        <v>63</v>
      </c>
      <c r="E667" t="s">
        <v>87</v>
      </c>
      <c r="F667">
        <v>91</v>
      </c>
      <c r="G667" t="s">
        <v>76</v>
      </c>
      <c r="H667" t="s">
        <v>50</v>
      </c>
      <c r="K667" t="s">
        <v>52</v>
      </c>
      <c r="L667">
        <v>1</v>
      </c>
      <c r="M667" t="s">
        <v>52</v>
      </c>
      <c r="N667" t="s">
        <v>53</v>
      </c>
      <c r="R667">
        <v>0.77</v>
      </c>
      <c r="S667">
        <v>0.93</v>
      </c>
      <c r="T667">
        <v>0</v>
      </c>
      <c r="U667">
        <v>0</v>
      </c>
      <c r="V667" s="1">
        <v>46548</v>
      </c>
      <c r="W667" s="1">
        <v>46691</v>
      </c>
      <c r="X667" s="1">
        <v>46295</v>
      </c>
      <c r="Z667" t="s">
        <v>52</v>
      </c>
      <c r="AB667" t="s">
        <v>52</v>
      </c>
      <c r="AC667">
        <v>91</v>
      </c>
      <c r="AD667">
        <v>2</v>
      </c>
      <c r="AK667" t="s">
        <v>52</v>
      </c>
      <c r="AN667" t="s">
        <v>52</v>
      </c>
      <c r="AO667" t="s">
        <v>52</v>
      </c>
      <c r="AP667" t="s">
        <v>52</v>
      </c>
      <c r="AQ667" t="s">
        <v>52</v>
      </c>
      <c r="AR667" t="s">
        <v>55</v>
      </c>
      <c r="AS667" t="s">
        <v>60</v>
      </c>
    </row>
    <row r="668" spans="1:45" x14ac:dyDescent="0.25">
      <c r="A668" t="s">
        <v>47</v>
      </c>
      <c r="B668">
        <v>8</v>
      </c>
      <c r="C668" t="s">
        <v>162</v>
      </c>
      <c r="D668">
        <v>63</v>
      </c>
      <c r="E668" t="s">
        <v>58</v>
      </c>
      <c r="F668">
        <v>102</v>
      </c>
      <c r="G668" t="s">
        <v>62</v>
      </c>
      <c r="H668" t="s">
        <v>50</v>
      </c>
      <c r="K668" t="s">
        <v>52</v>
      </c>
      <c r="L668">
        <v>1</v>
      </c>
      <c r="M668" t="s">
        <v>52</v>
      </c>
      <c r="N668" t="s">
        <v>53</v>
      </c>
      <c r="R668">
        <v>0</v>
      </c>
      <c r="S668">
        <v>0.92</v>
      </c>
      <c r="T668">
        <v>0</v>
      </c>
      <c r="U668">
        <v>0</v>
      </c>
      <c r="W668" s="1">
        <v>46731</v>
      </c>
      <c r="X668" s="1">
        <v>46357</v>
      </c>
      <c r="Z668" t="s">
        <v>52</v>
      </c>
      <c r="AB668" t="s">
        <v>52</v>
      </c>
      <c r="AC668">
        <v>102</v>
      </c>
      <c r="AD668">
        <v>1</v>
      </c>
      <c r="AK668" t="s">
        <v>52</v>
      </c>
      <c r="AN668" t="s">
        <v>52</v>
      </c>
      <c r="AO668" t="s">
        <v>52</v>
      </c>
      <c r="AP668" t="s">
        <v>52</v>
      </c>
      <c r="AQ668" t="s">
        <v>52</v>
      </c>
      <c r="AR668" t="s">
        <v>55</v>
      </c>
    </row>
    <row r="669" spans="1:45" x14ac:dyDescent="0.25">
      <c r="A669" t="s">
        <v>47</v>
      </c>
      <c r="B669">
        <v>8</v>
      </c>
      <c r="C669" t="s">
        <v>162</v>
      </c>
      <c r="D669">
        <v>63</v>
      </c>
      <c r="E669" t="s">
        <v>68</v>
      </c>
      <c r="F669">
        <v>80</v>
      </c>
      <c r="G669" t="s">
        <v>69</v>
      </c>
      <c r="H669" t="s">
        <v>50</v>
      </c>
      <c r="K669" t="s">
        <v>51</v>
      </c>
      <c r="L669">
        <v>1</v>
      </c>
      <c r="M669" t="s">
        <v>52</v>
      </c>
      <c r="N669" t="s">
        <v>53</v>
      </c>
      <c r="R669">
        <v>0.5</v>
      </c>
      <c r="S669">
        <v>0.75</v>
      </c>
      <c r="T669">
        <v>0</v>
      </c>
      <c r="U669">
        <v>0</v>
      </c>
      <c r="V669" s="1">
        <v>46583</v>
      </c>
      <c r="W669" s="1">
        <v>46675</v>
      </c>
      <c r="X669" s="1">
        <v>46461</v>
      </c>
      <c r="Z669" t="s">
        <v>52</v>
      </c>
      <c r="AB669" t="s">
        <v>52</v>
      </c>
      <c r="AC669">
        <v>80</v>
      </c>
      <c r="AD669">
        <v>1</v>
      </c>
      <c r="AK669" t="s">
        <v>52</v>
      </c>
      <c r="AN669" t="s">
        <v>52</v>
      </c>
      <c r="AO669" t="s">
        <v>52</v>
      </c>
      <c r="AP669" t="s">
        <v>52</v>
      </c>
      <c r="AQ669" t="s">
        <v>52</v>
      </c>
      <c r="AR669" t="s">
        <v>55</v>
      </c>
    </row>
    <row r="670" spans="1:45" x14ac:dyDescent="0.25">
      <c r="A670" t="s">
        <v>47</v>
      </c>
      <c r="B670">
        <v>8</v>
      </c>
      <c r="C670" t="s">
        <v>162</v>
      </c>
      <c r="D670">
        <v>63</v>
      </c>
      <c r="E670" t="s">
        <v>68</v>
      </c>
      <c r="F670">
        <v>80</v>
      </c>
      <c r="G670" t="s">
        <v>69</v>
      </c>
      <c r="H670" t="s">
        <v>50</v>
      </c>
      <c r="K670" t="s">
        <v>52</v>
      </c>
      <c r="L670">
        <v>1</v>
      </c>
      <c r="M670" t="s">
        <v>52</v>
      </c>
      <c r="N670" t="s">
        <v>53</v>
      </c>
      <c r="R670">
        <v>0.5</v>
      </c>
      <c r="S670">
        <v>0.75</v>
      </c>
      <c r="T670">
        <v>0</v>
      </c>
      <c r="U670">
        <v>0</v>
      </c>
      <c r="V670" s="1">
        <v>46583</v>
      </c>
      <c r="W670" s="1">
        <v>46675</v>
      </c>
      <c r="X670" s="1">
        <v>46461</v>
      </c>
      <c r="Z670" t="s">
        <v>52</v>
      </c>
      <c r="AB670" t="s">
        <v>52</v>
      </c>
      <c r="AC670">
        <v>80</v>
      </c>
      <c r="AD670">
        <v>1</v>
      </c>
      <c r="AK670" t="s">
        <v>52</v>
      </c>
      <c r="AN670" t="s">
        <v>52</v>
      </c>
      <c r="AO670" t="s">
        <v>52</v>
      </c>
      <c r="AP670" t="s">
        <v>52</v>
      </c>
      <c r="AQ670" t="s">
        <v>52</v>
      </c>
      <c r="AR670" t="s">
        <v>55</v>
      </c>
    </row>
    <row r="671" spans="1:45" x14ac:dyDescent="0.25">
      <c r="A671" t="s">
        <v>47</v>
      </c>
      <c r="B671">
        <v>8</v>
      </c>
      <c r="C671" t="s">
        <v>162</v>
      </c>
      <c r="D671">
        <v>63</v>
      </c>
      <c r="E671" t="s">
        <v>68</v>
      </c>
      <c r="F671">
        <v>80</v>
      </c>
      <c r="G671" t="s">
        <v>163</v>
      </c>
      <c r="H671" t="s">
        <v>50</v>
      </c>
      <c r="K671" t="s">
        <v>51</v>
      </c>
      <c r="L671">
        <v>1</v>
      </c>
      <c r="M671" t="s">
        <v>52</v>
      </c>
      <c r="N671" t="s">
        <v>53</v>
      </c>
      <c r="R671">
        <v>0.5</v>
      </c>
      <c r="S671">
        <v>0.75</v>
      </c>
      <c r="U671">
        <v>0</v>
      </c>
      <c r="V671" s="1">
        <v>46583</v>
      </c>
      <c r="W671" s="1">
        <v>46675</v>
      </c>
      <c r="X671" s="1">
        <v>46461</v>
      </c>
      <c r="Z671" t="s">
        <v>52</v>
      </c>
      <c r="AB671" t="s">
        <v>52</v>
      </c>
      <c r="AC671">
        <v>80</v>
      </c>
      <c r="AD671">
        <v>1</v>
      </c>
      <c r="AK671" t="s">
        <v>52</v>
      </c>
      <c r="AN671" t="s">
        <v>52</v>
      </c>
      <c r="AO671" t="s">
        <v>52</v>
      </c>
      <c r="AP671" t="s">
        <v>52</v>
      </c>
      <c r="AQ671" t="s">
        <v>52</v>
      </c>
      <c r="AR671" t="s">
        <v>55</v>
      </c>
    </row>
    <row r="672" spans="1:45" x14ac:dyDescent="0.25">
      <c r="A672" t="s">
        <v>47</v>
      </c>
      <c r="B672">
        <v>8</v>
      </c>
      <c r="C672" t="s">
        <v>162</v>
      </c>
      <c r="D672">
        <v>63</v>
      </c>
      <c r="E672" t="s">
        <v>68</v>
      </c>
      <c r="F672">
        <v>80</v>
      </c>
      <c r="G672" t="s">
        <v>163</v>
      </c>
      <c r="H672" t="s">
        <v>50</v>
      </c>
      <c r="K672" t="s">
        <v>52</v>
      </c>
      <c r="L672">
        <v>1</v>
      </c>
      <c r="M672" t="s">
        <v>52</v>
      </c>
      <c r="N672" t="s">
        <v>53</v>
      </c>
      <c r="R672">
        <v>0.5</v>
      </c>
      <c r="S672">
        <v>0.75</v>
      </c>
      <c r="U672">
        <v>0</v>
      </c>
      <c r="V672" s="1">
        <v>46583</v>
      </c>
      <c r="W672" s="1">
        <v>46675</v>
      </c>
      <c r="X672" s="1">
        <v>46461</v>
      </c>
      <c r="Z672" t="s">
        <v>52</v>
      </c>
      <c r="AB672" t="s">
        <v>52</v>
      </c>
      <c r="AC672">
        <v>80</v>
      </c>
      <c r="AD672">
        <v>1</v>
      </c>
      <c r="AK672" t="s">
        <v>52</v>
      </c>
      <c r="AN672" t="s">
        <v>52</v>
      </c>
      <c r="AO672" t="s">
        <v>52</v>
      </c>
      <c r="AP672" t="s">
        <v>52</v>
      </c>
      <c r="AQ672" t="s">
        <v>52</v>
      </c>
      <c r="AR672" t="s">
        <v>55</v>
      </c>
    </row>
    <row r="673" spans="1:45" x14ac:dyDescent="0.25">
      <c r="A673" t="s">
        <v>47</v>
      </c>
      <c r="B673">
        <v>8</v>
      </c>
      <c r="C673" t="s">
        <v>162</v>
      </c>
      <c r="D673">
        <v>63</v>
      </c>
      <c r="E673" t="s">
        <v>70</v>
      </c>
      <c r="F673">
        <v>296</v>
      </c>
      <c r="G673" t="s">
        <v>71</v>
      </c>
      <c r="H673" t="s">
        <v>50</v>
      </c>
      <c r="K673" t="s">
        <v>51</v>
      </c>
      <c r="L673">
        <v>1</v>
      </c>
      <c r="M673" t="s">
        <v>52</v>
      </c>
      <c r="N673" t="s">
        <v>53</v>
      </c>
      <c r="Q673">
        <v>224.33330000000001</v>
      </c>
      <c r="R673">
        <v>0</v>
      </c>
      <c r="S673">
        <v>0.75</v>
      </c>
      <c r="U673">
        <v>0</v>
      </c>
      <c r="W673" s="1">
        <v>46675</v>
      </c>
      <c r="X673" s="1">
        <v>46357</v>
      </c>
      <c r="Y673" t="s">
        <v>54</v>
      </c>
      <c r="Z673" t="s">
        <v>52</v>
      </c>
      <c r="AB673" t="s">
        <v>52</v>
      </c>
      <c r="AC673">
        <v>296</v>
      </c>
      <c r="AD673">
        <v>1</v>
      </c>
      <c r="AK673" t="s">
        <v>52</v>
      </c>
      <c r="AN673" t="s">
        <v>52</v>
      </c>
      <c r="AO673" t="s">
        <v>52</v>
      </c>
      <c r="AP673" t="s">
        <v>52</v>
      </c>
      <c r="AQ673" t="s">
        <v>52</v>
      </c>
      <c r="AR673" t="s">
        <v>55</v>
      </c>
    </row>
    <row r="674" spans="1:45" x14ac:dyDescent="0.25">
      <c r="A674" t="s">
        <v>47</v>
      </c>
      <c r="B674">
        <v>8</v>
      </c>
      <c r="C674" t="s">
        <v>162</v>
      </c>
      <c r="D674">
        <v>63</v>
      </c>
      <c r="E674" t="s">
        <v>70</v>
      </c>
      <c r="F674">
        <v>296</v>
      </c>
      <c r="G674" t="s">
        <v>71</v>
      </c>
      <c r="H674" t="s">
        <v>50</v>
      </c>
      <c r="K674" t="s">
        <v>52</v>
      </c>
      <c r="L674">
        <v>1</v>
      </c>
      <c r="M674" t="s">
        <v>52</v>
      </c>
      <c r="N674" t="s">
        <v>53</v>
      </c>
      <c r="Q674">
        <v>224.33330000000001</v>
      </c>
      <c r="R674">
        <v>0</v>
      </c>
      <c r="S674">
        <v>0.75</v>
      </c>
      <c r="U674">
        <v>0</v>
      </c>
      <c r="W674" s="1">
        <v>46675</v>
      </c>
      <c r="X674" s="1">
        <v>46357</v>
      </c>
      <c r="Y674" t="s">
        <v>54</v>
      </c>
      <c r="Z674" t="s">
        <v>52</v>
      </c>
      <c r="AB674" t="s">
        <v>52</v>
      </c>
      <c r="AC674">
        <v>296</v>
      </c>
      <c r="AD674">
        <v>1</v>
      </c>
      <c r="AK674" t="s">
        <v>52</v>
      </c>
      <c r="AN674" t="s">
        <v>52</v>
      </c>
      <c r="AO674" t="s">
        <v>52</v>
      </c>
      <c r="AP674" t="s">
        <v>52</v>
      </c>
      <c r="AQ674" t="s">
        <v>52</v>
      </c>
      <c r="AR674" t="s">
        <v>55</v>
      </c>
    </row>
    <row r="675" spans="1:45" x14ac:dyDescent="0.25">
      <c r="A675" t="s">
        <v>47</v>
      </c>
      <c r="B675">
        <v>8</v>
      </c>
      <c r="C675" t="s">
        <v>162</v>
      </c>
      <c r="D675">
        <v>63</v>
      </c>
      <c r="E675" t="s">
        <v>70</v>
      </c>
      <c r="F675">
        <v>296</v>
      </c>
      <c r="G675" t="s">
        <v>92</v>
      </c>
      <c r="H675" t="s">
        <v>50</v>
      </c>
      <c r="K675" t="s">
        <v>51</v>
      </c>
      <c r="L675">
        <v>1</v>
      </c>
      <c r="M675" t="s">
        <v>52</v>
      </c>
      <c r="N675" t="s">
        <v>53</v>
      </c>
      <c r="R675">
        <v>0.5</v>
      </c>
      <c r="S675">
        <v>0.75</v>
      </c>
      <c r="T675">
        <v>0</v>
      </c>
      <c r="U675">
        <v>0</v>
      </c>
      <c r="V675" s="1">
        <v>46583</v>
      </c>
      <c r="W675" s="1">
        <v>46675</v>
      </c>
      <c r="X675" s="1">
        <v>46357</v>
      </c>
      <c r="Z675" t="s">
        <v>52</v>
      </c>
      <c r="AB675" t="s">
        <v>52</v>
      </c>
      <c r="AC675">
        <v>102</v>
      </c>
      <c r="AD675">
        <v>1</v>
      </c>
      <c r="AK675" t="s">
        <v>52</v>
      </c>
      <c r="AN675" t="s">
        <v>52</v>
      </c>
      <c r="AO675" t="s">
        <v>52</v>
      </c>
      <c r="AP675" t="s">
        <v>52</v>
      </c>
      <c r="AQ675" t="s">
        <v>52</v>
      </c>
      <c r="AR675" t="s">
        <v>55</v>
      </c>
    </row>
    <row r="676" spans="1:45" x14ac:dyDescent="0.25">
      <c r="A676" t="s">
        <v>47</v>
      </c>
      <c r="B676">
        <v>8</v>
      </c>
      <c r="C676" t="s">
        <v>162</v>
      </c>
      <c r="D676">
        <v>63</v>
      </c>
      <c r="E676" t="s">
        <v>70</v>
      </c>
      <c r="F676">
        <v>296</v>
      </c>
      <c r="G676" t="s">
        <v>92</v>
      </c>
      <c r="H676" t="s">
        <v>50</v>
      </c>
      <c r="K676" t="s">
        <v>52</v>
      </c>
      <c r="L676">
        <v>1</v>
      </c>
      <c r="M676" t="s">
        <v>52</v>
      </c>
      <c r="N676" t="s">
        <v>53</v>
      </c>
      <c r="R676">
        <v>0.5</v>
      </c>
      <c r="S676">
        <v>0.75</v>
      </c>
      <c r="T676">
        <v>0</v>
      </c>
      <c r="U676">
        <v>0</v>
      </c>
      <c r="V676" s="1">
        <v>46583</v>
      </c>
      <c r="W676" s="1">
        <v>46675</v>
      </c>
      <c r="X676" s="1">
        <v>46357</v>
      </c>
      <c r="Z676" t="s">
        <v>52</v>
      </c>
      <c r="AB676" t="s">
        <v>52</v>
      </c>
      <c r="AC676">
        <v>102</v>
      </c>
      <c r="AD676">
        <v>1</v>
      </c>
      <c r="AK676" t="s">
        <v>52</v>
      </c>
      <c r="AN676" t="s">
        <v>52</v>
      </c>
      <c r="AO676" t="s">
        <v>52</v>
      </c>
      <c r="AP676" t="s">
        <v>52</v>
      </c>
      <c r="AQ676" t="s">
        <v>52</v>
      </c>
      <c r="AR676" t="s">
        <v>55</v>
      </c>
    </row>
    <row r="677" spans="1:45" x14ac:dyDescent="0.25">
      <c r="A677" t="s">
        <v>47</v>
      </c>
      <c r="B677">
        <v>8</v>
      </c>
      <c r="C677" t="s">
        <v>162</v>
      </c>
      <c r="D677">
        <v>63</v>
      </c>
      <c r="E677" t="s">
        <v>75</v>
      </c>
      <c r="F677">
        <v>16</v>
      </c>
      <c r="G677" t="s">
        <v>76</v>
      </c>
      <c r="H677" t="s">
        <v>50</v>
      </c>
      <c r="K677" t="s">
        <v>51</v>
      </c>
      <c r="L677">
        <v>1</v>
      </c>
      <c r="M677" t="s">
        <v>52</v>
      </c>
      <c r="N677" t="s">
        <v>53</v>
      </c>
      <c r="R677">
        <v>0.5</v>
      </c>
      <c r="S677">
        <v>0.75</v>
      </c>
      <c r="T677">
        <v>0</v>
      </c>
      <c r="U677">
        <v>0</v>
      </c>
      <c r="V677" s="1">
        <v>46507</v>
      </c>
      <c r="W677" s="1">
        <v>46691</v>
      </c>
      <c r="X677" s="1">
        <v>46461</v>
      </c>
      <c r="Z677" t="s">
        <v>52</v>
      </c>
      <c r="AB677" t="s">
        <v>52</v>
      </c>
      <c r="AC677">
        <v>16</v>
      </c>
      <c r="AD677">
        <v>2</v>
      </c>
      <c r="AK677" t="s">
        <v>52</v>
      </c>
      <c r="AN677" t="s">
        <v>52</v>
      </c>
      <c r="AO677" t="s">
        <v>52</v>
      </c>
      <c r="AP677" t="s">
        <v>52</v>
      </c>
      <c r="AQ677" t="s">
        <v>52</v>
      </c>
      <c r="AR677" t="s">
        <v>55</v>
      </c>
    </row>
    <row r="678" spans="1:45" x14ac:dyDescent="0.25">
      <c r="A678" t="s">
        <v>47</v>
      </c>
      <c r="B678">
        <v>8</v>
      </c>
      <c r="C678" t="s">
        <v>162</v>
      </c>
      <c r="D678">
        <v>63</v>
      </c>
      <c r="E678" t="s">
        <v>75</v>
      </c>
      <c r="F678">
        <v>16</v>
      </c>
      <c r="G678" t="s">
        <v>76</v>
      </c>
      <c r="H678" t="s">
        <v>50</v>
      </c>
      <c r="K678" t="s">
        <v>52</v>
      </c>
      <c r="L678">
        <v>1</v>
      </c>
      <c r="M678" t="s">
        <v>52</v>
      </c>
      <c r="N678" t="s">
        <v>53</v>
      </c>
      <c r="R678">
        <v>0.5</v>
      </c>
      <c r="S678">
        <v>0.75</v>
      </c>
      <c r="T678">
        <v>0</v>
      </c>
      <c r="U678">
        <v>0</v>
      </c>
      <c r="V678" s="1">
        <v>46507</v>
      </c>
      <c r="W678" s="1">
        <v>46691</v>
      </c>
      <c r="X678" s="1">
        <v>46461</v>
      </c>
      <c r="Z678" t="s">
        <v>52</v>
      </c>
      <c r="AB678" t="s">
        <v>52</v>
      </c>
      <c r="AC678">
        <v>16</v>
      </c>
      <c r="AD678">
        <v>2</v>
      </c>
      <c r="AK678" t="s">
        <v>52</v>
      </c>
      <c r="AN678" t="s">
        <v>52</v>
      </c>
      <c r="AO678" t="s">
        <v>52</v>
      </c>
      <c r="AP678" t="s">
        <v>52</v>
      </c>
      <c r="AQ678" t="s">
        <v>52</v>
      </c>
      <c r="AR678" t="s">
        <v>55</v>
      </c>
    </row>
    <row r="679" spans="1:45" x14ac:dyDescent="0.25">
      <c r="A679" t="s">
        <v>47</v>
      </c>
      <c r="B679">
        <v>8</v>
      </c>
      <c r="C679" t="s">
        <v>162</v>
      </c>
      <c r="D679">
        <v>63</v>
      </c>
      <c r="E679" t="s">
        <v>125</v>
      </c>
      <c r="F679">
        <v>67</v>
      </c>
      <c r="G679" t="s">
        <v>164</v>
      </c>
      <c r="H679" t="s">
        <v>50</v>
      </c>
      <c r="K679" t="s">
        <v>52</v>
      </c>
      <c r="L679">
        <v>1</v>
      </c>
      <c r="M679" t="s">
        <v>52</v>
      </c>
      <c r="N679" t="s">
        <v>53</v>
      </c>
      <c r="R679">
        <v>0.5</v>
      </c>
      <c r="S679">
        <v>0.87</v>
      </c>
      <c r="U679">
        <v>0</v>
      </c>
      <c r="V679" s="1">
        <v>46583</v>
      </c>
      <c r="W679" s="1">
        <v>46691</v>
      </c>
      <c r="X679" s="1">
        <v>46461</v>
      </c>
      <c r="Z679" t="s">
        <v>52</v>
      </c>
      <c r="AB679" t="s">
        <v>52</v>
      </c>
      <c r="AC679">
        <v>67</v>
      </c>
      <c r="AD679">
        <v>1</v>
      </c>
      <c r="AK679" t="s">
        <v>52</v>
      </c>
      <c r="AN679" t="s">
        <v>52</v>
      </c>
      <c r="AO679" t="s">
        <v>52</v>
      </c>
      <c r="AP679" t="s">
        <v>52</v>
      </c>
      <c r="AQ679" t="s">
        <v>52</v>
      </c>
      <c r="AR679" t="s">
        <v>55</v>
      </c>
      <c r="AS679" t="s">
        <v>60</v>
      </c>
    </row>
    <row r="680" spans="1:45" x14ac:dyDescent="0.25">
      <c r="A680" t="s">
        <v>47</v>
      </c>
      <c r="B680">
        <v>8</v>
      </c>
      <c r="C680" t="s">
        <v>162</v>
      </c>
      <c r="D680">
        <v>63</v>
      </c>
      <c r="E680" t="s">
        <v>125</v>
      </c>
      <c r="F680">
        <v>67</v>
      </c>
      <c r="G680" t="s">
        <v>111</v>
      </c>
      <c r="H680" t="s">
        <v>50</v>
      </c>
      <c r="K680" t="s">
        <v>52</v>
      </c>
      <c r="L680">
        <v>1</v>
      </c>
      <c r="M680" t="s">
        <v>52</v>
      </c>
      <c r="N680" t="s">
        <v>53</v>
      </c>
      <c r="R680">
        <v>0.5</v>
      </c>
      <c r="S680">
        <v>0.87</v>
      </c>
      <c r="U680">
        <v>0</v>
      </c>
      <c r="V680" s="1">
        <v>46583</v>
      </c>
      <c r="W680" s="1">
        <v>46691</v>
      </c>
      <c r="X680" s="1">
        <v>46461</v>
      </c>
      <c r="Z680" t="s">
        <v>52</v>
      </c>
      <c r="AB680" t="s">
        <v>52</v>
      </c>
      <c r="AC680">
        <v>67</v>
      </c>
      <c r="AD680">
        <v>1</v>
      </c>
      <c r="AK680" t="s">
        <v>52</v>
      </c>
      <c r="AN680" t="s">
        <v>52</v>
      </c>
      <c r="AO680" t="s">
        <v>52</v>
      </c>
      <c r="AP680" t="s">
        <v>52</v>
      </c>
      <c r="AQ680" t="s">
        <v>52</v>
      </c>
      <c r="AR680" t="s">
        <v>55</v>
      </c>
    </row>
    <row r="681" spans="1:45" x14ac:dyDescent="0.25">
      <c r="A681" t="s">
        <v>47</v>
      </c>
      <c r="B681">
        <v>8</v>
      </c>
      <c r="C681" t="s">
        <v>162</v>
      </c>
      <c r="D681">
        <v>63</v>
      </c>
      <c r="E681" t="s">
        <v>94</v>
      </c>
      <c r="F681">
        <v>26</v>
      </c>
      <c r="H681" t="s">
        <v>50</v>
      </c>
      <c r="K681" t="s">
        <v>52</v>
      </c>
      <c r="L681">
        <v>1</v>
      </c>
      <c r="M681" t="s">
        <v>52</v>
      </c>
      <c r="N681" t="s">
        <v>53</v>
      </c>
      <c r="R681">
        <v>0</v>
      </c>
      <c r="S681">
        <v>0.92</v>
      </c>
      <c r="U681">
        <v>0</v>
      </c>
      <c r="W681" s="1">
        <v>46731</v>
      </c>
      <c r="X681" s="1">
        <v>46357</v>
      </c>
      <c r="Z681" t="s">
        <v>52</v>
      </c>
      <c r="AB681" t="s">
        <v>52</v>
      </c>
      <c r="AC681">
        <v>102</v>
      </c>
      <c r="AD681">
        <v>1</v>
      </c>
      <c r="AK681" t="s">
        <v>52</v>
      </c>
      <c r="AN681" t="s">
        <v>52</v>
      </c>
      <c r="AO681" t="s">
        <v>52</v>
      </c>
      <c r="AP681" t="s">
        <v>52</v>
      </c>
      <c r="AQ681" t="s">
        <v>52</v>
      </c>
      <c r="AR681" t="s">
        <v>55</v>
      </c>
    </row>
    <row r="682" spans="1:45" x14ac:dyDescent="0.25">
      <c r="A682" t="s">
        <v>47</v>
      </c>
      <c r="B682">
        <v>8</v>
      </c>
      <c r="C682" t="s">
        <v>162</v>
      </c>
      <c r="D682">
        <v>63</v>
      </c>
      <c r="E682" t="s">
        <v>77</v>
      </c>
      <c r="F682">
        <v>51</v>
      </c>
      <c r="G682" t="s">
        <v>78</v>
      </c>
      <c r="H682" t="s">
        <v>50</v>
      </c>
      <c r="K682" t="s">
        <v>51</v>
      </c>
      <c r="L682">
        <v>1</v>
      </c>
      <c r="M682" t="s">
        <v>52</v>
      </c>
      <c r="N682" t="s">
        <v>53</v>
      </c>
      <c r="R682">
        <v>0.5</v>
      </c>
      <c r="S682">
        <v>0.73</v>
      </c>
      <c r="T682">
        <v>0</v>
      </c>
      <c r="U682">
        <v>0</v>
      </c>
      <c r="V682" s="1">
        <v>46569</v>
      </c>
      <c r="W682" s="1">
        <v>46675</v>
      </c>
      <c r="X682" s="1">
        <v>46461</v>
      </c>
      <c r="Z682" t="s">
        <v>52</v>
      </c>
      <c r="AB682" t="s">
        <v>52</v>
      </c>
      <c r="AC682">
        <v>51</v>
      </c>
      <c r="AD682">
        <v>2</v>
      </c>
      <c r="AK682" t="s">
        <v>52</v>
      </c>
      <c r="AN682" t="s">
        <v>52</v>
      </c>
      <c r="AO682" t="s">
        <v>52</v>
      </c>
      <c r="AP682" t="s">
        <v>52</v>
      </c>
      <c r="AQ682" t="s">
        <v>52</v>
      </c>
      <c r="AR682" t="s">
        <v>55</v>
      </c>
      <c r="AS682" t="s">
        <v>60</v>
      </c>
    </row>
    <row r="683" spans="1:45" x14ac:dyDescent="0.25">
      <c r="A683" t="s">
        <v>47</v>
      </c>
      <c r="B683">
        <v>8</v>
      </c>
      <c r="C683" t="s">
        <v>162</v>
      </c>
      <c r="D683">
        <v>63</v>
      </c>
      <c r="E683" t="s">
        <v>77</v>
      </c>
      <c r="F683">
        <v>51</v>
      </c>
      <c r="G683" t="s">
        <v>78</v>
      </c>
      <c r="H683" t="s">
        <v>50</v>
      </c>
      <c r="K683" t="s">
        <v>52</v>
      </c>
      <c r="L683">
        <v>1</v>
      </c>
      <c r="M683" t="s">
        <v>52</v>
      </c>
      <c r="N683" t="s">
        <v>53</v>
      </c>
      <c r="R683">
        <v>0.5</v>
      </c>
      <c r="S683">
        <v>0.73</v>
      </c>
      <c r="T683">
        <v>0</v>
      </c>
      <c r="U683">
        <v>0</v>
      </c>
      <c r="V683" s="1">
        <v>46569</v>
      </c>
      <c r="W683" s="1">
        <v>46675</v>
      </c>
      <c r="X683" s="1">
        <v>46461</v>
      </c>
      <c r="Z683" t="s">
        <v>52</v>
      </c>
      <c r="AB683" t="s">
        <v>52</v>
      </c>
      <c r="AC683">
        <v>51</v>
      </c>
      <c r="AD683">
        <v>2</v>
      </c>
      <c r="AK683" t="s">
        <v>52</v>
      </c>
      <c r="AN683" t="s">
        <v>52</v>
      </c>
      <c r="AO683" t="s">
        <v>52</v>
      </c>
      <c r="AP683" t="s">
        <v>52</v>
      </c>
      <c r="AQ683" t="s">
        <v>52</v>
      </c>
      <c r="AR683" t="s">
        <v>55</v>
      </c>
      <c r="AS683" t="s">
        <v>60</v>
      </c>
    </row>
    <row r="684" spans="1:45" x14ac:dyDescent="0.25">
      <c r="A684" t="s">
        <v>47</v>
      </c>
      <c r="B684">
        <v>8</v>
      </c>
      <c r="C684" t="s">
        <v>162</v>
      </c>
      <c r="D684">
        <v>63</v>
      </c>
      <c r="E684" t="s">
        <v>79</v>
      </c>
      <c r="F684">
        <v>50</v>
      </c>
      <c r="G684" t="s">
        <v>80</v>
      </c>
      <c r="H684" t="s">
        <v>50</v>
      </c>
      <c r="K684" t="s">
        <v>51</v>
      </c>
      <c r="L684">
        <v>1</v>
      </c>
      <c r="M684" t="s">
        <v>52</v>
      </c>
      <c r="N684" t="s">
        <v>53</v>
      </c>
      <c r="R684">
        <v>0.5</v>
      </c>
      <c r="S684">
        <v>0.75</v>
      </c>
      <c r="T684">
        <v>0</v>
      </c>
      <c r="U684">
        <v>0</v>
      </c>
      <c r="V684" s="1">
        <v>46583</v>
      </c>
      <c r="W684" s="1">
        <v>46675</v>
      </c>
      <c r="X684" s="1">
        <v>46461</v>
      </c>
      <c r="Z684" t="s">
        <v>52</v>
      </c>
      <c r="AB684" t="s">
        <v>52</v>
      </c>
      <c r="AC684">
        <v>50</v>
      </c>
      <c r="AD684">
        <v>1</v>
      </c>
      <c r="AK684" t="s">
        <v>52</v>
      </c>
      <c r="AN684" t="s">
        <v>52</v>
      </c>
      <c r="AO684" t="s">
        <v>52</v>
      </c>
      <c r="AP684" t="s">
        <v>52</v>
      </c>
      <c r="AQ684" t="s">
        <v>52</v>
      </c>
      <c r="AR684" t="s">
        <v>55</v>
      </c>
    </row>
    <row r="685" spans="1:45" x14ac:dyDescent="0.25">
      <c r="A685" t="s">
        <v>47</v>
      </c>
      <c r="B685">
        <v>8</v>
      </c>
      <c r="C685" t="s">
        <v>162</v>
      </c>
      <c r="D685">
        <v>63</v>
      </c>
      <c r="E685" t="s">
        <v>79</v>
      </c>
      <c r="F685">
        <v>50</v>
      </c>
      <c r="G685" t="s">
        <v>80</v>
      </c>
      <c r="H685" t="s">
        <v>50</v>
      </c>
      <c r="K685" t="s">
        <v>52</v>
      </c>
      <c r="L685">
        <v>1</v>
      </c>
      <c r="M685" t="s">
        <v>52</v>
      </c>
      <c r="N685" t="s">
        <v>53</v>
      </c>
      <c r="R685">
        <v>0.5</v>
      </c>
      <c r="S685">
        <v>0.75</v>
      </c>
      <c r="T685">
        <v>0</v>
      </c>
      <c r="U685">
        <v>0</v>
      </c>
      <c r="V685" s="1">
        <v>46583</v>
      </c>
      <c r="W685" s="1">
        <v>46675</v>
      </c>
      <c r="X685" s="1">
        <v>46461</v>
      </c>
      <c r="Z685" t="s">
        <v>52</v>
      </c>
      <c r="AB685" t="s">
        <v>52</v>
      </c>
      <c r="AC685">
        <v>50</v>
      </c>
      <c r="AD685">
        <v>1</v>
      </c>
      <c r="AK685" t="s">
        <v>52</v>
      </c>
      <c r="AN685" t="s">
        <v>52</v>
      </c>
      <c r="AO685" t="s">
        <v>52</v>
      </c>
      <c r="AP685" t="s">
        <v>52</v>
      </c>
      <c r="AQ685" t="s">
        <v>52</v>
      </c>
      <c r="AR685" t="s">
        <v>55</v>
      </c>
    </row>
    <row r="686" spans="1:45" x14ac:dyDescent="0.25">
      <c r="A686" t="s">
        <v>47</v>
      </c>
      <c r="B686">
        <v>8</v>
      </c>
      <c r="C686" t="s">
        <v>162</v>
      </c>
      <c r="D686">
        <v>63</v>
      </c>
      <c r="E686" t="s">
        <v>79</v>
      </c>
      <c r="F686">
        <v>50</v>
      </c>
      <c r="G686" t="s">
        <v>65</v>
      </c>
      <c r="H686" t="s">
        <v>50</v>
      </c>
      <c r="K686" t="s">
        <v>51</v>
      </c>
      <c r="L686">
        <v>1</v>
      </c>
      <c r="M686" t="s">
        <v>52</v>
      </c>
      <c r="N686" t="s">
        <v>53</v>
      </c>
      <c r="R686">
        <v>0.5</v>
      </c>
      <c r="S686">
        <v>0.75</v>
      </c>
      <c r="T686">
        <v>0</v>
      </c>
      <c r="U686">
        <v>0</v>
      </c>
      <c r="V686" s="1">
        <v>46583</v>
      </c>
      <c r="W686" s="1">
        <v>46675</v>
      </c>
      <c r="X686" s="1">
        <v>46461</v>
      </c>
      <c r="Z686" t="s">
        <v>52</v>
      </c>
      <c r="AB686" t="s">
        <v>52</v>
      </c>
      <c r="AC686">
        <v>50</v>
      </c>
      <c r="AD686">
        <v>1</v>
      </c>
      <c r="AK686" t="s">
        <v>52</v>
      </c>
      <c r="AN686" t="s">
        <v>52</v>
      </c>
      <c r="AO686" t="s">
        <v>52</v>
      </c>
      <c r="AP686" t="s">
        <v>52</v>
      </c>
      <c r="AQ686" t="s">
        <v>52</v>
      </c>
      <c r="AR686" t="s">
        <v>55</v>
      </c>
    </row>
    <row r="687" spans="1:45" x14ac:dyDescent="0.25">
      <c r="A687" t="s">
        <v>47</v>
      </c>
      <c r="B687">
        <v>8</v>
      </c>
      <c r="C687" t="s">
        <v>162</v>
      </c>
      <c r="D687">
        <v>63</v>
      </c>
      <c r="E687" t="s">
        <v>79</v>
      </c>
      <c r="F687">
        <v>50</v>
      </c>
      <c r="G687" t="s">
        <v>65</v>
      </c>
      <c r="H687" t="s">
        <v>50</v>
      </c>
      <c r="K687" t="s">
        <v>52</v>
      </c>
      <c r="L687">
        <v>1</v>
      </c>
      <c r="M687" t="s">
        <v>52</v>
      </c>
      <c r="N687" t="s">
        <v>53</v>
      </c>
      <c r="R687">
        <v>0.5</v>
      </c>
      <c r="S687">
        <v>0.75</v>
      </c>
      <c r="T687">
        <v>0</v>
      </c>
      <c r="U687">
        <v>0</v>
      </c>
      <c r="V687" s="1">
        <v>46583</v>
      </c>
      <c r="W687" s="1">
        <v>46675</v>
      </c>
      <c r="X687" s="1">
        <v>46461</v>
      </c>
      <c r="Z687" t="s">
        <v>52</v>
      </c>
      <c r="AB687" t="s">
        <v>52</v>
      </c>
      <c r="AC687">
        <v>50</v>
      </c>
      <c r="AD687">
        <v>1</v>
      </c>
      <c r="AK687" t="s">
        <v>52</v>
      </c>
      <c r="AN687" t="s">
        <v>52</v>
      </c>
      <c r="AO687" t="s">
        <v>52</v>
      </c>
      <c r="AP687" t="s">
        <v>52</v>
      </c>
      <c r="AQ687" t="s">
        <v>52</v>
      </c>
      <c r="AR687" t="s">
        <v>55</v>
      </c>
    </row>
    <row r="688" spans="1:45" x14ac:dyDescent="0.25">
      <c r="A688" t="s">
        <v>47</v>
      </c>
      <c r="B688">
        <v>8</v>
      </c>
      <c r="C688" t="s">
        <v>162</v>
      </c>
      <c r="D688">
        <v>63</v>
      </c>
      <c r="E688" t="s">
        <v>79</v>
      </c>
      <c r="F688">
        <v>50</v>
      </c>
      <c r="G688" t="s">
        <v>81</v>
      </c>
      <c r="H688" t="s">
        <v>50</v>
      </c>
      <c r="K688" t="s">
        <v>51</v>
      </c>
      <c r="L688">
        <v>1</v>
      </c>
      <c r="M688" t="s">
        <v>52</v>
      </c>
      <c r="N688" t="s">
        <v>53</v>
      </c>
      <c r="R688">
        <v>0.5</v>
      </c>
      <c r="S688">
        <v>0.75</v>
      </c>
      <c r="T688">
        <v>0</v>
      </c>
      <c r="U688">
        <v>0</v>
      </c>
      <c r="V688" s="1">
        <v>46583</v>
      </c>
      <c r="W688" s="1">
        <v>46675</v>
      </c>
      <c r="X688" s="1">
        <v>46461</v>
      </c>
      <c r="Z688" t="s">
        <v>52</v>
      </c>
      <c r="AB688" t="s">
        <v>52</v>
      </c>
      <c r="AC688">
        <v>50</v>
      </c>
      <c r="AD688">
        <v>1</v>
      </c>
      <c r="AK688" t="s">
        <v>52</v>
      </c>
      <c r="AN688" t="s">
        <v>52</v>
      </c>
      <c r="AO688" t="s">
        <v>52</v>
      </c>
      <c r="AP688" t="s">
        <v>52</v>
      </c>
      <c r="AQ688" t="s">
        <v>52</v>
      </c>
      <c r="AR688" t="s">
        <v>55</v>
      </c>
    </row>
    <row r="689" spans="1:45" x14ac:dyDescent="0.25">
      <c r="A689" t="s">
        <v>47</v>
      </c>
      <c r="B689">
        <v>8</v>
      </c>
      <c r="C689" t="s">
        <v>162</v>
      </c>
      <c r="D689">
        <v>63</v>
      </c>
      <c r="E689" t="s">
        <v>79</v>
      </c>
      <c r="F689">
        <v>50</v>
      </c>
      <c r="G689" t="s">
        <v>81</v>
      </c>
      <c r="H689" t="s">
        <v>50</v>
      </c>
      <c r="K689" t="s">
        <v>52</v>
      </c>
      <c r="L689">
        <v>1</v>
      </c>
      <c r="M689" t="s">
        <v>52</v>
      </c>
      <c r="N689" t="s">
        <v>53</v>
      </c>
      <c r="R689">
        <v>0.5</v>
      </c>
      <c r="S689">
        <v>0.75</v>
      </c>
      <c r="T689">
        <v>0</v>
      </c>
      <c r="U689">
        <v>0</v>
      </c>
      <c r="V689" s="1">
        <v>46583</v>
      </c>
      <c r="W689" s="1">
        <v>46675</v>
      </c>
      <c r="X689" s="1">
        <v>46461</v>
      </c>
      <c r="Z689" t="s">
        <v>52</v>
      </c>
      <c r="AB689" t="s">
        <v>52</v>
      </c>
      <c r="AC689">
        <v>50</v>
      </c>
      <c r="AD689">
        <v>1</v>
      </c>
      <c r="AK689" t="s">
        <v>52</v>
      </c>
      <c r="AN689" t="s">
        <v>52</v>
      </c>
      <c r="AO689" t="s">
        <v>52</v>
      </c>
      <c r="AP689" t="s">
        <v>52</v>
      </c>
      <c r="AQ689" t="s">
        <v>52</v>
      </c>
      <c r="AR689" t="s">
        <v>55</v>
      </c>
    </row>
    <row r="690" spans="1:45" x14ac:dyDescent="0.25">
      <c r="A690" t="s">
        <v>47</v>
      </c>
      <c r="B690">
        <v>8</v>
      </c>
      <c r="C690" t="s">
        <v>162</v>
      </c>
      <c r="D690">
        <v>63</v>
      </c>
      <c r="E690" t="s">
        <v>144</v>
      </c>
      <c r="F690">
        <v>81</v>
      </c>
      <c r="G690" t="s">
        <v>69</v>
      </c>
      <c r="H690" t="s">
        <v>50</v>
      </c>
      <c r="K690" t="s">
        <v>51</v>
      </c>
      <c r="L690">
        <v>1</v>
      </c>
      <c r="M690" t="s">
        <v>52</v>
      </c>
      <c r="N690" t="s">
        <v>53</v>
      </c>
      <c r="R690">
        <v>0.67</v>
      </c>
      <c r="S690">
        <v>0.92</v>
      </c>
      <c r="U690">
        <v>0</v>
      </c>
      <c r="V690" s="1">
        <v>46553</v>
      </c>
      <c r="W690" s="1">
        <v>46731</v>
      </c>
      <c r="X690" s="1">
        <v>46461</v>
      </c>
      <c r="Z690" t="s">
        <v>52</v>
      </c>
      <c r="AB690" t="s">
        <v>52</v>
      </c>
      <c r="AC690">
        <v>81</v>
      </c>
      <c r="AD690">
        <v>1</v>
      </c>
      <c r="AK690" t="s">
        <v>52</v>
      </c>
      <c r="AN690" t="s">
        <v>52</v>
      </c>
      <c r="AO690" t="s">
        <v>52</v>
      </c>
      <c r="AP690" t="s">
        <v>52</v>
      </c>
      <c r="AQ690" t="s">
        <v>52</v>
      </c>
      <c r="AR690" t="s">
        <v>55</v>
      </c>
      <c r="AS690" t="s">
        <v>145</v>
      </c>
    </row>
    <row r="691" spans="1:45" x14ac:dyDescent="0.25">
      <c r="A691" t="s">
        <v>47</v>
      </c>
      <c r="B691">
        <v>8</v>
      </c>
      <c r="C691" t="s">
        <v>162</v>
      </c>
      <c r="D691">
        <v>63</v>
      </c>
      <c r="E691" t="s">
        <v>83</v>
      </c>
      <c r="F691">
        <v>158</v>
      </c>
      <c r="H691" t="s">
        <v>50</v>
      </c>
      <c r="K691" t="s">
        <v>51</v>
      </c>
      <c r="L691">
        <v>1</v>
      </c>
      <c r="M691" t="s">
        <v>52</v>
      </c>
      <c r="N691" t="s">
        <v>53</v>
      </c>
      <c r="R691">
        <v>0.77</v>
      </c>
      <c r="S691">
        <v>0.93</v>
      </c>
      <c r="U691">
        <v>0</v>
      </c>
      <c r="V691" s="1">
        <v>46326</v>
      </c>
      <c r="W691" s="1">
        <v>46691</v>
      </c>
      <c r="X691" s="1">
        <v>46266</v>
      </c>
      <c r="Z691" t="s">
        <v>52</v>
      </c>
      <c r="AB691" t="s">
        <v>52</v>
      </c>
      <c r="AC691">
        <v>158</v>
      </c>
      <c r="AD691">
        <v>2</v>
      </c>
      <c r="AK691" t="s">
        <v>52</v>
      </c>
      <c r="AN691" t="s">
        <v>52</v>
      </c>
      <c r="AO691" t="s">
        <v>52</v>
      </c>
      <c r="AP691" t="s">
        <v>52</v>
      </c>
      <c r="AQ691" t="s">
        <v>52</v>
      </c>
      <c r="AR691" t="s">
        <v>55</v>
      </c>
      <c r="AS691" t="s">
        <v>60</v>
      </c>
    </row>
    <row r="692" spans="1:45" x14ac:dyDescent="0.25">
      <c r="A692" t="s">
        <v>47</v>
      </c>
      <c r="B692">
        <v>8</v>
      </c>
      <c r="C692" t="s">
        <v>162</v>
      </c>
      <c r="D692">
        <v>63</v>
      </c>
      <c r="E692" t="s">
        <v>83</v>
      </c>
      <c r="F692">
        <v>158</v>
      </c>
      <c r="H692" t="s">
        <v>50</v>
      </c>
      <c r="K692" t="s">
        <v>52</v>
      </c>
      <c r="L692">
        <v>1</v>
      </c>
      <c r="M692" t="s">
        <v>52</v>
      </c>
      <c r="N692" t="s">
        <v>53</v>
      </c>
      <c r="R692">
        <v>0.77</v>
      </c>
      <c r="S692">
        <v>0.93</v>
      </c>
      <c r="T692">
        <v>0</v>
      </c>
      <c r="U692">
        <v>0</v>
      </c>
      <c r="V692" s="1">
        <v>46326</v>
      </c>
      <c r="W692" s="1">
        <v>46691</v>
      </c>
      <c r="X692" s="1">
        <v>46266</v>
      </c>
      <c r="Z692" t="s">
        <v>52</v>
      </c>
      <c r="AB692" t="s">
        <v>52</v>
      </c>
      <c r="AC692">
        <v>158</v>
      </c>
      <c r="AD692">
        <v>2</v>
      </c>
      <c r="AK692" t="s">
        <v>52</v>
      </c>
      <c r="AN692" t="s">
        <v>52</v>
      </c>
      <c r="AO692" t="s">
        <v>52</v>
      </c>
      <c r="AP692" t="s">
        <v>52</v>
      </c>
      <c r="AQ692" t="s">
        <v>52</v>
      </c>
      <c r="AR692" t="s">
        <v>55</v>
      </c>
      <c r="AS692" t="s">
        <v>60</v>
      </c>
    </row>
    <row r="693" spans="1:45" x14ac:dyDescent="0.25">
      <c r="A693" t="s">
        <v>47</v>
      </c>
      <c r="B693">
        <v>8</v>
      </c>
      <c r="C693" t="s">
        <v>162</v>
      </c>
      <c r="D693">
        <v>63</v>
      </c>
      <c r="E693" t="s">
        <v>84</v>
      </c>
      <c r="F693">
        <v>11</v>
      </c>
      <c r="G693" t="s">
        <v>85</v>
      </c>
      <c r="H693" t="s">
        <v>50</v>
      </c>
      <c r="K693" t="s">
        <v>52</v>
      </c>
      <c r="L693">
        <v>1</v>
      </c>
      <c r="M693" t="s">
        <v>52</v>
      </c>
      <c r="N693" t="s">
        <v>53</v>
      </c>
      <c r="R693">
        <v>0.5</v>
      </c>
      <c r="S693">
        <v>0.75</v>
      </c>
      <c r="T693">
        <v>0</v>
      </c>
      <c r="U693">
        <v>0</v>
      </c>
      <c r="V693" s="1">
        <v>46522</v>
      </c>
      <c r="W693" s="1">
        <v>46691</v>
      </c>
      <c r="X693" s="1">
        <v>46295</v>
      </c>
      <c r="Z693" t="s">
        <v>52</v>
      </c>
      <c r="AB693" t="s">
        <v>52</v>
      </c>
      <c r="AC693">
        <v>11</v>
      </c>
      <c r="AD693">
        <v>2</v>
      </c>
      <c r="AK693" t="s">
        <v>52</v>
      </c>
      <c r="AN693" t="s">
        <v>52</v>
      </c>
      <c r="AO693" t="s">
        <v>52</v>
      </c>
      <c r="AP693" t="s">
        <v>52</v>
      </c>
      <c r="AQ693" t="s">
        <v>52</v>
      </c>
      <c r="AR693" t="s">
        <v>55</v>
      </c>
      <c r="AS693" t="s">
        <v>60</v>
      </c>
    </row>
    <row r="694" spans="1:45" x14ac:dyDescent="0.25">
      <c r="A694" t="s">
        <v>47</v>
      </c>
      <c r="B694">
        <v>8</v>
      </c>
      <c r="C694" t="s">
        <v>162</v>
      </c>
      <c r="D694">
        <v>63</v>
      </c>
      <c r="E694" t="s">
        <v>84</v>
      </c>
      <c r="F694">
        <v>11</v>
      </c>
      <c r="G694" t="s">
        <v>96</v>
      </c>
      <c r="H694" t="s">
        <v>50</v>
      </c>
      <c r="K694" t="s">
        <v>52</v>
      </c>
      <c r="L694">
        <v>1</v>
      </c>
      <c r="M694" t="s">
        <v>52</v>
      </c>
      <c r="N694" t="s">
        <v>53</v>
      </c>
      <c r="R694">
        <v>0.5</v>
      </c>
      <c r="S694">
        <v>0.75</v>
      </c>
      <c r="T694">
        <v>0</v>
      </c>
      <c r="U694">
        <v>0</v>
      </c>
      <c r="V694" s="1">
        <v>46310</v>
      </c>
      <c r="W694" s="1">
        <v>46691</v>
      </c>
      <c r="X694" s="1">
        <v>46295</v>
      </c>
      <c r="Z694" t="s">
        <v>52</v>
      </c>
      <c r="AB694" t="s">
        <v>52</v>
      </c>
      <c r="AC694">
        <v>11</v>
      </c>
      <c r="AD694">
        <v>2</v>
      </c>
      <c r="AK694" t="s">
        <v>52</v>
      </c>
      <c r="AN694" t="s">
        <v>52</v>
      </c>
      <c r="AO694" t="s">
        <v>52</v>
      </c>
      <c r="AP694" t="s">
        <v>52</v>
      </c>
      <c r="AQ694" t="s">
        <v>52</v>
      </c>
      <c r="AR694" t="s">
        <v>55</v>
      </c>
      <c r="AS694" t="s">
        <v>60</v>
      </c>
    </row>
    <row r="695" spans="1:45" x14ac:dyDescent="0.25">
      <c r="A695" t="s">
        <v>47</v>
      </c>
      <c r="B695">
        <v>8</v>
      </c>
      <c r="C695" t="s">
        <v>165</v>
      </c>
      <c r="D695">
        <v>65</v>
      </c>
      <c r="E695" t="s">
        <v>58</v>
      </c>
      <c r="F695">
        <v>102</v>
      </c>
      <c r="G695" t="s">
        <v>62</v>
      </c>
      <c r="H695" t="s">
        <v>50</v>
      </c>
      <c r="K695" t="s">
        <v>51</v>
      </c>
      <c r="L695">
        <v>1</v>
      </c>
      <c r="M695" t="s">
        <v>52</v>
      </c>
      <c r="N695" t="s">
        <v>53</v>
      </c>
      <c r="R695">
        <v>0</v>
      </c>
      <c r="S695">
        <v>0.92</v>
      </c>
      <c r="T695">
        <v>0</v>
      </c>
      <c r="U695">
        <v>0</v>
      </c>
      <c r="W695" s="1">
        <v>46731</v>
      </c>
      <c r="X695" s="1">
        <v>46357</v>
      </c>
      <c r="Z695" t="s">
        <v>52</v>
      </c>
      <c r="AB695" t="s">
        <v>52</v>
      </c>
      <c r="AC695">
        <v>102</v>
      </c>
      <c r="AD695">
        <v>1</v>
      </c>
      <c r="AK695" t="s">
        <v>52</v>
      </c>
      <c r="AN695" t="s">
        <v>52</v>
      </c>
      <c r="AO695" t="s">
        <v>52</v>
      </c>
      <c r="AP695" t="s">
        <v>52</v>
      </c>
      <c r="AQ695" t="s">
        <v>52</v>
      </c>
      <c r="AR695" t="s">
        <v>55</v>
      </c>
    </row>
    <row r="696" spans="1:45" x14ac:dyDescent="0.25">
      <c r="A696" t="s">
        <v>47</v>
      </c>
      <c r="B696">
        <v>8</v>
      </c>
      <c r="C696" t="s">
        <v>165</v>
      </c>
      <c r="D696">
        <v>65</v>
      </c>
      <c r="E696" t="s">
        <v>58</v>
      </c>
      <c r="F696">
        <v>102</v>
      </c>
      <c r="G696" t="s">
        <v>62</v>
      </c>
      <c r="H696" t="s">
        <v>50</v>
      </c>
      <c r="K696" t="s">
        <v>52</v>
      </c>
      <c r="L696">
        <v>1</v>
      </c>
      <c r="M696" t="s">
        <v>52</v>
      </c>
      <c r="N696" t="s">
        <v>53</v>
      </c>
      <c r="R696">
        <v>0</v>
      </c>
      <c r="S696">
        <v>0.92</v>
      </c>
      <c r="T696">
        <v>0</v>
      </c>
      <c r="U696">
        <v>0</v>
      </c>
      <c r="W696" s="1">
        <v>46731</v>
      </c>
      <c r="X696" s="1">
        <v>46357</v>
      </c>
      <c r="Z696" t="s">
        <v>52</v>
      </c>
      <c r="AB696" t="s">
        <v>52</v>
      </c>
      <c r="AC696">
        <v>102</v>
      </c>
      <c r="AD696">
        <v>1</v>
      </c>
      <c r="AK696" t="s">
        <v>52</v>
      </c>
      <c r="AN696" t="s">
        <v>52</v>
      </c>
      <c r="AO696" t="s">
        <v>52</v>
      </c>
      <c r="AP696" t="s">
        <v>52</v>
      </c>
      <c r="AQ696" t="s">
        <v>52</v>
      </c>
      <c r="AR696" t="s">
        <v>55</v>
      </c>
      <c r="AS696" t="s">
        <v>60</v>
      </c>
    </row>
    <row r="697" spans="1:45" x14ac:dyDescent="0.25">
      <c r="A697" t="s">
        <v>47</v>
      </c>
      <c r="B697">
        <v>8</v>
      </c>
      <c r="C697" t="s">
        <v>165</v>
      </c>
      <c r="D697">
        <v>65</v>
      </c>
      <c r="E697" t="s">
        <v>70</v>
      </c>
      <c r="F697">
        <v>296</v>
      </c>
      <c r="G697" t="s">
        <v>74</v>
      </c>
      <c r="H697" t="s">
        <v>50</v>
      </c>
      <c r="K697" t="s">
        <v>51</v>
      </c>
      <c r="L697">
        <v>1</v>
      </c>
      <c r="M697" t="s">
        <v>52</v>
      </c>
      <c r="N697" t="s">
        <v>53</v>
      </c>
      <c r="R697">
        <v>0</v>
      </c>
      <c r="S697">
        <v>0.75</v>
      </c>
      <c r="T697">
        <v>0</v>
      </c>
      <c r="U697">
        <v>0</v>
      </c>
      <c r="W697" s="1">
        <v>46675</v>
      </c>
      <c r="X697" s="1">
        <v>46357</v>
      </c>
      <c r="Z697" t="s">
        <v>52</v>
      </c>
      <c r="AB697" t="s">
        <v>52</v>
      </c>
      <c r="AC697">
        <v>102</v>
      </c>
      <c r="AD697">
        <v>1</v>
      </c>
      <c r="AK697" t="s">
        <v>52</v>
      </c>
      <c r="AN697" t="s">
        <v>52</v>
      </c>
      <c r="AO697" t="s">
        <v>52</v>
      </c>
      <c r="AP697" t="s">
        <v>52</v>
      </c>
      <c r="AQ697" t="s">
        <v>52</v>
      </c>
      <c r="AR697" t="s">
        <v>55</v>
      </c>
      <c r="AS697" t="s">
        <v>60</v>
      </c>
    </row>
    <row r="698" spans="1:45" x14ac:dyDescent="0.25">
      <c r="A698" t="s">
        <v>47</v>
      </c>
      <c r="B698">
        <v>8</v>
      </c>
      <c r="C698" t="s">
        <v>165</v>
      </c>
      <c r="D698">
        <v>65</v>
      </c>
      <c r="E698" t="s">
        <v>70</v>
      </c>
      <c r="F698">
        <v>296</v>
      </c>
      <c r="G698" t="s">
        <v>122</v>
      </c>
      <c r="H698" t="s">
        <v>50</v>
      </c>
      <c r="K698" t="s">
        <v>51</v>
      </c>
      <c r="L698">
        <v>1</v>
      </c>
      <c r="M698" t="s">
        <v>52</v>
      </c>
      <c r="N698" t="s">
        <v>53</v>
      </c>
      <c r="R698">
        <v>0</v>
      </c>
      <c r="S698">
        <v>0.75</v>
      </c>
      <c r="T698">
        <v>0</v>
      </c>
      <c r="U698">
        <v>0</v>
      </c>
      <c r="W698" s="1">
        <v>46675</v>
      </c>
      <c r="X698" s="1">
        <v>46357</v>
      </c>
      <c r="Z698" t="s">
        <v>52</v>
      </c>
      <c r="AB698" t="s">
        <v>52</v>
      </c>
      <c r="AC698">
        <v>102</v>
      </c>
      <c r="AD698">
        <v>1</v>
      </c>
      <c r="AK698" t="s">
        <v>52</v>
      </c>
      <c r="AN698" t="s">
        <v>52</v>
      </c>
      <c r="AO698" t="s">
        <v>52</v>
      </c>
      <c r="AP698" t="s">
        <v>52</v>
      </c>
      <c r="AQ698" t="s">
        <v>52</v>
      </c>
      <c r="AR698" t="s">
        <v>55</v>
      </c>
      <c r="AS698" t="s">
        <v>60</v>
      </c>
    </row>
    <row r="699" spans="1:45" x14ac:dyDescent="0.25">
      <c r="A699" t="s">
        <v>47</v>
      </c>
      <c r="B699">
        <v>8</v>
      </c>
      <c r="C699" t="s">
        <v>166</v>
      </c>
      <c r="D699">
        <v>67</v>
      </c>
      <c r="E699" t="s">
        <v>49</v>
      </c>
      <c r="F699">
        <v>27</v>
      </c>
      <c r="H699" t="s">
        <v>50</v>
      </c>
      <c r="K699" t="s">
        <v>51</v>
      </c>
      <c r="L699">
        <v>1</v>
      </c>
      <c r="M699" t="s">
        <v>52</v>
      </c>
      <c r="N699" t="s">
        <v>53</v>
      </c>
      <c r="Q699">
        <v>230</v>
      </c>
      <c r="R699">
        <v>0</v>
      </c>
      <c r="S699">
        <v>0.75</v>
      </c>
      <c r="T699">
        <v>0</v>
      </c>
      <c r="U699">
        <v>0</v>
      </c>
      <c r="W699" s="1">
        <v>46675</v>
      </c>
      <c r="X699" s="1">
        <v>46357</v>
      </c>
      <c r="Y699" t="s">
        <v>54</v>
      </c>
      <c r="Z699" t="s">
        <v>52</v>
      </c>
      <c r="AB699" t="s">
        <v>52</v>
      </c>
      <c r="AC699">
        <v>27</v>
      </c>
      <c r="AD699">
        <v>1</v>
      </c>
      <c r="AE699">
        <v>0.97</v>
      </c>
      <c r="AG699">
        <v>0.97</v>
      </c>
      <c r="AK699" t="s">
        <v>52</v>
      </c>
      <c r="AN699" t="s">
        <v>52</v>
      </c>
      <c r="AO699" t="s">
        <v>52</v>
      </c>
      <c r="AP699" t="s">
        <v>52</v>
      </c>
      <c r="AQ699" t="s">
        <v>52</v>
      </c>
      <c r="AR699" t="s">
        <v>55</v>
      </c>
      <c r="AS699" t="s">
        <v>56</v>
      </c>
    </row>
    <row r="700" spans="1:45" x14ac:dyDescent="0.25">
      <c r="A700" t="s">
        <v>47</v>
      </c>
      <c r="B700">
        <v>8</v>
      </c>
      <c r="C700" t="s">
        <v>166</v>
      </c>
      <c r="D700">
        <v>67</v>
      </c>
      <c r="E700" t="s">
        <v>49</v>
      </c>
      <c r="F700">
        <v>27</v>
      </c>
      <c r="H700" t="s">
        <v>50</v>
      </c>
      <c r="K700" t="s">
        <v>52</v>
      </c>
      <c r="L700">
        <v>1</v>
      </c>
      <c r="M700" t="s">
        <v>52</v>
      </c>
      <c r="N700" t="s">
        <v>53</v>
      </c>
      <c r="Q700">
        <v>230</v>
      </c>
      <c r="R700">
        <v>0</v>
      </c>
      <c r="S700">
        <v>0.75</v>
      </c>
      <c r="T700">
        <v>0</v>
      </c>
      <c r="U700">
        <v>0</v>
      </c>
      <c r="W700" s="1">
        <v>46675</v>
      </c>
      <c r="X700" s="1">
        <v>46357</v>
      </c>
      <c r="Y700" t="s">
        <v>54</v>
      </c>
      <c r="Z700" t="s">
        <v>52</v>
      </c>
      <c r="AB700" t="s">
        <v>52</v>
      </c>
      <c r="AC700">
        <v>27</v>
      </c>
      <c r="AD700">
        <v>1</v>
      </c>
      <c r="AE700">
        <v>0.97</v>
      </c>
      <c r="AG700">
        <v>0.97</v>
      </c>
      <c r="AK700" t="s">
        <v>52</v>
      </c>
      <c r="AN700" t="s">
        <v>52</v>
      </c>
      <c r="AO700" t="s">
        <v>52</v>
      </c>
      <c r="AP700" t="s">
        <v>52</v>
      </c>
      <c r="AQ700" t="s">
        <v>52</v>
      </c>
      <c r="AR700" t="s">
        <v>55</v>
      </c>
      <c r="AS700" t="s">
        <v>57</v>
      </c>
    </row>
    <row r="701" spans="1:45" x14ac:dyDescent="0.25">
      <c r="A701" t="s">
        <v>47</v>
      </c>
      <c r="B701">
        <v>8</v>
      </c>
      <c r="C701" t="s">
        <v>166</v>
      </c>
      <c r="D701">
        <v>67</v>
      </c>
      <c r="E701" t="s">
        <v>87</v>
      </c>
      <c r="F701">
        <v>91</v>
      </c>
      <c r="G701" t="s">
        <v>103</v>
      </c>
      <c r="H701" t="s">
        <v>50</v>
      </c>
      <c r="K701" t="s">
        <v>51</v>
      </c>
      <c r="L701">
        <v>1</v>
      </c>
      <c r="M701" t="s">
        <v>52</v>
      </c>
      <c r="N701" t="s">
        <v>53</v>
      </c>
      <c r="R701">
        <v>0.77</v>
      </c>
      <c r="S701">
        <v>0.93</v>
      </c>
      <c r="T701">
        <v>0</v>
      </c>
      <c r="U701">
        <v>0</v>
      </c>
      <c r="V701" s="1">
        <v>46326</v>
      </c>
      <c r="W701" s="1">
        <v>46691</v>
      </c>
      <c r="X701" s="1">
        <v>46295</v>
      </c>
      <c r="Z701" t="s">
        <v>52</v>
      </c>
      <c r="AB701" t="s">
        <v>52</v>
      </c>
      <c r="AC701">
        <v>91</v>
      </c>
      <c r="AD701">
        <v>2</v>
      </c>
      <c r="AK701" t="s">
        <v>52</v>
      </c>
      <c r="AN701" t="s">
        <v>52</v>
      </c>
      <c r="AO701" t="s">
        <v>52</v>
      </c>
      <c r="AP701" t="s">
        <v>52</v>
      </c>
      <c r="AQ701" t="s">
        <v>52</v>
      </c>
      <c r="AR701" t="s">
        <v>55</v>
      </c>
      <c r="AS701" t="s">
        <v>60</v>
      </c>
    </row>
    <row r="702" spans="1:45" x14ac:dyDescent="0.25">
      <c r="A702" t="s">
        <v>47</v>
      </c>
      <c r="B702">
        <v>8</v>
      </c>
      <c r="C702" t="s">
        <v>166</v>
      </c>
      <c r="D702">
        <v>67</v>
      </c>
      <c r="E702" t="s">
        <v>87</v>
      </c>
      <c r="F702">
        <v>91</v>
      </c>
      <c r="G702" t="s">
        <v>103</v>
      </c>
      <c r="H702" t="s">
        <v>50</v>
      </c>
      <c r="K702" t="s">
        <v>52</v>
      </c>
      <c r="L702">
        <v>1</v>
      </c>
      <c r="M702" t="s">
        <v>52</v>
      </c>
      <c r="N702" t="s">
        <v>53</v>
      </c>
      <c r="R702">
        <v>0.77</v>
      </c>
      <c r="S702">
        <v>0.93</v>
      </c>
      <c r="T702">
        <v>0</v>
      </c>
      <c r="U702">
        <v>0</v>
      </c>
      <c r="V702" s="1">
        <v>46326</v>
      </c>
      <c r="W702" s="1">
        <v>46691</v>
      </c>
      <c r="X702" s="1">
        <v>46295</v>
      </c>
      <c r="Z702" t="s">
        <v>52</v>
      </c>
      <c r="AB702" t="s">
        <v>52</v>
      </c>
      <c r="AC702">
        <v>91</v>
      </c>
      <c r="AD702">
        <v>2</v>
      </c>
      <c r="AK702" t="s">
        <v>52</v>
      </c>
      <c r="AN702" t="s">
        <v>52</v>
      </c>
      <c r="AO702" t="s">
        <v>52</v>
      </c>
      <c r="AP702" t="s">
        <v>52</v>
      </c>
      <c r="AQ702" t="s">
        <v>52</v>
      </c>
      <c r="AR702" t="s">
        <v>55</v>
      </c>
    </row>
    <row r="703" spans="1:45" x14ac:dyDescent="0.25">
      <c r="A703" t="s">
        <v>47</v>
      </c>
      <c r="B703">
        <v>8</v>
      </c>
      <c r="C703" t="s">
        <v>166</v>
      </c>
      <c r="D703">
        <v>67</v>
      </c>
      <c r="E703" t="s">
        <v>58</v>
      </c>
      <c r="F703">
        <v>102</v>
      </c>
      <c r="G703" t="s">
        <v>61</v>
      </c>
      <c r="H703" t="s">
        <v>50</v>
      </c>
      <c r="K703" t="s">
        <v>51</v>
      </c>
      <c r="L703">
        <v>1</v>
      </c>
      <c r="M703" t="s">
        <v>52</v>
      </c>
      <c r="N703" t="s">
        <v>53</v>
      </c>
      <c r="R703">
        <v>0</v>
      </c>
      <c r="S703">
        <v>0.92</v>
      </c>
      <c r="T703">
        <v>0</v>
      </c>
      <c r="U703">
        <v>0</v>
      </c>
      <c r="W703" s="1">
        <v>46731</v>
      </c>
      <c r="X703" s="1">
        <v>46357</v>
      </c>
      <c r="Z703" t="s">
        <v>52</v>
      </c>
      <c r="AB703" t="s">
        <v>52</v>
      </c>
      <c r="AC703">
        <v>102</v>
      </c>
      <c r="AD703">
        <v>1</v>
      </c>
      <c r="AK703" t="s">
        <v>52</v>
      </c>
      <c r="AN703" t="s">
        <v>52</v>
      </c>
      <c r="AO703" t="s">
        <v>52</v>
      </c>
      <c r="AP703" t="s">
        <v>52</v>
      </c>
      <c r="AQ703" t="s">
        <v>52</v>
      </c>
      <c r="AR703" t="s">
        <v>55</v>
      </c>
    </row>
    <row r="704" spans="1:45" x14ac:dyDescent="0.25">
      <c r="A704" t="s">
        <v>47</v>
      </c>
      <c r="B704">
        <v>8</v>
      </c>
      <c r="C704" t="s">
        <v>166</v>
      </c>
      <c r="D704">
        <v>67</v>
      </c>
      <c r="E704" t="s">
        <v>58</v>
      </c>
      <c r="F704">
        <v>102</v>
      </c>
      <c r="G704" t="s">
        <v>61</v>
      </c>
      <c r="H704" t="s">
        <v>50</v>
      </c>
      <c r="K704" t="s">
        <v>52</v>
      </c>
      <c r="L704">
        <v>1</v>
      </c>
      <c r="M704" t="s">
        <v>52</v>
      </c>
      <c r="N704" t="s">
        <v>53</v>
      </c>
      <c r="R704">
        <v>0</v>
      </c>
      <c r="S704">
        <v>0.92</v>
      </c>
      <c r="T704">
        <v>0</v>
      </c>
      <c r="U704">
        <v>0</v>
      </c>
      <c r="W704" s="1">
        <v>46731</v>
      </c>
      <c r="X704" s="1">
        <v>46357</v>
      </c>
      <c r="Z704" t="s">
        <v>52</v>
      </c>
      <c r="AB704" t="s">
        <v>52</v>
      </c>
      <c r="AC704">
        <v>102</v>
      </c>
      <c r="AD704">
        <v>1</v>
      </c>
      <c r="AK704" t="s">
        <v>52</v>
      </c>
      <c r="AN704" t="s">
        <v>52</v>
      </c>
      <c r="AO704" t="s">
        <v>52</v>
      </c>
      <c r="AP704" t="s">
        <v>52</v>
      </c>
      <c r="AQ704" t="s">
        <v>52</v>
      </c>
      <c r="AR704" t="s">
        <v>55</v>
      </c>
    </row>
    <row r="705" spans="1:45" x14ac:dyDescent="0.25">
      <c r="A705" t="s">
        <v>47</v>
      </c>
      <c r="B705">
        <v>8</v>
      </c>
      <c r="C705" t="s">
        <v>166</v>
      </c>
      <c r="D705">
        <v>67</v>
      </c>
      <c r="E705" t="s">
        <v>58</v>
      </c>
      <c r="F705">
        <v>102</v>
      </c>
      <c r="G705" t="s">
        <v>62</v>
      </c>
      <c r="H705" t="s">
        <v>50</v>
      </c>
      <c r="K705" t="s">
        <v>51</v>
      </c>
      <c r="L705">
        <v>1</v>
      </c>
      <c r="M705" t="s">
        <v>52</v>
      </c>
      <c r="N705" t="s">
        <v>53</v>
      </c>
      <c r="R705">
        <v>0</v>
      </c>
      <c r="S705">
        <v>0.92</v>
      </c>
      <c r="T705">
        <v>0</v>
      </c>
      <c r="U705">
        <v>0</v>
      </c>
      <c r="W705" s="1">
        <v>46731</v>
      </c>
      <c r="X705" s="1">
        <v>46357</v>
      </c>
      <c r="Z705" t="s">
        <v>52</v>
      </c>
      <c r="AB705" t="s">
        <v>52</v>
      </c>
      <c r="AC705">
        <v>102</v>
      </c>
      <c r="AD705">
        <v>1</v>
      </c>
      <c r="AK705" t="s">
        <v>52</v>
      </c>
      <c r="AN705" t="s">
        <v>52</v>
      </c>
      <c r="AO705" t="s">
        <v>52</v>
      </c>
      <c r="AP705" t="s">
        <v>52</v>
      </c>
      <c r="AQ705" t="s">
        <v>52</v>
      </c>
      <c r="AR705" t="s">
        <v>55</v>
      </c>
    </row>
    <row r="706" spans="1:45" x14ac:dyDescent="0.25">
      <c r="A706" t="s">
        <v>47</v>
      </c>
      <c r="B706">
        <v>8</v>
      </c>
      <c r="C706" t="s">
        <v>166</v>
      </c>
      <c r="D706">
        <v>67</v>
      </c>
      <c r="E706" t="s">
        <v>58</v>
      </c>
      <c r="F706">
        <v>102</v>
      </c>
      <c r="G706" t="s">
        <v>62</v>
      </c>
      <c r="H706" t="s">
        <v>50</v>
      </c>
      <c r="K706" t="s">
        <v>52</v>
      </c>
      <c r="L706">
        <v>1</v>
      </c>
      <c r="M706" t="s">
        <v>52</v>
      </c>
      <c r="N706" t="s">
        <v>53</v>
      </c>
      <c r="R706">
        <v>0</v>
      </c>
      <c r="S706">
        <v>0.92</v>
      </c>
      <c r="T706">
        <v>0</v>
      </c>
      <c r="U706">
        <v>0</v>
      </c>
      <c r="W706" s="1">
        <v>46731</v>
      </c>
      <c r="X706" s="1">
        <v>46357</v>
      </c>
      <c r="Z706" t="s">
        <v>52</v>
      </c>
      <c r="AB706" t="s">
        <v>52</v>
      </c>
      <c r="AC706">
        <v>102</v>
      </c>
      <c r="AD706">
        <v>1</v>
      </c>
      <c r="AK706" t="s">
        <v>52</v>
      </c>
      <c r="AN706" t="s">
        <v>52</v>
      </c>
      <c r="AO706" t="s">
        <v>52</v>
      </c>
      <c r="AP706" t="s">
        <v>52</v>
      </c>
      <c r="AQ706" t="s">
        <v>52</v>
      </c>
      <c r="AR706" t="s">
        <v>55</v>
      </c>
    </row>
    <row r="707" spans="1:45" x14ac:dyDescent="0.25">
      <c r="A707" t="s">
        <v>47</v>
      </c>
      <c r="B707">
        <v>8</v>
      </c>
      <c r="C707" t="s">
        <v>166</v>
      </c>
      <c r="D707">
        <v>67</v>
      </c>
      <c r="E707" t="s">
        <v>58</v>
      </c>
      <c r="F707">
        <v>102</v>
      </c>
      <c r="G707" t="s">
        <v>63</v>
      </c>
      <c r="H707" t="s">
        <v>50</v>
      </c>
      <c r="K707" t="s">
        <v>51</v>
      </c>
      <c r="L707">
        <v>1</v>
      </c>
      <c r="M707" t="s">
        <v>52</v>
      </c>
      <c r="N707" t="s">
        <v>53</v>
      </c>
      <c r="R707">
        <v>0</v>
      </c>
      <c r="S707">
        <v>0.92</v>
      </c>
      <c r="T707">
        <v>0</v>
      </c>
      <c r="U707">
        <v>0</v>
      </c>
      <c r="W707" s="1">
        <v>46731</v>
      </c>
      <c r="X707" s="1">
        <v>46357</v>
      </c>
      <c r="Z707" t="s">
        <v>52</v>
      </c>
      <c r="AB707" t="s">
        <v>52</v>
      </c>
      <c r="AC707">
        <v>102</v>
      </c>
      <c r="AD707">
        <v>1</v>
      </c>
      <c r="AK707" t="s">
        <v>52</v>
      </c>
      <c r="AN707" t="s">
        <v>52</v>
      </c>
      <c r="AO707" t="s">
        <v>52</v>
      </c>
      <c r="AP707" t="s">
        <v>52</v>
      </c>
      <c r="AQ707" t="s">
        <v>52</v>
      </c>
      <c r="AR707" t="s">
        <v>55</v>
      </c>
    </row>
    <row r="708" spans="1:45" x14ac:dyDescent="0.25">
      <c r="A708" t="s">
        <v>47</v>
      </c>
      <c r="B708">
        <v>8</v>
      </c>
      <c r="C708" t="s">
        <v>166</v>
      </c>
      <c r="D708">
        <v>67</v>
      </c>
      <c r="E708" t="s">
        <v>58</v>
      </c>
      <c r="F708">
        <v>102</v>
      </c>
      <c r="G708" t="s">
        <v>63</v>
      </c>
      <c r="H708" t="s">
        <v>50</v>
      </c>
      <c r="K708" t="s">
        <v>52</v>
      </c>
      <c r="L708">
        <v>1</v>
      </c>
      <c r="M708" t="s">
        <v>52</v>
      </c>
      <c r="N708" t="s">
        <v>53</v>
      </c>
      <c r="R708">
        <v>0</v>
      </c>
      <c r="S708">
        <v>0.92</v>
      </c>
      <c r="T708">
        <v>0</v>
      </c>
      <c r="U708">
        <v>0</v>
      </c>
      <c r="W708" s="1">
        <v>46731</v>
      </c>
      <c r="X708" s="1">
        <v>46357</v>
      </c>
      <c r="Z708" t="s">
        <v>52</v>
      </c>
      <c r="AB708" t="s">
        <v>52</v>
      </c>
      <c r="AC708">
        <v>102</v>
      </c>
      <c r="AD708">
        <v>1</v>
      </c>
      <c r="AK708" t="s">
        <v>52</v>
      </c>
      <c r="AN708" t="s">
        <v>52</v>
      </c>
      <c r="AO708" t="s">
        <v>52</v>
      </c>
      <c r="AP708" t="s">
        <v>52</v>
      </c>
      <c r="AQ708" t="s">
        <v>52</v>
      </c>
      <c r="AR708" t="s">
        <v>55</v>
      </c>
    </row>
    <row r="709" spans="1:45" x14ac:dyDescent="0.25">
      <c r="A709" t="s">
        <v>47</v>
      </c>
      <c r="B709">
        <v>8</v>
      </c>
      <c r="C709" t="s">
        <v>166</v>
      </c>
      <c r="D709">
        <v>67</v>
      </c>
      <c r="E709" t="s">
        <v>58</v>
      </c>
      <c r="F709">
        <v>102</v>
      </c>
      <c r="G709" t="s">
        <v>64</v>
      </c>
      <c r="H709" t="s">
        <v>50</v>
      </c>
      <c r="K709" t="s">
        <v>51</v>
      </c>
      <c r="L709">
        <v>1</v>
      </c>
      <c r="M709" t="s">
        <v>52</v>
      </c>
      <c r="N709" t="s">
        <v>53</v>
      </c>
      <c r="R709">
        <v>0</v>
      </c>
      <c r="S709">
        <v>0.92</v>
      </c>
      <c r="T709">
        <v>0</v>
      </c>
      <c r="U709">
        <v>0</v>
      </c>
      <c r="W709" s="1">
        <v>46731</v>
      </c>
      <c r="X709" s="1">
        <v>46357</v>
      </c>
      <c r="Z709" t="s">
        <v>52</v>
      </c>
      <c r="AB709" t="s">
        <v>52</v>
      </c>
      <c r="AC709">
        <v>102</v>
      </c>
      <c r="AD709">
        <v>1</v>
      </c>
      <c r="AK709" t="s">
        <v>52</v>
      </c>
      <c r="AN709" t="s">
        <v>52</v>
      </c>
      <c r="AO709" t="s">
        <v>52</v>
      </c>
      <c r="AP709" t="s">
        <v>52</v>
      </c>
      <c r="AQ709" t="s">
        <v>52</v>
      </c>
      <c r="AR709" t="s">
        <v>55</v>
      </c>
      <c r="AS709" t="s">
        <v>60</v>
      </c>
    </row>
    <row r="710" spans="1:45" x14ac:dyDescent="0.25">
      <c r="A710" t="s">
        <v>47</v>
      </c>
      <c r="B710">
        <v>8</v>
      </c>
      <c r="C710" t="s">
        <v>166</v>
      </c>
      <c r="D710">
        <v>67</v>
      </c>
      <c r="E710" t="s">
        <v>58</v>
      </c>
      <c r="F710">
        <v>102</v>
      </c>
      <c r="G710" t="s">
        <v>64</v>
      </c>
      <c r="H710" t="s">
        <v>50</v>
      </c>
      <c r="K710" t="s">
        <v>52</v>
      </c>
      <c r="L710">
        <v>1</v>
      </c>
      <c r="M710" t="s">
        <v>52</v>
      </c>
      <c r="N710" t="s">
        <v>53</v>
      </c>
      <c r="R710">
        <v>0</v>
      </c>
      <c r="S710">
        <v>0.92</v>
      </c>
      <c r="T710">
        <v>0</v>
      </c>
      <c r="U710">
        <v>0</v>
      </c>
      <c r="W710" s="1">
        <v>46731</v>
      </c>
      <c r="X710" s="1">
        <v>46357</v>
      </c>
      <c r="Z710" t="s">
        <v>52</v>
      </c>
      <c r="AB710" t="s">
        <v>52</v>
      </c>
      <c r="AC710">
        <v>102</v>
      </c>
      <c r="AD710">
        <v>1</v>
      </c>
      <c r="AK710" t="s">
        <v>52</v>
      </c>
      <c r="AN710" t="s">
        <v>52</v>
      </c>
      <c r="AO710" t="s">
        <v>52</v>
      </c>
      <c r="AP710" t="s">
        <v>52</v>
      </c>
      <c r="AQ710" t="s">
        <v>52</v>
      </c>
      <c r="AR710" t="s">
        <v>55</v>
      </c>
      <c r="AS710" t="s">
        <v>60</v>
      </c>
    </row>
    <row r="711" spans="1:45" x14ac:dyDescent="0.25">
      <c r="A711" t="s">
        <v>47</v>
      </c>
      <c r="B711">
        <v>8</v>
      </c>
      <c r="C711" t="s">
        <v>166</v>
      </c>
      <c r="D711">
        <v>67</v>
      </c>
      <c r="E711" t="s">
        <v>58</v>
      </c>
      <c r="F711">
        <v>102</v>
      </c>
      <c r="G711" t="s">
        <v>167</v>
      </c>
      <c r="H711" t="s">
        <v>50</v>
      </c>
      <c r="K711" t="s">
        <v>51</v>
      </c>
      <c r="L711">
        <v>1</v>
      </c>
      <c r="M711" t="s">
        <v>52</v>
      </c>
      <c r="N711" t="s">
        <v>53</v>
      </c>
      <c r="R711">
        <v>0</v>
      </c>
      <c r="S711">
        <v>0.92</v>
      </c>
      <c r="T711">
        <v>0</v>
      </c>
      <c r="U711">
        <v>0</v>
      </c>
      <c r="W711" s="1">
        <v>46731</v>
      </c>
      <c r="X711" s="1">
        <v>46357</v>
      </c>
      <c r="Z711" t="s">
        <v>52</v>
      </c>
      <c r="AB711" t="s">
        <v>52</v>
      </c>
      <c r="AC711">
        <v>102</v>
      </c>
      <c r="AD711">
        <v>1</v>
      </c>
      <c r="AK711" t="s">
        <v>52</v>
      </c>
      <c r="AN711" t="s">
        <v>52</v>
      </c>
      <c r="AO711" t="s">
        <v>52</v>
      </c>
      <c r="AP711" t="s">
        <v>52</v>
      </c>
      <c r="AQ711" t="s">
        <v>52</v>
      </c>
      <c r="AR711" t="s">
        <v>55</v>
      </c>
      <c r="AS711" t="s">
        <v>60</v>
      </c>
    </row>
    <row r="712" spans="1:45" x14ac:dyDescent="0.25">
      <c r="A712" t="s">
        <v>47</v>
      </c>
      <c r="B712">
        <v>8</v>
      </c>
      <c r="C712" t="s">
        <v>166</v>
      </c>
      <c r="D712">
        <v>67</v>
      </c>
      <c r="E712" t="s">
        <v>58</v>
      </c>
      <c r="F712">
        <v>102</v>
      </c>
      <c r="G712" t="s">
        <v>167</v>
      </c>
      <c r="H712" t="s">
        <v>50</v>
      </c>
      <c r="K712" t="s">
        <v>52</v>
      </c>
      <c r="L712">
        <v>1</v>
      </c>
      <c r="M712" t="s">
        <v>52</v>
      </c>
      <c r="N712" t="s">
        <v>53</v>
      </c>
      <c r="R712">
        <v>0</v>
      </c>
      <c r="S712">
        <v>0.92</v>
      </c>
      <c r="T712">
        <v>0</v>
      </c>
      <c r="U712">
        <v>0</v>
      </c>
      <c r="W712" s="1">
        <v>46731</v>
      </c>
      <c r="X712" s="1">
        <v>46357</v>
      </c>
      <c r="Z712" t="s">
        <v>52</v>
      </c>
      <c r="AB712" t="s">
        <v>52</v>
      </c>
      <c r="AC712">
        <v>102</v>
      </c>
      <c r="AD712">
        <v>1</v>
      </c>
      <c r="AK712" t="s">
        <v>52</v>
      </c>
      <c r="AN712" t="s">
        <v>52</v>
      </c>
      <c r="AO712" t="s">
        <v>52</v>
      </c>
      <c r="AP712" t="s">
        <v>52</v>
      </c>
      <c r="AQ712" t="s">
        <v>52</v>
      </c>
      <c r="AR712" t="s">
        <v>55</v>
      </c>
      <c r="AS712" t="s">
        <v>60</v>
      </c>
    </row>
    <row r="713" spans="1:45" x14ac:dyDescent="0.25">
      <c r="A713" t="s">
        <v>47</v>
      </c>
      <c r="B713">
        <v>8</v>
      </c>
      <c r="C713" t="s">
        <v>166</v>
      </c>
      <c r="D713">
        <v>67</v>
      </c>
      <c r="E713" t="s">
        <v>58</v>
      </c>
      <c r="F713">
        <v>102</v>
      </c>
      <c r="G713" t="s">
        <v>136</v>
      </c>
      <c r="H713" t="s">
        <v>50</v>
      </c>
      <c r="K713" t="s">
        <v>51</v>
      </c>
      <c r="L713">
        <v>1</v>
      </c>
      <c r="M713" t="s">
        <v>52</v>
      </c>
      <c r="N713" t="s">
        <v>53</v>
      </c>
      <c r="R713">
        <v>0</v>
      </c>
      <c r="S713">
        <v>0.92</v>
      </c>
      <c r="T713">
        <v>0</v>
      </c>
      <c r="U713">
        <v>0</v>
      </c>
      <c r="W713" s="1">
        <v>46731</v>
      </c>
      <c r="X713" s="1">
        <v>46357</v>
      </c>
      <c r="Z713" t="s">
        <v>52</v>
      </c>
      <c r="AB713" t="s">
        <v>52</v>
      </c>
      <c r="AC713">
        <v>102</v>
      </c>
      <c r="AD713">
        <v>1</v>
      </c>
      <c r="AK713" t="s">
        <v>52</v>
      </c>
      <c r="AN713" t="s">
        <v>52</v>
      </c>
      <c r="AO713" t="s">
        <v>52</v>
      </c>
      <c r="AP713" t="s">
        <v>52</v>
      </c>
      <c r="AQ713" t="s">
        <v>52</v>
      </c>
      <c r="AR713" t="s">
        <v>55</v>
      </c>
    </row>
    <row r="714" spans="1:45" x14ac:dyDescent="0.25">
      <c r="A714" t="s">
        <v>47</v>
      </c>
      <c r="B714">
        <v>8</v>
      </c>
      <c r="C714" t="s">
        <v>166</v>
      </c>
      <c r="D714">
        <v>67</v>
      </c>
      <c r="E714" t="s">
        <v>58</v>
      </c>
      <c r="F714">
        <v>102</v>
      </c>
      <c r="G714" t="s">
        <v>66</v>
      </c>
      <c r="H714" t="s">
        <v>50</v>
      </c>
      <c r="K714" t="s">
        <v>51</v>
      </c>
      <c r="L714">
        <v>1</v>
      </c>
      <c r="M714" t="s">
        <v>52</v>
      </c>
      <c r="N714" t="s">
        <v>53</v>
      </c>
      <c r="R714">
        <v>0</v>
      </c>
      <c r="S714">
        <v>0.92</v>
      </c>
      <c r="T714">
        <v>0</v>
      </c>
      <c r="U714">
        <v>0</v>
      </c>
      <c r="W714" s="1">
        <v>46731</v>
      </c>
      <c r="X714" s="1">
        <v>46357</v>
      </c>
      <c r="Z714" t="s">
        <v>52</v>
      </c>
      <c r="AB714" t="s">
        <v>52</v>
      </c>
      <c r="AC714">
        <v>102</v>
      </c>
      <c r="AD714">
        <v>1</v>
      </c>
      <c r="AK714" t="s">
        <v>52</v>
      </c>
      <c r="AN714" t="s">
        <v>52</v>
      </c>
      <c r="AO714" t="s">
        <v>52</v>
      </c>
      <c r="AP714" t="s">
        <v>52</v>
      </c>
      <c r="AQ714" t="s">
        <v>52</v>
      </c>
      <c r="AR714" t="s">
        <v>55</v>
      </c>
    </row>
    <row r="715" spans="1:45" x14ac:dyDescent="0.25">
      <c r="A715" t="s">
        <v>47</v>
      </c>
      <c r="B715">
        <v>8</v>
      </c>
      <c r="C715" t="s">
        <v>166</v>
      </c>
      <c r="D715">
        <v>67</v>
      </c>
      <c r="E715" t="s">
        <v>58</v>
      </c>
      <c r="F715">
        <v>102</v>
      </c>
      <c r="G715" t="s">
        <v>66</v>
      </c>
      <c r="H715" t="s">
        <v>50</v>
      </c>
      <c r="K715" t="s">
        <v>52</v>
      </c>
      <c r="L715">
        <v>1</v>
      </c>
      <c r="M715" t="s">
        <v>52</v>
      </c>
      <c r="N715" t="s">
        <v>53</v>
      </c>
      <c r="R715">
        <v>0</v>
      </c>
      <c r="S715">
        <v>0.92</v>
      </c>
      <c r="T715">
        <v>0</v>
      </c>
      <c r="U715">
        <v>0</v>
      </c>
      <c r="W715" s="1">
        <v>46731</v>
      </c>
      <c r="X715" s="1">
        <v>46357</v>
      </c>
      <c r="Z715" t="s">
        <v>52</v>
      </c>
      <c r="AB715" t="s">
        <v>52</v>
      </c>
      <c r="AC715">
        <v>102</v>
      </c>
      <c r="AD715">
        <v>1</v>
      </c>
      <c r="AK715" t="s">
        <v>52</v>
      </c>
      <c r="AN715" t="s">
        <v>52</v>
      </c>
      <c r="AO715" t="s">
        <v>52</v>
      </c>
      <c r="AP715" t="s">
        <v>52</v>
      </c>
      <c r="AQ715" t="s">
        <v>52</v>
      </c>
      <c r="AR715" t="s">
        <v>55</v>
      </c>
    </row>
    <row r="716" spans="1:45" x14ac:dyDescent="0.25">
      <c r="A716" t="s">
        <v>47</v>
      </c>
      <c r="B716">
        <v>8</v>
      </c>
      <c r="C716" t="s">
        <v>166</v>
      </c>
      <c r="D716">
        <v>67</v>
      </c>
      <c r="E716" t="s">
        <v>58</v>
      </c>
      <c r="F716">
        <v>102</v>
      </c>
      <c r="G716" t="s">
        <v>118</v>
      </c>
      <c r="H716" t="s">
        <v>50</v>
      </c>
      <c r="K716" t="s">
        <v>52</v>
      </c>
      <c r="L716">
        <v>1</v>
      </c>
      <c r="M716" t="s">
        <v>52</v>
      </c>
      <c r="N716" t="s">
        <v>53</v>
      </c>
      <c r="R716">
        <v>0</v>
      </c>
      <c r="S716">
        <v>0.92</v>
      </c>
      <c r="T716">
        <v>0</v>
      </c>
      <c r="U716">
        <v>0</v>
      </c>
      <c r="W716" s="1">
        <v>46731</v>
      </c>
      <c r="X716" s="1">
        <v>46357</v>
      </c>
      <c r="Z716" t="s">
        <v>52</v>
      </c>
      <c r="AB716" t="s">
        <v>52</v>
      </c>
      <c r="AC716">
        <v>102</v>
      </c>
      <c r="AD716">
        <v>1</v>
      </c>
      <c r="AK716" t="s">
        <v>52</v>
      </c>
      <c r="AN716" t="s">
        <v>52</v>
      </c>
      <c r="AO716" t="s">
        <v>52</v>
      </c>
      <c r="AP716" t="s">
        <v>52</v>
      </c>
      <c r="AQ716" t="s">
        <v>52</v>
      </c>
      <c r="AR716" t="s">
        <v>55</v>
      </c>
    </row>
    <row r="717" spans="1:45" x14ac:dyDescent="0.25">
      <c r="A717" t="s">
        <v>47</v>
      </c>
      <c r="B717">
        <v>8</v>
      </c>
      <c r="C717" t="s">
        <v>166</v>
      </c>
      <c r="D717">
        <v>67</v>
      </c>
      <c r="E717" t="s">
        <v>58</v>
      </c>
      <c r="F717">
        <v>102</v>
      </c>
      <c r="G717" t="s">
        <v>114</v>
      </c>
      <c r="H717" t="s">
        <v>50</v>
      </c>
      <c r="K717" t="s">
        <v>52</v>
      </c>
      <c r="L717">
        <v>1</v>
      </c>
      <c r="M717" t="s">
        <v>52</v>
      </c>
      <c r="N717" t="s">
        <v>53</v>
      </c>
      <c r="R717">
        <v>0</v>
      </c>
      <c r="S717">
        <v>0.92</v>
      </c>
      <c r="T717">
        <v>0</v>
      </c>
      <c r="U717">
        <v>0</v>
      </c>
      <c r="W717" s="1">
        <v>46731</v>
      </c>
      <c r="X717" s="1">
        <v>46357</v>
      </c>
      <c r="Z717" t="s">
        <v>52</v>
      </c>
      <c r="AB717" t="s">
        <v>52</v>
      </c>
      <c r="AC717">
        <v>102</v>
      </c>
      <c r="AD717">
        <v>1</v>
      </c>
      <c r="AK717" t="s">
        <v>52</v>
      </c>
      <c r="AN717" t="s">
        <v>52</v>
      </c>
      <c r="AO717" t="s">
        <v>52</v>
      </c>
      <c r="AP717" t="s">
        <v>52</v>
      </c>
      <c r="AQ717" t="s">
        <v>52</v>
      </c>
      <c r="AR717" t="s">
        <v>55</v>
      </c>
    </row>
    <row r="718" spans="1:45" x14ac:dyDescent="0.25">
      <c r="A718" t="s">
        <v>47</v>
      </c>
      <c r="B718">
        <v>8</v>
      </c>
      <c r="C718" t="s">
        <v>166</v>
      </c>
      <c r="D718">
        <v>67</v>
      </c>
      <c r="E718" t="s">
        <v>68</v>
      </c>
      <c r="F718">
        <v>80</v>
      </c>
      <c r="G718" t="s">
        <v>69</v>
      </c>
      <c r="H718" t="s">
        <v>50</v>
      </c>
      <c r="K718" t="s">
        <v>51</v>
      </c>
      <c r="L718">
        <v>1</v>
      </c>
      <c r="M718" t="s">
        <v>52</v>
      </c>
      <c r="N718" t="s">
        <v>53</v>
      </c>
      <c r="R718">
        <v>0.5</v>
      </c>
      <c r="S718">
        <v>0.75</v>
      </c>
      <c r="T718">
        <v>0</v>
      </c>
      <c r="U718">
        <v>0</v>
      </c>
      <c r="V718" s="1">
        <v>46583</v>
      </c>
      <c r="W718" s="1">
        <v>46675</v>
      </c>
      <c r="X718" s="1">
        <v>46461</v>
      </c>
      <c r="Z718" t="s">
        <v>52</v>
      </c>
      <c r="AB718" t="s">
        <v>52</v>
      </c>
      <c r="AC718">
        <v>80</v>
      </c>
      <c r="AD718">
        <v>1</v>
      </c>
      <c r="AK718" t="s">
        <v>52</v>
      </c>
      <c r="AN718" t="s">
        <v>52</v>
      </c>
      <c r="AO718" t="s">
        <v>52</v>
      </c>
      <c r="AP718" t="s">
        <v>52</v>
      </c>
      <c r="AQ718" t="s">
        <v>52</v>
      </c>
      <c r="AR718" t="s">
        <v>55</v>
      </c>
      <c r="AS718" t="s">
        <v>88</v>
      </c>
    </row>
    <row r="719" spans="1:45" x14ac:dyDescent="0.25">
      <c r="A719" t="s">
        <v>47</v>
      </c>
      <c r="B719">
        <v>8</v>
      </c>
      <c r="C719" t="s">
        <v>166</v>
      </c>
      <c r="D719">
        <v>67</v>
      </c>
      <c r="E719" t="s">
        <v>68</v>
      </c>
      <c r="F719">
        <v>80</v>
      </c>
      <c r="G719" t="s">
        <v>69</v>
      </c>
      <c r="H719" t="s">
        <v>50</v>
      </c>
      <c r="K719" t="s">
        <v>52</v>
      </c>
      <c r="L719">
        <v>1</v>
      </c>
      <c r="M719" t="s">
        <v>52</v>
      </c>
      <c r="N719" t="s">
        <v>53</v>
      </c>
      <c r="R719">
        <v>0.5</v>
      </c>
      <c r="S719">
        <v>0.75</v>
      </c>
      <c r="T719">
        <v>0</v>
      </c>
      <c r="U719">
        <v>0</v>
      </c>
      <c r="V719" s="1">
        <v>46583</v>
      </c>
      <c r="W719" s="1">
        <v>46675</v>
      </c>
      <c r="X719" s="1">
        <v>46461</v>
      </c>
      <c r="Z719" t="s">
        <v>52</v>
      </c>
      <c r="AB719" t="s">
        <v>52</v>
      </c>
      <c r="AC719">
        <v>80</v>
      </c>
      <c r="AD719">
        <v>1</v>
      </c>
      <c r="AK719" t="s">
        <v>52</v>
      </c>
      <c r="AN719" t="s">
        <v>52</v>
      </c>
      <c r="AO719" t="s">
        <v>52</v>
      </c>
      <c r="AP719" t="s">
        <v>52</v>
      </c>
      <c r="AQ719" t="s">
        <v>52</v>
      </c>
      <c r="AR719" t="s">
        <v>55</v>
      </c>
      <c r="AS719" t="s">
        <v>88</v>
      </c>
    </row>
    <row r="720" spans="1:45" x14ac:dyDescent="0.25">
      <c r="A720" t="s">
        <v>47</v>
      </c>
      <c r="B720">
        <v>8</v>
      </c>
      <c r="C720" t="s">
        <v>166</v>
      </c>
      <c r="D720">
        <v>67</v>
      </c>
      <c r="E720" t="s">
        <v>70</v>
      </c>
      <c r="F720">
        <v>296</v>
      </c>
      <c r="G720" t="s">
        <v>71</v>
      </c>
      <c r="H720" t="s">
        <v>50</v>
      </c>
      <c r="K720" t="s">
        <v>51</v>
      </c>
      <c r="L720">
        <v>1</v>
      </c>
      <c r="M720" t="s">
        <v>52</v>
      </c>
      <c r="N720" t="s">
        <v>53</v>
      </c>
      <c r="Q720">
        <v>224.33330000000001</v>
      </c>
      <c r="R720">
        <v>0</v>
      </c>
      <c r="S720">
        <v>0.75</v>
      </c>
      <c r="T720">
        <v>0</v>
      </c>
      <c r="U720">
        <v>0</v>
      </c>
      <c r="W720" s="1">
        <v>46675</v>
      </c>
      <c r="X720" s="1">
        <v>46357</v>
      </c>
      <c r="Y720" t="s">
        <v>54</v>
      </c>
      <c r="Z720" t="s">
        <v>52</v>
      </c>
      <c r="AB720" t="s">
        <v>52</v>
      </c>
      <c r="AC720">
        <v>296</v>
      </c>
      <c r="AD720">
        <v>1</v>
      </c>
      <c r="AK720" t="s">
        <v>52</v>
      </c>
      <c r="AN720" t="s">
        <v>52</v>
      </c>
      <c r="AO720" t="s">
        <v>52</v>
      </c>
      <c r="AP720" t="s">
        <v>52</v>
      </c>
      <c r="AQ720" t="s">
        <v>52</v>
      </c>
      <c r="AR720" t="s">
        <v>55</v>
      </c>
    </row>
    <row r="721" spans="1:45" x14ac:dyDescent="0.25">
      <c r="A721" t="s">
        <v>47</v>
      </c>
      <c r="B721">
        <v>8</v>
      </c>
      <c r="C721" t="s">
        <v>166</v>
      </c>
      <c r="D721">
        <v>67</v>
      </c>
      <c r="E721" t="s">
        <v>70</v>
      </c>
      <c r="F721">
        <v>296</v>
      </c>
      <c r="G721" t="s">
        <v>71</v>
      </c>
      <c r="H721" t="s">
        <v>50</v>
      </c>
      <c r="K721" t="s">
        <v>52</v>
      </c>
      <c r="L721">
        <v>1</v>
      </c>
      <c r="M721" t="s">
        <v>52</v>
      </c>
      <c r="N721" t="s">
        <v>53</v>
      </c>
      <c r="Q721">
        <v>224.33330000000001</v>
      </c>
      <c r="R721">
        <v>0</v>
      </c>
      <c r="S721">
        <v>0.75</v>
      </c>
      <c r="T721">
        <v>0</v>
      </c>
      <c r="U721">
        <v>0</v>
      </c>
      <c r="W721" s="1">
        <v>46675</v>
      </c>
      <c r="X721" s="1">
        <v>46357</v>
      </c>
      <c r="Y721" t="s">
        <v>54</v>
      </c>
      <c r="Z721" t="s">
        <v>52</v>
      </c>
      <c r="AB721" t="s">
        <v>52</v>
      </c>
      <c r="AC721">
        <v>296</v>
      </c>
      <c r="AD721">
        <v>1</v>
      </c>
      <c r="AK721" t="s">
        <v>52</v>
      </c>
      <c r="AN721" t="s">
        <v>52</v>
      </c>
      <c r="AO721" t="s">
        <v>52</v>
      </c>
      <c r="AP721" t="s">
        <v>52</v>
      </c>
      <c r="AQ721" t="s">
        <v>52</v>
      </c>
      <c r="AR721" t="s">
        <v>55</v>
      </c>
    </row>
    <row r="722" spans="1:45" x14ac:dyDescent="0.25">
      <c r="A722" t="s">
        <v>47</v>
      </c>
      <c r="B722">
        <v>8</v>
      </c>
      <c r="C722" t="s">
        <v>166</v>
      </c>
      <c r="D722">
        <v>67</v>
      </c>
      <c r="E722" t="s">
        <v>70</v>
      </c>
      <c r="F722">
        <v>296</v>
      </c>
      <c r="G722" t="s">
        <v>72</v>
      </c>
      <c r="H722" t="s">
        <v>50</v>
      </c>
      <c r="K722" t="s">
        <v>51</v>
      </c>
      <c r="L722">
        <v>1</v>
      </c>
      <c r="M722" t="s">
        <v>52</v>
      </c>
      <c r="N722" t="s">
        <v>53</v>
      </c>
      <c r="R722">
        <v>0.5</v>
      </c>
      <c r="S722">
        <v>0.75</v>
      </c>
      <c r="T722">
        <v>0</v>
      </c>
      <c r="U722">
        <v>0</v>
      </c>
      <c r="V722" s="1">
        <v>46569</v>
      </c>
      <c r="W722" s="1">
        <v>46675</v>
      </c>
      <c r="X722" s="1">
        <v>46357</v>
      </c>
      <c r="Z722" t="s">
        <v>52</v>
      </c>
      <c r="AB722" t="s">
        <v>52</v>
      </c>
      <c r="AC722">
        <v>296</v>
      </c>
      <c r="AD722">
        <v>1</v>
      </c>
      <c r="AK722" t="s">
        <v>52</v>
      </c>
      <c r="AN722" t="s">
        <v>52</v>
      </c>
      <c r="AO722" t="s">
        <v>52</v>
      </c>
      <c r="AP722" t="s">
        <v>52</v>
      </c>
      <c r="AQ722" t="s">
        <v>52</v>
      </c>
      <c r="AR722" t="s">
        <v>55</v>
      </c>
    </row>
    <row r="723" spans="1:45" x14ac:dyDescent="0.25">
      <c r="A723" t="s">
        <v>47</v>
      </c>
      <c r="B723">
        <v>8</v>
      </c>
      <c r="C723" t="s">
        <v>166</v>
      </c>
      <c r="D723">
        <v>67</v>
      </c>
      <c r="E723" t="s">
        <v>70</v>
      </c>
      <c r="F723">
        <v>296</v>
      </c>
      <c r="G723" t="s">
        <v>72</v>
      </c>
      <c r="H723" t="s">
        <v>50</v>
      </c>
      <c r="K723" t="s">
        <v>52</v>
      </c>
      <c r="L723">
        <v>1</v>
      </c>
      <c r="M723" t="s">
        <v>52</v>
      </c>
      <c r="N723" t="s">
        <v>53</v>
      </c>
      <c r="R723">
        <v>0.5</v>
      </c>
      <c r="S723">
        <v>0.75</v>
      </c>
      <c r="T723">
        <v>0</v>
      </c>
      <c r="U723">
        <v>0</v>
      </c>
      <c r="V723" s="1">
        <v>46569</v>
      </c>
      <c r="W723" s="1">
        <v>46675</v>
      </c>
      <c r="X723" s="1">
        <v>46357</v>
      </c>
      <c r="Z723" t="s">
        <v>52</v>
      </c>
      <c r="AB723" t="s">
        <v>52</v>
      </c>
      <c r="AC723">
        <v>296</v>
      </c>
      <c r="AD723">
        <v>1</v>
      </c>
      <c r="AK723" t="s">
        <v>52</v>
      </c>
      <c r="AN723" t="s">
        <v>52</v>
      </c>
      <c r="AO723" t="s">
        <v>52</v>
      </c>
      <c r="AP723" t="s">
        <v>52</v>
      </c>
      <c r="AQ723" t="s">
        <v>52</v>
      </c>
      <c r="AR723" t="s">
        <v>55</v>
      </c>
    </row>
    <row r="724" spans="1:45" x14ac:dyDescent="0.25">
      <c r="A724" t="s">
        <v>47</v>
      </c>
      <c r="B724">
        <v>8</v>
      </c>
      <c r="C724" t="s">
        <v>166</v>
      </c>
      <c r="D724">
        <v>67</v>
      </c>
      <c r="E724" t="s">
        <v>70</v>
      </c>
      <c r="F724">
        <v>296</v>
      </c>
      <c r="G724" t="s">
        <v>73</v>
      </c>
      <c r="H724" t="s">
        <v>50</v>
      </c>
      <c r="K724" t="s">
        <v>51</v>
      </c>
      <c r="L724">
        <v>1</v>
      </c>
      <c r="M724" t="s">
        <v>52</v>
      </c>
      <c r="N724" t="s">
        <v>53</v>
      </c>
      <c r="R724">
        <v>0</v>
      </c>
      <c r="S724">
        <v>0.75</v>
      </c>
      <c r="T724">
        <v>0</v>
      </c>
      <c r="U724">
        <v>0</v>
      </c>
      <c r="W724" s="1">
        <v>46675</v>
      </c>
      <c r="X724" s="1">
        <v>46357</v>
      </c>
      <c r="Z724" t="s">
        <v>52</v>
      </c>
      <c r="AB724" t="s">
        <v>52</v>
      </c>
      <c r="AC724">
        <v>296</v>
      </c>
      <c r="AD724">
        <v>1</v>
      </c>
      <c r="AK724" t="s">
        <v>52</v>
      </c>
      <c r="AN724" t="s">
        <v>52</v>
      </c>
      <c r="AO724" t="s">
        <v>52</v>
      </c>
      <c r="AP724" t="s">
        <v>52</v>
      </c>
      <c r="AQ724" t="s">
        <v>52</v>
      </c>
      <c r="AR724" t="s">
        <v>55</v>
      </c>
    </row>
    <row r="725" spans="1:45" x14ac:dyDescent="0.25">
      <c r="A725" t="s">
        <v>47</v>
      </c>
      <c r="B725">
        <v>8</v>
      </c>
      <c r="C725" t="s">
        <v>166</v>
      </c>
      <c r="D725">
        <v>67</v>
      </c>
      <c r="E725" t="s">
        <v>70</v>
      </c>
      <c r="F725">
        <v>296</v>
      </c>
      <c r="G725" t="s">
        <v>73</v>
      </c>
      <c r="H725" t="s">
        <v>50</v>
      </c>
      <c r="K725" t="s">
        <v>52</v>
      </c>
      <c r="L725">
        <v>1</v>
      </c>
      <c r="M725" t="s">
        <v>52</v>
      </c>
      <c r="N725" t="s">
        <v>53</v>
      </c>
      <c r="R725">
        <v>0</v>
      </c>
      <c r="S725">
        <v>0.75</v>
      </c>
      <c r="T725">
        <v>0</v>
      </c>
      <c r="U725">
        <v>0</v>
      </c>
      <c r="W725" s="1">
        <v>46675</v>
      </c>
      <c r="X725" s="1">
        <v>46357</v>
      </c>
      <c r="Z725" t="s">
        <v>52</v>
      </c>
      <c r="AB725" t="s">
        <v>52</v>
      </c>
      <c r="AC725">
        <v>296</v>
      </c>
      <c r="AD725">
        <v>1</v>
      </c>
      <c r="AK725" t="s">
        <v>52</v>
      </c>
      <c r="AN725" t="s">
        <v>52</v>
      </c>
      <c r="AO725" t="s">
        <v>52</v>
      </c>
      <c r="AP725" t="s">
        <v>52</v>
      </c>
      <c r="AQ725" t="s">
        <v>52</v>
      </c>
      <c r="AR725" t="s">
        <v>55</v>
      </c>
    </row>
    <row r="726" spans="1:45" x14ac:dyDescent="0.25">
      <c r="A726" t="s">
        <v>47</v>
      </c>
      <c r="B726">
        <v>8</v>
      </c>
      <c r="C726" t="s">
        <v>166</v>
      </c>
      <c r="D726">
        <v>67</v>
      </c>
      <c r="E726" t="s">
        <v>70</v>
      </c>
      <c r="F726">
        <v>296</v>
      </c>
      <c r="G726" t="s">
        <v>74</v>
      </c>
      <c r="H726" t="s">
        <v>50</v>
      </c>
      <c r="K726" t="s">
        <v>51</v>
      </c>
      <c r="L726">
        <v>1</v>
      </c>
      <c r="M726" t="s">
        <v>52</v>
      </c>
      <c r="N726" t="s">
        <v>53</v>
      </c>
      <c r="R726">
        <v>0</v>
      </c>
      <c r="S726">
        <v>0.75</v>
      </c>
      <c r="T726">
        <v>0</v>
      </c>
      <c r="U726">
        <v>0</v>
      </c>
      <c r="W726" s="1">
        <v>46675</v>
      </c>
      <c r="X726" s="1">
        <v>46357</v>
      </c>
      <c r="Z726" t="s">
        <v>52</v>
      </c>
      <c r="AB726" t="s">
        <v>52</v>
      </c>
      <c r="AC726">
        <v>102</v>
      </c>
      <c r="AD726">
        <v>1</v>
      </c>
      <c r="AK726" t="s">
        <v>52</v>
      </c>
      <c r="AN726" t="s">
        <v>52</v>
      </c>
      <c r="AO726" t="s">
        <v>52</v>
      </c>
      <c r="AP726" t="s">
        <v>52</v>
      </c>
      <c r="AQ726" t="s">
        <v>52</v>
      </c>
      <c r="AR726" t="s">
        <v>55</v>
      </c>
    </row>
    <row r="727" spans="1:45" x14ac:dyDescent="0.25">
      <c r="A727" t="s">
        <v>47</v>
      </c>
      <c r="B727">
        <v>8</v>
      </c>
      <c r="C727" t="s">
        <v>166</v>
      </c>
      <c r="D727">
        <v>67</v>
      </c>
      <c r="E727" t="s">
        <v>70</v>
      </c>
      <c r="F727">
        <v>296</v>
      </c>
      <c r="G727" t="s">
        <v>74</v>
      </c>
      <c r="H727" t="s">
        <v>50</v>
      </c>
      <c r="K727" t="s">
        <v>52</v>
      </c>
      <c r="L727">
        <v>1</v>
      </c>
      <c r="M727" t="s">
        <v>52</v>
      </c>
      <c r="N727" t="s">
        <v>53</v>
      </c>
      <c r="R727">
        <v>0</v>
      </c>
      <c r="S727">
        <v>0.75</v>
      </c>
      <c r="T727">
        <v>0</v>
      </c>
      <c r="U727">
        <v>0</v>
      </c>
      <c r="W727" s="1">
        <v>46675</v>
      </c>
      <c r="X727" s="1">
        <v>46357</v>
      </c>
      <c r="Z727" t="s">
        <v>52</v>
      </c>
      <c r="AB727" t="s">
        <v>52</v>
      </c>
      <c r="AC727">
        <v>102</v>
      </c>
      <c r="AD727">
        <v>1</v>
      </c>
      <c r="AK727" t="s">
        <v>52</v>
      </c>
      <c r="AN727" t="s">
        <v>52</v>
      </c>
      <c r="AO727" t="s">
        <v>52</v>
      </c>
      <c r="AP727" t="s">
        <v>52</v>
      </c>
      <c r="AQ727" t="s">
        <v>52</v>
      </c>
      <c r="AR727" t="s">
        <v>55</v>
      </c>
      <c r="AS727" t="s">
        <v>106</v>
      </c>
    </row>
    <row r="728" spans="1:45" x14ac:dyDescent="0.25">
      <c r="A728" t="s">
        <v>47</v>
      </c>
      <c r="B728">
        <v>8</v>
      </c>
      <c r="C728" t="s">
        <v>166</v>
      </c>
      <c r="D728">
        <v>67</v>
      </c>
      <c r="E728" t="s">
        <v>70</v>
      </c>
      <c r="F728">
        <v>296</v>
      </c>
      <c r="G728" t="s">
        <v>89</v>
      </c>
      <c r="H728" t="s">
        <v>50</v>
      </c>
      <c r="K728" t="s">
        <v>51</v>
      </c>
      <c r="L728">
        <v>1</v>
      </c>
      <c r="M728" t="s">
        <v>52</v>
      </c>
      <c r="N728" t="s">
        <v>53</v>
      </c>
      <c r="R728">
        <v>0.25</v>
      </c>
      <c r="S728">
        <v>0.75</v>
      </c>
      <c r="T728">
        <v>0</v>
      </c>
      <c r="U728">
        <v>0</v>
      </c>
      <c r="V728" s="1">
        <v>46569</v>
      </c>
      <c r="W728" s="1">
        <v>46675</v>
      </c>
      <c r="X728" s="1">
        <v>46357</v>
      </c>
      <c r="Z728" t="s">
        <v>52</v>
      </c>
      <c r="AB728" t="s">
        <v>52</v>
      </c>
      <c r="AC728">
        <v>102</v>
      </c>
      <c r="AD728">
        <v>1</v>
      </c>
      <c r="AK728" t="s">
        <v>52</v>
      </c>
      <c r="AN728" t="s">
        <v>52</v>
      </c>
      <c r="AO728" t="s">
        <v>52</v>
      </c>
      <c r="AP728" t="s">
        <v>52</v>
      </c>
      <c r="AQ728" t="s">
        <v>52</v>
      </c>
      <c r="AR728" t="s">
        <v>55</v>
      </c>
    </row>
    <row r="729" spans="1:45" x14ac:dyDescent="0.25">
      <c r="A729" t="s">
        <v>47</v>
      </c>
      <c r="B729">
        <v>8</v>
      </c>
      <c r="C729" t="s">
        <v>166</v>
      </c>
      <c r="D729">
        <v>67</v>
      </c>
      <c r="E729" t="s">
        <v>70</v>
      </c>
      <c r="F729">
        <v>296</v>
      </c>
      <c r="G729" t="s">
        <v>89</v>
      </c>
      <c r="H729" t="s">
        <v>50</v>
      </c>
      <c r="K729" t="s">
        <v>52</v>
      </c>
      <c r="L729">
        <v>1</v>
      </c>
      <c r="M729" t="s">
        <v>52</v>
      </c>
      <c r="N729" t="s">
        <v>53</v>
      </c>
      <c r="R729">
        <v>0.25</v>
      </c>
      <c r="S729">
        <v>0.75</v>
      </c>
      <c r="T729">
        <v>0</v>
      </c>
      <c r="U729">
        <v>0</v>
      </c>
      <c r="V729" s="1">
        <v>46569</v>
      </c>
      <c r="W729" s="1">
        <v>46675</v>
      </c>
      <c r="X729" s="1">
        <v>46357</v>
      </c>
      <c r="Z729" t="s">
        <v>52</v>
      </c>
      <c r="AB729" t="s">
        <v>52</v>
      </c>
      <c r="AC729">
        <v>102</v>
      </c>
      <c r="AD729">
        <v>1</v>
      </c>
      <c r="AK729" t="s">
        <v>52</v>
      </c>
      <c r="AN729" t="s">
        <v>52</v>
      </c>
      <c r="AO729" t="s">
        <v>52</v>
      </c>
      <c r="AP729" t="s">
        <v>52</v>
      </c>
      <c r="AQ729" t="s">
        <v>52</v>
      </c>
      <c r="AR729" t="s">
        <v>55</v>
      </c>
    </row>
    <row r="730" spans="1:45" x14ac:dyDescent="0.25">
      <c r="A730" t="s">
        <v>47</v>
      </c>
      <c r="B730">
        <v>8</v>
      </c>
      <c r="C730" t="s">
        <v>166</v>
      </c>
      <c r="D730">
        <v>67</v>
      </c>
      <c r="E730" t="s">
        <v>70</v>
      </c>
      <c r="F730">
        <v>296</v>
      </c>
      <c r="G730" t="s">
        <v>90</v>
      </c>
      <c r="H730" t="s">
        <v>50</v>
      </c>
      <c r="K730" t="s">
        <v>51</v>
      </c>
      <c r="L730">
        <v>1</v>
      </c>
      <c r="M730" t="s">
        <v>52</v>
      </c>
      <c r="N730" t="s">
        <v>53</v>
      </c>
      <c r="R730">
        <v>0.5</v>
      </c>
      <c r="S730">
        <v>0.75</v>
      </c>
      <c r="U730">
        <v>0</v>
      </c>
      <c r="V730" s="1">
        <v>46593</v>
      </c>
      <c r="W730" s="1">
        <v>46675</v>
      </c>
      <c r="X730" s="1">
        <v>46357</v>
      </c>
      <c r="Z730" t="s">
        <v>52</v>
      </c>
      <c r="AB730" t="s">
        <v>52</v>
      </c>
      <c r="AC730">
        <v>102</v>
      </c>
      <c r="AD730">
        <v>1</v>
      </c>
      <c r="AK730" t="s">
        <v>52</v>
      </c>
      <c r="AN730" t="s">
        <v>52</v>
      </c>
      <c r="AO730" t="s">
        <v>52</v>
      </c>
      <c r="AP730" t="s">
        <v>52</v>
      </c>
      <c r="AQ730" t="s">
        <v>52</v>
      </c>
      <c r="AR730" t="s">
        <v>55</v>
      </c>
    </row>
    <row r="731" spans="1:45" x14ac:dyDescent="0.25">
      <c r="A731" t="s">
        <v>47</v>
      </c>
      <c r="B731">
        <v>8</v>
      </c>
      <c r="C731" t="s">
        <v>166</v>
      </c>
      <c r="D731">
        <v>67</v>
      </c>
      <c r="E731" t="s">
        <v>75</v>
      </c>
      <c r="F731">
        <v>16</v>
      </c>
      <c r="G731" t="s">
        <v>76</v>
      </c>
      <c r="H731" t="s">
        <v>50</v>
      </c>
      <c r="K731" t="s">
        <v>51</v>
      </c>
      <c r="L731">
        <v>1</v>
      </c>
      <c r="M731" t="s">
        <v>52</v>
      </c>
      <c r="N731" t="s">
        <v>53</v>
      </c>
      <c r="R731">
        <v>0.5</v>
      </c>
      <c r="S731">
        <v>0.75</v>
      </c>
      <c r="T731">
        <v>0</v>
      </c>
      <c r="U731">
        <v>0</v>
      </c>
      <c r="V731" s="1">
        <v>46569</v>
      </c>
      <c r="W731" s="1">
        <v>46691</v>
      </c>
      <c r="X731" s="1">
        <v>46461</v>
      </c>
      <c r="Z731" t="s">
        <v>52</v>
      </c>
      <c r="AB731" t="s">
        <v>52</v>
      </c>
      <c r="AC731">
        <v>16</v>
      </c>
      <c r="AD731">
        <v>2</v>
      </c>
      <c r="AK731" t="s">
        <v>52</v>
      </c>
      <c r="AN731" t="s">
        <v>52</v>
      </c>
      <c r="AO731" t="s">
        <v>52</v>
      </c>
      <c r="AP731" t="s">
        <v>52</v>
      </c>
      <c r="AQ731" t="s">
        <v>52</v>
      </c>
      <c r="AR731" t="s">
        <v>55</v>
      </c>
    </row>
    <row r="732" spans="1:45" x14ac:dyDescent="0.25">
      <c r="A732" t="s">
        <v>47</v>
      </c>
      <c r="B732">
        <v>8</v>
      </c>
      <c r="C732" t="s">
        <v>166</v>
      </c>
      <c r="D732">
        <v>67</v>
      </c>
      <c r="E732" t="s">
        <v>75</v>
      </c>
      <c r="F732">
        <v>16</v>
      </c>
      <c r="G732" t="s">
        <v>76</v>
      </c>
      <c r="H732" t="s">
        <v>50</v>
      </c>
      <c r="K732" t="s">
        <v>52</v>
      </c>
      <c r="L732">
        <v>1</v>
      </c>
      <c r="M732" t="s">
        <v>52</v>
      </c>
      <c r="N732" t="s">
        <v>53</v>
      </c>
      <c r="R732">
        <v>0.5</v>
      </c>
      <c r="S732">
        <v>0.75</v>
      </c>
      <c r="T732">
        <v>0</v>
      </c>
      <c r="U732">
        <v>0</v>
      </c>
      <c r="V732" s="1">
        <v>46569</v>
      </c>
      <c r="W732" s="1">
        <v>46691</v>
      </c>
      <c r="X732" s="1">
        <v>46461</v>
      </c>
      <c r="Z732" t="s">
        <v>52</v>
      </c>
      <c r="AB732" t="s">
        <v>52</v>
      </c>
      <c r="AC732">
        <v>16</v>
      </c>
      <c r="AD732">
        <v>2</v>
      </c>
      <c r="AK732" t="s">
        <v>52</v>
      </c>
      <c r="AN732" t="s">
        <v>52</v>
      </c>
      <c r="AO732" t="s">
        <v>52</v>
      </c>
      <c r="AP732" t="s">
        <v>52</v>
      </c>
      <c r="AQ732" t="s">
        <v>52</v>
      </c>
      <c r="AR732" t="s">
        <v>55</v>
      </c>
    </row>
    <row r="733" spans="1:45" x14ac:dyDescent="0.25">
      <c r="A733" t="s">
        <v>47</v>
      </c>
      <c r="B733">
        <v>8</v>
      </c>
      <c r="C733" t="s">
        <v>166</v>
      </c>
      <c r="D733">
        <v>67</v>
      </c>
      <c r="E733" t="s">
        <v>93</v>
      </c>
      <c r="F733">
        <v>94</v>
      </c>
      <c r="H733" t="s">
        <v>50</v>
      </c>
      <c r="K733" t="s">
        <v>51</v>
      </c>
      <c r="L733">
        <v>1</v>
      </c>
      <c r="M733" t="s">
        <v>52</v>
      </c>
      <c r="N733" t="s">
        <v>53</v>
      </c>
      <c r="R733">
        <v>0.77</v>
      </c>
      <c r="S733">
        <v>0.93</v>
      </c>
      <c r="T733">
        <v>0</v>
      </c>
      <c r="U733">
        <v>0</v>
      </c>
      <c r="V733" s="1">
        <v>46326</v>
      </c>
      <c r="W733" s="1">
        <v>46691</v>
      </c>
      <c r="X733" s="1">
        <v>46266</v>
      </c>
      <c r="Z733" t="s">
        <v>52</v>
      </c>
      <c r="AB733" t="s">
        <v>52</v>
      </c>
      <c r="AC733">
        <v>94</v>
      </c>
      <c r="AD733">
        <v>2</v>
      </c>
      <c r="AK733" t="s">
        <v>52</v>
      </c>
      <c r="AN733" t="s">
        <v>52</v>
      </c>
      <c r="AO733" t="s">
        <v>52</v>
      </c>
      <c r="AP733" t="s">
        <v>52</v>
      </c>
      <c r="AQ733" t="s">
        <v>52</v>
      </c>
      <c r="AR733" t="s">
        <v>55</v>
      </c>
      <c r="AS733" t="s">
        <v>60</v>
      </c>
    </row>
    <row r="734" spans="1:45" x14ac:dyDescent="0.25">
      <c r="A734" t="s">
        <v>47</v>
      </c>
      <c r="B734">
        <v>8</v>
      </c>
      <c r="C734" t="s">
        <v>166</v>
      </c>
      <c r="D734">
        <v>67</v>
      </c>
      <c r="E734" t="s">
        <v>93</v>
      </c>
      <c r="F734">
        <v>94</v>
      </c>
      <c r="H734" t="s">
        <v>50</v>
      </c>
      <c r="K734" t="s">
        <v>52</v>
      </c>
      <c r="L734">
        <v>1</v>
      </c>
      <c r="M734" t="s">
        <v>52</v>
      </c>
      <c r="N734" t="s">
        <v>53</v>
      </c>
      <c r="R734">
        <v>0.77</v>
      </c>
      <c r="S734">
        <v>0.93</v>
      </c>
      <c r="T734">
        <v>0</v>
      </c>
      <c r="U734">
        <v>0</v>
      </c>
      <c r="V734" s="1">
        <v>46326</v>
      </c>
      <c r="W734" s="1">
        <v>46691</v>
      </c>
      <c r="X734" s="1">
        <v>46266</v>
      </c>
      <c r="Z734" t="s">
        <v>52</v>
      </c>
      <c r="AB734" t="s">
        <v>52</v>
      </c>
      <c r="AC734">
        <v>94</v>
      </c>
      <c r="AD734">
        <v>2</v>
      </c>
      <c r="AK734" t="s">
        <v>52</v>
      </c>
      <c r="AN734" t="s">
        <v>52</v>
      </c>
      <c r="AO734" t="s">
        <v>52</v>
      </c>
      <c r="AP734" t="s">
        <v>52</v>
      </c>
      <c r="AQ734" t="s">
        <v>52</v>
      </c>
      <c r="AR734" t="s">
        <v>55</v>
      </c>
      <c r="AS734" t="s">
        <v>60</v>
      </c>
    </row>
    <row r="735" spans="1:45" x14ac:dyDescent="0.25">
      <c r="A735" t="s">
        <v>47</v>
      </c>
      <c r="B735">
        <v>8</v>
      </c>
      <c r="C735" t="s">
        <v>166</v>
      </c>
      <c r="D735">
        <v>67</v>
      </c>
      <c r="E735" t="s">
        <v>77</v>
      </c>
      <c r="F735">
        <v>51</v>
      </c>
      <c r="G735" t="s">
        <v>78</v>
      </c>
      <c r="H735" t="s">
        <v>50</v>
      </c>
      <c r="K735" t="s">
        <v>51</v>
      </c>
      <c r="L735">
        <v>1</v>
      </c>
      <c r="M735" t="s">
        <v>52</v>
      </c>
      <c r="N735" t="s">
        <v>53</v>
      </c>
      <c r="R735">
        <v>0.5</v>
      </c>
      <c r="S735">
        <v>0.73</v>
      </c>
      <c r="T735">
        <v>0</v>
      </c>
      <c r="U735">
        <v>0</v>
      </c>
      <c r="V735" s="1">
        <v>46569</v>
      </c>
      <c r="W735" s="1">
        <v>46675</v>
      </c>
      <c r="X735" s="1">
        <v>46461</v>
      </c>
      <c r="Z735" t="s">
        <v>52</v>
      </c>
      <c r="AB735" t="s">
        <v>52</v>
      </c>
      <c r="AC735">
        <v>51</v>
      </c>
      <c r="AD735">
        <v>2</v>
      </c>
      <c r="AK735" t="s">
        <v>52</v>
      </c>
      <c r="AN735" t="s">
        <v>52</v>
      </c>
      <c r="AO735" t="s">
        <v>52</v>
      </c>
      <c r="AP735" t="s">
        <v>52</v>
      </c>
      <c r="AQ735" t="s">
        <v>52</v>
      </c>
      <c r="AR735" t="s">
        <v>55</v>
      </c>
    </row>
    <row r="736" spans="1:45" x14ac:dyDescent="0.25">
      <c r="A736" t="s">
        <v>47</v>
      </c>
      <c r="B736">
        <v>8</v>
      </c>
      <c r="C736" t="s">
        <v>166</v>
      </c>
      <c r="D736">
        <v>67</v>
      </c>
      <c r="E736" t="s">
        <v>77</v>
      </c>
      <c r="F736">
        <v>51</v>
      </c>
      <c r="G736" t="s">
        <v>78</v>
      </c>
      <c r="H736" t="s">
        <v>50</v>
      </c>
      <c r="K736" t="s">
        <v>52</v>
      </c>
      <c r="L736">
        <v>1</v>
      </c>
      <c r="M736" t="s">
        <v>52</v>
      </c>
      <c r="N736" t="s">
        <v>53</v>
      </c>
      <c r="R736">
        <v>0.5</v>
      </c>
      <c r="S736">
        <v>0.73</v>
      </c>
      <c r="T736">
        <v>0</v>
      </c>
      <c r="U736">
        <v>0</v>
      </c>
      <c r="V736" s="1">
        <v>46569</v>
      </c>
      <c r="W736" s="1">
        <v>46675</v>
      </c>
      <c r="X736" s="1">
        <v>46461</v>
      </c>
      <c r="Z736" t="s">
        <v>52</v>
      </c>
      <c r="AB736" t="s">
        <v>52</v>
      </c>
      <c r="AC736">
        <v>51</v>
      </c>
      <c r="AD736">
        <v>2</v>
      </c>
      <c r="AK736" t="s">
        <v>52</v>
      </c>
      <c r="AN736" t="s">
        <v>52</v>
      </c>
      <c r="AO736" t="s">
        <v>52</v>
      </c>
      <c r="AP736" t="s">
        <v>52</v>
      </c>
      <c r="AQ736" t="s">
        <v>52</v>
      </c>
      <c r="AR736" t="s">
        <v>55</v>
      </c>
    </row>
    <row r="737" spans="1:45" x14ac:dyDescent="0.25">
      <c r="A737" t="s">
        <v>47</v>
      </c>
      <c r="B737">
        <v>8</v>
      </c>
      <c r="C737" t="s">
        <v>166</v>
      </c>
      <c r="D737">
        <v>67</v>
      </c>
      <c r="E737" t="s">
        <v>79</v>
      </c>
      <c r="F737">
        <v>50</v>
      </c>
      <c r="G737" t="s">
        <v>80</v>
      </c>
      <c r="H737" t="s">
        <v>50</v>
      </c>
      <c r="K737" t="s">
        <v>51</v>
      </c>
      <c r="L737">
        <v>1</v>
      </c>
      <c r="M737" t="s">
        <v>52</v>
      </c>
      <c r="N737" t="s">
        <v>53</v>
      </c>
      <c r="R737">
        <v>0.5</v>
      </c>
      <c r="S737">
        <v>0.75</v>
      </c>
      <c r="T737">
        <v>0</v>
      </c>
      <c r="U737">
        <v>0</v>
      </c>
      <c r="V737" s="1">
        <v>46583</v>
      </c>
      <c r="W737" s="1">
        <v>46675</v>
      </c>
      <c r="X737" s="1">
        <v>46461</v>
      </c>
      <c r="Z737" t="s">
        <v>52</v>
      </c>
      <c r="AB737" t="s">
        <v>52</v>
      </c>
      <c r="AC737">
        <v>50</v>
      </c>
      <c r="AD737">
        <v>1</v>
      </c>
      <c r="AK737" t="s">
        <v>52</v>
      </c>
      <c r="AN737" t="s">
        <v>52</v>
      </c>
      <c r="AO737" t="s">
        <v>52</v>
      </c>
      <c r="AP737" t="s">
        <v>52</v>
      </c>
      <c r="AQ737" t="s">
        <v>52</v>
      </c>
      <c r="AR737" t="s">
        <v>55</v>
      </c>
    </row>
    <row r="738" spans="1:45" x14ac:dyDescent="0.25">
      <c r="A738" t="s">
        <v>47</v>
      </c>
      <c r="B738">
        <v>8</v>
      </c>
      <c r="C738" t="s">
        <v>166</v>
      </c>
      <c r="D738">
        <v>67</v>
      </c>
      <c r="E738" t="s">
        <v>79</v>
      </c>
      <c r="F738">
        <v>50</v>
      </c>
      <c r="G738" t="s">
        <v>65</v>
      </c>
      <c r="H738" t="s">
        <v>50</v>
      </c>
      <c r="K738" t="s">
        <v>51</v>
      </c>
      <c r="L738">
        <v>1</v>
      </c>
      <c r="M738" t="s">
        <v>52</v>
      </c>
      <c r="N738" t="s">
        <v>53</v>
      </c>
      <c r="R738">
        <v>0.5</v>
      </c>
      <c r="S738">
        <v>0.75</v>
      </c>
      <c r="T738">
        <v>0</v>
      </c>
      <c r="U738">
        <v>0</v>
      </c>
      <c r="V738" s="1">
        <v>46583</v>
      </c>
      <c r="W738" s="1">
        <v>46675</v>
      </c>
      <c r="X738" s="1">
        <v>46461</v>
      </c>
      <c r="Z738" t="s">
        <v>52</v>
      </c>
      <c r="AB738" t="s">
        <v>52</v>
      </c>
      <c r="AC738">
        <v>50</v>
      </c>
      <c r="AD738">
        <v>1</v>
      </c>
      <c r="AK738" t="s">
        <v>52</v>
      </c>
      <c r="AN738" t="s">
        <v>52</v>
      </c>
      <c r="AO738" t="s">
        <v>52</v>
      </c>
      <c r="AP738" t="s">
        <v>52</v>
      </c>
      <c r="AQ738" t="s">
        <v>52</v>
      </c>
      <c r="AR738" t="s">
        <v>55</v>
      </c>
    </row>
    <row r="739" spans="1:45" x14ac:dyDescent="0.25">
      <c r="A739" t="s">
        <v>47</v>
      </c>
      <c r="B739">
        <v>8</v>
      </c>
      <c r="C739" t="s">
        <v>166</v>
      </c>
      <c r="D739">
        <v>67</v>
      </c>
      <c r="E739" t="s">
        <v>79</v>
      </c>
      <c r="F739">
        <v>50</v>
      </c>
      <c r="G739" t="s">
        <v>81</v>
      </c>
      <c r="H739" t="s">
        <v>50</v>
      </c>
      <c r="K739" t="s">
        <v>51</v>
      </c>
      <c r="L739">
        <v>1</v>
      </c>
      <c r="M739" t="s">
        <v>52</v>
      </c>
      <c r="N739" t="s">
        <v>53</v>
      </c>
      <c r="R739">
        <v>0.5</v>
      </c>
      <c r="S739">
        <v>0.75</v>
      </c>
      <c r="T739">
        <v>0</v>
      </c>
      <c r="U739">
        <v>0</v>
      </c>
      <c r="V739" s="1">
        <v>46583</v>
      </c>
      <c r="W739" s="1">
        <v>46675</v>
      </c>
      <c r="X739" s="1">
        <v>46461</v>
      </c>
      <c r="Z739" t="s">
        <v>52</v>
      </c>
      <c r="AB739" t="s">
        <v>52</v>
      </c>
      <c r="AC739">
        <v>50</v>
      </c>
      <c r="AD739">
        <v>1</v>
      </c>
      <c r="AK739" t="s">
        <v>52</v>
      </c>
      <c r="AN739" t="s">
        <v>52</v>
      </c>
      <c r="AO739" t="s">
        <v>52</v>
      </c>
      <c r="AP739" t="s">
        <v>52</v>
      </c>
      <c r="AQ739" t="s">
        <v>52</v>
      </c>
      <c r="AR739" t="s">
        <v>55</v>
      </c>
    </row>
    <row r="740" spans="1:45" x14ac:dyDescent="0.25">
      <c r="A740" t="s">
        <v>47</v>
      </c>
      <c r="B740">
        <v>8</v>
      </c>
      <c r="C740" t="s">
        <v>166</v>
      </c>
      <c r="D740">
        <v>67</v>
      </c>
      <c r="E740" t="s">
        <v>79</v>
      </c>
      <c r="F740">
        <v>50</v>
      </c>
      <c r="G740" t="s">
        <v>81</v>
      </c>
      <c r="H740" t="s">
        <v>50</v>
      </c>
      <c r="K740" t="s">
        <v>52</v>
      </c>
      <c r="L740">
        <v>1</v>
      </c>
      <c r="M740" t="s">
        <v>52</v>
      </c>
      <c r="N740" t="s">
        <v>53</v>
      </c>
      <c r="R740">
        <v>0.5</v>
      </c>
      <c r="S740">
        <v>0.75</v>
      </c>
      <c r="U740">
        <v>0</v>
      </c>
      <c r="V740" s="1">
        <v>46583</v>
      </c>
      <c r="W740" s="1">
        <v>46675</v>
      </c>
      <c r="X740" s="1">
        <v>46461</v>
      </c>
      <c r="Z740" t="s">
        <v>52</v>
      </c>
      <c r="AB740" t="s">
        <v>52</v>
      </c>
      <c r="AC740">
        <v>50</v>
      </c>
      <c r="AD740">
        <v>1</v>
      </c>
      <c r="AK740" t="s">
        <v>52</v>
      </c>
      <c r="AN740" t="s">
        <v>52</v>
      </c>
      <c r="AO740" t="s">
        <v>52</v>
      </c>
      <c r="AP740" t="s">
        <v>52</v>
      </c>
      <c r="AQ740" t="s">
        <v>52</v>
      </c>
      <c r="AR740" t="s">
        <v>55</v>
      </c>
    </row>
    <row r="741" spans="1:45" x14ac:dyDescent="0.25">
      <c r="A741" t="s">
        <v>47</v>
      </c>
      <c r="B741">
        <v>8</v>
      </c>
      <c r="C741" t="s">
        <v>166</v>
      </c>
      <c r="D741">
        <v>67</v>
      </c>
      <c r="E741" t="s">
        <v>82</v>
      </c>
      <c r="F741">
        <v>52</v>
      </c>
      <c r="H741" t="s">
        <v>50</v>
      </c>
      <c r="K741" t="s">
        <v>51</v>
      </c>
      <c r="L741">
        <v>1</v>
      </c>
      <c r="M741" t="s">
        <v>52</v>
      </c>
      <c r="N741" t="s">
        <v>53</v>
      </c>
      <c r="R741">
        <v>0.5</v>
      </c>
      <c r="S741">
        <v>0.75</v>
      </c>
      <c r="U741">
        <v>0</v>
      </c>
      <c r="V741" s="1">
        <v>46583</v>
      </c>
      <c r="W741" s="1">
        <v>46675</v>
      </c>
      <c r="X741" s="1">
        <v>46461</v>
      </c>
      <c r="Z741" t="s">
        <v>52</v>
      </c>
      <c r="AB741" t="s">
        <v>52</v>
      </c>
      <c r="AC741">
        <v>50</v>
      </c>
      <c r="AD741">
        <v>1</v>
      </c>
      <c r="AK741" t="s">
        <v>52</v>
      </c>
      <c r="AN741" t="s">
        <v>52</v>
      </c>
      <c r="AO741" t="s">
        <v>52</v>
      </c>
      <c r="AP741" t="s">
        <v>52</v>
      </c>
      <c r="AQ741" t="s">
        <v>52</v>
      </c>
      <c r="AR741" t="s">
        <v>55</v>
      </c>
      <c r="AS741" t="s">
        <v>107</v>
      </c>
    </row>
    <row r="742" spans="1:45" x14ac:dyDescent="0.25">
      <c r="A742" t="s">
        <v>47</v>
      </c>
      <c r="B742">
        <v>8</v>
      </c>
      <c r="C742" t="s">
        <v>166</v>
      </c>
      <c r="D742">
        <v>67</v>
      </c>
      <c r="E742" t="s">
        <v>82</v>
      </c>
      <c r="F742">
        <v>52</v>
      </c>
      <c r="H742" t="s">
        <v>50</v>
      </c>
      <c r="K742" t="s">
        <v>52</v>
      </c>
      <c r="L742">
        <v>1</v>
      </c>
      <c r="M742" t="s">
        <v>52</v>
      </c>
      <c r="N742" t="s">
        <v>53</v>
      </c>
      <c r="R742">
        <v>0.5</v>
      </c>
      <c r="S742">
        <v>0.75</v>
      </c>
      <c r="U742">
        <v>0</v>
      </c>
      <c r="V742" s="1">
        <v>46583</v>
      </c>
      <c r="W742" s="1">
        <v>46675</v>
      </c>
      <c r="X742" s="1">
        <v>46461</v>
      </c>
      <c r="Z742" t="s">
        <v>52</v>
      </c>
      <c r="AB742" t="s">
        <v>52</v>
      </c>
      <c r="AC742">
        <v>50</v>
      </c>
      <c r="AD742">
        <v>1</v>
      </c>
      <c r="AK742" t="s">
        <v>52</v>
      </c>
      <c r="AN742" t="s">
        <v>52</v>
      </c>
      <c r="AO742" t="s">
        <v>52</v>
      </c>
      <c r="AP742" t="s">
        <v>52</v>
      </c>
      <c r="AQ742" t="s">
        <v>52</v>
      </c>
      <c r="AR742" t="s">
        <v>55</v>
      </c>
      <c r="AS742" t="s">
        <v>107</v>
      </c>
    </row>
    <row r="743" spans="1:45" x14ac:dyDescent="0.25">
      <c r="A743" t="s">
        <v>47</v>
      </c>
      <c r="B743">
        <v>8</v>
      </c>
      <c r="C743" t="s">
        <v>166</v>
      </c>
      <c r="D743">
        <v>67</v>
      </c>
      <c r="E743" t="s">
        <v>83</v>
      </c>
      <c r="F743">
        <v>158</v>
      </c>
      <c r="H743" t="s">
        <v>50</v>
      </c>
      <c r="K743" t="s">
        <v>51</v>
      </c>
      <c r="L743">
        <v>1</v>
      </c>
      <c r="M743" t="s">
        <v>52</v>
      </c>
      <c r="N743" t="s">
        <v>53</v>
      </c>
      <c r="P743">
        <v>1.2</v>
      </c>
      <c r="R743">
        <v>0.77</v>
      </c>
      <c r="S743">
        <v>0.93</v>
      </c>
      <c r="T743">
        <v>0</v>
      </c>
      <c r="U743">
        <v>0</v>
      </c>
      <c r="V743" s="1">
        <v>46522</v>
      </c>
      <c r="W743" s="1">
        <v>46691</v>
      </c>
      <c r="X743" s="1">
        <v>46266</v>
      </c>
      <c r="Z743" t="s">
        <v>52</v>
      </c>
      <c r="AA743" t="s">
        <v>54</v>
      </c>
      <c r="AB743" t="s">
        <v>52</v>
      </c>
      <c r="AC743">
        <v>158</v>
      </c>
      <c r="AD743">
        <v>2</v>
      </c>
      <c r="AK743" t="s">
        <v>52</v>
      </c>
      <c r="AN743" t="s">
        <v>52</v>
      </c>
      <c r="AO743" t="s">
        <v>52</v>
      </c>
      <c r="AP743" t="s">
        <v>52</v>
      </c>
      <c r="AQ743" t="s">
        <v>52</v>
      </c>
      <c r="AR743" t="s">
        <v>95</v>
      </c>
      <c r="AS743" t="s">
        <v>140</v>
      </c>
    </row>
    <row r="744" spans="1:45" x14ac:dyDescent="0.25">
      <c r="A744" t="s">
        <v>47</v>
      </c>
      <c r="B744">
        <v>8</v>
      </c>
      <c r="C744" t="s">
        <v>166</v>
      </c>
      <c r="D744">
        <v>67</v>
      </c>
      <c r="E744" t="s">
        <v>83</v>
      </c>
      <c r="F744">
        <v>158</v>
      </c>
      <c r="H744" t="s">
        <v>50</v>
      </c>
      <c r="K744" t="s">
        <v>52</v>
      </c>
      <c r="L744">
        <v>1</v>
      </c>
      <c r="M744" t="s">
        <v>52</v>
      </c>
      <c r="N744" t="s">
        <v>53</v>
      </c>
      <c r="R744">
        <v>0.77</v>
      </c>
      <c r="S744">
        <v>0.93</v>
      </c>
      <c r="U744">
        <v>0</v>
      </c>
      <c r="V744" s="1">
        <v>46522</v>
      </c>
      <c r="W744" s="1">
        <v>46691</v>
      </c>
      <c r="X744" s="1">
        <v>46266</v>
      </c>
      <c r="Z744" t="s">
        <v>52</v>
      </c>
      <c r="AB744" t="s">
        <v>52</v>
      </c>
      <c r="AC744">
        <v>158</v>
      </c>
      <c r="AD744">
        <v>2</v>
      </c>
      <c r="AK744" t="s">
        <v>52</v>
      </c>
      <c r="AN744" t="s">
        <v>52</v>
      </c>
      <c r="AO744" t="s">
        <v>52</v>
      </c>
      <c r="AP744" t="s">
        <v>52</v>
      </c>
      <c r="AQ744" t="s">
        <v>52</v>
      </c>
      <c r="AR744" t="s">
        <v>55</v>
      </c>
    </row>
    <row r="745" spans="1:45" x14ac:dyDescent="0.25">
      <c r="A745" t="s">
        <v>47</v>
      </c>
      <c r="B745">
        <v>8</v>
      </c>
      <c r="C745" t="s">
        <v>168</v>
      </c>
      <c r="D745">
        <v>69</v>
      </c>
      <c r="E745" t="s">
        <v>49</v>
      </c>
      <c r="F745">
        <v>27</v>
      </c>
      <c r="H745" t="s">
        <v>50</v>
      </c>
      <c r="K745" t="s">
        <v>51</v>
      </c>
      <c r="L745">
        <v>1</v>
      </c>
      <c r="M745" t="s">
        <v>52</v>
      </c>
      <c r="N745" t="s">
        <v>53</v>
      </c>
      <c r="Q745">
        <v>230</v>
      </c>
      <c r="R745">
        <v>0</v>
      </c>
      <c r="S745">
        <v>0.75</v>
      </c>
      <c r="T745">
        <v>0</v>
      </c>
      <c r="U745">
        <v>0</v>
      </c>
      <c r="W745" s="1">
        <v>46675</v>
      </c>
      <c r="X745" s="1">
        <v>46357</v>
      </c>
      <c r="Y745" t="s">
        <v>54</v>
      </c>
      <c r="Z745" t="s">
        <v>52</v>
      </c>
      <c r="AB745" t="s">
        <v>52</v>
      </c>
      <c r="AC745">
        <v>27</v>
      </c>
      <c r="AD745">
        <v>1</v>
      </c>
      <c r="AE745">
        <v>0.97</v>
      </c>
      <c r="AG745">
        <v>0.97</v>
      </c>
      <c r="AK745" t="s">
        <v>52</v>
      </c>
      <c r="AN745" t="s">
        <v>52</v>
      </c>
      <c r="AO745" t="s">
        <v>52</v>
      </c>
      <c r="AP745" t="s">
        <v>52</v>
      </c>
      <c r="AQ745" t="s">
        <v>52</v>
      </c>
      <c r="AR745" t="s">
        <v>55</v>
      </c>
    </row>
    <row r="746" spans="1:45" x14ac:dyDescent="0.25">
      <c r="A746" t="s">
        <v>47</v>
      </c>
      <c r="B746">
        <v>8</v>
      </c>
      <c r="C746" t="s">
        <v>168</v>
      </c>
      <c r="D746">
        <v>69</v>
      </c>
      <c r="E746" t="s">
        <v>49</v>
      </c>
      <c r="F746">
        <v>27</v>
      </c>
      <c r="H746" t="s">
        <v>50</v>
      </c>
      <c r="K746" t="s">
        <v>52</v>
      </c>
      <c r="L746">
        <v>1</v>
      </c>
      <c r="M746" t="s">
        <v>52</v>
      </c>
      <c r="N746" t="s">
        <v>53</v>
      </c>
      <c r="Q746">
        <v>230</v>
      </c>
      <c r="R746">
        <v>0</v>
      </c>
      <c r="S746">
        <v>0.75</v>
      </c>
      <c r="T746">
        <v>0</v>
      </c>
      <c r="U746">
        <v>0</v>
      </c>
      <c r="W746" s="1">
        <v>46675</v>
      </c>
      <c r="X746" s="1">
        <v>46357</v>
      </c>
      <c r="Y746" t="s">
        <v>54</v>
      </c>
      <c r="Z746" t="s">
        <v>52</v>
      </c>
      <c r="AB746" t="s">
        <v>52</v>
      </c>
      <c r="AC746">
        <v>27</v>
      </c>
      <c r="AD746">
        <v>1</v>
      </c>
      <c r="AE746">
        <v>0.97</v>
      </c>
      <c r="AG746">
        <v>0.97</v>
      </c>
      <c r="AK746" t="s">
        <v>52</v>
      </c>
      <c r="AN746" t="s">
        <v>52</v>
      </c>
      <c r="AO746" t="s">
        <v>52</v>
      </c>
      <c r="AP746" t="s">
        <v>52</v>
      </c>
      <c r="AQ746" t="s">
        <v>52</v>
      </c>
      <c r="AR746" t="s">
        <v>55</v>
      </c>
      <c r="AS746" t="s">
        <v>57</v>
      </c>
    </row>
    <row r="747" spans="1:45" x14ac:dyDescent="0.25">
      <c r="A747" t="s">
        <v>47</v>
      </c>
      <c r="B747">
        <v>8</v>
      </c>
      <c r="C747" t="s">
        <v>168</v>
      </c>
      <c r="D747">
        <v>69</v>
      </c>
      <c r="E747" t="s">
        <v>58</v>
      </c>
      <c r="F747">
        <v>102</v>
      </c>
      <c r="G747" t="s">
        <v>61</v>
      </c>
      <c r="H747" t="s">
        <v>50</v>
      </c>
      <c r="K747" t="s">
        <v>51</v>
      </c>
      <c r="L747">
        <v>1</v>
      </c>
      <c r="M747" t="s">
        <v>52</v>
      </c>
      <c r="N747" t="s">
        <v>53</v>
      </c>
      <c r="R747">
        <v>0</v>
      </c>
      <c r="S747">
        <v>0.92</v>
      </c>
      <c r="T747">
        <v>0</v>
      </c>
      <c r="U747">
        <v>0</v>
      </c>
      <c r="W747" s="1">
        <v>46731</v>
      </c>
      <c r="X747" s="1">
        <v>46357</v>
      </c>
      <c r="Z747" t="s">
        <v>52</v>
      </c>
      <c r="AB747" t="s">
        <v>52</v>
      </c>
      <c r="AC747">
        <v>102</v>
      </c>
      <c r="AD747">
        <v>1</v>
      </c>
      <c r="AK747" t="s">
        <v>52</v>
      </c>
      <c r="AN747" t="s">
        <v>52</v>
      </c>
      <c r="AO747" t="s">
        <v>52</v>
      </c>
      <c r="AP747" t="s">
        <v>52</v>
      </c>
      <c r="AQ747" t="s">
        <v>52</v>
      </c>
      <c r="AR747" t="s">
        <v>55</v>
      </c>
    </row>
    <row r="748" spans="1:45" x14ac:dyDescent="0.25">
      <c r="A748" t="s">
        <v>47</v>
      </c>
      <c r="B748">
        <v>8</v>
      </c>
      <c r="C748" t="s">
        <v>168</v>
      </c>
      <c r="D748">
        <v>69</v>
      </c>
      <c r="E748" t="s">
        <v>58</v>
      </c>
      <c r="F748">
        <v>102</v>
      </c>
      <c r="G748" t="s">
        <v>61</v>
      </c>
      <c r="H748" t="s">
        <v>50</v>
      </c>
      <c r="K748" t="s">
        <v>52</v>
      </c>
      <c r="L748">
        <v>1</v>
      </c>
      <c r="M748" t="s">
        <v>52</v>
      </c>
      <c r="N748" t="s">
        <v>53</v>
      </c>
      <c r="R748">
        <v>0</v>
      </c>
      <c r="S748">
        <v>0.92</v>
      </c>
      <c r="T748">
        <v>0</v>
      </c>
      <c r="U748">
        <v>0</v>
      </c>
      <c r="W748" s="1">
        <v>46731</v>
      </c>
      <c r="X748" s="1">
        <v>46357</v>
      </c>
      <c r="Z748" t="s">
        <v>52</v>
      </c>
      <c r="AB748" t="s">
        <v>52</v>
      </c>
      <c r="AC748">
        <v>102</v>
      </c>
      <c r="AD748">
        <v>1</v>
      </c>
      <c r="AK748" t="s">
        <v>52</v>
      </c>
      <c r="AN748" t="s">
        <v>52</v>
      </c>
      <c r="AO748" t="s">
        <v>52</v>
      </c>
      <c r="AP748" t="s">
        <v>52</v>
      </c>
      <c r="AQ748" t="s">
        <v>52</v>
      </c>
      <c r="AR748" t="s">
        <v>55</v>
      </c>
    </row>
    <row r="749" spans="1:45" x14ac:dyDescent="0.25">
      <c r="A749" t="s">
        <v>47</v>
      </c>
      <c r="B749">
        <v>8</v>
      </c>
      <c r="C749" t="s">
        <v>168</v>
      </c>
      <c r="D749">
        <v>69</v>
      </c>
      <c r="E749" t="s">
        <v>58</v>
      </c>
      <c r="F749">
        <v>102</v>
      </c>
      <c r="G749" t="s">
        <v>62</v>
      </c>
      <c r="H749" t="s">
        <v>50</v>
      </c>
      <c r="K749" t="s">
        <v>51</v>
      </c>
      <c r="L749">
        <v>1</v>
      </c>
      <c r="M749" t="s">
        <v>52</v>
      </c>
      <c r="N749" t="s">
        <v>53</v>
      </c>
      <c r="R749">
        <v>0</v>
      </c>
      <c r="S749">
        <v>0.92</v>
      </c>
      <c r="T749">
        <v>0</v>
      </c>
      <c r="U749">
        <v>0</v>
      </c>
      <c r="W749" s="1">
        <v>46731</v>
      </c>
      <c r="X749" s="1">
        <v>46357</v>
      </c>
      <c r="Z749" t="s">
        <v>52</v>
      </c>
      <c r="AB749" t="s">
        <v>52</v>
      </c>
      <c r="AC749">
        <v>102</v>
      </c>
      <c r="AD749">
        <v>1</v>
      </c>
      <c r="AK749" t="s">
        <v>52</v>
      </c>
      <c r="AN749" t="s">
        <v>52</v>
      </c>
      <c r="AO749" t="s">
        <v>52</v>
      </c>
      <c r="AP749" t="s">
        <v>52</v>
      </c>
      <c r="AQ749" t="s">
        <v>52</v>
      </c>
      <c r="AR749" t="s">
        <v>55</v>
      </c>
    </row>
    <row r="750" spans="1:45" x14ac:dyDescent="0.25">
      <c r="A750" t="s">
        <v>47</v>
      </c>
      <c r="B750">
        <v>8</v>
      </c>
      <c r="C750" t="s">
        <v>168</v>
      </c>
      <c r="D750">
        <v>69</v>
      </c>
      <c r="E750" t="s">
        <v>58</v>
      </c>
      <c r="F750">
        <v>102</v>
      </c>
      <c r="G750" t="s">
        <v>62</v>
      </c>
      <c r="H750" t="s">
        <v>50</v>
      </c>
      <c r="K750" t="s">
        <v>52</v>
      </c>
      <c r="L750">
        <v>1</v>
      </c>
      <c r="M750" t="s">
        <v>52</v>
      </c>
      <c r="N750" t="s">
        <v>53</v>
      </c>
      <c r="R750">
        <v>0</v>
      </c>
      <c r="S750">
        <v>0.92</v>
      </c>
      <c r="T750">
        <v>0</v>
      </c>
      <c r="U750">
        <v>0</v>
      </c>
      <c r="W750" s="1">
        <v>46731</v>
      </c>
      <c r="X750" s="1">
        <v>46357</v>
      </c>
      <c r="Z750" t="s">
        <v>52</v>
      </c>
      <c r="AB750" t="s">
        <v>52</v>
      </c>
      <c r="AC750">
        <v>102</v>
      </c>
      <c r="AD750">
        <v>1</v>
      </c>
      <c r="AK750" t="s">
        <v>52</v>
      </c>
      <c r="AN750" t="s">
        <v>52</v>
      </c>
      <c r="AO750" t="s">
        <v>52</v>
      </c>
      <c r="AP750" t="s">
        <v>52</v>
      </c>
      <c r="AQ750" t="s">
        <v>52</v>
      </c>
      <c r="AR750" t="s">
        <v>55</v>
      </c>
    </row>
    <row r="751" spans="1:45" x14ac:dyDescent="0.25">
      <c r="A751" t="s">
        <v>47</v>
      </c>
      <c r="B751">
        <v>8</v>
      </c>
      <c r="C751" t="s">
        <v>168</v>
      </c>
      <c r="D751">
        <v>69</v>
      </c>
      <c r="E751" t="s">
        <v>58</v>
      </c>
      <c r="F751">
        <v>102</v>
      </c>
      <c r="G751" t="s">
        <v>63</v>
      </c>
      <c r="H751" t="s">
        <v>50</v>
      </c>
      <c r="K751" t="s">
        <v>51</v>
      </c>
      <c r="L751">
        <v>1</v>
      </c>
      <c r="M751" t="s">
        <v>52</v>
      </c>
      <c r="N751" t="s">
        <v>53</v>
      </c>
      <c r="R751">
        <v>0</v>
      </c>
      <c r="S751">
        <v>0.92</v>
      </c>
      <c r="T751">
        <v>0</v>
      </c>
      <c r="U751">
        <v>0</v>
      </c>
      <c r="W751" s="1">
        <v>46731</v>
      </c>
      <c r="X751" s="1">
        <v>46357</v>
      </c>
      <c r="Z751" t="s">
        <v>52</v>
      </c>
      <c r="AB751" t="s">
        <v>52</v>
      </c>
      <c r="AC751">
        <v>102</v>
      </c>
      <c r="AD751">
        <v>1</v>
      </c>
      <c r="AK751" t="s">
        <v>52</v>
      </c>
      <c r="AN751" t="s">
        <v>52</v>
      </c>
      <c r="AO751" t="s">
        <v>52</v>
      </c>
      <c r="AP751" t="s">
        <v>52</v>
      </c>
      <c r="AQ751" t="s">
        <v>52</v>
      </c>
      <c r="AR751" t="s">
        <v>55</v>
      </c>
    </row>
    <row r="752" spans="1:45" x14ac:dyDescent="0.25">
      <c r="A752" t="s">
        <v>47</v>
      </c>
      <c r="B752">
        <v>8</v>
      </c>
      <c r="C752" t="s">
        <v>168</v>
      </c>
      <c r="D752">
        <v>69</v>
      </c>
      <c r="E752" t="s">
        <v>58</v>
      </c>
      <c r="F752">
        <v>102</v>
      </c>
      <c r="G752" t="s">
        <v>63</v>
      </c>
      <c r="H752" t="s">
        <v>50</v>
      </c>
      <c r="K752" t="s">
        <v>52</v>
      </c>
      <c r="L752">
        <v>1</v>
      </c>
      <c r="M752" t="s">
        <v>52</v>
      </c>
      <c r="N752" t="s">
        <v>53</v>
      </c>
      <c r="R752">
        <v>0</v>
      </c>
      <c r="S752">
        <v>0.92</v>
      </c>
      <c r="T752">
        <v>0</v>
      </c>
      <c r="U752">
        <v>0</v>
      </c>
      <c r="W752" s="1">
        <v>46731</v>
      </c>
      <c r="X752" s="1">
        <v>46357</v>
      </c>
      <c r="Z752" t="s">
        <v>52</v>
      </c>
      <c r="AB752" t="s">
        <v>52</v>
      </c>
      <c r="AC752">
        <v>102</v>
      </c>
      <c r="AD752">
        <v>1</v>
      </c>
      <c r="AK752" t="s">
        <v>52</v>
      </c>
      <c r="AN752" t="s">
        <v>52</v>
      </c>
      <c r="AO752" t="s">
        <v>52</v>
      </c>
      <c r="AP752" t="s">
        <v>52</v>
      </c>
      <c r="AQ752" t="s">
        <v>52</v>
      </c>
      <c r="AR752" t="s">
        <v>55</v>
      </c>
    </row>
    <row r="753" spans="1:45" x14ac:dyDescent="0.25">
      <c r="A753" t="s">
        <v>47</v>
      </c>
      <c r="B753">
        <v>8</v>
      </c>
      <c r="C753" t="s">
        <v>168</v>
      </c>
      <c r="D753">
        <v>69</v>
      </c>
      <c r="E753" t="s">
        <v>58</v>
      </c>
      <c r="F753">
        <v>102</v>
      </c>
      <c r="G753" t="s">
        <v>128</v>
      </c>
      <c r="H753" t="s">
        <v>50</v>
      </c>
      <c r="K753" t="s">
        <v>51</v>
      </c>
      <c r="L753">
        <v>1</v>
      </c>
      <c r="M753" t="s">
        <v>52</v>
      </c>
      <c r="N753" t="s">
        <v>53</v>
      </c>
      <c r="R753">
        <v>0</v>
      </c>
      <c r="S753">
        <v>0.92</v>
      </c>
      <c r="U753">
        <v>0</v>
      </c>
      <c r="W753" s="1">
        <v>46731</v>
      </c>
      <c r="X753" s="1">
        <v>46357</v>
      </c>
      <c r="Z753" t="s">
        <v>52</v>
      </c>
      <c r="AB753" t="s">
        <v>52</v>
      </c>
      <c r="AC753">
        <v>102</v>
      </c>
      <c r="AD753">
        <v>1</v>
      </c>
      <c r="AK753" t="s">
        <v>52</v>
      </c>
      <c r="AN753" t="s">
        <v>52</v>
      </c>
      <c r="AO753" t="s">
        <v>52</v>
      </c>
      <c r="AP753" t="s">
        <v>52</v>
      </c>
      <c r="AQ753" t="s">
        <v>52</v>
      </c>
      <c r="AR753" t="s">
        <v>55</v>
      </c>
    </row>
    <row r="754" spans="1:45" x14ac:dyDescent="0.25">
      <c r="A754" t="s">
        <v>47</v>
      </c>
      <c r="B754">
        <v>8</v>
      </c>
      <c r="C754" t="s">
        <v>168</v>
      </c>
      <c r="D754">
        <v>69</v>
      </c>
      <c r="E754" t="s">
        <v>58</v>
      </c>
      <c r="F754">
        <v>102</v>
      </c>
      <c r="G754" t="s">
        <v>118</v>
      </c>
      <c r="H754" t="s">
        <v>50</v>
      </c>
      <c r="K754" t="s">
        <v>51</v>
      </c>
      <c r="L754">
        <v>1</v>
      </c>
      <c r="M754" t="s">
        <v>52</v>
      </c>
      <c r="N754" t="s">
        <v>53</v>
      </c>
      <c r="R754">
        <v>0</v>
      </c>
      <c r="S754">
        <v>0.92</v>
      </c>
      <c r="T754">
        <v>0</v>
      </c>
      <c r="U754">
        <v>0</v>
      </c>
      <c r="W754" s="1">
        <v>46731</v>
      </c>
      <c r="X754" s="1">
        <v>46357</v>
      </c>
      <c r="Z754" t="s">
        <v>52</v>
      </c>
      <c r="AB754" t="s">
        <v>52</v>
      </c>
      <c r="AC754">
        <v>102</v>
      </c>
      <c r="AD754">
        <v>1</v>
      </c>
      <c r="AK754" t="s">
        <v>52</v>
      </c>
      <c r="AN754" t="s">
        <v>52</v>
      </c>
      <c r="AO754" t="s">
        <v>52</v>
      </c>
      <c r="AP754" t="s">
        <v>52</v>
      </c>
      <c r="AQ754" t="s">
        <v>52</v>
      </c>
      <c r="AR754" t="s">
        <v>55</v>
      </c>
      <c r="AS754" t="s">
        <v>60</v>
      </c>
    </row>
    <row r="755" spans="1:45" x14ac:dyDescent="0.25">
      <c r="A755" t="s">
        <v>47</v>
      </c>
      <c r="B755">
        <v>8</v>
      </c>
      <c r="C755" t="s">
        <v>168</v>
      </c>
      <c r="D755">
        <v>69</v>
      </c>
      <c r="E755" t="s">
        <v>58</v>
      </c>
      <c r="F755">
        <v>102</v>
      </c>
      <c r="G755" t="s">
        <v>118</v>
      </c>
      <c r="H755" t="s">
        <v>50</v>
      </c>
      <c r="K755" t="s">
        <v>52</v>
      </c>
      <c r="L755">
        <v>1</v>
      </c>
      <c r="M755" t="s">
        <v>52</v>
      </c>
      <c r="N755" t="s">
        <v>53</v>
      </c>
      <c r="R755">
        <v>0</v>
      </c>
      <c r="S755">
        <v>0.92</v>
      </c>
      <c r="T755">
        <v>0</v>
      </c>
      <c r="U755">
        <v>0</v>
      </c>
      <c r="W755" s="1">
        <v>46731</v>
      </c>
      <c r="X755" s="1">
        <v>46357</v>
      </c>
      <c r="Z755" t="s">
        <v>52</v>
      </c>
      <c r="AB755" t="s">
        <v>52</v>
      </c>
      <c r="AC755">
        <v>102</v>
      </c>
      <c r="AD755">
        <v>1</v>
      </c>
      <c r="AK755" t="s">
        <v>52</v>
      </c>
      <c r="AN755" t="s">
        <v>52</v>
      </c>
      <c r="AO755" t="s">
        <v>52</v>
      </c>
      <c r="AP755" t="s">
        <v>52</v>
      </c>
      <c r="AQ755" t="s">
        <v>52</v>
      </c>
      <c r="AR755" t="s">
        <v>55</v>
      </c>
      <c r="AS755" t="s">
        <v>60</v>
      </c>
    </row>
    <row r="756" spans="1:45" x14ac:dyDescent="0.25">
      <c r="A756" t="s">
        <v>47</v>
      </c>
      <c r="B756">
        <v>8</v>
      </c>
      <c r="C756" t="s">
        <v>168</v>
      </c>
      <c r="D756">
        <v>69</v>
      </c>
      <c r="E756" t="s">
        <v>68</v>
      </c>
      <c r="F756">
        <v>80</v>
      </c>
      <c r="G756" t="s">
        <v>69</v>
      </c>
      <c r="H756" t="s">
        <v>50</v>
      </c>
      <c r="K756" t="s">
        <v>51</v>
      </c>
      <c r="L756">
        <v>1</v>
      </c>
      <c r="M756" t="s">
        <v>52</v>
      </c>
      <c r="N756" t="s">
        <v>53</v>
      </c>
      <c r="R756">
        <v>0.5</v>
      </c>
      <c r="S756">
        <v>0.75</v>
      </c>
      <c r="T756">
        <v>0</v>
      </c>
      <c r="U756">
        <v>0</v>
      </c>
      <c r="V756" s="1">
        <v>46583</v>
      </c>
      <c r="W756" s="1">
        <v>46675</v>
      </c>
      <c r="X756" s="1">
        <v>46461</v>
      </c>
      <c r="Z756" t="s">
        <v>52</v>
      </c>
      <c r="AB756" t="s">
        <v>52</v>
      </c>
      <c r="AC756">
        <v>80</v>
      </c>
      <c r="AD756">
        <v>1</v>
      </c>
      <c r="AK756" t="s">
        <v>52</v>
      </c>
      <c r="AN756" t="s">
        <v>52</v>
      </c>
      <c r="AO756" t="s">
        <v>52</v>
      </c>
      <c r="AP756" t="s">
        <v>52</v>
      </c>
      <c r="AQ756" t="s">
        <v>52</v>
      </c>
      <c r="AR756" t="s">
        <v>55</v>
      </c>
      <c r="AS756" t="s">
        <v>88</v>
      </c>
    </row>
    <row r="757" spans="1:45" x14ac:dyDescent="0.25">
      <c r="A757" t="s">
        <v>47</v>
      </c>
      <c r="B757">
        <v>8</v>
      </c>
      <c r="C757" t="s">
        <v>168</v>
      </c>
      <c r="D757">
        <v>69</v>
      </c>
      <c r="E757" t="s">
        <v>68</v>
      </c>
      <c r="F757">
        <v>80</v>
      </c>
      <c r="G757" t="s">
        <v>69</v>
      </c>
      <c r="H757" t="s">
        <v>50</v>
      </c>
      <c r="K757" t="s">
        <v>52</v>
      </c>
      <c r="L757">
        <v>1</v>
      </c>
      <c r="M757" t="s">
        <v>52</v>
      </c>
      <c r="N757" t="s">
        <v>53</v>
      </c>
      <c r="R757">
        <v>0.5</v>
      </c>
      <c r="S757">
        <v>0.75</v>
      </c>
      <c r="T757">
        <v>0</v>
      </c>
      <c r="U757">
        <v>0</v>
      </c>
      <c r="V757" s="1">
        <v>46583</v>
      </c>
      <c r="W757" s="1">
        <v>46675</v>
      </c>
      <c r="X757" s="1">
        <v>46461</v>
      </c>
      <c r="Z757" t="s">
        <v>52</v>
      </c>
      <c r="AB757" t="s">
        <v>52</v>
      </c>
      <c r="AC757">
        <v>80</v>
      </c>
      <c r="AD757">
        <v>1</v>
      </c>
      <c r="AK757" t="s">
        <v>52</v>
      </c>
      <c r="AN757" t="s">
        <v>52</v>
      </c>
      <c r="AO757" t="s">
        <v>52</v>
      </c>
      <c r="AP757" t="s">
        <v>52</v>
      </c>
      <c r="AQ757" t="s">
        <v>52</v>
      </c>
      <c r="AR757" t="s">
        <v>55</v>
      </c>
      <c r="AS757" t="s">
        <v>88</v>
      </c>
    </row>
    <row r="758" spans="1:45" x14ac:dyDescent="0.25">
      <c r="A758" t="s">
        <v>47</v>
      </c>
      <c r="B758">
        <v>8</v>
      </c>
      <c r="C758" t="s">
        <v>168</v>
      </c>
      <c r="D758">
        <v>69</v>
      </c>
      <c r="E758" t="s">
        <v>70</v>
      </c>
      <c r="F758">
        <v>296</v>
      </c>
      <c r="G758" t="s">
        <v>71</v>
      </c>
      <c r="H758" t="s">
        <v>50</v>
      </c>
      <c r="K758" t="s">
        <v>51</v>
      </c>
      <c r="L758">
        <v>1</v>
      </c>
      <c r="M758" t="s">
        <v>52</v>
      </c>
      <c r="N758" t="s">
        <v>53</v>
      </c>
      <c r="Q758">
        <v>224.33330000000001</v>
      </c>
      <c r="R758">
        <v>0</v>
      </c>
      <c r="S758">
        <v>0.75</v>
      </c>
      <c r="T758">
        <v>0</v>
      </c>
      <c r="U758">
        <v>0</v>
      </c>
      <c r="W758" s="1">
        <v>46675</v>
      </c>
      <c r="X758" s="1">
        <v>46357</v>
      </c>
      <c r="Y758" t="s">
        <v>54</v>
      </c>
      <c r="Z758" t="s">
        <v>52</v>
      </c>
      <c r="AB758" t="s">
        <v>52</v>
      </c>
      <c r="AC758">
        <v>296</v>
      </c>
      <c r="AD758">
        <v>1</v>
      </c>
      <c r="AK758" t="s">
        <v>52</v>
      </c>
      <c r="AN758" t="s">
        <v>52</v>
      </c>
      <c r="AO758" t="s">
        <v>52</v>
      </c>
      <c r="AP758" t="s">
        <v>52</v>
      </c>
      <c r="AQ758" t="s">
        <v>52</v>
      </c>
      <c r="AR758" t="s">
        <v>55</v>
      </c>
    </row>
    <row r="759" spans="1:45" x14ac:dyDescent="0.25">
      <c r="A759" t="s">
        <v>47</v>
      </c>
      <c r="B759">
        <v>8</v>
      </c>
      <c r="C759" t="s">
        <v>168</v>
      </c>
      <c r="D759">
        <v>69</v>
      </c>
      <c r="E759" t="s">
        <v>70</v>
      </c>
      <c r="F759">
        <v>296</v>
      </c>
      <c r="G759" t="s">
        <v>71</v>
      </c>
      <c r="H759" t="s">
        <v>50</v>
      </c>
      <c r="K759" t="s">
        <v>52</v>
      </c>
      <c r="L759">
        <v>1</v>
      </c>
      <c r="M759" t="s">
        <v>52</v>
      </c>
      <c r="N759" t="s">
        <v>53</v>
      </c>
      <c r="Q759">
        <v>224.33330000000001</v>
      </c>
      <c r="R759">
        <v>0</v>
      </c>
      <c r="S759">
        <v>0.75</v>
      </c>
      <c r="T759">
        <v>0</v>
      </c>
      <c r="U759">
        <v>0</v>
      </c>
      <c r="W759" s="1">
        <v>46675</v>
      </c>
      <c r="X759" s="1">
        <v>46357</v>
      </c>
      <c r="Y759" t="s">
        <v>54</v>
      </c>
      <c r="Z759" t="s">
        <v>52</v>
      </c>
      <c r="AB759" t="s">
        <v>52</v>
      </c>
      <c r="AC759">
        <v>296</v>
      </c>
      <c r="AD759">
        <v>1</v>
      </c>
      <c r="AK759" t="s">
        <v>52</v>
      </c>
      <c r="AN759" t="s">
        <v>52</v>
      </c>
      <c r="AO759" t="s">
        <v>52</v>
      </c>
      <c r="AP759" t="s">
        <v>52</v>
      </c>
      <c r="AQ759" t="s">
        <v>52</v>
      </c>
      <c r="AR759" t="s">
        <v>55</v>
      </c>
    </row>
    <row r="760" spans="1:45" x14ac:dyDescent="0.25">
      <c r="A760" t="s">
        <v>47</v>
      </c>
      <c r="B760">
        <v>8</v>
      </c>
      <c r="C760" t="s">
        <v>168</v>
      </c>
      <c r="D760">
        <v>69</v>
      </c>
      <c r="E760" t="s">
        <v>70</v>
      </c>
      <c r="F760">
        <v>296</v>
      </c>
      <c r="G760" t="s">
        <v>73</v>
      </c>
      <c r="H760" t="s">
        <v>50</v>
      </c>
      <c r="K760" t="s">
        <v>51</v>
      </c>
      <c r="L760">
        <v>1</v>
      </c>
      <c r="M760" t="s">
        <v>52</v>
      </c>
      <c r="N760" t="s">
        <v>53</v>
      </c>
      <c r="R760">
        <v>0</v>
      </c>
      <c r="S760">
        <v>0.75</v>
      </c>
      <c r="T760">
        <v>0</v>
      </c>
      <c r="U760">
        <v>0</v>
      </c>
      <c r="W760" s="1">
        <v>46675</v>
      </c>
      <c r="X760" s="1">
        <v>46357</v>
      </c>
      <c r="Z760" t="s">
        <v>52</v>
      </c>
      <c r="AB760" t="s">
        <v>52</v>
      </c>
      <c r="AC760">
        <v>296</v>
      </c>
      <c r="AD760">
        <v>1</v>
      </c>
      <c r="AK760" t="s">
        <v>52</v>
      </c>
      <c r="AN760" t="s">
        <v>52</v>
      </c>
      <c r="AO760" t="s">
        <v>52</v>
      </c>
      <c r="AP760" t="s">
        <v>52</v>
      </c>
      <c r="AQ760" t="s">
        <v>52</v>
      </c>
      <c r="AR760" t="s">
        <v>55</v>
      </c>
    </row>
    <row r="761" spans="1:45" x14ac:dyDescent="0.25">
      <c r="A761" t="s">
        <v>47</v>
      </c>
      <c r="B761">
        <v>8</v>
      </c>
      <c r="C761" t="s">
        <v>168</v>
      </c>
      <c r="D761">
        <v>69</v>
      </c>
      <c r="E761" t="s">
        <v>70</v>
      </c>
      <c r="F761">
        <v>296</v>
      </c>
      <c r="G761" t="s">
        <v>73</v>
      </c>
      <c r="H761" t="s">
        <v>50</v>
      </c>
      <c r="K761" t="s">
        <v>52</v>
      </c>
      <c r="L761">
        <v>1</v>
      </c>
      <c r="M761" t="s">
        <v>52</v>
      </c>
      <c r="N761" t="s">
        <v>53</v>
      </c>
      <c r="R761">
        <v>0</v>
      </c>
      <c r="S761">
        <v>0.75</v>
      </c>
      <c r="T761">
        <v>0</v>
      </c>
      <c r="U761">
        <v>0</v>
      </c>
      <c r="W761" s="1">
        <v>46675</v>
      </c>
      <c r="X761" s="1">
        <v>46357</v>
      </c>
      <c r="Z761" t="s">
        <v>52</v>
      </c>
      <c r="AB761" t="s">
        <v>52</v>
      </c>
      <c r="AC761">
        <v>296</v>
      </c>
      <c r="AD761">
        <v>1</v>
      </c>
      <c r="AK761" t="s">
        <v>52</v>
      </c>
      <c r="AN761" t="s">
        <v>52</v>
      </c>
      <c r="AO761" t="s">
        <v>52</v>
      </c>
      <c r="AP761" t="s">
        <v>52</v>
      </c>
      <c r="AQ761" t="s">
        <v>52</v>
      </c>
      <c r="AR761" t="s">
        <v>55</v>
      </c>
    </row>
    <row r="762" spans="1:45" x14ac:dyDescent="0.25">
      <c r="A762" t="s">
        <v>47</v>
      </c>
      <c r="B762">
        <v>8</v>
      </c>
      <c r="C762" t="s">
        <v>168</v>
      </c>
      <c r="D762">
        <v>69</v>
      </c>
      <c r="E762" t="s">
        <v>70</v>
      </c>
      <c r="F762">
        <v>296</v>
      </c>
      <c r="G762" t="s">
        <v>74</v>
      </c>
      <c r="H762" t="s">
        <v>50</v>
      </c>
      <c r="K762" t="s">
        <v>51</v>
      </c>
      <c r="L762">
        <v>1</v>
      </c>
      <c r="M762" t="s">
        <v>52</v>
      </c>
      <c r="N762" t="s">
        <v>53</v>
      </c>
      <c r="R762">
        <v>0</v>
      </c>
      <c r="S762">
        <v>0.75</v>
      </c>
      <c r="T762">
        <v>0</v>
      </c>
      <c r="U762">
        <v>0</v>
      </c>
      <c r="W762" s="1">
        <v>46675</v>
      </c>
      <c r="X762" s="1">
        <v>46357</v>
      </c>
      <c r="Z762" t="s">
        <v>52</v>
      </c>
      <c r="AB762" t="s">
        <v>52</v>
      </c>
      <c r="AC762">
        <v>102</v>
      </c>
      <c r="AD762">
        <v>1</v>
      </c>
      <c r="AK762" t="s">
        <v>52</v>
      </c>
      <c r="AN762" t="s">
        <v>52</v>
      </c>
      <c r="AO762" t="s">
        <v>52</v>
      </c>
      <c r="AP762" t="s">
        <v>52</v>
      </c>
      <c r="AQ762" t="s">
        <v>52</v>
      </c>
      <c r="AR762" t="s">
        <v>55</v>
      </c>
    </row>
    <row r="763" spans="1:45" x14ac:dyDescent="0.25">
      <c r="A763" t="s">
        <v>47</v>
      </c>
      <c r="B763">
        <v>8</v>
      </c>
      <c r="C763" t="s">
        <v>168</v>
      </c>
      <c r="D763">
        <v>69</v>
      </c>
      <c r="E763" t="s">
        <v>70</v>
      </c>
      <c r="F763">
        <v>296</v>
      </c>
      <c r="G763" t="s">
        <v>74</v>
      </c>
      <c r="H763" t="s">
        <v>50</v>
      </c>
      <c r="K763" t="s">
        <v>52</v>
      </c>
      <c r="L763">
        <v>1</v>
      </c>
      <c r="M763" t="s">
        <v>52</v>
      </c>
      <c r="N763" t="s">
        <v>53</v>
      </c>
      <c r="R763">
        <v>0</v>
      </c>
      <c r="S763">
        <v>0.75</v>
      </c>
      <c r="T763">
        <v>0</v>
      </c>
      <c r="U763">
        <v>0</v>
      </c>
      <c r="W763" s="1">
        <v>46675</v>
      </c>
      <c r="X763" s="1">
        <v>46357</v>
      </c>
      <c r="Z763" t="s">
        <v>52</v>
      </c>
      <c r="AB763" t="s">
        <v>52</v>
      </c>
      <c r="AC763">
        <v>102</v>
      </c>
      <c r="AD763">
        <v>1</v>
      </c>
      <c r="AK763" t="s">
        <v>52</v>
      </c>
      <c r="AN763" t="s">
        <v>52</v>
      </c>
      <c r="AO763" t="s">
        <v>52</v>
      </c>
      <c r="AP763" t="s">
        <v>52</v>
      </c>
      <c r="AQ763" t="s">
        <v>52</v>
      </c>
      <c r="AR763" t="s">
        <v>55</v>
      </c>
      <c r="AS763" t="s">
        <v>106</v>
      </c>
    </row>
    <row r="764" spans="1:45" x14ac:dyDescent="0.25">
      <c r="A764" t="s">
        <v>47</v>
      </c>
      <c r="B764">
        <v>8</v>
      </c>
      <c r="C764" t="s">
        <v>168</v>
      </c>
      <c r="D764">
        <v>69</v>
      </c>
      <c r="E764" t="s">
        <v>70</v>
      </c>
      <c r="F764">
        <v>296</v>
      </c>
      <c r="G764" t="s">
        <v>91</v>
      </c>
      <c r="H764" t="s">
        <v>50</v>
      </c>
      <c r="K764" t="s">
        <v>51</v>
      </c>
      <c r="L764">
        <v>1</v>
      </c>
      <c r="M764" t="s">
        <v>52</v>
      </c>
      <c r="N764" t="s">
        <v>53</v>
      </c>
      <c r="R764">
        <v>0.5</v>
      </c>
      <c r="S764">
        <v>0.75</v>
      </c>
      <c r="T764">
        <v>0</v>
      </c>
      <c r="U764">
        <v>0</v>
      </c>
      <c r="W764" s="1">
        <v>46675</v>
      </c>
      <c r="X764" s="1">
        <v>46357</v>
      </c>
      <c r="Z764" t="s">
        <v>52</v>
      </c>
      <c r="AB764" t="s">
        <v>52</v>
      </c>
      <c r="AC764">
        <v>102</v>
      </c>
      <c r="AD764">
        <v>1</v>
      </c>
      <c r="AK764" t="s">
        <v>52</v>
      </c>
      <c r="AN764" t="s">
        <v>52</v>
      </c>
      <c r="AO764" t="s">
        <v>52</v>
      </c>
      <c r="AP764" t="s">
        <v>52</v>
      </c>
      <c r="AQ764" t="s">
        <v>52</v>
      </c>
      <c r="AR764" t="s">
        <v>55</v>
      </c>
    </row>
    <row r="765" spans="1:45" x14ac:dyDescent="0.25">
      <c r="A765" t="s">
        <v>47</v>
      </c>
      <c r="B765">
        <v>8</v>
      </c>
      <c r="C765" t="s">
        <v>168</v>
      </c>
      <c r="D765">
        <v>69</v>
      </c>
      <c r="E765" t="s">
        <v>75</v>
      </c>
      <c r="F765">
        <v>16</v>
      </c>
      <c r="G765" t="s">
        <v>76</v>
      </c>
      <c r="H765" t="s">
        <v>50</v>
      </c>
      <c r="K765" t="s">
        <v>51</v>
      </c>
      <c r="L765">
        <v>1</v>
      </c>
      <c r="M765" t="s">
        <v>52</v>
      </c>
      <c r="N765" t="s">
        <v>53</v>
      </c>
      <c r="R765">
        <v>0.5</v>
      </c>
      <c r="S765">
        <v>0.75</v>
      </c>
      <c r="T765">
        <v>0</v>
      </c>
      <c r="U765">
        <v>0</v>
      </c>
      <c r="V765" s="1">
        <v>46507</v>
      </c>
      <c r="W765" s="1">
        <v>46691</v>
      </c>
      <c r="X765" s="1">
        <v>46461</v>
      </c>
      <c r="Z765" t="s">
        <v>52</v>
      </c>
      <c r="AB765" t="s">
        <v>52</v>
      </c>
      <c r="AC765">
        <v>16</v>
      </c>
      <c r="AD765">
        <v>2</v>
      </c>
      <c r="AK765" t="s">
        <v>52</v>
      </c>
      <c r="AN765" t="s">
        <v>52</v>
      </c>
      <c r="AO765" t="s">
        <v>52</v>
      </c>
      <c r="AP765" t="s">
        <v>52</v>
      </c>
      <c r="AQ765" t="s">
        <v>52</v>
      </c>
      <c r="AR765" t="s">
        <v>55</v>
      </c>
    </row>
    <row r="766" spans="1:45" x14ac:dyDescent="0.25">
      <c r="A766" t="s">
        <v>47</v>
      </c>
      <c r="B766">
        <v>8</v>
      </c>
      <c r="C766" t="s">
        <v>168</v>
      </c>
      <c r="D766">
        <v>69</v>
      </c>
      <c r="E766" t="s">
        <v>75</v>
      </c>
      <c r="F766">
        <v>16</v>
      </c>
      <c r="G766" t="s">
        <v>76</v>
      </c>
      <c r="H766" t="s">
        <v>50</v>
      </c>
      <c r="K766" t="s">
        <v>52</v>
      </c>
      <c r="L766">
        <v>1</v>
      </c>
      <c r="M766" t="s">
        <v>52</v>
      </c>
      <c r="N766" t="s">
        <v>53</v>
      </c>
      <c r="R766">
        <v>0.5</v>
      </c>
      <c r="S766">
        <v>0.75</v>
      </c>
      <c r="T766">
        <v>0</v>
      </c>
      <c r="U766">
        <v>0</v>
      </c>
      <c r="V766" s="1">
        <v>46507</v>
      </c>
      <c r="W766" s="1">
        <v>46691</v>
      </c>
      <c r="X766" s="1">
        <v>46461</v>
      </c>
      <c r="Z766" t="s">
        <v>52</v>
      </c>
      <c r="AB766" t="s">
        <v>52</v>
      </c>
      <c r="AC766">
        <v>16</v>
      </c>
      <c r="AD766">
        <v>2</v>
      </c>
      <c r="AK766" t="s">
        <v>52</v>
      </c>
      <c r="AN766" t="s">
        <v>52</v>
      </c>
      <c r="AO766" t="s">
        <v>52</v>
      </c>
      <c r="AP766" t="s">
        <v>52</v>
      </c>
      <c r="AQ766" t="s">
        <v>52</v>
      </c>
      <c r="AR766" t="s">
        <v>55</v>
      </c>
    </row>
    <row r="767" spans="1:45" x14ac:dyDescent="0.25">
      <c r="A767" t="s">
        <v>47</v>
      </c>
      <c r="B767">
        <v>8</v>
      </c>
      <c r="C767" t="s">
        <v>168</v>
      </c>
      <c r="D767">
        <v>69</v>
      </c>
      <c r="E767" t="s">
        <v>79</v>
      </c>
      <c r="F767">
        <v>50</v>
      </c>
      <c r="G767" t="s">
        <v>80</v>
      </c>
      <c r="H767" t="s">
        <v>50</v>
      </c>
      <c r="K767" t="s">
        <v>51</v>
      </c>
      <c r="L767">
        <v>1</v>
      </c>
      <c r="M767" t="s">
        <v>52</v>
      </c>
      <c r="N767" t="s">
        <v>53</v>
      </c>
      <c r="R767">
        <v>0.5</v>
      </c>
      <c r="S767">
        <v>0.75</v>
      </c>
      <c r="T767">
        <v>0</v>
      </c>
      <c r="U767">
        <v>0</v>
      </c>
      <c r="V767" s="1">
        <v>46583</v>
      </c>
      <c r="W767" s="1">
        <v>46675</v>
      </c>
      <c r="X767" s="1">
        <v>46461</v>
      </c>
      <c r="Z767" t="s">
        <v>52</v>
      </c>
      <c r="AB767" t="s">
        <v>52</v>
      </c>
      <c r="AC767">
        <v>50</v>
      </c>
      <c r="AD767">
        <v>1</v>
      </c>
      <c r="AK767" t="s">
        <v>52</v>
      </c>
      <c r="AN767" t="s">
        <v>52</v>
      </c>
      <c r="AO767" t="s">
        <v>52</v>
      </c>
      <c r="AP767" t="s">
        <v>52</v>
      </c>
      <c r="AQ767" t="s">
        <v>52</v>
      </c>
      <c r="AR767" t="s">
        <v>55</v>
      </c>
      <c r="AS767" t="s">
        <v>60</v>
      </c>
    </row>
    <row r="768" spans="1:45" x14ac:dyDescent="0.25">
      <c r="A768" t="s">
        <v>47</v>
      </c>
      <c r="B768">
        <v>8</v>
      </c>
      <c r="C768" t="s">
        <v>168</v>
      </c>
      <c r="D768">
        <v>69</v>
      </c>
      <c r="E768" t="s">
        <v>79</v>
      </c>
      <c r="F768">
        <v>50</v>
      </c>
      <c r="G768" t="s">
        <v>80</v>
      </c>
      <c r="H768" t="s">
        <v>50</v>
      </c>
      <c r="K768" t="s">
        <v>52</v>
      </c>
      <c r="L768">
        <v>1</v>
      </c>
      <c r="M768" t="s">
        <v>52</v>
      </c>
      <c r="N768" t="s">
        <v>53</v>
      </c>
      <c r="R768">
        <v>0.5</v>
      </c>
      <c r="S768">
        <v>0.75</v>
      </c>
      <c r="T768">
        <v>0</v>
      </c>
      <c r="U768">
        <v>0</v>
      </c>
      <c r="V768" s="1">
        <v>46583</v>
      </c>
      <c r="W768" s="1">
        <v>46675</v>
      </c>
      <c r="X768" s="1">
        <v>46461</v>
      </c>
      <c r="Z768" t="s">
        <v>52</v>
      </c>
      <c r="AB768" t="s">
        <v>52</v>
      </c>
      <c r="AC768">
        <v>50</v>
      </c>
      <c r="AD768">
        <v>1</v>
      </c>
      <c r="AK768" t="s">
        <v>52</v>
      </c>
      <c r="AN768" t="s">
        <v>52</v>
      </c>
      <c r="AO768" t="s">
        <v>52</v>
      </c>
      <c r="AP768" t="s">
        <v>52</v>
      </c>
      <c r="AQ768" t="s">
        <v>52</v>
      </c>
      <c r="AR768" t="s">
        <v>55</v>
      </c>
      <c r="AS768" t="s">
        <v>107</v>
      </c>
    </row>
    <row r="769" spans="1:45" x14ac:dyDescent="0.25">
      <c r="A769" t="s">
        <v>47</v>
      </c>
      <c r="B769">
        <v>8</v>
      </c>
      <c r="C769" t="s">
        <v>168</v>
      </c>
      <c r="D769">
        <v>69</v>
      </c>
      <c r="E769" t="s">
        <v>79</v>
      </c>
      <c r="F769">
        <v>50</v>
      </c>
      <c r="G769" t="s">
        <v>65</v>
      </c>
      <c r="H769" t="s">
        <v>50</v>
      </c>
      <c r="K769" t="s">
        <v>51</v>
      </c>
      <c r="L769">
        <v>1</v>
      </c>
      <c r="M769" t="s">
        <v>52</v>
      </c>
      <c r="N769" t="s">
        <v>53</v>
      </c>
      <c r="R769">
        <v>0.5</v>
      </c>
      <c r="S769">
        <v>0.75</v>
      </c>
      <c r="T769">
        <v>0</v>
      </c>
      <c r="U769">
        <v>0</v>
      </c>
      <c r="V769" s="1">
        <v>46583</v>
      </c>
      <c r="W769" s="1">
        <v>46675</v>
      </c>
      <c r="X769" s="1">
        <v>46461</v>
      </c>
      <c r="Z769" t="s">
        <v>52</v>
      </c>
      <c r="AB769" t="s">
        <v>52</v>
      </c>
      <c r="AC769">
        <v>50</v>
      </c>
      <c r="AD769">
        <v>1</v>
      </c>
      <c r="AK769" t="s">
        <v>52</v>
      </c>
      <c r="AN769" t="s">
        <v>52</v>
      </c>
      <c r="AO769" t="s">
        <v>52</v>
      </c>
      <c r="AP769" t="s">
        <v>52</v>
      </c>
      <c r="AQ769" t="s">
        <v>52</v>
      </c>
      <c r="AR769" t="s">
        <v>55</v>
      </c>
      <c r="AS769" t="s">
        <v>88</v>
      </c>
    </row>
    <row r="770" spans="1:45" x14ac:dyDescent="0.25">
      <c r="A770" t="s">
        <v>47</v>
      </c>
      <c r="B770">
        <v>8</v>
      </c>
      <c r="C770" t="s">
        <v>168</v>
      </c>
      <c r="D770">
        <v>69</v>
      </c>
      <c r="E770" t="s">
        <v>79</v>
      </c>
      <c r="F770">
        <v>50</v>
      </c>
      <c r="G770" t="s">
        <v>65</v>
      </c>
      <c r="H770" t="s">
        <v>50</v>
      </c>
      <c r="K770" t="s">
        <v>52</v>
      </c>
      <c r="L770">
        <v>1</v>
      </c>
      <c r="M770" t="s">
        <v>52</v>
      </c>
      <c r="N770" t="s">
        <v>53</v>
      </c>
      <c r="R770">
        <v>0.5</v>
      </c>
      <c r="S770">
        <v>0.75</v>
      </c>
      <c r="T770">
        <v>0</v>
      </c>
      <c r="U770">
        <v>0</v>
      </c>
      <c r="V770" s="1">
        <v>46583</v>
      </c>
      <c r="W770" s="1">
        <v>46675</v>
      </c>
      <c r="X770" s="1">
        <v>46461</v>
      </c>
      <c r="Z770" t="s">
        <v>52</v>
      </c>
      <c r="AB770" t="s">
        <v>52</v>
      </c>
      <c r="AC770">
        <v>50</v>
      </c>
      <c r="AD770">
        <v>1</v>
      </c>
      <c r="AK770" t="s">
        <v>52</v>
      </c>
      <c r="AN770" t="s">
        <v>52</v>
      </c>
      <c r="AO770" t="s">
        <v>52</v>
      </c>
      <c r="AP770" t="s">
        <v>52</v>
      </c>
      <c r="AQ770" t="s">
        <v>52</v>
      </c>
      <c r="AR770" t="s">
        <v>55</v>
      </c>
      <c r="AS770" t="s">
        <v>60</v>
      </c>
    </row>
    <row r="771" spans="1:45" x14ac:dyDescent="0.25">
      <c r="A771" t="s">
        <v>47</v>
      </c>
      <c r="B771">
        <v>8</v>
      </c>
      <c r="C771" t="s">
        <v>168</v>
      </c>
      <c r="D771">
        <v>69</v>
      </c>
      <c r="E771" t="s">
        <v>79</v>
      </c>
      <c r="F771">
        <v>50</v>
      </c>
      <c r="G771" t="s">
        <v>81</v>
      </c>
      <c r="H771" t="s">
        <v>50</v>
      </c>
      <c r="K771" t="s">
        <v>51</v>
      </c>
      <c r="L771">
        <v>1</v>
      </c>
      <c r="M771" t="s">
        <v>52</v>
      </c>
      <c r="N771" t="s">
        <v>53</v>
      </c>
      <c r="R771">
        <v>0.5</v>
      </c>
      <c r="S771">
        <v>0.75</v>
      </c>
      <c r="T771">
        <v>0</v>
      </c>
      <c r="U771">
        <v>0</v>
      </c>
      <c r="V771" s="1">
        <v>46583</v>
      </c>
      <c r="W771" s="1">
        <v>46675</v>
      </c>
      <c r="X771" s="1">
        <v>46461</v>
      </c>
      <c r="Z771" t="s">
        <v>52</v>
      </c>
      <c r="AB771" t="s">
        <v>52</v>
      </c>
      <c r="AC771">
        <v>50</v>
      </c>
      <c r="AD771">
        <v>1</v>
      </c>
      <c r="AK771" t="s">
        <v>52</v>
      </c>
      <c r="AN771" t="s">
        <v>52</v>
      </c>
      <c r="AO771" t="s">
        <v>52</v>
      </c>
      <c r="AP771" t="s">
        <v>52</v>
      </c>
      <c r="AQ771" t="s">
        <v>52</v>
      </c>
      <c r="AR771" t="s">
        <v>55</v>
      </c>
      <c r="AS771" t="s">
        <v>60</v>
      </c>
    </row>
    <row r="772" spans="1:45" x14ac:dyDescent="0.25">
      <c r="A772" t="s">
        <v>47</v>
      </c>
      <c r="B772">
        <v>8</v>
      </c>
      <c r="C772" t="s">
        <v>168</v>
      </c>
      <c r="D772">
        <v>69</v>
      </c>
      <c r="E772" t="s">
        <v>79</v>
      </c>
      <c r="F772">
        <v>50</v>
      </c>
      <c r="G772" t="s">
        <v>81</v>
      </c>
      <c r="H772" t="s">
        <v>50</v>
      </c>
      <c r="K772" t="s">
        <v>52</v>
      </c>
      <c r="L772">
        <v>1</v>
      </c>
      <c r="M772" t="s">
        <v>52</v>
      </c>
      <c r="N772" t="s">
        <v>53</v>
      </c>
      <c r="R772">
        <v>0.5</v>
      </c>
      <c r="S772">
        <v>0.75</v>
      </c>
      <c r="T772">
        <v>0</v>
      </c>
      <c r="U772">
        <v>0</v>
      </c>
      <c r="V772" s="1">
        <v>46583</v>
      </c>
      <c r="W772" s="1">
        <v>46675</v>
      </c>
      <c r="X772" s="1">
        <v>46461</v>
      </c>
      <c r="Z772" t="s">
        <v>52</v>
      </c>
      <c r="AB772" t="s">
        <v>52</v>
      </c>
      <c r="AC772">
        <v>50</v>
      </c>
      <c r="AD772">
        <v>1</v>
      </c>
      <c r="AK772" t="s">
        <v>52</v>
      </c>
      <c r="AN772" t="s">
        <v>52</v>
      </c>
      <c r="AO772" t="s">
        <v>52</v>
      </c>
      <c r="AP772" t="s">
        <v>52</v>
      </c>
      <c r="AQ772" t="s">
        <v>52</v>
      </c>
      <c r="AR772" t="s">
        <v>55</v>
      </c>
      <c r="AS772" t="s">
        <v>60</v>
      </c>
    </row>
    <row r="773" spans="1:45" x14ac:dyDescent="0.25">
      <c r="A773" t="s">
        <v>47</v>
      </c>
      <c r="B773">
        <v>8</v>
      </c>
      <c r="C773" t="s">
        <v>168</v>
      </c>
      <c r="D773">
        <v>69</v>
      </c>
      <c r="E773" t="s">
        <v>83</v>
      </c>
      <c r="F773">
        <v>158</v>
      </c>
      <c r="H773" t="s">
        <v>50</v>
      </c>
      <c r="K773" t="s">
        <v>52</v>
      </c>
      <c r="L773">
        <v>1</v>
      </c>
      <c r="M773" t="s">
        <v>52</v>
      </c>
      <c r="N773" t="s">
        <v>53</v>
      </c>
      <c r="R773">
        <v>0.77</v>
      </c>
      <c r="S773">
        <v>0.93</v>
      </c>
      <c r="T773">
        <v>0</v>
      </c>
      <c r="U773">
        <v>0</v>
      </c>
      <c r="V773" s="1">
        <v>46326</v>
      </c>
      <c r="W773" s="1">
        <v>46691</v>
      </c>
      <c r="X773" s="1">
        <v>46266</v>
      </c>
      <c r="Z773" t="s">
        <v>52</v>
      </c>
      <c r="AB773" t="s">
        <v>52</v>
      </c>
      <c r="AC773">
        <v>158</v>
      </c>
      <c r="AD773">
        <v>2</v>
      </c>
      <c r="AK773" t="s">
        <v>52</v>
      </c>
      <c r="AN773" t="s">
        <v>52</v>
      </c>
      <c r="AO773" t="s">
        <v>52</v>
      </c>
      <c r="AP773" t="s">
        <v>52</v>
      </c>
      <c r="AQ773" t="s">
        <v>52</v>
      </c>
      <c r="AR773" t="s">
        <v>55</v>
      </c>
    </row>
    <row r="774" spans="1:45" x14ac:dyDescent="0.25">
      <c r="A774" t="s">
        <v>47</v>
      </c>
      <c r="B774">
        <v>8</v>
      </c>
      <c r="C774" t="s">
        <v>169</v>
      </c>
      <c r="D774">
        <v>71</v>
      </c>
      <c r="E774" t="s">
        <v>49</v>
      </c>
      <c r="F774">
        <v>27</v>
      </c>
      <c r="H774" t="s">
        <v>50</v>
      </c>
      <c r="K774" t="s">
        <v>51</v>
      </c>
      <c r="L774">
        <v>1</v>
      </c>
      <c r="M774" t="s">
        <v>52</v>
      </c>
      <c r="N774" t="s">
        <v>53</v>
      </c>
      <c r="Q774">
        <v>230</v>
      </c>
      <c r="R774">
        <v>0</v>
      </c>
      <c r="S774">
        <v>0.75</v>
      </c>
      <c r="T774">
        <v>0</v>
      </c>
      <c r="U774">
        <v>0</v>
      </c>
      <c r="W774" s="1">
        <v>46675</v>
      </c>
      <c r="X774" s="1">
        <v>46357</v>
      </c>
      <c r="Y774" t="s">
        <v>54</v>
      </c>
      <c r="Z774" t="s">
        <v>52</v>
      </c>
      <c r="AB774" t="s">
        <v>52</v>
      </c>
      <c r="AC774">
        <v>27</v>
      </c>
      <c r="AD774">
        <v>1</v>
      </c>
      <c r="AE774">
        <v>0.97</v>
      </c>
      <c r="AG774">
        <v>0.97</v>
      </c>
      <c r="AK774" t="s">
        <v>52</v>
      </c>
      <c r="AN774" t="s">
        <v>52</v>
      </c>
      <c r="AO774" t="s">
        <v>52</v>
      </c>
      <c r="AP774" t="s">
        <v>52</v>
      </c>
      <c r="AQ774" t="s">
        <v>52</v>
      </c>
      <c r="AR774" t="s">
        <v>55</v>
      </c>
      <c r="AS774" t="s">
        <v>56</v>
      </c>
    </row>
    <row r="775" spans="1:45" x14ac:dyDescent="0.25">
      <c r="A775" t="s">
        <v>47</v>
      </c>
      <c r="B775">
        <v>8</v>
      </c>
      <c r="C775" t="s">
        <v>169</v>
      </c>
      <c r="D775">
        <v>71</v>
      </c>
      <c r="E775" t="s">
        <v>49</v>
      </c>
      <c r="F775">
        <v>27</v>
      </c>
      <c r="H775" t="s">
        <v>50</v>
      </c>
      <c r="K775" t="s">
        <v>52</v>
      </c>
      <c r="L775">
        <v>1</v>
      </c>
      <c r="M775" t="s">
        <v>52</v>
      </c>
      <c r="N775" t="s">
        <v>53</v>
      </c>
      <c r="Q775">
        <v>230</v>
      </c>
      <c r="R775">
        <v>0</v>
      </c>
      <c r="S775">
        <v>0.75</v>
      </c>
      <c r="T775">
        <v>0</v>
      </c>
      <c r="U775">
        <v>0</v>
      </c>
      <c r="W775" s="1">
        <v>46675</v>
      </c>
      <c r="X775" s="1">
        <v>46357</v>
      </c>
      <c r="Y775" t="s">
        <v>54</v>
      </c>
      <c r="Z775" t="s">
        <v>52</v>
      </c>
      <c r="AB775" t="s">
        <v>52</v>
      </c>
      <c r="AC775">
        <v>27</v>
      </c>
      <c r="AD775">
        <v>1</v>
      </c>
      <c r="AE775">
        <v>0.97</v>
      </c>
      <c r="AG775">
        <v>0.97</v>
      </c>
      <c r="AK775" t="s">
        <v>52</v>
      </c>
      <c r="AN775" t="s">
        <v>52</v>
      </c>
      <c r="AO775" t="s">
        <v>52</v>
      </c>
      <c r="AP775" t="s">
        <v>52</v>
      </c>
      <c r="AQ775" t="s">
        <v>52</v>
      </c>
      <c r="AR775" t="s">
        <v>55</v>
      </c>
      <c r="AS775" t="s">
        <v>57</v>
      </c>
    </row>
    <row r="776" spans="1:45" x14ac:dyDescent="0.25">
      <c r="A776" t="s">
        <v>47</v>
      </c>
      <c r="B776">
        <v>8</v>
      </c>
      <c r="C776" t="s">
        <v>169</v>
      </c>
      <c r="D776">
        <v>71</v>
      </c>
      <c r="E776" t="s">
        <v>58</v>
      </c>
      <c r="F776">
        <v>102</v>
      </c>
      <c r="G776" t="s">
        <v>62</v>
      </c>
      <c r="H776" t="s">
        <v>50</v>
      </c>
      <c r="K776" t="s">
        <v>51</v>
      </c>
      <c r="L776">
        <v>1</v>
      </c>
      <c r="M776" t="s">
        <v>52</v>
      </c>
      <c r="N776" t="s">
        <v>53</v>
      </c>
      <c r="R776">
        <v>0</v>
      </c>
      <c r="S776">
        <v>0.92</v>
      </c>
      <c r="T776">
        <v>0</v>
      </c>
      <c r="U776">
        <v>0</v>
      </c>
      <c r="W776" s="1">
        <v>46731</v>
      </c>
      <c r="X776" s="1">
        <v>46357</v>
      </c>
      <c r="Z776" t="s">
        <v>52</v>
      </c>
      <c r="AB776" t="s">
        <v>52</v>
      </c>
      <c r="AC776">
        <v>102</v>
      </c>
      <c r="AD776">
        <v>1</v>
      </c>
      <c r="AK776" t="s">
        <v>52</v>
      </c>
      <c r="AN776" t="s">
        <v>52</v>
      </c>
      <c r="AO776" t="s">
        <v>52</v>
      </c>
      <c r="AP776" t="s">
        <v>52</v>
      </c>
      <c r="AQ776" t="s">
        <v>52</v>
      </c>
      <c r="AR776" t="s">
        <v>55</v>
      </c>
    </row>
    <row r="777" spans="1:45" x14ac:dyDescent="0.25">
      <c r="A777" t="s">
        <v>47</v>
      </c>
      <c r="B777">
        <v>8</v>
      </c>
      <c r="C777" t="s">
        <v>169</v>
      </c>
      <c r="D777">
        <v>71</v>
      </c>
      <c r="E777" t="s">
        <v>58</v>
      </c>
      <c r="F777">
        <v>102</v>
      </c>
      <c r="G777" t="s">
        <v>62</v>
      </c>
      <c r="H777" t="s">
        <v>50</v>
      </c>
      <c r="K777" t="s">
        <v>52</v>
      </c>
      <c r="L777">
        <v>1</v>
      </c>
      <c r="M777" t="s">
        <v>52</v>
      </c>
      <c r="N777" t="s">
        <v>53</v>
      </c>
      <c r="R777">
        <v>0</v>
      </c>
      <c r="S777">
        <v>0.92</v>
      </c>
      <c r="T777">
        <v>0</v>
      </c>
      <c r="U777">
        <v>0</v>
      </c>
      <c r="W777" s="1">
        <v>46731</v>
      </c>
      <c r="X777" s="1">
        <v>46357</v>
      </c>
      <c r="Z777" t="s">
        <v>52</v>
      </c>
      <c r="AB777" t="s">
        <v>52</v>
      </c>
      <c r="AC777">
        <v>102</v>
      </c>
      <c r="AD777">
        <v>1</v>
      </c>
      <c r="AK777" t="s">
        <v>52</v>
      </c>
      <c r="AN777" t="s">
        <v>52</v>
      </c>
      <c r="AO777" t="s">
        <v>52</v>
      </c>
      <c r="AP777" t="s">
        <v>52</v>
      </c>
      <c r="AQ777" t="s">
        <v>52</v>
      </c>
      <c r="AR777" t="s">
        <v>55</v>
      </c>
    </row>
    <row r="778" spans="1:45" x14ac:dyDescent="0.25">
      <c r="A778" t="s">
        <v>47</v>
      </c>
      <c r="B778">
        <v>8</v>
      </c>
      <c r="C778" t="s">
        <v>169</v>
      </c>
      <c r="D778">
        <v>71</v>
      </c>
      <c r="E778" t="s">
        <v>68</v>
      </c>
      <c r="F778">
        <v>80</v>
      </c>
      <c r="G778" t="s">
        <v>69</v>
      </c>
      <c r="H778" t="s">
        <v>50</v>
      </c>
      <c r="K778" t="s">
        <v>52</v>
      </c>
      <c r="L778">
        <v>1</v>
      </c>
      <c r="M778" t="s">
        <v>52</v>
      </c>
      <c r="N778" t="s">
        <v>53</v>
      </c>
      <c r="R778">
        <v>0.5</v>
      </c>
      <c r="S778">
        <v>0.75</v>
      </c>
      <c r="T778">
        <v>0</v>
      </c>
      <c r="U778">
        <v>0</v>
      </c>
      <c r="V778" s="1">
        <v>46600</v>
      </c>
      <c r="W778" s="1">
        <v>46675</v>
      </c>
      <c r="X778" s="1">
        <v>46461</v>
      </c>
      <c r="Z778" t="s">
        <v>52</v>
      </c>
      <c r="AB778" t="s">
        <v>52</v>
      </c>
      <c r="AC778">
        <v>80</v>
      </c>
      <c r="AD778">
        <v>1</v>
      </c>
      <c r="AK778" t="s">
        <v>52</v>
      </c>
      <c r="AN778" t="s">
        <v>52</v>
      </c>
      <c r="AO778" t="s">
        <v>52</v>
      </c>
      <c r="AP778" t="s">
        <v>52</v>
      </c>
      <c r="AQ778" t="s">
        <v>52</v>
      </c>
      <c r="AR778" t="s">
        <v>55</v>
      </c>
    </row>
    <row r="779" spans="1:45" x14ac:dyDescent="0.25">
      <c r="A779" t="s">
        <v>47</v>
      </c>
      <c r="B779">
        <v>8</v>
      </c>
      <c r="C779" t="s">
        <v>169</v>
      </c>
      <c r="D779">
        <v>71</v>
      </c>
      <c r="E779" t="s">
        <v>70</v>
      </c>
      <c r="F779">
        <v>296</v>
      </c>
      <c r="G779" t="s">
        <v>71</v>
      </c>
      <c r="H779" t="s">
        <v>50</v>
      </c>
      <c r="K779" t="s">
        <v>51</v>
      </c>
      <c r="L779">
        <v>1</v>
      </c>
      <c r="M779" t="s">
        <v>52</v>
      </c>
      <c r="N779" t="s">
        <v>53</v>
      </c>
      <c r="Q779">
        <v>224.33330000000001</v>
      </c>
      <c r="R779">
        <v>0</v>
      </c>
      <c r="S779">
        <v>0.75</v>
      </c>
      <c r="T779">
        <v>0</v>
      </c>
      <c r="U779">
        <v>0</v>
      </c>
      <c r="W779" s="1">
        <v>46675</v>
      </c>
      <c r="X779" s="1">
        <v>46357</v>
      </c>
      <c r="Y779" t="s">
        <v>54</v>
      </c>
      <c r="Z779" t="s">
        <v>52</v>
      </c>
      <c r="AB779" t="s">
        <v>52</v>
      </c>
      <c r="AC779">
        <v>296</v>
      </c>
      <c r="AD779">
        <v>1</v>
      </c>
      <c r="AK779" t="s">
        <v>52</v>
      </c>
      <c r="AN779" t="s">
        <v>52</v>
      </c>
      <c r="AO779" t="s">
        <v>52</v>
      </c>
      <c r="AP779" t="s">
        <v>52</v>
      </c>
      <c r="AQ779" t="s">
        <v>52</v>
      </c>
      <c r="AR779" t="s">
        <v>55</v>
      </c>
    </row>
    <row r="780" spans="1:45" x14ac:dyDescent="0.25">
      <c r="A780" t="s">
        <v>47</v>
      </c>
      <c r="B780">
        <v>8</v>
      </c>
      <c r="C780" t="s">
        <v>169</v>
      </c>
      <c r="D780">
        <v>71</v>
      </c>
      <c r="E780" t="s">
        <v>70</v>
      </c>
      <c r="F780">
        <v>296</v>
      </c>
      <c r="G780" t="s">
        <v>71</v>
      </c>
      <c r="H780" t="s">
        <v>50</v>
      </c>
      <c r="K780" t="s">
        <v>52</v>
      </c>
      <c r="L780">
        <v>1</v>
      </c>
      <c r="M780" t="s">
        <v>52</v>
      </c>
      <c r="N780" t="s">
        <v>53</v>
      </c>
      <c r="Q780">
        <v>224.33330000000001</v>
      </c>
      <c r="R780">
        <v>0</v>
      </c>
      <c r="S780">
        <v>0.75</v>
      </c>
      <c r="T780">
        <v>0</v>
      </c>
      <c r="U780">
        <v>0</v>
      </c>
      <c r="W780" s="1">
        <v>46675</v>
      </c>
      <c r="X780" s="1">
        <v>46357</v>
      </c>
      <c r="Y780" t="s">
        <v>54</v>
      </c>
      <c r="Z780" t="s">
        <v>52</v>
      </c>
      <c r="AB780" t="s">
        <v>52</v>
      </c>
      <c r="AC780">
        <v>296</v>
      </c>
      <c r="AD780">
        <v>1</v>
      </c>
      <c r="AK780" t="s">
        <v>52</v>
      </c>
      <c r="AN780" t="s">
        <v>52</v>
      </c>
      <c r="AO780" t="s">
        <v>52</v>
      </c>
      <c r="AP780" t="s">
        <v>52</v>
      </c>
      <c r="AQ780" t="s">
        <v>52</v>
      </c>
      <c r="AR780" t="s">
        <v>55</v>
      </c>
    </row>
    <row r="781" spans="1:45" x14ac:dyDescent="0.25">
      <c r="A781" t="s">
        <v>47</v>
      </c>
      <c r="B781">
        <v>8</v>
      </c>
      <c r="C781" t="s">
        <v>169</v>
      </c>
      <c r="D781">
        <v>71</v>
      </c>
      <c r="E781" t="s">
        <v>70</v>
      </c>
      <c r="F781">
        <v>296</v>
      </c>
      <c r="G781" t="s">
        <v>72</v>
      </c>
      <c r="H781" t="s">
        <v>50</v>
      </c>
      <c r="K781" t="s">
        <v>51</v>
      </c>
      <c r="L781">
        <v>1</v>
      </c>
      <c r="M781" t="s">
        <v>52</v>
      </c>
      <c r="N781" t="s">
        <v>53</v>
      </c>
      <c r="R781">
        <v>0.5</v>
      </c>
      <c r="S781">
        <v>0.75</v>
      </c>
      <c r="T781">
        <v>0</v>
      </c>
      <c r="U781">
        <v>0</v>
      </c>
      <c r="V781" s="1">
        <v>46522</v>
      </c>
      <c r="W781" s="1">
        <v>46675</v>
      </c>
      <c r="X781" s="1">
        <v>46357</v>
      </c>
      <c r="Z781" t="s">
        <v>52</v>
      </c>
      <c r="AB781" t="s">
        <v>52</v>
      </c>
      <c r="AC781">
        <v>296</v>
      </c>
      <c r="AD781">
        <v>1</v>
      </c>
      <c r="AK781" t="s">
        <v>52</v>
      </c>
      <c r="AN781" t="s">
        <v>52</v>
      </c>
      <c r="AO781" t="s">
        <v>52</v>
      </c>
      <c r="AP781" t="s">
        <v>52</v>
      </c>
      <c r="AQ781" t="s">
        <v>52</v>
      </c>
      <c r="AR781" t="s">
        <v>55</v>
      </c>
    </row>
    <row r="782" spans="1:45" x14ac:dyDescent="0.25">
      <c r="A782" t="s">
        <v>47</v>
      </c>
      <c r="B782">
        <v>8</v>
      </c>
      <c r="C782" t="s">
        <v>169</v>
      </c>
      <c r="D782">
        <v>71</v>
      </c>
      <c r="E782" t="s">
        <v>70</v>
      </c>
      <c r="F782">
        <v>296</v>
      </c>
      <c r="G782" t="s">
        <v>72</v>
      </c>
      <c r="H782" t="s">
        <v>50</v>
      </c>
      <c r="K782" t="s">
        <v>52</v>
      </c>
      <c r="L782">
        <v>1</v>
      </c>
      <c r="M782" t="s">
        <v>52</v>
      </c>
      <c r="N782" t="s">
        <v>53</v>
      </c>
      <c r="R782">
        <v>0.5</v>
      </c>
      <c r="S782">
        <v>0.75</v>
      </c>
      <c r="T782">
        <v>0</v>
      </c>
      <c r="U782">
        <v>0</v>
      </c>
      <c r="V782" s="1">
        <v>46522</v>
      </c>
      <c r="W782" s="1">
        <v>46675</v>
      </c>
      <c r="X782" s="1">
        <v>46357</v>
      </c>
      <c r="Z782" t="s">
        <v>52</v>
      </c>
      <c r="AB782" t="s">
        <v>52</v>
      </c>
      <c r="AC782">
        <v>296</v>
      </c>
      <c r="AD782">
        <v>1</v>
      </c>
      <c r="AK782" t="s">
        <v>52</v>
      </c>
      <c r="AN782" t="s">
        <v>52</v>
      </c>
      <c r="AO782" t="s">
        <v>52</v>
      </c>
      <c r="AP782" t="s">
        <v>52</v>
      </c>
      <c r="AQ782" t="s">
        <v>52</v>
      </c>
      <c r="AR782" t="s">
        <v>55</v>
      </c>
    </row>
    <row r="783" spans="1:45" x14ac:dyDescent="0.25">
      <c r="A783" t="s">
        <v>47</v>
      </c>
      <c r="B783">
        <v>8</v>
      </c>
      <c r="C783" t="s">
        <v>169</v>
      </c>
      <c r="D783">
        <v>71</v>
      </c>
      <c r="E783" t="s">
        <v>70</v>
      </c>
      <c r="F783">
        <v>296</v>
      </c>
      <c r="G783" t="s">
        <v>74</v>
      </c>
      <c r="H783" t="s">
        <v>50</v>
      </c>
      <c r="K783" t="s">
        <v>51</v>
      </c>
      <c r="L783">
        <v>1</v>
      </c>
      <c r="M783" t="s">
        <v>52</v>
      </c>
      <c r="N783" t="s">
        <v>53</v>
      </c>
      <c r="R783">
        <v>0</v>
      </c>
      <c r="S783">
        <v>0.75</v>
      </c>
      <c r="T783">
        <v>0</v>
      </c>
      <c r="U783">
        <v>0</v>
      </c>
      <c r="W783" s="1">
        <v>46675</v>
      </c>
      <c r="X783" s="1">
        <v>46357</v>
      </c>
      <c r="Z783" t="s">
        <v>52</v>
      </c>
      <c r="AB783" t="s">
        <v>52</v>
      </c>
      <c r="AC783">
        <v>102</v>
      </c>
      <c r="AD783">
        <v>1</v>
      </c>
      <c r="AK783" t="s">
        <v>52</v>
      </c>
      <c r="AN783" t="s">
        <v>52</v>
      </c>
      <c r="AO783" t="s">
        <v>52</v>
      </c>
      <c r="AP783" t="s">
        <v>52</v>
      </c>
      <c r="AQ783" t="s">
        <v>52</v>
      </c>
      <c r="AR783" t="s">
        <v>55</v>
      </c>
    </row>
    <row r="784" spans="1:45" x14ac:dyDescent="0.25">
      <c r="A784" t="s">
        <v>47</v>
      </c>
      <c r="B784">
        <v>8</v>
      </c>
      <c r="C784" t="s">
        <v>169</v>
      </c>
      <c r="D784">
        <v>71</v>
      </c>
      <c r="E784" t="s">
        <v>70</v>
      </c>
      <c r="F784">
        <v>296</v>
      </c>
      <c r="G784" t="s">
        <v>74</v>
      </c>
      <c r="H784" t="s">
        <v>50</v>
      </c>
      <c r="K784" t="s">
        <v>52</v>
      </c>
      <c r="L784">
        <v>1</v>
      </c>
      <c r="M784" t="s">
        <v>52</v>
      </c>
      <c r="N784" t="s">
        <v>53</v>
      </c>
      <c r="R784">
        <v>0</v>
      </c>
      <c r="S784">
        <v>0.75</v>
      </c>
      <c r="T784">
        <v>0</v>
      </c>
      <c r="U784">
        <v>0</v>
      </c>
      <c r="W784" s="1">
        <v>46675</v>
      </c>
      <c r="X784" s="1">
        <v>46357</v>
      </c>
      <c r="Z784" t="s">
        <v>52</v>
      </c>
      <c r="AB784" t="s">
        <v>52</v>
      </c>
      <c r="AC784">
        <v>102</v>
      </c>
      <c r="AD784">
        <v>1</v>
      </c>
      <c r="AK784" t="s">
        <v>52</v>
      </c>
      <c r="AN784" t="s">
        <v>52</v>
      </c>
      <c r="AO784" t="s">
        <v>52</v>
      </c>
      <c r="AP784" t="s">
        <v>52</v>
      </c>
      <c r="AQ784" t="s">
        <v>52</v>
      </c>
      <c r="AR784" t="s">
        <v>55</v>
      </c>
      <c r="AS784" t="s">
        <v>60</v>
      </c>
    </row>
    <row r="785" spans="1:44" x14ac:dyDescent="0.25">
      <c r="A785" t="s">
        <v>47</v>
      </c>
      <c r="B785">
        <v>8</v>
      </c>
      <c r="C785" t="s">
        <v>169</v>
      </c>
      <c r="D785">
        <v>71</v>
      </c>
      <c r="E785" t="s">
        <v>70</v>
      </c>
      <c r="F785">
        <v>296</v>
      </c>
      <c r="G785" t="s">
        <v>116</v>
      </c>
      <c r="H785" t="s">
        <v>50</v>
      </c>
      <c r="K785" t="s">
        <v>51</v>
      </c>
      <c r="L785">
        <v>1</v>
      </c>
      <c r="M785" t="s">
        <v>52</v>
      </c>
      <c r="N785" t="s">
        <v>53</v>
      </c>
      <c r="R785">
        <v>0.5</v>
      </c>
      <c r="S785">
        <v>0.75</v>
      </c>
      <c r="T785">
        <v>0</v>
      </c>
      <c r="U785">
        <v>0</v>
      </c>
      <c r="V785" s="1">
        <v>46522</v>
      </c>
      <c r="W785" s="1">
        <v>46675</v>
      </c>
      <c r="X785" s="1">
        <v>46357</v>
      </c>
      <c r="Z785" t="s">
        <v>52</v>
      </c>
      <c r="AB785" t="s">
        <v>52</v>
      </c>
      <c r="AC785">
        <v>102</v>
      </c>
      <c r="AD785">
        <v>1</v>
      </c>
      <c r="AK785" t="s">
        <v>52</v>
      </c>
      <c r="AN785" t="s">
        <v>52</v>
      </c>
      <c r="AO785" t="s">
        <v>52</v>
      </c>
      <c r="AP785" t="s">
        <v>52</v>
      </c>
      <c r="AQ785" t="s">
        <v>52</v>
      </c>
      <c r="AR785" t="s">
        <v>55</v>
      </c>
    </row>
    <row r="786" spans="1:44" x14ac:dyDescent="0.25">
      <c r="A786" t="s">
        <v>47</v>
      </c>
      <c r="B786">
        <v>8</v>
      </c>
      <c r="C786" t="s">
        <v>169</v>
      </c>
      <c r="D786">
        <v>71</v>
      </c>
      <c r="E786" t="s">
        <v>70</v>
      </c>
      <c r="F786">
        <v>296</v>
      </c>
      <c r="G786" t="s">
        <v>116</v>
      </c>
      <c r="H786" t="s">
        <v>50</v>
      </c>
      <c r="K786" t="s">
        <v>52</v>
      </c>
      <c r="L786">
        <v>1</v>
      </c>
      <c r="M786" t="s">
        <v>52</v>
      </c>
      <c r="N786" t="s">
        <v>53</v>
      </c>
      <c r="R786">
        <v>0.5</v>
      </c>
      <c r="S786">
        <v>0.75</v>
      </c>
      <c r="T786">
        <v>0</v>
      </c>
      <c r="U786">
        <v>0</v>
      </c>
      <c r="V786" s="1">
        <v>46522</v>
      </c>
      <c r="W786" s="1">
        <v>46675</v>
      </c>
      <c r="X786" s="1">
        <v>46357</v>
      </c>
      <c r="Z786" t="s">
        <v>52</v>
      </c>
      <c r="AB786" t="s">
        <v>52</v>
      </c>
      <c r="AC786">
        <v>102</v>
      </c>
      <c r="AD786">
        <v>1</v>
      </c>
      <c r="AK786" t="s">
        <v>52</v>
      </c>
      <c r="AN786" t="s">
        <v>52</v>
      </c>
      <c r="AO786" t="s">
        <v>52</v>
      </c>
      <c r="AP786" t="s">
        <v>52</v>
      </c>
      <c r="AQ786" t="s">
        <v>52</v>
      </c>
      <c r="AR786" t="s">
        <v>55</v>
      </c>
    </row>
    <row r="787" spans="1:44" x14ac:dyDescent="0.25">
      <c r="A787" t="s">
        <v>47</v>
      </c>
      <c r="B787">
        <v>8</v>
      </c>
      <c r="C787" t="s">
        <v>169</v>
      </c>
      <c r="D787">
        <v>71</v>
      </c>
      <c r="E787" t="s">
        <v>75</v>
      </c>
      <c r="F787">
        <v>16</v>
      </c>
      <c r="G787" t="s">
        <v>76</v>
      </c>
      <c r="H787" t="s">
        <v>50</v>
      </c>
      <c r="K787" t="s">
        <v>51</v>
      </c>
      <c r="L787">
        <v>1</v>
      </c>
      <c r="M787" t="s">
        <v>52</v>
      </c>
      <c r="N787" t="s">
        <v>53</v>
      </c>
      <c r="R787">
        <v>0.5</v>
      </c>
      <c r="S787">
        <v>0.75</v>
      </c>
      <c r="T787">
        <v>0</v>
      </c>
      <c r="U787">
        <v>0</v>
      </c>
      <c r="V787" s="1">
        <v>46522</v>
      </c>
      <c r="W787" s="1">
        <v>46691</v>
      </c>
      <c r="X787" s="1">
        <v>46461</v>
      </c>
      <c r="Z787" t="s">
        <v>52</v>
      </c>
      <c r="AB787" t="s">
        <v>52</v>
      </c>
      <c r="AC787">
        <v>16</v>
      </c>
      <c r="AD787">
        <v>2</v>
      </c>
      <c r="AK787" t="s">
        <v>52</v>
      </c>
      <c r="AN787" t="s">
        <v>52</v>
      </c>
      <c r="AO787" t="s">
        <v>52</v>
      </c>
      <c r="AP787" t="s">
        <v>52</v>
      </c>
      <c r="AQ787" t="s">
        <v>52</v>
      </c>
      <c r="AR787" t="s">
        <v>55</v>
      </c>
    </row>
    <row r="788" spans="1:44" x14ac:dyDescent="0.25">
      <c r="A788" t="s">
        <v>47</v>
      </c>
      <c r="B788">
        <v>8</v>
      </c>
      <c r="C788" t="s">
        <v>169</v>
      </c>
      <c r="D788">
        <v>71</v>
      </c>
      <c r="E788" t="s">
        <v>75</v>
      </c>
      <c r="F788">
        <v>16</v>
      </c>
      <c r="G788" t="s">
        <v>76</v>
      </c>
      <c r="H788" t="s">
        <v>50</v>
      </c>
      <c r="K788" t="s">
        <v>52</v>
      </c>
      <c r="L788">
        <v>1</v>
      </c>
      <c r="M788" t="s">
        <v>52</v>
      </c>
      <c r="N788" t="s">
        <v>53</v>
      </c>
      <c r="R788">
        <v>0.5</v>
      </c>
      <c r="S788">
        <v>0.75</v>
      </c>
      <c r="U788">
        <v>0</v>
      </c>
      <c r="V788" s="1">
        <v>46522</v>
      </c>
      <c r="W788" s="1">
        <v>46691</v>
      </c>
      <c r="X788" s="1">
        <v>46461</v>
      </c>
      <c r="Z788" t="s">
        <v>52</v>
      </c>
      <c r="AB788" t="s">
        <v>52</v>
      </c>
      <c r="AC788">
        <v>16</v>
      </c>
      <c r="AD788">
        <v>2</v>
      </c>
      <c r="AK788" t="s">
        <v>52</v>
      </c>
      <c r="AN788" t="s">
        <v>52</v>
      </c>
      <c r="AO788" t="s">
        <v>52</v>
      </c>
      <c r="AP788" t="s">
        <v>52</v>
      </c>
      <c r="AQ788" t="s">
        <v>52</v>
      </c>
      <c r="AR788" t="s">
        <v>55</v>
      </c>
    </row>
    <row r="789" spans="1:44" x14ac:dyDescent="0.25">
      <c r="A789" t="s">
        <v>47</v>
      </c>
      <c r="B789">
        <v>8</v>
      </c>
      <c r="C789" t="s">
        <v>169</v>
      </c>
      <c r="D789">
        <v>71</v>
      </c>
      <c r="E789" t="s">
        <v>77</v>
      </c>
      <c r="F789">
        <v>51</v>
      </c>
      <c r="G789" t="s">
        <v>78</v>
      </c>
      <c r="H789" t="s">
        <v>50</v>
      </c>
      <c r="K789" t="s">
        <v>51</v>
      </c>
      <c r="L789">
        <v>1</v>
      </c>
      <c r="M789" t="s">
        <v>52</v>
      </c>
      <c r="N789" t="s">
        <v>53</v>
      </c>
      <c r="R789">
        <v>0.5</v>
      </c>
      <c r="S789">
        <v>0.73</v>
      </c>
      <c r="T789">
        <v>0</v>
      </c>
      <c r="U789">
        <v>0</v>
      </c>
      <c r="V789" s="1">
        <v>46569</v>
      </c>
      <c r="W789" s="1">
        <v>46675</v>
      </c>
      <c r="X789" s="1">
        <v>46461</v>
      </c>
      <c r="Z789" t="s">
        <v>52</v>
      </c>
      <c r="AB789" t="s">
        <v>52</v>
      </c>
      <c r="AC789">
        <v>51</v>
      </c>
      <c r="AD789">
        <v>2</v>
      </c>
      <c r="AK789" t="s">
        <v>52</v>
      </c>
      <c r="AN789" t="s">
        <v>52</v>
      </c>
      <c r="AO789" t="s">
        <v>52</v>
      </c>
      <c r="AP789" t="s">
        <v>52</v>
      </c>
      <c r="AQ789" t="s">
        <v>52</v>
      </c>
      <c r="AR789" t="s">
        <v>55</v>
      </c>
    </row>
    <row r="790" spans="1:44" x14ac:dyDescent="0.25">
      <c r="A790" t="s">
        <v>47</v>
      </c>
      <c r="B790">
        <v>8</v>
      </c>
      <c r="C790" t="s">
        <v>169</v>
      </c>
      <c r="D790">
        <v>71</v>
      </c>
      <c r="E790" t="s">
        <v>77</v>
      </c>
      <c r="F790">
        <v>51</v>
      </c>
      <c r="G790" t="s">
        <v>78</v>
      </c>
      <c r="H790" t="s">
        <v>50</v>
      </c>
      <c r="K790" t="s">
        <v>52</v>
      </c>
      <c r="L790">
        <v>1</v>
      </c>
      <c r="M790" t="s">
        <v>52</v>
      </c>
      <c r="N790" t="s">
        <v>53</v>
      </c>
      <c r="R790">
        <v>0.5</v>
      </c>
      <c r="S790">
        <v>0.73</v>
      </c>
      <c r="T790">
        <v>0</v>
      </c>
      <c r="U790">
        <v>0</v>
      </c>
      <c r="V790" s="1">
        <v>46569</v>
      </c>
      <c r="W790" s="1">
        <v>46675</v>
      </c>
      <c r="X790" s="1">
        <v>46461</v>
      </c>
      <c r="Z790" t="s">
        <v>52</v>
      </c>
      <c r="AB790" t="s">
        <v>52</v>
      </c>
      <c r="AC790">
        <v>51</v>
      </c>
      <c r="AD790">
        <v>2</v>
      </c>
      <c r="AK790" t="s">
        <v>52</v>
      </c>
      <c r="AN790" t="s">
        <v>52</v>
      </c>
      <c r="AO790" t="s">
        <v>52</v>
      </c>
      <c r="AP790" t="s">
        <v>52</v>
      </c>
      <c r="AQ790" t="s">
        <v>52</v>
      </c>
      <c r="AR790" t="s">
        <v>55</v>
      </c>
    </row>
    <row r="791" spans="1:44" x14ac:dyDescent="0.25">
      <c r="A791" t="s">
        <v>47</v>
      </c>
      <c r="B791">
        <v>8</v>
      </c>
      <c r="C791" t="s">
        <v>169</v>
      </c>
      <c r="D791">
        <v>71</v>
      </c>
      <c r="E791" t="s">
        <v>79</v>
      </c>
      <c r="F791">
        <v>50</v>
      </c>
      <c r="G791" t="s">
        <v>100</v>
      </c>
      <c r="H791" t="s">
        <v>50</v>
      </c>
      <c r="K791" t="s">
        <v>51</v>
      </c>
      <c r="L791">
        <v>1</v>
      </c>
      <c r="M791" t="s">
        <v>52</v>
      </c>
      <c r="N791" t="s">
        <v>53</v>
      </c>
      <c r="R791">
        <v>0.5</v>
      </c>
      <c r="S791">
        <v>0.75</v>
      </c>
      <c r="T791">
        <v>0</v>
      </c>
      <c r="U791">
        <v>0</v>
      </c>
      <c r="V791" s="1">
        <v>46583</v>
      </c>
      <c r="W791" s="1">
        <v>46675</v>
      </c>
      <c r="X791" s="1">
        <v>46461</v>
      </c>
      <c r="Z791" t="s">
        <v>52</v>
      </c>
      <c r="AB791" t="s">
        <v>52</v>
      </c>
      <c r="AC791">
        <v>50</v>
      </c>
      <c r="AD791">
        <v>1</v>
      </c>
      <c r="AK791" t="s">
        <v>52</v>
      </c>
      <c r="AN791" t="s">
        <v>52</v>
      </c>
      <c r="AO791" t="s">
        <v>52</v>
      </c>
      <c r="AP791" t="s">
        <v>52</v>
      </c>
      <c r="AQ791" t="s">
        <v>52</v>
      </c>
      <c r="AR791" t="s">
        <v>55</v>
      </c>
    </row>
    <row r="792" spans="1:44" x14ac:dyDescent="0.25">
      <c r="A792" t="s">
        <v>47</v>
      </c>
      <c r="B792">
        <v>8</v>
      </c>
      <c r="C792" t="s">
        <v>169</v>
      </c>
      <c r="D792">
        <v>71</v>
      </c>
      <c r="E792" t="s">
        <v>79</v>
      </c>
      <c r="F792">
        <v>50</v>
      </c>
      <c r="G792" t="s">
        <v>100</v>
      </c>
      <c r="H792" t="s">
        <v>50</v>
      </c>
      <c r="K792" t="s">
        <v>52</v>
      </c>
      <c r="L792">
        <v>1</v>
      </c>
      <c r="M792" t="s">
        <v>52</v>
      </c>
      <c r="N792" t="s">
        <v>53</v>
      </c>
      <c r="R792">
        <v>0.5</v>
      </c>
      <c r="S792">
        <v>0.75</v>
      </c>
      <c r="T792">
        <v>0</v>
      </c>
      <c r="U792">
        <v>0</v>
      </c>
      <c r="V792" s="1">
        <v>46583</v>
      </c>
      <c r="W792" s="1">
        <v>46675</v>
      </c>
      <c r="X792" s="1">
        <v>46461</v>
      </c>
      <c r="Z792" t="s">
        <v>52</v>
      </c>
      <c r="AB792" t="s">
        <v>52</v>
      </c>
      <c r="AC792">
        <v>50</v>
      </c>
      <c r="AD792">
        <v>1</v>
      </c>
      <c r="AK792" t="s">
        <v>52</v>
      </c>
      <c r="AN792" t="s">
        <v>52</v>
      </c>
      <c r="AO792" t="s">
        <v>52</v>
      </c>
      <c r="AP792" t="s">
        <v>52</v>
      </c>
      <c r="AQ792" t="s">
        <v>52</v>
      </c>
      <c r="AR792" t="s">
        <v>55</v>
      </c>
    </row>
    <row r="793" spans="1:44" x14ac:dyDescent="0.25">
      <c r="A793" t="s">
        <v>47</v>
      </c>
      <c r="B793">
        <v>8</v>
      </c>
      <c r="C793" t="s">
        <v>169</v>
      </c>
      <c r="D793">
        <v>71</v>
      </c>
      <c r="E793" t="s">
        <v>79</v>
      </c>
      <c r="F793">
        <v>50</v>
      </c>
      <c r="G793" t="s">
        <v>80</v>
      </c>
      <c r="H793" t="s">
        <v>50</v>
      </c>
      <c r="K793" t="s">
        <v>51</v>
      </c>
      <c r="L793">
        <v>1</v>
      </c>
      <c r="M793" t="s">
        <v>52</v>
      </c>
      <c r="N793" t="s">
        <v>53</v>
      </c>
      <c r="R793">
        <v>0.5</v>
      </c>
      <c r="S793">
        <v>0.75</v>
      </c>
      <c r="T793">
        <v>0</v>
      </c>
      <c r="U793">
        <v>0</v>
      </c>
      <c r="V793" s="1">
        <v>46583</v>
      </c>
      <c r="W793" s="1">
        <v>46675</v>
      </c>
      <c r="X793" s="1">
        <v>46461</v>
      </c>
      <c r="Z793" t="s">
        <v>52</v>
      </c>
      <c r="AB793" t="s">
        <v>52</v>
      </c>
      <c r="AC793">
        <v>50</v>
      </c>
      <c r="AD793">
        <v>1</v>
      </c>
      <c r="AK793" t="s">
        <v>52</v>
      </c>
      <c r="AN793" t="s">
        <v>52</v>
      </c>
      <c r="AO793" t="s">
        <v>52</v>
      </c>
      <c r="AP793" t="s">
        <v>52</v>
      </c>
      <c r="AQ793" t="s">
        <v>52</v>
      </c>
      <c r="AR793" t="s">
        <v>55</v>
      </c>
    </row>
    <row r="794" spans="1:44" x14ac:dyDescent="0.25">
      <c r="A794" t="s">
        <v>47</v>
      </c>
      <c r="B794">
        <v>8</v>
      </c>
      <c r="C794" t="s">
        <v>169</v>
      </c>
      <c r="D794">
        <v>71</v>
      </c>
      <c r="E794" t="s">
        <v>79</v>
      </c>
      <c r="F794">
        <v>50</v>
      </c>
      <c r="G794" t="s">
        <v>80</v>
      </c>
      <c r="H794" t="s">
        <v>50</v>
      </c>
      <c r="K794" t="s">
        <v>52</v>
      </c>
      <c r="L794">
        <v>1</v>
      </c>
      <c r="M794" t="s">
        <v>52</v>
      </c>
      <c r="N794" t="s">
        <v>53</v>
      </c>
      <c r="R794">
        <v>0.5</v>
      </c>
      <c r="S794">
        <v>0.75</v>
      </c>
      <c r="T794">
        <v>0</v>
      </c>
      <c r="U794">
        <v>0</v>
      </c>
      <c r="V794" s="1">
        <v>46583</v>
      </c>
      <c r="W794" s="1">
        <v>46675</v>
      </c>
      <c r="X794" s="1">
        <v>46461</v>
      </c>
      <c r="Z794" t="s">
        <v>52</v>
      </c>
      <c r="AB794" t="s">
        <v>52</v>
      </c>
      <c r="AC794">
        <v>50</v>
      </c>
      <c r="AD794">
        <v>1</v>
      </c>
      <c r="AK794" t="s">
        <v>52</v>
      </c>
      <c r="AN794" t="s">
        <v>52</v>
      </c>
      <c r="AO794" t="s">
        <v>52</v>
      </c>
      <c r="AP794" t="s">
        <v>52</v>
      </c>
      <c r="AQ794" t="s">
        <v>52</v>
      </c>
      <c r="AR794" t="s">
        <v>55</v>
      </c>
    </row>
    <row r="795" spans="1:44" x14ac:dyDescent="0.25">
      <c r="A795" t="s">
        <v>47</v>
      </c>
      <c r="B795">
        <v>8</v>
      </c>
      <c r="C795" t="s">
        <v>169</v>
      </c>
      <c r="D795">
        <v>71</v>
      </c>
      <c r="E795" t="s">
        <v>79</v>
      </c>
      <c r="F795">
        <v>50</v>
      </c>
      <c r="G795" t="s">
        <v>65</v>
      </c>
      <c r="H795" t="s">
        <v>50</v>
      </c>
      <c r="K795" t="s">
        <v>51</v>
      </c>
      <c r="L795">
        <v>1</v>
      </c>
      <c r="M795" t="s">
        <v>52</v>
      </c>
      <c r="N795" t="s">
        <v>53</v>
      </c>
      <c r="R795">
        <v>0.5</v>
      </c>
      <c r="S795">
        <v>0.75</v>
      </c>
      <c r="T795">
        <v>0</v>
      </c>
      <c r="U795">
        <v>0</v>
      </c>
      <c r="V795" s="1">
        <v>46583</v>
      </c>
      <c r="W795" s="1">
        <v>46675</v>
      </c>
      <c r="X795" s="1">
        <v>46461</v>
      </c>
      <c r="Z795" t="s">
        <v>52</v>
      </c>
      <c r="AB795" t="s">
        <v>52</v>
      </c>
      <c r="AC795">
        <v>50</v>
      </c>
      <c r="AD795">
        <v>1</v>
      </c>
      <c r="AK795" t="s">
        <v>52</v>
      </c>
      <c r="AN795" t="s">
        <v>52</v>
      </c>
      <c r="AO795" t="s">
        <v>52</v>
      </c>
      <c r="AP795" t="s">
        <v>52</v>
      </c>
      <c r="AQ795" t="s">
        <v>52</v>
      </c>
      <c r="AR795" t="s">
        <v>55</v>
      </c>
    </row>
    <row r="796" spans="1:44" x14ac:dyDescent="0.25">
      <c r="A796" t="s">
        <v>47</v>
      </c>
      <c r="B796">
        <v>8</v>
      </c>
      <c r="C796" t="s">
        <v>169</v>
      </c>
      <c r="D796">
        <v>71</v>
      </c>
      <c r="E796" t="s">
        <v>79</v>
      </c>
      <c r="F796">
        <v>50</v>
      </c>
      <c r="G796" t="s">
        <v>65</v>
      </c>
      <c r="H796" t="s">
        <v>50</v>
      </c>
      <c r="K796" t="s">
        <v>52</v>
      </c>
      <c r="L796">
        <v>1</v>
      </c>
      <c r="M796" t="s">
        <v>52</v>
      </c>
      <c r="N796" t="s">
        <v>53</v>
      </c>
      <c r="R796">
        <v>0.5</v>
      </c>
      <c r="S796">
        <v>0.75</v>
      </c>
      <c r="T796">
        <v>0</v>
      </c>
      <c r="U796">
        <v>0</v>
      </c>
      <c r="V796" s="1">
        <v>46583</v>
      </c>
      <c r="W796" s="1">
        <v>46675</v>
      </c>
      <c r="X796" s="1">
        <v>46461</v>
      </c>
      <c r="Z796" t="s">
        <v>52</v>
      </c>
      <c r="AB796" t="s">
        <v>52</v>
      </c>
      <c r="AC796">
        <v>50</v>
      </c>
      <c r="AD796">
        <v>1</v>
      </c>
      <c r="AK796" t="s">
        <v>52</v>
      </c>
      <c r="AN796" t="s">
        <v>52</v>
      </c>
      <c r="AO796" t="s">
        <v>52</v>
      </c>
      <c r="AP796" t="s">
        <v>52</v>
      </c>
      <c r="AQ796" t="s">
        <v>52</v>
      </c>
      <c r="AR796" t="s">
        <v>55</v>
      </c>
    </row>
    <row r="797" spans="1:44" x14ac:dyDescent="0.25">
      <c r="A797" t="s">
        <v>47</v>
      </c>
      <c r="B797">
        <v>8</v>
      </c>
      <c r="C797" t="s">
        <v>169</v>
      </c>
      <c r="D797">
        <v>71</v>
      </c>
      <c r="E797" t="s">
        <v>79</v>
      </c>
      <c r="F797">
        <v>50</v>
      </c>
      <c r="G797" t="s">
        <v>81</v>
      </c>
      <c r="H797" t="s">
        <v>50</v>
      </c>
      <c r="K797" t="s">
        <v>51</v>
      </c>
      <c r="L797">
        <v>1</v>
      </c>
      <c r="M797" t="s">
        <v>52</v>
      </c>
      <c r="N797" t="s">
        <v>53</v>
      </c>
      <c r="R797">
        <v>0.5</v>
      </c>
      <c r="S797">
        <v>0.75</v>
      </c>
      <c r="T797">
        <v>0</v>
      </c>
      <c r="U797">
        <v>0</v>
      </c>
      <c r="V797" s="1">
        <v>46583</v>
      </c>
      <c r="W797" s="1">
        <v>46675</v>
      </c>
      <c r="X797" s="1">
        <v>46461</v>
      </c>
      <c r="Z797" t="s">
        <v>52</v>
      </c>
      <c r="AB797" t="s">
        <v>52</v>
      </c>
      <c r="AC797">
        <v>50</v>
      </c>
      <c r="AD797">
        <v>1</v>
      </c>
      <c r="AK797" t="s">
        <v>52</v>
      </c>
      <c r="AN797" t="s">
        <v>52</v>
      </c>
      <c r="AO797" t="s">
        <v>52</v>
      </c>
      <c r="AP797" t="s">
        <v>52</v>
      </c>
      <c r="AQ797" t="s">
        <v>52</v>
      </c>
      <c r="AR797" t="s">
        <v>55</v>
      </c>
    </row>
    <row r="798" spans="1:44" x14ac:dyDescent="0.25">
      <c r="A798" t="s">
        <v>47</v>
      </c>
      <c r="B798">
        <v>8</v>
      </c>
      <c r="C798" t="s">
        <v>169</v>
      </c>
      <c r="D798">
        <v>71</v>
      </c>
      <c r="E798" t="s">
        <v>79</v>
      </c>
      <c r="F798">
        <v>50</v>
      </c>
      <c r="G798" t="s">
        <v>81</v>
      </c>
      <c r="H798" t="s">
        <v>50</v>
      </c>
      <c r="K798" t="s">
        <v>52</v>
      </c>
      <c r="L798">
        <v>1</v>
      </c>
      <c r="M798" t="s">
        <v>52</v>
      </c>
      <c r="N798" t="s">
        <v>53</v>
      </c>
      <c r="R798">
        <v>0.5</v>
      </c>
      <c r="S798">
        <v>0.75</v>
      </c>
      <c r="T798">
        <v>0</v>
      </c>
      <c r="U798">
        <v>0</v>
      </c>
      <c r="V798" s="1">
        <v>46583</v>
      </c>
      <c r="W798" s="1">
        <v>46675</v>
      </c>
      <c r="X798" s="1">
        <v>46461</v>
      </c>
      <c r="Z798" t="s">
        <v>52</v>
      </c>
      <c r="AB798" t="s">
        <v>52</v>
      </c>
      <c r="AC798">
        <v>50</v>
      </c>
      <c r="AD798">
        <v>1</v>
      </c>
      <c r="AK798" t="s">
        <v>52</v>
      </c>
      <c r="AN798" t="s">
        <v>52</v>
      </c>
      <c r="AO798" t="s">
        <v>52</v>
      </c>
      <c r="AP798" t="s">
        <v>52</v>
      </c>
      <c r="AQ798" t="s">
        <v>52</v>
      </c>
      <c r="AR798" t="s">
        <v>55</v>
      </c>
    </row>
    <row r="799" spans="1:44" x14ac:dyDescent="0.25">
      <c r="A799" t="s">
        <v>47</v>
      </c>
      <c r="B799">
        <v>8</v>
      </c>
      <c r="C799" t="s">
        <v>169</v>
      </c>
      <c r="D799">
        <v>71</v>
      </c>
      <c r="E799" t="s">
        <v>82</v>
      </c>
      <c r="F799">
        <v>52</v>
      </c>
      <c r="H799" t="s">
        <v>50</v>
      </c>
      <c r="K799" t="s">
        <v>51</v>
      </c>
      <c r="L799">
        <v>1</v>
      </c>
      <c r="M799" t="s">
        <v>52</v>
      </c>
      <c r="N799" t="s">
        <v>53</v>
      </c>
      <c r="R799">
        <v>0.5</v>
      </c>
      <c r="S799">
        <v>0.75</v>
      </c>
      <c r="U799">
        <v>0</v>
      </c>
      <c r="V799" s="1">
        <v>46583</v>
      </c>
      <c r="W799" s="1">
        <v>46675</v>
      </c>
      <c r="X799" s="1">
        <v>46461</v>
      </c>
      <c r="Z799" t="s">
        <v>52</v>
      </c>
      <c r="AB799" t="s">
        <v>52</v>
      </c>
      <c r="AC799">
        <v>50</v>
      </c>
      <c r="AD799">
        <v>1</v>
      </c>
      <c r="AK799" t="s">
        <v>52</v>
      </c>
      <c r="AN799" t="s">
        <v>52</v>
      </c>
      <c r="AO799" t="s">
        <v>52</v>
      </c>
      <c r="AP799" t="s">
        <v>52</v>
      </c>
      <c r="AQ799" t="s">
        <v>52</v>
      </c>
      <c r="AR799" t="s">
        <v>55</v>
      </c>
    </row>
    <row r="800" spans="1:44" x14ac:dyDescent="0.25">
      <c r="A800" t="s">
        <v>47</v>
      </c>
      <c r="B800">
        <v>8</v>
      </c>
      <c r="C800" t="s">
        <v>169</v>
      </c>
      <c r="D800">
        <v>71</v>
      </c>
      <c r="E800" t="s">
        <v>82</v>
      </c>
      <c r="F800">
        <v>52</v>
      </c>
      <c r="H800" t="s">
        <v>50</v>
      </c>
      <c r="K800" t="s">
        <v>52</v>
      </c>
      <c r="L800">
        <v>1</v>
      </c>
      <c r="M800" t="s">
        <v>52</v>
      </c>
      <c r="N800" t="s">
        <v>53</v>
      </c>
      <c r="R800">
        <v>0.5</v>
      </c>
      <c r="S800">
        <v>0.75</v>
      </c>
      <c r="U800">
        <v>0</v>
      </c>
      <c r="V800" s="1">
        <v>46583</v>
      </c>
      <c r="W800" s="1">
        <v>46675</v>
      </c>
      <c r="X800" s="1">
        <v>46461</v>
      </c>
      <c r="Z800" t="s">
        <v>52</v>
      </c>
      <c r="AB800" t="s">
        <v>52</v>
      </c>
      <c r="AC800">
        <v>50</v>
      </c>
      <c r="AD800">
        <v>1</v>
      </c>
      <c r="AK800" t="s">
        <v>52</v>
      </c>
      <c r="AN800" t="s">
        <v>52</v>
      </c>
      <c r="AO800" t="s">
        <v>52</v>
      </c>
      <c r="AP800" t="s">
        <v>52</v>
      </c>
      <c r="AQ800" t="s">
        <v>52</v>
      </c>
      <c r="AR800" t="s">
        <v>55</v>
      </c>
    </row>
    <row r="801" spans="1:45" x14ac:dyDescent="0.25">
      <c r="A801" t="s">
        <v>47</v>
      </c>
      <c r="B801">
        <v>8</v>
      </c>
      <c r="C801" t="s">
        <v>169</v>
      </c>
      <c r="D801">
        <v>71</v>
      </c>
      <c r="E801" t="s">
        <v>83</v>
      </c>
      <c r="F801">
        <v>158</v>
      </c>
      <c r="H801" t="s">
        <v>50</v>
      </c>
      <c r="K801" t="s">
        <v>51</v>
      </c>
      <c r="L801">
        <v>1</v>
      </c>
      <c r="M801" t="s">
        <v>52</v>
      </c>
      <c r="N801" t="s">
        <v>53</v>
      </c>
      <c r="P801">
        <v>1.3</v>
      </c>
      <c r="R801">
        <v>0.77</v>
      </c>
      <c r="S801">
        <v>0.93</v>
      </c>
      <c r="T801">
        <v>0</v>
      </c>
      <c r="U801">
        <v>0</v>
      </c>
      <c r="V801" s="1">
        <v>46310</v>
      </c>
      <c r="W801" s="1">
        <v>46691</v>
      </c>
      <c r="X801" s="1">
        <v>46266</v>
      </c>
      <c r="Z801" t="s">
        <v>52</v>
      </c>
      <c r="AA801" t="s">
        <v>54</v>
      </c>
      <c r="AB801" t="s">
        <v>52</v>
      </c>
      <c r="AC801">
        <v>158</v>
      </c>
      <c r="AD801">
        <v>2</v>
      </c>
      <c r="AK801" t="s">
        <v>52</v>
      </c>
      <c r="AN801" t="s">
        <v>52</v>
      </c>
      <c r="AO801" t="s">
        <v>52</v>
      </c>
      <c r="AP801" t="s">
        <v>52</v>
      </c>
      <c r="AQ801" t="s">
        <v>52</v>
      </c>
      <c r="AR801" t="s">
        <v>95</v>
      </c>
      <c r="AS801" t="s">
        <v>140</v>
      </c>
    </row>
    <row r="802" spans="1:45" x14ac:dyDescent="0.25">
      <c r="A802" t="s">
        <v>47</v>
      </c>
      <c r="B802">
        <v>8</v>
      </c>
      <c r="C802" t="s">
        <v>169</v>
      </c>
      <c r="D802">
        <v>71</v>
      </c>
      <c r="E802" t="s">
        <v>83</v>
      </c>
      <c r="F802">
        <v>158</v>
      </c>
      <c r="H802" t="s">
        <v>50</v>
      </c>
      <c r="K802" t="s">
        <v>52</v>
      </c>
      <c r="L802">
        <v>1</v>
      </c>
      <c r="M802" t="s">
        <v>52</v>
      </c>
      <c r="N802" t="s">
        <v>53</v>
      </c>
      <c r="R802">
        <v>0.77</v>
      </c>
      <c r="S802">
        <v>0.93</v>
      </c>
      <c r="T802">
        <v>0</v>
      </c>
      <c r="U802">
        <v>0</v>
      </c>
      <c r="V802" s="1">
        <v>46310</v>
      </c>
      <c r="W802" s="1">
        <v>46691</v>
      </c>
      <c r="X802" s="1">
        <v>46266</v>
      </c>
      <c r="Z802" t="s">
        <v>52</v>
      </c>
      <c r="AB802" t="s">
        <v>52</v>
      </c>
      <c r="AC802">
        <v>158</v>
      </c>
      <c r="AD802">
        <v>2</v>
      </c>
      <c r="AK802" t="s">
        <v>52</v>
      </c>
      <c r="AN802" t="s">
        <v>52</v>
      </c>
      <c r="AO802" t="s">
        <v>52</v>
      </c>
      <c r="AP802" t="s">
        <v>52</v>
      </c>
      <c r="AQ802" t="s">
        <v>52</v>
      </c>
      <c r="AR802" t="s">
        <v>55</v>
      </c>
      <c r="AS802" t="s">
        <v>170</v>
      </c>
    </row>
    <row r="803" spans="1:45" x14ac:dyDescent="0.25">
      <c r="A803" t="s">
        <v>47</v>
      </c>
      <c r="B803">
        <v>8</v>
      </c>
      <c r="C803" t="s">
        <v>169</v>
      </c>
      <c r="D803">
        <v>71</v>
      </c>
      <c r="E803" t="s">
        <v>84</v>
      </c>
      <c r="F803">
        <v>11</v>
      </c>
      <c r="G803" t="s">
        <v>96</v>
      </c>
      <c r="H803" t="s">
        <v>50</v>
      </c>
      <c r="K803" t="s">
        <v>51</v>
      </c>
      <c r="L803">
        <v>1</v>
      </c>
      <c r="M803" t="s">
        <v>52</v>
      </c>
      <c r="N803" t="s">
        <v>53</v>
      </c>
      <c r="R803">
        <v>0.5</v>
      </c>
      <c r="S803">
        <v>0.75</v>
      </c>
      <c r="T803">
        <v>0</v>
      </c>
      <c r="U803">
        <v>0</v>
      </c>
      <c r="V803" s="1">
        <v>46300</v>
      </c>
      <c r="W803" s="1">
        <v>46691</v>
      </c>
      <c r="X803" s="1">
        <v>46295</v>
      </c>
      <c r="Z803" t="s">
        <v>52</v>
      </c>
      <c r="AB803" t="s">
        <v>52</v>
      </c>
      <c r="AC803">
        <v>11</v>
      </c>
      <c r="AD803">
        <v>2</v>
      </c>
      <c r="AK803" t="s">
        <v>52</v>
      </c>
      <c r="AN803" t="s">
        <v>52</v>
      </c>
      <c r="AO803" t="s">
        <v>52</v>
      </c>
      <c r="AP803" t="s">
        <v>52</v>
      </c>
      <c r="AQ803" t="s">
        <v>52</v>
      </c>
      <c r="AR803" t="s">
        <v>55</v>
      </c>
    </row>
    <row r="804" spans="1:45" x14ac:dyDescent="0.25">
      <c r="A804" t="s">
        <v>47</v>
      </c>
      <c r="B804">
        <v>8</v>
      </c>
      <c r="C804" t="s">
        <v>169</v>
      </c>
      <c r="D804">
        <v>71</v>
      </c>
      <c r="E804" t="s">
        <v>84</v>
      </c>
      <c r="F804">
        <v>11</v>
      </c>
      <c r="G804" t="s">
        <v>96</v>
      </c>
      <c r="H804" t="s">
        <v>50</v>
      </c>
      <c r="K804" t="s">
        <v>52</v>
      </c>
      <c r="L804">
        <v>1</v>
      </c>
      <c r="M804" t="s">
        <v>52</v>
      </c>
      <c r="N804" t="s">
        <v>53</v>
      </c>
      <c r="R804">
        <v>0.5</v>
      </c>
      <c r="S804">
        <v>0.75</v>
      </c>
      <c r="T804">
        <v>0</v>
      </c>
      <c r="U804">
        <v>0</v>
      </c>
      <c r="V804" s="1">
        <v>46300</v>
      </c>
      <c r="W804" s="1">
        <v>46691</v>
      </c>
      <c r="X804" s="1">
        <v>46295</v>
      </c>
      <c r="Z804" t="s">
        <v>52</v>
      </c>
      <c r="AB804" t="s">
        <v>52</v>
      </c>
      <c r="AC804">
        <v>11</v>
      </c>
      <c r="AD804">
        <v>2</v>
      </c>
      <c r="AK804" t="s">
        <v>52</v>
      </c>
      <c r="AN804" t="s">
        <v>52</v>
      </c>
      <c r="AO804" t="s">
        <v>52</v>
      </c>
      <c r="AP804" t="s">
        <v>52</v>
      </c>
      <c r="AQ804" t="s">
        <v>52</v>
      </c>
      <c r="AR804" t="s">
        <v>55</v>
      </c>
    </row>
    <row r="805" spans="1:45" x14ac:dyDescent="0.25">
      <c r="A805" t="s">
        <v>47</v>
      </c>
      <c r="B805">
        <v>8</v>
      </c>
      <c r="C805" t="s">
        <v>171</v>
      </c>
      <c r="D805">
        <v>73</v>
      </c>
      <c r="E805" t="s">
        <v>49</v>
      </c>
      <c r="F805">
        <v>27</v>
      </c>
      <c r="H805" t="s">
        <v>50</v>
      </c>
      <c r="K805" t="s">
        <v>51</v>
      </c>
      <c r="L805">
        <v>1</v>
      </c>
      <c r="M805" t="s">
        <v>52</v>
      </c>
      <c r="N805" t="s">
        <v>53</v>
      </c>
      <c r="Q805">
        <v>230</v>
      </c>
      <c r="R805">
        <v>0</v>
      </c>
      <c r="S805">
        <v>0.75</v>
      </c>
      <c r="T805">
        <v>0</v>
      </c>
      <c r="U805">
        <v>0</v>
      </c>
      <c r="W805" s="1">
        <v>46675</v>
      </c>
      <c r="X805" s="1">
        <v>46357</v>
      </c>
      <c r="Y805" t="s">
        <v>54</v>
      </c>
      <c r="Z805" t="s">
        <v>52</v>
      </c>
      <c r="AB805" t="s">
        <v>52</v>
      </c>
      <c r="AC805">
        <v>27</v>
      </c>
      <c r="AD805">
        <v>1</v>
      </c>
      <c r="AE805">
        <v>0.97</v>
      </c>
      <c r="AG805">
        <v>0.97</v>
      </c>
      <c r="AK805" t="s">
        <v>52</v>
      </c>
      <c r="AN805" t="s">
        <v>52</v>
      </c>
      <c r="AO805" t="s">
        <v>52</v>
      </c>
      <c r="AP805" t="s">
        <v>52</v>
      </c>
      <c r="AQ805" t="s">
        <v>52</v>
      </c>
      <c r="AR805" t="s">
        <v>55</v>
      </c>
      <c r="AS805" t="s">
        <v>56</v>
      </c>
    </row>
    <row r="806" spans="1:45" x14ac:dyDescent="0.25">
      <c r="A806" t="s">
        <v>47</v>
      </c>
      <c r="B806">
        <v>8</v>
      </c>
      <c r="C806" t="s">
        <v>171</v>
      </c>
      <c r="D806">
        <v>73</v>
      </c>
      <c r="E806" t="s">
        <v>49</v>
      </c>
      <c r="F806">
        <v>27</v>
      </c>
      <c r="H806" t="s">
        <v>50</v>
      </c>
      <c r="K806" t="s">
        <v>52</v>
      </c>
      <c r="L806">
        <v>1</v>
      </c>
      <c r="M806" t="s">
        <v>52</v>
      </c>
      <c r="N806" t="s">
        <v>53</v>
      </c>
      <c r="Q806">
        <v>230</v>
      </c>
      <c r="R806">
        <v>0</v>
      </c>
      <c r="S806">
        <v>0.75</v>
      </c>
      <c r="T806">
        <v>0</v>
      </c>
      <c r="U806">
        <v>0</v>
      </c>
      <c r="W806" s="1">
        <v>46675</v>
      </c>
      <c r="X806" s="1">
        <v>46357</v>
      </c>
      <c r="Y806" t="s">
        <v>54</v>
      </c>
      <c r="Z806" t="s">
        <v>52</v>
      </c>
      <c r="AB806" t="s">
        <v>52</v>
      </c>
      <c r="AC806">
        <v>27</v>
      </c>
      <c r="AD806">
        <v>1</v>
      </c>
      <c r="AE806">
        <v>0.97</v>
      </c>
      <c r="AG806">
        <v>0.97</v>
      </c>
      <c r="AK806" t="s">
        <v>52</v>
      </c>
      <c r="AN806" t="s">
        <v>52</v>
      </c>
      <c r="AO806" t="s">
        <v>52</v>
      </c>
      <c r="AP806" t="s">
        <v>52</v>
      </c>
      <c r="AQ806" t="s">
        <v>52</v>
      </c>
      <c r="AR806" t="s">
        <v>55</v>
      </c>
      <c r="AS806" t="s">
        <v>57</v>
      </c>
    </row>
    <row r="807" spans="1:45" x14ac:dyDescent="0.25">
      <c r="A807" t="s">
        <v>47</v>
      </c>
      <c r="B807">
        <v>8</v>
      </c>
      <c r="C807" t="s">
        <v>171</v>
      </c>
      <c r="D807">
        <v>73</v>
      </c>
      <c r="E807" t="s">
        <v>58</v>
      </c>
      <c r="F807">
        <v>102</v>
      </c>
      <c r="G807" t="s">
        <v>62</v>
      </c>
      <c r="H807" t="s">
        <v>50</v>
      </c>
      <c r="K807" t="s">
        <v>51</v>
      </c>
      <c r="L807">
        <v>1</v>
      </c>
      <c r="M807" t="s">
        <v>52</v>
      </c>
      <c r="N807" t="s">
        <v>53</v>
      </c>
      <c r="R807">
        <v>0</v>
      </c>
      <c r="S807">
        <v>0.92</v>
      </c>
      <c r="T807">
        <v>0</v>
      </c>
      <c r="U807">
        <v>0</v>
      </c>
      <c r="W807" s="1">
        <v>46731</v>
      </c>
      <c r="X807" s="1">
        <v>46357</v>
      </c>
      <c r="Z807" t="s">
        <v>52</v>
      </c>
      <c r="AB807" t="s">
        <v>52</v>
      </c>
      <c r="AC807">
        <v>102</v>
      </c>
      <c r="AD807">
        <v>1</v>
      </c>
      <c r="AK807" t="s">
        <v>52</v>
      </c>
      <c r="AN807" t="s">
        <v>52</v>
      </c>
      <c r="AO807" t="s">
        <v>52</v>
      </c>
      <c r="AP807" t="s">
        <v>52</v>
      </c>
      <c r="AQ807" t="s">
        <v>52</v>
      </c>
      <c r="AR807" t="s">
        <v>55</v>
      </c>
    </row>
    <row r="808" spans="1:45" x14ac:dyDescent="0.25">
      <c r="A808" t="s">
        <v>47</v>
      </c>
      <c r="B808">
        <v>8</v>
      </c>
      <c r="C808" t="s">
        <v>171</v>
      </c>
      <c r="D808">
        <v>73</v>
      </c>
      <c r="E808" t="s">
        <v>58</v>
      </c>
      <c r="F808">
        <v>102</v>
      </c>
      <c r="G808" t="s">
        <v>62</v>
      </c>
      <c r="H808" t="s">
        <v>50</v>
      </c>
      <c r="K808" t="s">
        <v>52</v>
      </c>
      <c r="L808">
        <v>1</v>
      </c>
      <c r="M808" t="s">
        <v>52</v>
      </c>
      <c r="N808" t="s">
        <v>53</v>
      </c>
      <c r="R808">
        <v>0</v>
      </c>
      <c r="S808">
        <v>0.92</v>
      </c>
      <c r="T808">
        <v>0</v>
      </c>
      <c r="U808">
        <v>0</v>
      </c>
      <c r="W808" s="1">
        <v>46731</v>
      </c>
      <c r="X808" s="1">
        <v>46357</v>
      </c>
      <c r="Z808" t="s">
        <v>52</v>
      </c>
      <c r="AB808" t="s">
        <v>52</v>
      </c>
      <c r="AC808">
        <v>102</v>
      </c>
      <c r="AD808">
        <v>1</v>
      </c>
      <c r="AK808" t="s">
        <v>52</v>
      </c>
      <c r="AN808" t="s">
        <v>52</v>
      </c>
      <c r="AO808" t="s">
        <v>52</v>
      </c>
      <c r="AP808" t="s">
        <v>52</v>
      </c>
      <c r="AQ808" t="s">
        <v>52</v>
      </c>
      <c r="AR808" t="s">
        <v>55</v>
      </c>
    </row>
    <row r="809" spans="1:45" x14ac:dyDescent="0.25">
      <c r="A809" t="s">
        <v>47</v>
      </c>
      <c r="B809">
        <v>8</v>
      </c>
      <c r="C809" t="s">
        <v>171</v>
      </c>
      <c r="D809">
        <v>73</v>
      </c>
      <c r="E809" t="s">
        <v>68</v>
      </c>
      <c r="F809">
        <v>80</v>
      </c>
      <c r="G809" t="s">
        <v>69</v>
      </c>
      <c r="H809" t="s">
        <v>50</v>
      </c>
      <c r="K809" t="s">
        <v>52</v>
      </c>
      <c r="L809">
        <v>1</v>
      </c>
      <c r="M809" t="s">
        <v>52</v>
      </c>
      <c r="N809" t="s">
        <v>53</v>
      </c>
      <c r="R809">
        <v>0.5</v>
      </c>
      <c r="S809">
        <v>0.75</v>
      </c>
      <c r="T809">
        <v>0</v>
      </c>
      <c r="U809">
        <v>0</v>
      </c>
      <c r="V809" s="1">
        <v>46600</v>
      </c>
      <c r="W809" s="1">
        <v>46675</v>
      </c>
      <c r="X809" s="1">
        <v>46461</v>
      </c>
      <c r="Z809" t="s">
        <v>52</v>
      </c>
      <c r="AB809" t="s">
        <v>52</v>
      </c>
      <c r="AC809">
        <v>80</v>
      </c>
      <c r="AD809">
        <v>1</v>
      </c>
      <c r="AK809" t="s">
        <v>52</v>
      </c>
      <c r="AN809" t="s">
        <v>52</v>
      </c>
      <c r="AO809" t="s">
        <v>52</v>
      </c>
      <c r="AP809" t="s">
        <v>52</v>
      </c>
      <c r="AQ809" t="s">
        <v>52</v>
      </c>
      <c r="AR809" t="s">
        <v>55</v>
      </c>
    </row>
    <row r="810" spans="1:45" x14ac:dyDescent="0.25">
      <c r="A810" t="s">
        <v>47</v>
      </c>
      <c r="B810">
        <v>8</v>
      </c>
      <c r="C810" t="s">
        <v>171</v>
      </c>
      <c r="D810">
        <v>73</v>
      </c>
      <c r="E810" t="s">
        <v>68</v>
      </c>
      <c r="F810">
        <v>80</v>
      </c>
      <c r="G810" t="s">
        <v>105</v>
      </c>
      <c r="H810" t="s">
        <v>50</v>
      </c>
      <c r="K810" t="s">
        <v>52</v>
      </c>
      <c r="L810">
        <v>1</v>
      </c>
      <c r="M810" t="s">
        <v>52</v>
      </c>
      <c r="N810" t="s">
        <v>53</v>
      </c>
      <c r="R810">
        <v>0.5</v>
      </c>
      <c r="S810">
        <v>0.75</v>
      </c>
      <c r="T810">
        <v>0</v>
      </c>
      <c r="U810">
        <v>0</v>
      </c>
      <c r="V810" s="1">
        <v>46600</v>
      </c>
      <c r="W810" s="1">
        <v>46675</v>
      </c>
      <c r="X810" s="1">
        <v>46461</v>
      </c>
      <c r="Z810" t="s">
        <v>52</v>
      </c>
      <c r="AB810" t="s">
        <v>52</v>
      </c>
      <c r="AC810">
        <v>80</v>
      </c>
      <c r="AD810">
        <v>1</v>
      </c>
      <c r="AK810" t="s">
        <v>52</v>
      </c>
      <c r="AN810" t="s">
        <v>52</v>
      </c>
      <c r="AO810" t="s">
        <v>52</v>
      </c>
      <c r="AP810" t="s">
        <v>52</v>
      </c>
      <c r="AQ810" t="s">
        <v>52</v>
      </c>
      <c r="AR810" t="s">
        <v>55</v>
      </c>
    </row>
    <row r="811" spans="1:45" x14ac:dyDescent="0.25">
      <c r="A811" t="s">
        <v>47</v>
      </c>
      <c r="B811">
        <v>8</v>
      </c>
      <c r="C811" t="s">
        <v>171</v>
      </c>
      <c r="D811">
        <v>73</v>
      </c>
      <c r="E811" t="s">
        <v>70</v>
      </c>
      <c r="F811">
        <v>296</v>
      </c>
      <c r="G811" t="s">
        <v>71</v>
      </c>
      <c r="H811" t="s">
        <v>50</v>
      </c>
      <c r="K811" t="s">
        <v>52</v>
      </c>
      <c r="L811">
        <v>1</v>
      </c>
      <c r="M811" t="s">
        <v>52</v>
      </c>
      <c r="N811" t="s">
        <v>53</v>
      </c>
      <c r="Q811">
        <v>224.33330000000001</v>
      </c>
      <c r="R811">
        <v>0</v>
      </c>
      <c r="S811">
        <v>0.75</v>
      </c>
      <c r="T811">
        <v>0</v>
      </c>
      <c r="U811">
        <v>0</v>
      </c>
      <c r="W811" s="1">
        <v>46675</v>
      </c>
      <c r="X811" s="1">
        <v>46357</v>
      </c>
      <c r="Y811" t="s">
        <v>54</v>
      </c>
      <c r="Z811" t="s">
        <v>52</v>
      </c>
      <c r="AB811" t="s">
        <v>52</v>
      </c>
      <c r="AC811">
        <v>296</v>
      </c>
      <c r="AD811">
        <v>1</v>
      </c>
      <c r="AK811" t="s">
        <v>52</v>
      </c>
      <c r="AN811" t="s">
        <v>52</v>
      </c>
      <c r="AO811" t="s">
        <v>52</v>
      </c>
      <c r="AP811" t="s">
        <v>52</v>
      </c>
      <c r="AQ811" t="s">
        <v>52</v>
      </c>
      <c r="AR811" t="s">
        <v>55</v>
      </c>
    </row>
    <row r="812" spans="1:45" x14ac:dyDescent="0.25">
      <c r="A812" t="s">
        <v>47</v>
      </c>
      <c r="B812">
        <v>8</v>
      </c>
      <c r="C812" t="s">
        <v>171</v>
      </c>
      <c r="D812">
        <v>73</v>
      </c>
      <c r="E812" t="s">
        <v>75</v>
      </c>
      <c r="F812">
        <v>16</v>
      </c>
      <c r="G812" t="s">
        <v>76</v>
      </c>
      <c r="H812" t="s">
        <v>50</v>
      </c>
      <c r="K812" t="s">
        <v>51</v>
      </c>
      <c r="L812">
        <v>1</v>
      </c>
      <c r="M812" t="s">
        <v>52</v>
      </c>
      <c r="N812" t="s">
        <v>53</v>
      </c>
      <c r="R812">
        <v>0.5</v>
      </c>
      <c r="S812">
        <v>0.75</v>
      </c>
      <c r="T812">
        <v>0</v>
      </c>
      <c r="U812">
        <v>0</v>
      </c>
      <c r="V812" s="1">
        <v>46522</v>
      </c>
      <c r="W812" s="1">
        <v>46691</v>
      </c>
      <c r="X812" s="1">
        <v>46461</v>
      </c>
      <c r="Z812" t="s">
        <v>52</v>
      </c>
      <c r="AB812" t="s">
        <v>52</v>
      </c>
      <c r="AC812">
        <v>16</v>
      </c>
      <c r="AD812">
        <v>2</v>
      </c>
      <c r="AK812" t="s">
        <v>52</v>
      </c>
      <c r="AN812" t="s">
        <v>52</v>
      </c>
      <c r="AO812" t="s">
        <v>52</v>
      </c>
      <c r="AP812" t="s">
        <v>52</v>
      </c>
      <c r="AQ812" t="s">
        <v>52</v>
      </c>
      <c r="AR812" t="s">
        <v>55</v>
      </c>
    </row>
    <row r="813" spans="1:45" x14ac:dyDescent="0.25">
      <c r="A813" t="s">
        <v>47</v>
      </c>
      <c r="B813">
        <v>8</v>
      </c>
      <c r="C813" t="s">
        <v>171</v>
      </c>
      <c r="D813">
        <v>73</v>
      </c>
      <c r="E813" t="s">
        <v>75</v>
      </c>
      <c r="F813">
        <v>16</v>
      </c>
      <c r="G813" t="s">
        <v>76</v>
      </c>
      <c r="H813" t="s">
        <v>50</v>
      </c>
      <c r="K813" t="s">
        <v>52</v>
      </c>
      <c r="L813">
        <v>1</v>
      </c>
      <c r="M813" t="s">
        <v>52</v>
      </c>
      <c r="N813" t="s">
        <v>53</v>
      </c>
      <c r="R813">
        <v>0.5</v>
      </c>
      <c r="S813">
        <v>0.75</v>
      </c>
      <c r="T813">
        <v>0</v>
      </c>
      <c r="U813">
        <v>0</v>
      </c>
      <c r="V813" s="1">
        <v>46522</v>
      </c>
      <c r="W813" s="1">
        <v>46691</v>
      </c>
      <c r="X813" s="1">
        <v>46461</v>
      </c>
      <c r="Z813" t="s">
        <v>52</v>
      </c>
      <c r="AB813" t="s">
        <v>52</v>
      </c>
      <c r="AC813">
        <v>16</v>
      </c>
      <c r="AD813">
        <v>2</v>
      </c>
      <c r="AK813" t="s">
        <v>52</v>
      </c>
      <c r="AN813" t="s">
        <v>52</v>
      </c>
      <c r="AO813" t="s">
        <v>52</v>
      </c>
      <c r="AP813" t="s">
        <v>52</v>
      </c>
      <c r="AQ813" t="s">
        <v>52</v>
      </c>
      <c r="AR813" t="s">
        <v>55</v>
      </c>
    </row>
    <row r="814" spans="1:45" x14ac:dyDescent="0.25">
      <c r="A814" t="s">
        <v>47</v>
      </c>
      <c r="B814">
        <v>8</v>
      </c>
      <c r="C814" t="s">
        <v>171</v>
      </c>
      <c r="D814">
        <v>73</v>
      </c>
      <c r="E814" t="s">
        <v>79</v>
      </c>
      <c r="F814">
        <v>50</v>
      </c>
      <c r="G814" t="s">
        <v>100</v>
      </c>
      <c r="H814" t="s">
        <v>50</v>
      </c>
      <c r="K814" t="s">
        <v>51</v>
      </c>
      <c r="L814">
        <v>1</v>
      </c>
      <c r="M814" t="s">
        <v>52</v>
      </c>
      <c r="N814" t="s">
        <v>53</v>
      </c>
      <c r="R814">
        <v>0.5</v>
      </c>
      <c r="S814">
        <v>0.75</v>
      </c>
      <c r="T814">
        <v>0</v>
      </c>
      <c r="U814">
        <v>0</v>
      </c>
      <c r="V814" s="1">
        <v>46583</v>
      </c>
      <c r="W814" s="1">
        <v>46675</v>
      </c>
      <c r="X814" s="1">
        <v>46461</v>
      </c>
      <c r="Z814" t="s">
        <v>52</v>
      </c>
      <c r="AB814" t="s">
        <v>52</v>
      </c>
      <c r="AC814">
        <v>50</v>
      </c>
      <c r="AD814">
        <v>1</v>
      </c>
      <c r="AK814" t="s">
        <v>52</v>
      </c>
      <c r="AN814" t="s">
        <v>52</v>
      </c>
      <c r="AO814" t="s">
        <v>52</v>
      </c>
      <c r="AP814" t="s">
        <v>52</v>
      </c>
      <c r="AQ814" t="s">
        <v>52</v>
      </c>
      <c r="AR814" t="s">
        <v>55</v>
      </c>
    </row>
    <row r="815" spans="1:45" x14ac:dyDescent="0.25">
      <c r="A815" t="s">
        <v>47</v>
      </c>
      <c r="B815">
        <v>8</v>
      </c>
      <c r="C815" t="s">
        <v>171</v>
      </c>
      <c r="D815">
        <v>73</v>
      </c>
      <c r="E815" t="s">
        <v>79</v>
      </c>
      <c r="F815">
        <v>50</v>
      </c>
      <c r="G815" t="s">
        <v>80</v>
      </c>
      <c r="H815" t="s">
        <v>50</v>
      </c>
      <c r="K815" t="s">
        <v>51</v>
      </c>
      <c r="L815">
        <v>1</v>
      </c>
      <c r="M815" t="s">
        <v>52</v>
      </c>
      <c r="N815" t="s">
        <v>53</v>
      </c>
      <c r="R815">
        <v>0.5</v>
      </c>
      <c r="S815">
        <v>0.75</v>
      </c>
      <c r="T815">
        <v>0</v>
      </c>
      <c r="U815">
        <v>0</v>
      </c>
      <c r="V815" s="1">
        <v>46583</v>
      </c>
      <c r="W815" s="1">
        <v>46675</v>
      </c>
      <c r="X815" s="1">
        <v>46461</v>
      </c>
      <c r="Z815" t="s">
        <v>52</v>
      </c>
      <c r="AB815" t="s">
        <v>52</v>
      </c>
      <c r="AC815">
        <v>50</v>
      </c>
      <c r="AD815">
        <v>1</v>
      </c>
      <c r="AK815" t="s">
        <v>52</v>
      </c>
      <c r="AN815" t="s">
        <v>52</v>
      </c>
      <c r="AO815" t="s">
        <v>52</v>
      </c>
      <c r="AP815" t="s">
        <v>52</v>
      </c>
      <c r="AQ815" t="s">
        <v>52</v>
      </c>
      <c r="AR815" t="s">
        <v>55</v>
      </c>
    </row>
    <row r="816" spans="1:45" x14ac:dyDescent="0.25">
      <c r="A816" t="s">
        <v>47</v>
      </c>
      <c r="B816">
        <v>8</v>
      </c>
      <c r="C816" t="s">
        <v>171</v>
      </c>
      <c r="D816">
        <v>73</v>
      </c>
      <c r="E816" t="s">
        <v>79</v>
      </c>
      <c r="F816">
        <v>50</v>
      </c>
      <c r="G816" t="s">
        <v>80</v>
      </c>
      <c r="H816" t="s">
        <v>50</v>
      </c>
      <c r="K816" t="s">
        <v>52</v>
      </c>
      <c r="L816">
        <v>1</v>
      </c>
      <c r="M816" t="s">
        <v>52</v>
      </c>
      <c r="N816" t="s">
        <v>53</v>
      </c>
      <c r="R816">
        <v>0.5</v>
      </c>
      <c r="S816">
        <v>0.75</v>
      </c>
      <c r="T816">
        <v>0</v>
      </c>
      <c r="U816">
        <v>0</v>
      </c>
      <c r="V816" s="1">
        <v>46583</v>
      </c>
      <c r="W816" s="1">
        <v>46675</v>
      </c>
      <c r="X816" s="1">
        <v>46461</v>
      </c>
      <c r="Z816" t="s">
        <v>52</v>
      </c>
      <c r="AB816" t="s">
        <v>52</v>
      </c>
      <c r="AC816">
        <v>50</v>
      </c>
      <c r="AD816">
        <v>1</v>
      </c>
      <c r="AK816" t="s">
        <v>52</v>
      </c>
      <c r="AN816" t="s">
        <v>52</v>
      </c>
      <c r="AO816" t="s">
        <v>52</v>
      </c>
      <c r="AP816" t="s">
        <v>52</v>
      </c>
      <c r="AQ816" t="s">
        <v>52</v>
      </c>
      <c r="AR816" t="s">
        <v>55</v>
      </c>
    </row>
    <row r="817" spans="1:45" x14ac:dyDescent="0.25">
      <c r="A817" t="s">
        <v>47</v>
      </c>
      <c r="B817">
        <v>8</v>
      </c>
      <c r="C817" t="s">
        <v>171</v>
      </c>
      <c r="D817">
        <v>73</v>
      </c>
      <c r="E817" t="s">
        <v>79</v>
      </c>
      <c r="F817">
        <v>50</v>
      </c>
      <c r="G817" t="s">
        <v>65</v>
      </c>
      <c r="H817" t="s">
        <v>50</v>
      </c>
      <c r="K817" t="s">
        <v>51</v>
      </c>
      <c r="L817">
        <v>1</v>
      </c>
      <c r="M817" t="s">
        <v>52</v>
      </c>
      <c r="N817" t="s">
        <v>53</v>
      </c>
      <c r="R817">
        <v>0.5</v>
      </c>
      <c r="S817">
        <v>0.75</v>
      </c>
      <c r="T817">
        <v>0</v>
      </c>
      <c r="U817">
        <v>0</v>
      </c>
      <c r="V817" s="1">
        <v>46583</v>
      </c>
      <c r="W817" s="1">
        <v>46675</v>
      </c>
      <c r="X817" s="1">
        <v>46461</v>
      </c>
      <c r="Z817" t="s">
        <v>52</v>
      </c>
      <c r="AB817" t="s">
        <v>52</v>
      </c>
      <c r="AC817">
        <v>50</v>
      </c>
      <c r="AD817">
        <v>1</v>
      </c>
      <c r="AK817" t="s">
        <v>52</v>
      </c>
      <c r="AN817" t="s">
        <v>52</v>
      </c>
      <c r="AO817" t="s">
        <v>52</v>
      </c>
      <c r="AP817" t="s">
        <v>52</v>
      </c>
      <c r="AQ817" t="s">
        <v>52</v>
      </c>
      <c r="AR817" t="s">
        <v>55</v>
      </c>
    </row>
    <row r="818" spans="1:45" x14ac:dyDescent="0.25">
      <c r="A818" t="s">
        <v>47</v>
      </c>
      <c r="B818">
        <v>8</v>
      </c>
      <c r="C818" t="s">
        <v>171</v>
      </c>
      <c r="D818">
        <v>73</v>
      </c>
      <c r="E818" t="s">
        <v>79</v>
      </c>
      <c r="F818">
        <v>50</v>
      </c>
      <c r="G818" t="s">
        <v>65</v>
      </c>
      <c r="H818" t="s">
        <v>50</v>
      </c>
      <c r="K818" t="s">
        <v>52</v>
      </c>
      <c r="L818">
        <v>1</v>
      </c>
      <c r="M818" t="s">
        <v>52</v>
      </c>
      <c r="N818" t="s">
        <v>53</v>
      </c>
      <c r="R818">
        <v>0.5</v>
      </c>
      <c r="S818">
        <v>0.75</v>
      </c>
      <c r="T818">
        <v>0</v>
      </c>
      <c r="U818">
        <v>0</v>
      </c>
      <c r="V818" s="1">
        <v>46583</v>
      </c>
      <c r="W818" s="1">
        <v>46675</v>
      </c>
      <c r="X818" s="1">
        <v>46461</v>
      </c>
      <c r="Z818" t="s">
        <v>52</v>
      </c>
      <c r="AB818" t="s">
        <v>52</v>
      </c>
      <c r="AC818">
        <v>50</v>
      </c>
      <c r="AD818">
        <v>1</v>
      </c>
      <c r="AK818" t="s">
        <v>52</v>
      </c>
      <c r="AN818" t="s">
        <v>52</v>
      </c>
      <c r="AO818" t="s">
        <v>52</v>
      </c>
      <c r="AP818" t="s">
        <v>52</v>
      </c>
      <c r="AQ818" t="s">
        <v>52</v>
      </c>
      <c r="AR818" t="s">
        <v>55</v>
      </c>
    </row>
    <row r="819" spans="1:45" x14ac:dyDescent="0.25">
      <c r="A819" t="s">
        <v>47</v>
      </c>
      <c r="B819">
        <v>8</v>
      </c>
      <c r="C819" t="s">
        <v>171</v>
      </c>
      <c r="D819">
        <v>73</v>
      </c>
      <c r="E819" t="s">
        <v>79</v>
      </c>
      <c r="F819">
        <v>50</v>
      </c>
      <c r="G819" t="s">
        <v>81</v>
      </c>
      <c r="H819" t="s">
        <v>50</v>
      </c>
      <c r="K819" t="s">
        <v>51</v>
      </c>
      <c r="L819">
        <v>1</v>
      </c>
      <c r="M819" t="s">
        <v>52</v>
      </c>
      <c r="N819" t="s">
        <v>53</v>
      </c>
      <c r="R819">
        <v>0.5</v>
      </c>
      <c r="S819">
        <v>0.75</v>
      </c>
      <c r="T819">
        <v>0</v>
      </c>
      <c r="U819">
        <v>0</v>
      </c>
      <c r="V819" s="1">
        <v>46583</v>
      </c>
      <c r="W819" s="1">
        <v>46675</v>
      </c>
      <c r="X819" s="1">
        <v>46461</v>
      </c>
      <c r="Z819" t="s">
        <v>52</v>
      </c>
      <c r="AB819" t="s">
        <v>52</v>
      </c>
      <c r="AC819">
        <v>50</v>
      </c>
      <c r="AD819">
        <v>1</v>
      </c>
      <c r="AK819" t="s">
        <v>52</v>
      </c>
      <c r="AN819" t="s">
        <v>52</v>
      </c>
      <c r="AO819" t="s">
        <v>52</v>
      </c>
      <c r="AP819" t="s">
        <v>52</v>
      </c>
      <c r="AQ819" t="s">
        <v>52</v>
      </c>
      <c r="AR819" t="s">
        <v>55</v>
      </c>
    </row>
    <row r="820" spans="1:45" x14ac:dyDescent="0.25">
      <c r="A820" t="s">
        <v>47</v>
      </c>
      <c r="B820">
        <v>8</v>
      </c>
      <c r="C820" t="s">
        <v>171</v>
      </c>
      <c r="D820">
        <v>73</v>
      </c>
      <c r="E820" t="s">
        <v>79</v>
      </c>
      <c r="F820">
        <v>50</v>
      </c>
      <c r="G820" t="s">
        <v>81</v>
      </c>
      <c r="H820" t="s">
        <v>50</v>
      </c>
      <c r="K820" t="s">
        <v>52</v>
      </c>
      <c r="L820">
        <v>1</v>
      </c>
      <c r="M820" t="s">
        <v>52</v>
      </c>
      <c r="N820" t="s">
        <v>53</v>
      </c>
      <c r="R820">
        <v>0.5</v>
      </c>
      <c r="S820">
        <v>0.75</v>
      </c>
      <c r="T820">
        <v>0</v>
      </c>
      <c r="U820">
        <v>0</v>
      </c>
      <c r="V820" s="1">
        <v>46583</v>
      </c>
      <c r="W820" s="1">
        <v>46675</v>
      </c>
      <c r="X820" s="1">
        <v>46461</v>
      </c>
      <c r="Z820" t="s">
        <v>52</v>
      </c>
      <c r="AB820" t="s">
        <v>52</v>
      </c>
      <c r="AC820">
        <v>50</v>
      </c>
      <c r="AD820">
        <v>1</v>
      </c>
      <c r="AK820" t="s">
        <v>52</v>
      </c>
      <c r="AN820" t="s">
        <v>52</v>
      </c>
      <c r="AO820" t="s">
        <v>52</v>
      </c>
      <c r="AP820" t="s">
        <v>52</v>
      </c>
      <c r="AQ820" t="s">
        <v>52</v>
      </c>
      <c r="AR820" t="s">
        <v>55</v>
      </c>
    </row>
    <row r="821" spans="1:45" x14ac:dyDescent="0.25">
      <c r="A821" t="s">
        <v>47</v>
      </c>
      <c r="B821">
        <v>8</v>
      </c>
      <c r="C821" t="s">
        <v>171</v>
      </c>
      <c r="D821">
        <v>73</v>
      </c>
      <c r="E821" t="s">
        <v>82</v>
      </c>
      <c r="F821">
        <v>52</v>
      </c>
      <c r="H821" t="s">
        <v>50</v>
      </c>
      <c r="K821" t="s">
        <v>52</v>
      </c>
      <c r="L821">
        <v>1</v>
      </c>
      <c r="M821" t="s">
        <v>52</v>
      </c>
      <c r="N821" t="s">
        <v>53</v>
      </c>
      <c r="R821">
        <v>0.5</v>
      </c>
      <c r="S821">
        <v>0.75</v>
      </c>
      <c r="U821">
        <v>0</v>
      </c>
      <c r="V821" s="1">
        <v>46569</v>
      </c>
      <c r="W821" s="1">
        <v>46675</v>
      </c>
      <c r="X821" s="1">
        <v>46461</v>
      </c>
      <c r="Z821" t="s">
        <v>52</v>
      </c>
      <c r="AB821" t="s">
        <v>52</v>
      </c>
      <c r="AC821">
        <v>50</v>
      </c>
      <c r="AD821">
        <v>1</v>
      </c>
      <c r="AK821" t="s">
        <v>52</v>
      </c>
      <c r="AN821" t="s">
        <v>52</v>
      </c>
      <c r="AO821" t="s">
        <v>52</v>
      </c>
      <c r="AP821" t="s">
        <v>52</v>
      </c>
      <c r="AQ821" t="s">
        <v>52</v>
      </c>
      <c r="AR821" t="s">
        <v>55</v>
      </c>
      <c r="AS821" t="s">
        <v>60</v>
      </c>
    </row>
    <row r="822" spans="1:45" x14ac:dyDescent="0.25">
      <c r="A822" t="s">
        <v>47</v>
      </c>
      <c r="B822">
        <v>8</v>
      </c>
      <c r="C822" t="s">
        <v>171</v>
      </c>
      <c r="D822">
        <v>73</v>
      </c>
      <c r="E822" t="s">
        <v>83</v>
      </c>
      <c r="F822">
        <v>158</v>
      </c>
      <c r="H822" t="s">
        <v>50</v>
      </c>
      <c r="K822" t="s">
        <v>52</v>
      </c>
      <c r="L822">
        <v>1</v>
      </c>
      <c r="M822" t="s">
        <v>52</v>
      </c>
      <c r="N822" t="s">
        <v>53</v>
      </c>
      <c r="R822">
        <v>0.77</v>
      </c>
      <c r="S822">
        <v>0.93</v>
      </c>
      <c r="T822">
        <v>0</v>
      </c>
      <c r="U822">
        <v>0</v>
      </c>
      <c r="V822" s="1">
        <v>46522</v>
      </c>
      <c r="W822" s="1">
        <v>46691</v>
      </c>
      <c r="X822" s="1">
        <v>46266</v>
      </c>
      <c r="Z822" t="s">
        <v>52</v>
      </c>
      <c r="AB822" t="s">
        <v>52</v>
      </c>
      <c r="AC822">
        <v>158</v>
      </c>
      <c r="AD822">
        <v>2</v>
      </c>
      <c r="AK822" t="s">
        <v>52</v>
      </c>
      <c r="AN822" t="s">
        <v>52</v>
      </c>
      <c r="AO822" t="s">
        <v>52</v>
      </c>
      <c r="AP822" t="s">
        <v>52</v>
      </c>
      <c r="AQ822" t="s">
        <v>52</v>
      </c>
      <c r="AR822" t="s">
        <v>55</v>
      </c>
    </row>
    <row r="823" spans="1:45" x14ac:dyDescent="0.25">
      <c r="A823" t="s">
        <v>47</v>
      </c>
      <c r="B823">
        <v>8</v>
      </c>
      <c r="C823" t="s">
        <v>172</v>
      </c>
      <c r="D823">
        <v>75</v>
      </c>
      <c r="E823" t="s">
        <v>49</v>
      </c>
      <c r="F823">
        <v>27</v>
      </c>
      <c r="H823" t="s">
        <v>50</v>
      </c>
      <c r="K823" t="s">
        <v>51</v>
      </c>
      <c r="L823">
        <v>1</v>
      </c>
      <c r="M823" t="s">
        <v>52</v>
      </c>
      <c r="N823" t="s">
        <v>53</v>
      </c>
      <c r="Q823">
        <v>230</v>
      </c>
      <c r="R823">
        <v>0</v>
      </c>
      <c r="S823">
        <v>0.75</v>
      </c>
      <c r="T823">
        <v>0</v>
      </c>
      <c r="U823">
        <v>0</v>
      </c>
      <c r="W823" s="1">
        <v>46675</v>
      </c>
      <c r="X823" s="1">
        <v>46357</v>
      </c>
      <c r="Y823" t="s">
        <v>54</v>
      </c>
      <c r="Z823" t="s">
        <v>52</v>
      </c>
      <c r="AB823" t="s">
        <v>52</v>
      </c>
      <c r="AC823">
        <v>27</v>
      </c>
      <c r="AD823">
        <v>1</v>
      </c>
      <c r="AE823">
        <v>0.97</v>
      </c>
      <c r="AG823">
        <v>0.97</v>
      </c>
      <c r="AK823" t="s">
        <v>52</v>
      </c>
      <c r="AN823" t="s">
        <v>52</v>
      </c>
      <c r="AO823" t="s">
        <v>52</v>
      </c>
      <c r="AP823" t="s">
        <v>52</v>
      </c>
      <c r="AQ823" t="s">
        <v>52</v>
      </c>
      <c r="AR823" t="s">
        <v>55</v>
      </c>
      <c r="AS823" t="s">
        <v>56</v>
      </c>
    </row>
    <row r="824" spans="1:45" x14ac:dyDescent="0.25">
      <c r="A824" t="s">
        <v>47</v>
      </c>
      <c r="B824">
        <v>8</v>
      </c>
      <c r="C824" t="s">
        <v>172</v>
      </c>
      <c r="D824">
        <v>75</v>
      </c>
      <c r="E824" t="s">
        <v>49</v>
      </c>
      <c r="F824">
        <v>27</v>
      </c>
      <c r="H824" t="s">
        <v>50</v>
      </c>
      <c r="K824" t="s">
        <v>52</v>
      </c>
      <c r="L824">
        <v>1</v>
      </c>
      <c r="M824" t="s">
        <v>52</v>
      </c>
      <c r="N824" t="s">
        <v>53</v>
      </c>
      <c r="Q824">
        <v>230</v>
      </c>
      <c r="R824">
        <v>0</v>
      </c>
      <c r="S824">
        <v>0.75</v>
      </c>
      <c r="T824">
        <v>0</v>
      </c>
      <c r="U824">
        <v>0</v>
      </c>
      <c r="W824" s="1">
        <v>46675</v>
      </c>
      <c r="X824" s="1">
        <v>46357</v>
      </c>
      <c r="Y824" t="s">
        <v>54</v>
      </c>
      <c r="Z824" t="s">
        <v>52</v>
      </c>
      <c r="AB824" t="s">
        <v>52</v>
      </c>
      <c r="AC824">
        <v>27</v>
      </c>
      <c r="AD824">
        <v>1</v>
      </c>
      <c r="AE824">
        <v>0.97</v>
      </c>
      <c r="AG824">
        <v>0.97</v>
      </c>
      <c r="AK824" t="s">
        <v>52</v>
      </c>
      <c r="AN824" t="s">
        <v>52</v>
      </c>
      <c r="AO824" t="s">
        <v>52</v>
      </c>
      <c r="AP824" t="s">
        <v>52</v>
      </c>
      <c r="AQ824" t="s">
        <v>52</v>
      </c>
      <c r="AR824" t="s">
        <v>55</v>
      </c>
      <c r="AS824" t="s">
        <v>57</v>
      </c>
    </row>
    <row r="825" spans="1:45" x14ac:dyDescent="0.25">
      <c r="A825" t="s">
        <v>47</v>
      </c>
      <c r="B825">
        <v>8</v>
      </c>
      <c r="C825" t="s">
        <v>172</v>
      </c>
      <c r="D825">
        <v>75</v>
      </c>
      <c r="E825" t="s">
        <v>87</v>
      </c>
      <c r="F825">
        <v>91</v>
      </c>
      <c r="G825" t="s">
        <v>76</v>
      </c>
      <c r="H825" t="s">
        <v>50</v>
      </c>
      <c r="K825" t="s">
        <v>51</v>
      </c>
      <c r="L825">
        <v>1</v>
      </c>
      <c r="M825" t="s">
        <v>52</v>
      </c>
      <c r="N825" t="s">
        <v>53</v>
      </c>
      <c r="R825">
        <v>0.77</v>
      </c>
      <c r="S825">
        <v>0.93</v>
      </c>
      <c r="T825">
        <v>0</v>
      </c>
      <c r="U825">
        <v>0</v>
      </c>
      <c r="V825" s="1">
        <v>46548</v>
      </c>
      <c r="W825" s="1">
        <v>46691</v>
      </c>
      <c r="X825" s="1">
        <v>46295</v>
      </c>
      <c r="Z825" t="s">
        <v>52</v>
      </c>
      <c r="AB825" t="s">
        <v>52</v>
      </c>
      <c r="AC825">
        <v>91</v>
      </c>
      <c r="AD825">
        <v>2</v>
      </c>
      <c r="AK825" t="s">
        <v>52</v>
      </c>
      <c r="AN825" t="s">
        <v>52</v>
      </c>
      <c r="AO825" t="s">
        <v>52</v>
      </c>
      <c r="AP825" t="s">
        <v>52</v>
      </c>
      <c r="AQ825" t="s">
        <v>52</v>
      </c>
      <c r="AR825" t="s">
        <v>55</v>
      </c>
      <c r="AS825" t="s">
        <v>60</v>
      </c>
    </row>
    <row r="826" spans="1:45" x14ac:dyDescent="0.25">
      <c r="A826" t="s">
        <v>47</v>
      </c>
      <c r="B826">
        <v>8</v>
      </c>
      <c r="C826" t="s">
        <v>172</v>
      </c>
      <c r="D826">
        <v>75</v>
      </c>
      <c r="E826" t="s">
        <v>87</v>
      </c>
      <c r="F826">
        <v>91</v>
      </c>
      <c r="G826" t="s">
        <v>76</v>
      </c>
      <c r="H826" t="s">
        <v>50</v>
      </c>
      <c r="K826" t="s">
        <v>52</v>
      </c>
      <c r="L826">
        <v>1</v>
      </c>
      <c r="M826" t="s">
        <v>52</v>
      </c>
      <c r="N826" t="s">
        <v>53</v>
      </c>
      <c r="R826">
        <v>0.77</v>
      </c>
      <c r="S826">
        <v>0.93</v>
      </c>
      <c r="T826">
        <v>0</v>
      </c>
      <c r="U826">
        <v>0</v>
      </c>
      <c r="V826" s="1">
        <v>46548</v>
      </c>
      <c r="W826" s="1">
        <v>46691</v>
      </c>
      <c r="X826" s="1">
        <v>46295</v>
      </c>
      <c r="Z826" t="s">
        <v>52</v>
      </c>
      <c r="AB826" t="s">
        <v>52</v>
      </c>
      <c r="AC826">
        <v>91</v>
      </c>
      <c r="AD826">
        <v>2</v>
      </c>
      <c r="AK826" t="s">
        <v>52</v>
      </c>
      <c r="AN826" t="s">
        <v>52</v>
      </c>
      <c r="AO826" t="s">
        <v>52</v>
      </c>
      <c r="AP826" t="s">
        <v>52</v>
      </c>
      <c r="AQ826" t="s">
        <v>52</v>
      </c>
      <c r="AR826" t="s">
        <v>55</v>
      </c>
      <c r="AS826" t="s">
        <v>60</v>
      </c>
    </row>
    <row r="827" spans="1:45" ht="255" x14ac:dyDescent="0.25">
      <c r="A827" t="s">
        <v>47</v>
      </c>
      <c r="B827">
        <v>8</v>
      </c>
      <c r="C827" t="s">
        <v>172</v>
      </c>
      <c r="D827">
        <v>75</v>
      </c>
      <c r="E827" t="s">
        <v>58</v>
      </c>
      <c r="F827">
        <v>102</v>
      </c>
      <c r="G827" t="s">
        <v>173</v>
      </c>
      <c r="H827" t="s">
        <v>50</v>
      </c>
      <c r="K827" t="s">
        <v>52</v>
      </c>
      <c r="L827">
        <v>1</v>
      </c>
      <c r="M827" t="s">
        <v>52</v>
      </c>
      <c r="N827" t="s">
        <v>53</v>
      </c>
      <c r="R827">
        <v>0</v>
      </c>
      <c r="S827">
        <v>0.92</v>
      </c>
      <c r="T827">
        <v>0</v>
      </c>
      <c r="U827">
        <v>0</v>
      </c>
      <c r="W827" s="1">
        <v>46731</v>
      </c>
      <c r="X827" s="1">
        <v>46357</v>
      </c>
      <c r="Z827" t="s">
        <v>52</v>
      </c>
      <c r="AB827" t="s">
        <v>52</v>
      </c>
      <c r="AC827">
        <v>102</v>
      </c>
      <c r="AD827">
        <v>1</v>
      </c>
      <c r="AK827" t="s">
        <v>52</v>
      </c>
      <c r="AN827" t="s">
        <v>52</v>
      </c>
      <c r="AO827" t="s">
        <v>52</v>
      </c>
      <c r="AP827" t="s">
        <v>52</v>
      </c>
      <c r="AQ827" t="s">
        <v>52</v>
      </c>
      <c r="AR827" t="s">
        <v>55</v>
      </c>
      <c r="AS827" s="2" t="s">
        <v>174</v>
      </c>
    </row>
    <row r="828" spans="1:45" x14ac:dyDescent="0.25">
      <c r="A828" t="s">
        <v>47</v>
      </c>
      <c r="B828">
        <v>8</v>
      </c>
      <c r="C828" t="s">
        <v>172</v>
      </c>
      <c r="D828">
        <v>75</v>
      </c>
      <c r="E828" t="s">
        <v>58</v>
      </c>
      <c r="F828">
        <v>102</v>
      </c>
      <c r="G828" t="s">
        <v>61</v>
      </c>
      <c r="H828" t="s">
        <v>50</v>
      </c>
      <c r="K828" t="s">
        <v>51</v>
      </c>
      <c r="L828">
        <v>1</v>
      </c>
      <c r="M828" t="s">
        <v>52</v>
      </c>
      <c r="N828" t="s">
        <v>53</v>
      </c>
      <c r="R828">
        <v>0</v>
      </c>
      <c r="S828">
        <v>0.92</v>
      </c>
      <c r="T828">
        <v>0</v>
      </c>
      <c r="U828">
        <v>0</v>
      </c>
      <c r="W828" s="1">
        <v>46731</v>
      </c>
      <c r="X828" s="1">
        <v>46357</v>
      </c>
      <c r="Z828" t="s">
        <v>52</v>
      </c>
      <c r="AB828" t="s">
        <v>52</v>
      </c>
      <c r="AC828">
        <v>102</v>
      </c>
      <c r="AD828">
        <v>1</v>
      </c>
      <c r="AK828" t="s">
        <v>52</v>
      </c>
      <c r="AN828" t="s">
        <v>52</v>
      </c>
      <c r="AO828" t="s">
        <v>52</v>
      </c>
      <c r="AP828" t="s">
        <v>52</v>
      </c>
      <c r="AQ828" t="s">
        <v>52</v>
      </c>
      <c r="AR828" t="s">
        <v>55</v>
      </c>
      <c r="AS828" t="s">
        <v>60</v>
      </c>
    </row>
    <row r="829" spans="1:45" x14ac:dyDescent="0.25">
      <c r="A829" t="s">
        <v>47</v>
      </c>
      <c r="B829">
        <v>8</v>
      </c>
      <c r="C829" t="s">
        <v>172</v>
      </c>
      <c r="D829">
        <v>75</v>
      </c>
      <c r="E829" t="s">
        <v>58</v>
      </c>
      <c r="F829">
        <v>102</v>
      </c>
      <c r="G829" t="s">
        <v>61</v>
      </c>
      <c r="H829" t="s">
        <v>50</v>
      </c>
      <c r="K829" t="s">
        <v>52</v>
      </c>
      <c r="L829">
        <v>1</v>
      </c>
      <c r="M829" t="s">
        <v>52</v>
      </c>
      <c r="N829" t="s">
        <v>53</v>
      </c>
      <c r="R829">
        <v>0</v>
      </c>
      <c r="S829">
        <v>0.92</v>
      </c>
      <c r="T829">
        <v>0</v>
      </c>
      <c r="U829">
        <v>0</v>
      </c>
      <c r="W829" s="1">
        <v>46731</v>
      </c>
      <c r="X829" s="1">
        <v>46357</v>
      </c>
      <c r="Z829" t="s">
        <v>52</v>
      </c>
      <c r="AB829" t="s">
        <v>52</v>
      </c>
      <c r="AC829">
        <v>102</v>
      </c>
      <c r="AD829">
        <v>1</v>
      </c>
      <c r="AK829" t="s">
        <v>52</v>
      </c>
      <c r="AN829" t="s">
        <v>52</v>
      </c>
      <c r="AO829" t="s">
        <v>52</v>
      </c>
      <c r="AP829" t="s">
        <v>52</v>
      </c>
      <c r="AQ829" t="s">
        <v>52</v>
      </c>
      <c r="AR829" t="s">
        <v>55</v>
      </c>
      <c r="AS829" t="s">
        <v>60</v>
      </c>
    </row>
    <row r="830" spans="1:45" x14ac:dyDescent="0.25">
      <c r="A830" t="s">
        <v>47</v>
      </c>
      <c r="B830">
        <v>8</v>
      </c>
      <c r="C830" t="s">
        <v>172</v>
      </c>
      <c r="D830">
        <v>75</v>
      </c>
      <c r="E830" t="s">
        <v>58</v>
      </c>
      <c r="F830">
        <v>102</v>
      </c>
      <c r="G830" t="s">
        <v>148</v>
      </c>
      <c r="H830" t="s">
        <v>50</v>
      </c>
      <c r="K830" t="s">
        <v>52</v>
      </c>
      <c r="L830">
        <v>1</v>
      </c>
      <c r="M830" t="s">
        <v>52</v>
      </c>
      <c r="N830" t="s">
        <v>53</v>
      </c>
      <c r="R830">
        <v>0</v>
      </c>
      <c r="S830">
        <v>0.92</v>
      </c>
      <c r="T830">
        <v>0</v>
      </c>
      <c r="U830">
        <v>0</v>
      </c>
      <c r="W830" s="1">
        <v>46731</v>
      </c>
      <c r="X830" s="1">
        <v>46357</v>
      </c>
      <c r="Z830" t="s">
        <v>52</v>
      </c>
      <c r="AB830" t="s">
        <v>52</v>
      </c>
      <c r="AC830">
        <v>102</v>
      </c>
      <c r="AD830">
        <v>1</v>
      </c>
      <c r="AK830" t="s">
        <v>52</v>
      </c>
      <c r="AN830" t="s">
        <v>52</v>
      </c>
      <c r="AO830" t="s">
        <v>52</v>
      </c>
      <c r="AP830" t="s">
        <v>52</v>
      </c>
      <c r="AQ830" t="s">
        <v>52</v>
      </c>
      <c r="AR830" t="s">
        <v>55</v>
      </c>
    </row>
    <row r="831" spans="1:45" x14ac:dyDescent="0.25">
      <c r="A831" t="s">
        <v>47</v>
      </c>
      <c r="B831">
        <v>8</v>
      </c>
      <c r="C831" t="s">
        <v>172</v>
      </c>
      <c r="D831">
        <v>75</v>
      </c>
      <c r="E831" t="s">
        <v>58</v>
      </c>
      <c r="F831">
        <v>102</v>
      </c>
      <c r="G831" t="s">
        <v>62</v>
      </c>
      <c r="H831" t="s">
        <v>50</v>
      </c>
      <c r="K831" t="s">
        <v>52</v>
      </c>
      <c r="L831">
        <v>1</v>
      </c>
      <c r="M831" t="s">
        <v>52</v>
      </c>
      <c r="N831" t="s">
        <v>53</v>
      </c>
      <c r="R831">
        <v>0</v>
      </c>
      <c r="S831">
        <v>0.92</v>
      </c>
      <c r="T831">
        <v>0</v>
      </c>
      <c r="U831">
        <v>0</v>
      </c>
      <c r="W831" s="1">
        <v>46731</v>
      </c>
      <c r="X831" s="1">
        <v>46357</v>
      </c>
      <c r="Z831" t="s">
        <v>52</v>
      </c>
      <c r="AB831" t="s">
        <v>52</v>
      </c>
      <c r="AC831">
        <v>102</v>
      </c>
      <c r="AD831">
        <v>1</v>
      </c>
      <c r="AK831" t="s">
        <v>52</v>
      </c>
      <c r="AN831" t="s">
        <v>52</v>
      </c>
      <c r="AO831" t="s">
        <v>52</v>
      </c>
      <c r="AP831" t="s">
        <v>52</v>
      </c>
      <c r="AQ831" t="s">
        <v>52</v>
      </c>
      <c r="AR831" t="s">
        <v>55</v>
      </c>
    </row>
    <row r="832" spans="1:45" x14ac:dyDescent="0.25">
      <c r="A832" t="s">
        <v>47</v>
      </c>
      <c r="B832">
        <v>8</v>
      </c>
      <c r="C832" t="s">
        <v>172</v>
      </c>
      <c r="D832">
        <v>75</v>
      </c>
      <c r="E832" t="s">
        <v>58</v>
      </c>
      <c r="F832">
        <v>102</v>
      </c>
      <c r="G832" t="s">
        <v>63</v>
      </c>
      <c r="H832" t="s">
        <v>50</v>
      </c>
      <c r="K832" t="s">
        <v>51</v>
      </c>
      <c r="L832">
        <v>1</v>
      </c>
      <c r="M832" t="s">
        <v>52</v>
      </c>
      <c r="N832" t="s">
        <v>53</v>
      </c>
      <c r="R832">
        <v>0</v>
      </c>
      <c r="S832">
        <v>0.92</v>
      </c>
      <c r="T832">
        <v>0</v>
      </c>
      <c r="U832">
        <v>0</v>
      </c>
      <c r="W832" s="1">
        <v>46731</v>
      </c>
      <c r="X832" s="1">
        <v>46357</v>
      </c>
      <c r="Z832" t="s">
        <v>52</v>
      </c>
      <c r="AB832" t="s">
        <v>52</v>
      </c>
      <c r="AC832">
        <v>102</v>
      </c>
      <c r="AD832">
        <v>1</v>
      </c>
      <c r="AK832" t="s">
        <v>52</v>
      </c>
      <c r="AN832" t="s">
        <v>52</v>
      </c>
      <c r="AO832" t="s">
        <v>52</v>
      </c>
      <c r="AP832" t="s">
        <v>52</v>
      </c>
      <c r="AQ832" t="s">
        <v>52</v>
      </c>
      <c r="AR832" t="s">
        <v>55</v>
      </c>
    </row>
    <row r="833" spans="1:45" x14ac:dyDescent="0.25">
      <c r="A833" t="s">
        <v>47</v>
      </c>
      <c r="B833">
        <v>8</v>
      </c>
      <c r="C833" t="s">
        <v>172</v>
      </c>
      <c r="D833">
        <v>75</v>
      </c>
      <c r="E833" t="s">
        <v>58</v>
      </c>
      <c r="F833">
        <v>102</v>
      </c>
      <c r="G833" t="s">
        <v>63</v>
      </c>
      <c r="H833" t="s">
        <v>50</v>
      </c>
      <c r="K833" t="s">
        <v>52</v>
      </c>
      <c r="L833">
        <v>1</v>
      </c>
      <c r="M833" t="s">
        <v>52</v>
      </c>
      <c r="N833" t="s">
        <v>53</v>
      </c>
      <c r="R833">
        <v>0</v>
      </c>
      <c r="S833">
        <v>0.92</v>
      </c>
      <c r="T833">
        <v>0</v>
      </c>
      <c r="U833">
        <v>0</v>
      </c>
      <c r="W833" s="1">
        <v>46731</v>
      </c>
      <c r="X833" s="1">
        <v>46357</v>
      </c>
      <c r="Z833" t="s">
        <v>52</v>
      </c>
      <c r="AB833" t="s">
        <v>52</v>
      </c>
      <c r="AC833">
        <v>102</v>
      </c>
      <c r="AD833">
        <v>1</v>
      </c>
      <c r="AK833" t="s">
        <v>52</v>
      </c>
      <c r="AN833" t="s">
        <v>52</v>
      </c>
      <c r="AO833" t="s">
        <v>52</v>
      </c>
      <c r="AP833" t="s">
        <v>52</v>
      </c>
      <c r="AQ833" t="s">
        <v>52</v>
      </c>
      <c r="AR833" t="s">
        <v>55</v>
      </c>
    </row>
    <row r="834" spans="1:45" x14ac:dyDescent="0.25">
      <c r="A834" t="s">
        <v>47</v>
      </c>
      <c r="B834">
        <v>8</v>
      </c>
      <c r="C834" t="s">
        <v>172</v>
      </c>
      <c r="D834">
        <v>75</v>
      </c>
      <c r="E834" t="s">
        <v>58</v>
      </c>
      <c r="F834">
        <v>102</v>
      </c>
      <c r="G834" t="s">
        <v>128</v>
      </c>
      <c r="H834" t="s">
        <v>50</v>
      </c>
      <c r="K834" t="s">
        <v>51</v>
      </c>
      <c r="L834">
        <v>1</v>
      </c>
      <c r="M834" t="s">
        <v>52</v>
      </c>
      <c r="N834" t="s">
        <v>53</v>
      </c>
      <c r="R834">
        <v>0</v>
      </c>
      <c r="S834">
        <v>0.92</v>
      </c>
      <c r="T834">
        <v>0</v>
      </c>
      <c r="U834">
        <v>0</v>
      </c>
      <c r="W834" s="1">
        <v>46731</v>
      </c>
      <c r="X834" s="1">
        <v>46357</v>
      </c>
      <c r="Z834" t="s">
        <v>52</v>
      </c>
      <c r="AB834" t="s">
        <v>52</v>
      </c>
      <c r="AC834">
        <v>102</v>
      </c>
      <c r="AD834">
        <v>1</v>
      </c>
      <c r="AK834" t="s">
        <v>52</v>
      </c>
      <c r="AN834" t="s">
        <v>52</v>
      </c>
      <c r="AO834" t="s">
        <v>52</v>
      </c>
      <c r="AP834" t="s">
        <v>52</v>
      </c>
      <c r="AQ834" t="s">
        <v>52</v>
      </c>
      <c r="AR834" t="s">
        <v>55</v>
      </c>
    </row>
    <row r="835" spans="1:45" x14ac:dyDescent="0.25">
      <c r="A835" t="s">
        <v>47</v>
      </c>
      <c r="B835">
        <v>8</v>
      </c>
      <c r="C835" t="s">
        <v>172</v>
      </c>
      <c r="D835">
        <v>75</v>
      </c>
      <c r="E835" t="s">
        <v>58</v>
      </c>
      <c r="F835">
        <v>102</v>
      </c>
      <c r="G835" t="s">
        <v>128</v>
      </c>
      <c r="H835" t="s">
        <v>50</v>
      </c>
      <c r="K835" t="s">
        <v>52</v>
      </c>
      <c r="L835">
        <v>1</v>
      </c>
      <c r="M835" t="s">
        <v>52</v>
      </c>
      <c r="N835" t="s">
        <v>53</v>
      </c>
      <c r="R835">
        <v>0</v>
      </c>
      <c r="S835">
        <v>0.92</v>
      </c>
      <c r="T835">
        <v>0</v>
      </c>
      <c r="U835">
        <v>0</v>
      </c>
      <c r="W835" s="1">
        <v>46731</v>
      </c>
      <c r="X835" s="1">
        <v>46357</v>
      </c>
      <c r="Z835" t="s">
        <v>52</v>
      </c>
      <c r="AB835" t="s">
        <v>52</v>
      </c>
      <c r="AC835">
        <v>102</v>
      </c>
      <c r="AD835">
        <v>1</v>
      </c>
      <c r="AK835" t="s">
        <v>52</v>
      </c>
      <c r="AN835" t="s">
        <v>52</v>
      </c>
      <c r="AO835" t="s">
        <v>52</v>
      </c>
      <c r="AP835" t="s">
        <v>52</v>
      </c>
      <c r="AQ835" t="s">
        <v>52</v>
      </c>
      <c r="AR835" t="s">
        <v>55</v>
      </c>
    </row>
    <row r="836" spans="1:45" x14ac:dyDescent="0.25">
      <c r="A836" t="s">
        <v>47</v>
      </c>
      <c r="B836">
        <v>8</v>
      </c>
      <c r="C836" t="s">
        <v>172</v>
      </c>
      <c r="D836">
        <v>75</v>
      </c>
      <c r="E836" t="s">
        <v>68</v>
      </c>
      <c r="F836">
        <v>80</v>
      </c>
      <c r="G836" t="s">
        <v>69</v>
      </c>
      <c r="H836" t="s">
        <v>50</v>
      </c>
      <c r="K836" t="s">
        <v>51</v>
      </c>
      <c r="L836">
        <v>1</v>
      </c>
      <c r="M836" t="s">
        <v>52</v>
      </c>
      <c r="N836" t="s">
        <v>53</v>
      </c>
      <c r="R836">
        <v>0.5</v>
      </c>
      <c r="S836">
        <v>0.75</v>
      </c>
      <c r="T836">
        <v>0</v>
      </c>
      <c r="U836">
        <v>0</v>
      </c>
      <c r="V836" s="1">
        <v>46583</v>
      </c>
      <c r="W836" s="1">
        <v>46675</v>
      </c>
      <c r="X836" s="1">
        <v>46461</v>
      </c>
      <c r="Z836" t="s">
        <v>52</v>
      </c>
      <c r="AB836" t="s">
        <v>52</v>
      </c>
      <c r="AC836">
        <v>80</v>
      </c>
      <c r="AD836">
        <v>1</v>
      </c>
      <c r="AK836" t="s">
        <v>52</v>
      </c>
      <c r="AN836" t="s">
        <v>52</v>
      </c>
      <c r="AO836" t="s">
        <v>52</v>
      </c>
      <c r="AP836" t="s">
        <v>52</v>
      </c>
      <c r="AQ836" t="s">
        <v>52</v>
      </c>
      <c r="AR836" t="s">
        <v>55</v>
      </c>
    </row>
    <row r="837" spans="1:45" x14ac:dyDescent="0.25">
      <c r="A837" t="s">
        <v>47</v>
      </c>
      <c r="B837">
        <v>8</v>
      </c>
      <c r="C837" t="s">
        <v>172</v>
      </c>
      <c r="D837">
        <v>75</v>
      </c>
      <c r="E837" t="s">
        <v>68</v>
      </c>
      <c r="F837">
        <v>80</v>
      </c>
      <c r="G837" t="s">
        <v>69</v>
      </c>
      <c r="H837" t="s">
        <v>50</v>
      </c>
      <c r="K837" t="s">
        <v>52</v>
      </c>
      <c r="L837">
        <v>1</v>
      </c>
      <c r="M837" t="s">
        <v>52</v>
      </c>
      <c r="N837" t="s">
        <v>53</v>
      </c>
      <c r="R837">
        <v>0.5</v>
      </c>
      <c r="S837">
        <v>0.75</v>
      </c>
      <c r="T837">
        <v>0</v>
      </c>
      <c r="U837">
        <v>0</v>
      </c>
      <c r="V837" s="1">
        <v>46583</v>
      </c>
      <c r="W837" s="1">
        <v>46675</v>
      </c>
      <c r="X837" s="1">
        <v>46461</v>
      </c>
      <c r="Z837" t="s">
        <v>52</v>
      </c>
      <c r="AB837" t="s">
        <v>52</v>
      </c>
      <c r="AC837">
        <v>80</v>
      </c>
      <c r="AD837">
        <v>1</v>
      </c>
      <c r="AK837" t="s">
        <v>52</v>
      </c>
      <c r="AN837" t="s">
        <v>52</v>
      </c>
      <c r="AO837" t="s">
        <v>52</v>
      </c>
      <c r="AP837" t="s">
        <v>52</v>
      </c>
      <c r="AQ837" t="s">
        <v>52</v>
      </c>
      <c r="AR837" t="s">
        <v>55</v>
      </c>
    </row>
    <row r="838" spans="1:45" x14ac:dyDescent="0.25">
      <c r="A838" t="s">
        <v>47</v>
      </c>
      <c r="B838">
        <v>8</v>
      </c>
      <c r="C838" t="s">
        <v>172</v>
      </c>
      <c r="D838">
        <v>75</v>
      </c>
      <c r="E838" t="s">
        <v>70</v>
      </c>
      <c r="F838">
        <v>296</v>
      </c>
      <c r="G838" t="s">
        <v>71</v>
      </c>
      <c r="H838" t="s">
        <v>50</v>
      </c>
      <c r="K838" t="s">
        <v>51</v>
      </c>
      <c r="L838">
        <v>1</v>
      </c>
      <c r="M838" t="s">
        <v>52</v>
      </c>
      <c r="N838" t="s">
        <v>53</v>
      </c>
      <c r="Q838">
        <v>224.33330000000001</v>
      </c>
      <c r="R838">
        <v>0</v>
      </c>
      <c r="S838">
        <v>0.75</v>
      </c>
      <c r="T838">
        <v>0</v>
      </c>
      <c r="U838">
        <v>0</v>
      </c>
      <c r="W838" s="1">
        <v>46675</v>
      </c>
      <c r="X838" s="1">
        <v>46357</v>
      </c>
      <c r="Y838" t="s">
        <v>54</v>
      </c>
      <c r="Z838" t="s">
        <v>52</v>
      </c>
      <c r="AB838" t="s">
        <v>52</v>
      </c>
      <c r="AC838">
        <v>296</v>
      </c>
      <c r="AD838">
        <v>1</v>
      </c>
      <c r="AK838" t="s">
        <v>52</v>
      </c>
      <c r="AN838" t="s">
        <v>52</v>
      </c>
      <c r="AO838" t="s">
        <v>52</v>
      </c>
      <c r="AP838" t="s">
        <v>52</v>
      </c>
      <c r="AQ838" t="s">
        <v>52</v>
      </c>
      <c r="AR838" t="s">
        <v>55</v>
      </c>
      <c r="AS838" t="s">
        <v>60</v>
      </c>
    </row>
    <row r="839" spans="1:45" x14ac:dyDescent="0.25">
      <c r="A839" t="s">
        <v>47</v>
      </c>
      <c r="B839">
        <v>8</v>
      </c>
      <c r="C839" t="s">
        <v>172</v>
      </c>
      <c r="D839">
        <v>75</v>
      </c>
      <c r="E839" t="s">
        <v>70</v>
      </c>
      <c r="F839">
        <v>296</v>
      </c>
      <c r="G839" t="s">
        <v>71</v>
      </c>
      <c r="H839" t="s">
        <v>50</v>
      </c>
      <c r="K839" t="s">
        <v>52</v>
      </c>
      <c r="L839">
        <v>1</v>
      </c>
      <c r="M839" t="s">
        <v>52</v>
      </c>
      <c r="N839" t="s">
        <v>53</v>
      </c>
      <c r="Q839">
        <v>224.33330000000001</v>
      </c>
      <c r="R839">
        <v>0</v>
      </c>
      <c r="S839">
        <v>0.75</v>
      </c>
      <c r="T839">
        <v>0</v>
      </c>
      <c r="U839">
        <v>0</v>
      </c>
      <c r="W839" s="1">
        <v>46675</v>
      </c>
      <c r="X839" s="1">
        <v>46357</v>
      </c>
      <c r="Y839" t="s">
        <v>54</v>
      </c>
      <c r="Z839" t="s">
        <v>52</v>
      </c>
      <c r="AB839" t="s">
        <v>52</v>
      </c>
      <c r="AC839">
        <v>296</v>
      </c>
      <c r="AD839">
        <v>1</v>
      </c>
      <c r="AK839" t="s">
        <v>52</v>
      </c>
      <c r="AN839" t="s">
        <v>52</v>
      </c>
      <c r="AO839" t="s">
        <v>52</v>
      </c>
      <c r="AP839" t="s">
        <v>52</v>
      </c>
      <c r="AQ839" t="s">
        <v>52</v>
      </c>
      <c r="AR839" t="s">
        <v>55</v>
      </c>
      <c r="AS839" t="s">
        <v>60</v>
      </c>
    </row>
    <row r="840" spans="1:45" x14ac:dyDescent="0.25">
      <c r="A840" t="s">
        <v>47</v>
      </c>
      <c r="B840">
        <v>8</v>
      </c>
      <c r="C840" t="s">
        <v>172</v>
      </c>
      <c r="D840">
        <v>75</v>
      </c>
      <c r="E840" t="s">
        <v>70</v>
      </c>
      <c r="F840">
        <v>296</v>
      </c>
      <c r="G840" t="s">
        <v>72</v>
      </c>
      <c r="H840" t="s">
        <v>50</v>
      </c>
      <c r="K840" t="s">
        <v>51</v>
      </c>
      <c r="L840">
        <v>1</v>
      </c>
      <c r="M840" t="s">
        <v>52</v>
      </c>
      <c r="N840" t="s">
        <v>53</v>
      </c>
      <c r="R840">
        <v>0.5</v>
      </c>
      <c r="S840">
        <v>0.75</v>
      </c>
      <c r="T840">
        <v>0</v>
      </c>
      <c r="U840">
        <v>0</v>
      </c>
      <c r="W840" s="1">
        <v>46675</v>
      </c>
      <c r="X840" s="1">
        <v>46357</v>
      </c>
      <c r="Z840" t="s">
        <v>52</v>
      </c>
      <c r="AB840" t="s">
        <v>52</v>
      </c>
      <c r="AC840">
        <v>296</v>
      </c>
      <c r="AD840">
        <v>1</v>
      </c>
      <c r="AK840" t="s">
        <v>52</v>
      </c>
      <c r="AN840" t="s">
        <v>52</v>
      </c>
      <c r="AO840" t="s">
        <v>52</v>
      </c>
      <c r="AP840" t="s">
        <v>52</v>
      </c>
      <c r="AQ840" t="s">
        <v>52</v>
      </c>
      <c r="AR840" t="s">
        <v>55</v>
      </c>
      <c r="AS840" t="s">
        <v>60</v>
      </c>
    </row>
    <row r="841" spans="1:45" x14ac:dyDescent="0.25">
      <c r="A841" t="s">
        <v>47</v>
      </c>
      <c r="B841">
        <v>8</v>
      </c>
      <c r="C841" t="s">
        <v>172</v>
      </c>
      <c r="D841">
        <v>75</v>
      </c>
      <c r="E841" t="s">
        <v>75</v>
      </c>
      <c r="F841">
        <v>16</v>
      </c>
      <c r="G841" t="s">
        <v>76</v>
      </c>
      <c r="H841" t="s">
        <v>50</v>
      </c>
      <c r="K841" t="s">
        <v>51</v>
      </c>
      <c r="L841">
        <v>1</v>
      </c>
      <c r="M841" t="s">
        <v>52</v>
      </c>
      <c r="N841" t="s">
        <v>53</v>
      </c>
      <c r="R841">
        <v>0.5</v>
      </c>
      <c r="S841">
        <v>0.75</v>
      </c>
      <c r="T841">
        <v>0</v>
      </c>
      <c r="U841">
        <v>0</v>
      </c>
      <c r="V841" s="1">
        <v>46507</v>
      </c>
      <c r="W841" s="1">
        <v>46691</v>
      </c>
      <c r="X841" s="1">
        <v>46461</v>
      </c>
      <c r="Z841" t="s">
        <v>52</v>
      </c>
      <c r="AB841" t="s">
        <v>52</v>
      </c>
      <c r="AC841">
        <v>16</v>
      </c>
      <c r="AD841">
        <v>2</v>
      </c>
      <c r="AK841" t="s">
        <v>52</v>
      </c>
      <c r="AN841" t="s">
        <v>52</v>
      </c>
      <c r="AO841" t="s">
        <v>52</v>
      </c>
      <c r="AP841" t="s">
        <v>52</v>
      </c>
      <c r="AQ841" t="s">
        <v>52</v>
      </c>
      <c r="AR841" t="s">
        <v>55</v>
      </c>
    </row>
    <row r="842" spans="1:45" x14ac:dyDescent="0.25">
      <c r="A842" t="s">
        <v>47</v>
      </c>
      <c r="B842">
        <v>8</v>
      </c>
      <c r="C842" t="s">
        <v>172</v>
      </c>
      <c r="D842">
        <v>75</v>
      </c>
      <c r="E842" t="s">
        <v>75</v>
      </c>
      <c r="F842">
        <v>16</v>
      </c>
      <c r="G842" t="s">
        <v>76</v>
      </c>
      <c r="H842" t="s">
        <v>50</v>
      </c>
      <c r="K842" t="s">
        <v>52</v>
      </c>
      <c r="L842">
        <v>1</v>
      </c>
      <c r="M842" t="s">
        <v>52</v>
      </c>
      <c r="N842" t="s">
        <v>53</v>
      </c>
      <c r="R842">
        <v>0.5</v>
      </c>
      <c r="S842">
        <v>0.75</v>
      </c>
      <c r="T842">
        <v>0</v>
      </c>
      <c r="U842">
        <v>0</v>
      </c>
      <c r="V842" s="1">
        <v>46507</v>
      </c>
      <c r="W842" s="1">
        <v>46691</v>
      </c>
      <c r="X842" s="1">
        <v>46461</v>
      </c>
      <c r="Z842" t="s">
        <v>52</v>
      </c>
      <c r="AB842" t="s">
        <v>52</v>
      </c>
      <c r="AC842">
        <v>16</v>
      </c>
      <c r="AD842">
        <v>2</v>
      </c>
      <c r="AK842" t="s">
        <v>52</v>
      </c>
      <c r="AN842" t="s">
        <v>52</v>
      </c>
      <c r="AO842" t="s">
        <v>52</v>
      </c>
      <c r="AP842" t="s">
        <v>52</v>
      </c>
      <c r="AQ842" t="s">
        <v>52</v>
      </c>
      <c r="AR842" t="s">
        <v>55</v>
      </c>
    </row>
    <row r="843" spans="1:45" x14ac:dyDescent="0.25">
      <c r="A843" t="s">
        <v>47</v>
      </c>
      <c r="B843">
        <v>8</v>
      </c>
      <c r="C843" t="s">
        <v>172</v>
      </c>
      <c r="D843">
        <v>75</v>
      </c>
      <c r="E843" t="s">
        <v>93</v>
      </c>
      <c r="F843">
        <v>94</v>
      </c>
      <c r="H843" t="s">
        <v>50</v>
      </c>
      <c r="K843" t="s">
        <v>51</v>
      </c>
      <c r="L843">
        <v>1</v>
      </c>
      <c r="M843" t="s">
        <v>52</v>
      </c>
      <c r="N843" t="s">
        <v>53</v>
      </c>
      <c r="R843">
        <v>0.77</v>
      </c>
      <c r="S843">
        <v>0.93</v>
      </c>
      <c r="T843">
        <v>0</v>
      </c>
      <c r="U843">
        <v>0</v>
      </c>
      <c r="V843" s="1">
        <v>46326</v>
      </c>
      <c r="W843" s="1">
        <v>46691</v>
      </c>
      <c r="X843" s="1">
        <v>46266</v>
      </c>
      <c r="Z843" t="s">
        <v>52</v>
      </c>
      <c r="AB843" t="s">
        <v>52</v>
      </c>
      <c r="AC843">
        <v>94</v>
      </c>
      <c r="AD843">
        <v>2</v>
      </c>
      <c r="AK843" t="s">
        <v>52</v>
      </c>
      <c r="AN843" t="s">
        <v>52</v>
      </c>
      <c r="AO843" t="s">
        <v>52</v>
      </c>
      <c r="AP843" t="s">
        <v>52</v>
      </c>
      <c r="AQ843" t="s">
        <v>52</v>
      </c>
      <c r="AR843" t="s">
        <v>55</v>
      </c>
      <c r="AS843" t="s">
        <v>60</v>
      </c>
    </row>
    <row r="844" spans="1:45" x14ac:dyDescent="0.25">
      <c r="A844" t="s">
        <v>47</v>
      </c>
      <c r="B844">
        <v>8</v>
      </c>
      <c r="C844" t="s">
        <v>172</v>
      </c>
      <c r="D844">
        <v>75</v>
      </c>
      <c r="E844" t="s">
        <v>93</v>
      </c>
      <c r="F844">
        <v>94</v>
      </c>
      <c r="H844" t="s">
        <v>50</v>
      </c>
      <c r="K844" t="s">
        <v>52</v>
      </c>
      <c r="L844">
        <v>1</v>
      </c>
      <c r="M844" t="s">
        <v>52</v>
      </c>
      <c r="N844" t="s">
        <v>53</v>
      </c>
      <c r="R844">
        <v>0.77</v>
      </c>
      <c r="S844">
        <v>0.93</v>
      </c>
      <c r="T844">
        <v>0</v>
      </c>
      <c r="U844">
        <v>0</v>
      </c>
      <c r="V844" s="1">
        <v>46326</v>
      </c>
      <c r="W844" s="1">
        <v>46691</v>
      </c>
      <c r="X844" s="1">
        <v>46266</v>
      </c>
      <c r="Z844" t="s">
        <v>52</v>
      </c>
      <c r="AB844" t="s">
        <v>52</v>
      </c>
      <c r="AC844">
        <v>94</v>
      </c>
      <c r="AD844">
        <v>2</v>
      </c>
      <c r="AK844" t="s">
        <v>52</v>
      </c>
      <c r="AN844" t="s">
        <v>52</v>
      </c>
      <c r="AO844" t="s">
        <v>52</v>
      </c>
      <c r="AP844" t="s">
        <v>52</v>
      </c>
      <c r="AQ844" t="s">
        <v>52</v>
      </c>
      <c r="AR844" t="s">
        <v>55</v>
      </c>
      <c r="AS844" t="s">
        <v>60</v>
      </c>
    </row>
    <row r="845" spans="1:45" x14ac:dyDescent="0.25">
      <c r="A845" t="s">
        <v>47</v>
      </c>
      <c r="B845">
        <v>8</v>
      </c>
      <c r="C845" t="s">
        <v>172</v>
      </c>
      <c r="D845">
        <v>75</v>
      </c>
      <c r="E845" t="s">
        <v>79</v>
      </c>
      <c r="F845">
        <v>50</v>
      </c>
      <c r="G845" t="s">
        <v>80</v>
      </c>
      <c r="H845" t="s">
        <v>50</v>
      </c>
      <c r="K845" t="s">
        <v>51</v>
      </c>
      <c r="L845">
        <v>1</v>
      </c>
      <c r="M845" t="s">
        <v>52</v>
      </c>
      <c r="N845" t="s">
        <v>53</v>
      </c>
      <c r="R845">
        <v>0.5</v>
      </c>
      <c r="S845">
        <v>0.75</v>
      </c>
      <c r="T845">
        <v>0</v>
      </c>
      <c r="U845">
        <v>0</v>
      </c>
      <c r="V845" s="1">
        <v>46583</v>
      </c>
      <c r="W845" s="1">
        <v>46675</v>
      </c>
      <c r="X845" s="1">
        <v>46461</v>
      </c>
      <c r="Z845" t="s">
        <v>52</v>
      </c>
      <c r="AB845" t="s">
        <v>52</v>
      </c>
      <c r="AC845">
        <v>50</v>
      </c>
      <c r="AD845">
        <v>1</v>
      </c>
      <c r="AK845" t="s">
        <v>52</v>
      </c>
      <c r="AN845" t="s">
        <v>52</v>
      </c>
      <c r="AO845" t="s">
        <v>52</v>
      </c>
      <c r="AP845" t="s">
        <v>52</v>
      </c>
      <c r="AQ845" t="s">
        <v>52</v>
      </c>
      <c r="AR845" t="s">
        <v>55</v>
      </c>
    </row>
    <row r="846" spans="1:45" x14ac:dyDescent="0.25">
      <c r="A846" t="s">
        <v>47</v>
      </c>
      <c r="B846">
        <v>8</v>
      </c>
      <c r="C846" t="s">
        <v>172</v>
      </c>
      <c r="D846">
        <v>75</v>
      </c>
      <c r="E846" t="s">
        <v>79</v>
      </c>
      <c r="F846">
        <v>50</v>
      </c>
      <c r="G846" t="s">
        <v>80</v>
      </c>
      <c r="H846" t="s">
        <v>50</v>
      </c>
      <c r="K846" t="s">
        <v>52</v>
      </c>
      <c r="L846">
        <v>1</v>
      </c>
      <c r="M846" t="s">
        <v>52</v>
      </c>
      <c r="N846" t="s">
        <v>53</v>
      </c>
      <c r="R846">
        <v>0.5</v>
      </c>
      <c r="S846">
        <v>0.75</v>
      </c>
      <c r="T846">
        <v>0</v>
      </c>
      <c r="U846">
        <v>0</v>
      </c>
      <c r="V846" s="1">
        <v>46583</v>
      </c>
      <c r="W846" s="1">
        <v>46675</v>
      </c>
      <c r="X846" s="1">
        <v>46461</v>
      </c>
      <c r="Z846" t="s">
        <v>52</v>
      </c>
      <c r="AB846" t="s">
        <v>52</v>
      </c>
      <c r="AC846">
        <v>50</v>
      </c>
      <c r="AD846">
        <v>1</v>
      </c>
      <c r="AK846" t="s">
        <v>52</v>
      </c>
      <c r="AN846" t="s">
        <v>52</v>
      </c>
      <c r="AO846" t="s">
        <v>52</v>
      </c>
      <c r="AP846" t="s">
        <v>52</v>
      </c>
      <c r="AQ846" t="s">
        <v>52</v>
      </c>
      <c r="AR846" t="s">
        <v>55</v>
      </c>
    </row>
    <row r="847" spans="1:45" x14ac:dyDescent="0.25">
      <c r="A847" t="s">
        <v>47</v>
      </c>
      <c r="B847">
        <v>8</v>
      </c>
      <c r="C847" t="s">
        <v>172</v>
      </c>
      <c r="D847">
        <v>75</v>
      </c>
      <c r="E847" t="s">
        <v>79</v>
      </c>
      <c r="F847">
        <v>50</v>
      </c>
      <c r="G847" t="s">
        <v>65</v>
      </c>
      <c r="H847" t="s">
        <v>50</v>
      </c>
      <c r="K847" t="s">
        <v>51</v>
      </c>
      <c r="L847">
        <v>1</v>
      </c>
      <c r="M847" t="s">
        <v>52</v>
      </c>
      <c r="N847" t="s">
        <v>53</v>
      </c>
      <c r="R847">
        <v>0.5</v>
      </c>
      <c r="S847">
        <v>0.75</v>
      </c>
      <c r="T847">
        <v>0</v>
      </c>
      <c r="U847">
        <v>0</v>
      </c>
      <c r="V847" s="1">
        <v>46583</v>
      </c>
      <c r="W847" s="1">
        <v>46675</v>
      </c>
      <c r="X847" s="1">
        <v>46461</v>
      </c>
      <c r="Z847" t="s">
        <v>52</v>
      </c>
      <c r="AB847" t="s">
        <v>52</v>
      </c>
      <c r="AC847">
        <v>50</v>
      </c>
      <c r="AD847">
        <v>1</v>
      </c>
      <c r="AK847" t="s">
        <v>52</v>
      </c>
      <c r="AN847" t="s">
        <v>52</v>
      </c>
      <c r="AO847" t="s">
        <v>52</v>
      </c>
      <c r="AP847" t="s">
        <v>52</v>
      </c>
      <c r="AQ847" t="s">
        <v>52</v>
      </c>
      <c r="AR847" t="s">
        <v>55</v>
      </c>
    </row>
    <row r="848" spans="1:45" x14ac:dyDescent="0.25">
      <c r="A848" t="s">
        <v>47</v>
      </c>
      <c r="B848">
        <v>8</v>
      </c>
      <c r="C848" t="s">
        <v>172</v>
      </c>
      <c r="D848">
        <v>75</v>
      </c>
      <c r="E848" t="s">
        <v>79</v>
      </c>
      <c r="F848">
        <v>50</v>
      </c>
      <c r="G848" t="s">
        <v>65</v>
      </c>
      <c r="H848" t="s">
        <v>50</v>
      </c>
      <c r="K848" t="s">
        <v>52</v>
      </c>
      <c r="L848">
        <v>1</v>
      </c>
      <c r="M848" t="s">
        <v>52</v>
      </c>
      <c r="N848" t="s">
        <v>53</v>
      </c>
      <c r="R848">
        <v>0.5</v>
      </c>
      <c r="S848">
        <v>0.75</v>
      </c>
      <c r="T848">
        <v>0</v>
      </c>
      <c r="U848">
        <v>0</v>
      </c>
      <c r="V848" s="1">
        <v>46583</v>
      </c>
      <c r="W848" s="1">
        <v>46675</v>
      </c>
      <c r="X848" s="1">
        <v>46461</v>
      </c>
      <c r="Z848" t="s">
        <v>52</v>
      </c>
      <c r="AB848" t="s">
        <v>52</v>
      </c>
      <c r="AC848">
        <v>50</v>
      </c>
      <c r="AD848">
        <v>1</v>
      </c>
      <c r="AK848" t="s">
        <v>52</v>
      </c>
      <c r="AN848" t="s">
        <v>52</v>
      </c>
      <c r="AO848" t="s">
        <v>52</v>
      </c>
      <c r="AP848" t="s">
        <v>52</v>
      </c>
      <c r="AQ848" t="s">
        <v>52</v>
      </c>
      <c r="AR848" t="s">
        <v>55</v>
      </c>
    </row>
    <row r="849" spans="1:45" x14ac:dyDescent="0.25">
      <c r="A849" t="s">
        <v>47</v>
      </c>
      <c r="B849">
        <v>8</v>
      </c>
      <c r="C849" t="s">
        <v>172</v>
      </c>
      <c r="D849">
        <v>75</v>
      </c>
      <c r="E849" t="s">
        <v>79</v>
      </c>
      <c r="F849">
        <v>50</v>
      </c>
      <c r="G849" t="s">
        <v>81</v>
      </c>
      <c r="H849" t="s">
        <v>50</v>
      </c>
      <c r="K849" t="s">
        <v>51</v>
      </c>
      <c r="L849">
        <v>1</v>
      </c>
      <c r="M849" t="s">
        <v>52</v>
      </c>
      <c r="N849" t="s">
        <v>53</v>
      </c>
      <c r="R849">
        <v>0.5</v>
      </c>
      <c r="S849">
        <v>0.75</v>
      </c>
      <c r="T849">
        <v>0</v>
      </c>
      <c r="U849">
        <v>0</v>
      </c>
      <c r="V849" s="1">
        <v>46583</v>
      </c>
      <c r="W849" s="1">
        <v>46675</v>
      </c>
      <c r="X849" s="1">
        <v>46461</v>
      </c>
      <c r="Z849" t="s">
        <v>52</v>
      </c>
      <c r="AB849" t="s">
        <v>52</v>
      </c>
      <c r="AC849">
        <v>50</v>
      </c>
      <c r="AD849">
        <v>1</v>
      </c>
      <c r="AK849" t="s">
        <v>52</v>
      </c>
      <c r="AN849" t="s">
        <v>52</v>
      </c>
      <c r="AO849" t="s">
        <v>52</v>
      </c>
      <c r="AP849" t="s">
        <v>52</v>
      </c>
      <c r="AQ849" t="s">
        <v>52</v>
      </c>
      <c r="AR849" t="s">
        <v>55</v>
      </c>
    </row>
    <row r="850" spans="1:45" x14ac:dyDescent="0.25">
      <c r="A850" t="s">
        <v>47</v>
      </c>
      <c r="B850">
        <v>8</v>
      </c>
      <c r="C850" t="s">
        <v>172</v>
      </c>
      <c r="D850">
        <v>75</v>
      </c>
      <c r="E850" t="s">
        <v>79</v>
      </c>
      <c r="F850">
        <v>50</v>
      </c>
      <c r="G850" t="s">
        <v>81</v>
      </c>
      <c r="H850" t="s">
        <v>50</v>
      </c>
      <c r="K850" t="s">
        <v>52</v>
      </c>
      <c r="L850">
        <v>1</v>
      </c>
      <c r="M850" t="s">
        <v>52</v>
      </c>
      <c r="N850" t="s">
        <v>53</v>
      </c>
      <c r="R850">
        <v>0.5</v>
      </c>
      <c r="S850">
        <v>0.75</v>
      </c>
      <c r="T850">
        <v>0</v>
      </c>
      <c r="U850">
        <v>0</v>
      </c>
      <c r="V850" s="1">
        <v>46583</v>
      </c>
      <c r="W850" s="1">
        <v>46675</v>
      </c>
      <c r="X850" s="1">
        <v>46461</v>
      </c>
      <c r="Z850" t="s">
        <v>52</v>
      </c>
      <c r="AB850" t="s">
        <v>52</v>
      </c>
      <c r="AC850">
        <v>50</v>
      </c>
      <c r="AD850">
        <v>1</v>
      </c>
      <c r="AK850" t="s">
        <v>52</v>
      </c>
      <c r="AN850" t="s">
        <v>52</v>
      </c>
      <c r="AO850" t="s">
        <v>52</v>
      </c>
      <c r="AP850" t="s">
        <v>52</v>
      </c>
      <c r="AQ850" t="s">
        <v>52</v>
      </c>
      <c r="AR850" t="s">
        <v>55</v>
      </c>
    </row>
    <row r="851" spans="1:45" x14ac:dyDescent="0.25">
      <c r="A851" t="s">
        <v>47</v>
      </c>
      <c r="B851">
        <v>8</v>
      </c>
      <c r="C851" t="s">
        <v>172</v>
      </c>
      <c r="D851">
        <v>75</v>
      </c>
      <c r="E851" t="s">
        <v>83</v>
      </c>
      <c r="F851">
        <v>158</v>
      </c>
      <c r="H851" t="s">
        <v>50</v>
      </c>
      <c r="K851" t="s">
        <v>51</v>
      </c>
      <c r="L851">
        <v>1</v>
      </c>
      <c r="M851" t="s">
        <v>52</v>
      </c>
      <c r="N851" t="s">
        <v>53</v>
      </c>
      <c r="P851">
        <v>1.31</v>
      </c>
      <c r="R851">
        <v>0.77</v>
      </c>
      <c r="S851">
        <v>0.93</v>
      </c>
      <c r="T851">
        <v>0</v>
      </c>
      <c r="U851">
        <v>0</v>
      </c>
      <c r="V851" s="1">
        <v>46326</v>
      </c>
      <c r="W851" s="1">
        <v>46691</v>
      </c>
      <c r="X851" s="1">
        <v>46266</v>
      </c>
      <c r="Z851" t="s">
        <v>52</v>
      </c>
      <c r="AA851" t="s">
        <v>54</v>
      </c>
      <c r="AB851" t="s">
        <v>52</v>
      </c>
      <c r="AC851">
        <v>158</v>
      </c>
      <c r="AD851">
        <v>2</v>
      </c>
      <c r="AK851" t="s">
        <v>52</v>
      </c>
      <c r="AN851" t="s">
        <v>52</v>
      </c>
      <c r="AO851" t="s">
        <v>52</v>
      </c>
      <c r="AP851" t="s">
        <v>52</v>
      </c>
      <c r="AQ851" t="s">
        <v>52</v>
      </c>
      <c r="AR851" t="s">
        <v>95</v>
      </c>
    </row>
    <row r="852" spans="1:45" x14ac:dyDescent="0.25">
      <c r="A852" t="s">
        <v>47</v>
      </c>
      <c r="B852">
        <v>8</v>
      </c>
      <c r="C852" t="s">
        <v>172</v>
      </c>
      <c r="D852">
        <v>75</v>
      </c>
      <c r="E852" t="s">
        <v>83</v>
      </c>
      <c r="F852">
        <v>158</v>
      </c>
      <c r="H852" t="s">
        <v>50</v>
      </c>
      <c r="K852" t="s">
        <v>52</v>
      </c>
      <c r="L852">
        <v>1</v>
      </c>
      <c r="M852" t="s">
        <v>52</v>
      </c>
      <c r="N852" t="s">
        <v>53</v>
      </c>
      <c r="R852">
        <v>0.77</v>
      </c>
      <c r="S852">
        <v>0.93</v>
      </c>
      <c r="T852">
        <v>0</v>
      </c>
      <c r="U852">
        <v>0</v>
      </c>
      <c r="V852" s="1">
        <v>46326</v>
      </c>
      <c r="W852" s="1">
        <v>46691</v>
      </c>
      <c r="X852" s="1">
        <v>46266</v>
      </c>
      <c r="Z852" t="s">
        <v>52</v>
      </c>
      <c r="AB852" t="s">
        <v>52</v>
      </c>
      <c r="AC852">
        <v>158</v>
      </c>
      <c r="AD852">
        <v>2</v>
      </c>
      <c r="AK852" t="s">
        <v>52</v>
      </c>
      <c r="AN852" t="s">
        <v>52</v>
      </c>
      <c r="AO852" t="s">
        <v>52</v>
      </c>
      <c r="AP852" t="s">
        <v>52</v>
      </c>
      <c r="AQ852" t="s">
        <v>52</v>
      </c>
      <c r="AR852" t="s">
        <v>55</v>
      </c>
    </row>
    <row r="853" spans="1:45" x14ac:dyDescent="0.25">
      <c r="A853" t="s">
        <v>47</v>
      </c>
      <c r="B853">
        <v>8</v>
      </c>
      <c r="C853" t="s">
        <v>172</v>
      </c>
      <c r="D853">
        <v>75</v>
      </c>
      <c r="E853" t="s">
        <v>84</v>
      </c>
      <c r="F853">
        <v>11</v>
      </c>
      <c r="G853" t="s">
        <v>85</v>
      </c>
      <c r="H853" t="s">
        <v>50</v>
      </c>
      <c r="K853" t="s">
        <v>51</v>
      </c>
      <c r="L853">
        <v>1</v>
      </c>
      <c r="M853" t="s">
        <v>52</v>
      </c>
      <c r="N853" t="s">
        <v>53</v>
      </c>
      <c r="R853">
        <v>0.5</v>
      </c>
      <c r="S853">
        <v>0.75</v>
      </c>
      <c r="T853">
        <v>0</v>
      </c>
      <c r="U853">
        <v>0</v>
      </c>
      <c r="V853" s="1">
        <v>46522</v>
      </c>
      <c r="W853" s="1">
        <v>46691</v>
      </c>
      <c r="X853" s="1">
        <v>46295</v>
      </c>
      <c r="Z853" t="s">
        <v>52</v>
      </c>
      <c r="AB853" t="s">
        <v>52</v>
      </c>
      <c r="AC853">
        <v>11</v>
      </c>
      <c r="AD853">
        <v>2</v>
      </c>
      <c r="AK853" t="s">
        <v>52</v>
      </c>
      <c r="AN853" t="s">
        <v>52</v>
      </c>
      <c r="AO853" t="s">
        <v>52</v>
      </c>
      <c r="AP853" t="s">
        <v>52</v>
      </c>
      <c r="AQ853" t="s">
        <v>52</v>
      </c>
      <c r="AR853" t="s">
        <v>55</v>
      </c>
      <c r="AS853" t="s">
        <v>60</v>
      </c>
    </row>
    <row r="854" spans="1:45" x14ac:dyDescent="0.25">
      <c r="A854" t="s">
        <v>47</v>
      </c>
      <c r="B854">
        <v>8</v>
      </c>
      <c r="C854" t="s">
        <v>172</v>
      </c>
      <c r="D854">
        <v>75</v>
      </c>
      <c r="E854" t="s">
        <v>84</v>
      </c>
      <c r="F854">
        <v>11</v>
      </c>
      <c r="G854" t="s">
        <v>85</v>
      </c>
      <c r="H854" t="s">
        <v>50</v>
      </c>
      <c r="K854" t="s">
        <v>52</v>
      </c>
      <c r="L854">
        <v>1</v>
      </c>
      <c r="M854" t="s">
        <v>52</v>
      </c>
      <c r="N854" t="s">
        <v>53</v>
      </c>
      <c r="R854">
        <v>0.5</v>
      </c>
      <c r="S854">
        <v>0.75</v>
      </c>
      <c r="T854">
        <v>0</v>
      </c>
      <c r="U854">
        <v>0</v>
      </c>
      <c r="V854" s="1">
        <v>46522</v>
      </c>
      <c r="W854" s="1">
        <v>46691</v>
      </c>
      <c r="X854" s="1">
        <v>46295</v>
      </c>
      <c r="Z854" t="s">
        <v>52</v>
      </c>
      <c r="AB854" t="s">
        <v>52</v>
      </c>
      <c r="AC854">
        <v>11</v>
      </c>
      <c r="AD854">
        <v>2</v>
      </c>
      <c r="AK854" t="s">
        <v>52</v>
      </c>
      <c r="AN854" t="s">
        <v>52</v>
      </c>
      <c r="AO854" t="s">
        <v>52</v>
      </c>
      <c r="AP854" t="s">
        <v>52</v>
      </c>
      <c r="AQ854" t="s">
        <v>52</v>
      </c>
      <c r="AR854" t="s">
        <v>55</v>
      </c>
      <c r="AS854" t="s">
        <v>60</v>
      </c>
    </row>
    <row r="855" spans="1:45" x14ac:dyDescent="0.25">
      <c r="A855" t="s">
        <v>47</v>
      </c>
      <c r="B855">
        <v>8</v>
      </c>
      <c r="C855" t="s">
        <v>172</v>
      </c>
      <c r="D855">
        <v>75</v>
      </c>
      <c r="E855" t="s">
        <v>84</v>
      </c>
      <c r="F855">
        <v>11</v>
      </c>
      <c r="G855" t="s">
        <v>96</v>
      </c>
      <c r="H855" t="s">
        <v>50</v>
      </c>
      <c r="K855" t="s">
        <v>51</v>
      </c>
      <c r="L855">
        <v>1</v>
      </c>
      <c r="M855" t="s">
        <v>52</v>
      </c>
      <c r="N855" t="s">
        <v>53</v>
      </c>
      <c r="R855">
        <v>0.5</v>
      </c>
      <c r="S855">
        <v>0.75</v>
      </c>
      <c r="T855">
        <v>0</v>
      </c>
      <c r="U855">
        <v>0</v>
      </c>
      <c r="V855" s="1">
        <v>46310</v>
      </c>
      <c r="W855" s="1">
        <v>46691</v>
      </c>
      <c r="X855" s="1">
        <v>46295</v>
      </c>
      <c r="Z855" t="s">
        <v>52</v>
      </c>
      <c r="AB855" t="s">
        <v>52</v>
      </c>
      <c r="AC855">
        <v>11</v>
      </c>
      <c r="AD855">
        <v>2</v>
      </c>
      <c r="AK855" t="s">
        <v>52</v>
      </c>
      <c r="AN855" t="s">
        <v>52</v>
      </c>
      <c r="AO855" t="s">
        <v>52</v>
      </c>
      <c r="AP855" t="s">
        <v>52</v>
      </c>
      <c r="AQ855" t="s">
        <v>52</v>
      </c>
      <c r="AR855" t="s">
        <v>55</v>
      </c>
      <c r="AS855" t="s">
        <v>60</v>
      </c>
    </row>
    <row r="856" spans="1:45" x14ac:dyDescent="0.25">
      <c r="A856" t="s">
        <v>47</v>
      </c>
      <c r="B856">
        <v>8</v>
      </c>
      <c r="C856" t="s">
        <v>172</v>
      </c>
      <c r="D856">
        <v>75</v>
      </c>
      <c r="E856" t="s">
        <v>84</v>
      </c>
      <c r="F856">
        <v>11</v>
      </c>
      <c r="G856" t="s">
        <v>96</v>
      </c>
      <c r="H856" t="s">
        <v>50</v>
      </c>
      <c r="K856" t="s">
        <v>52</v>
      </c>
      <c r="L856">
        <v>1</v>
      </c>
      <c r="M856" t="s">
        <v>52</v>
      </c>
      <c r="N856" t="s">
        <v>53</v>
      </c>
      <c r="R856">
        <v>0.5</v>
      </c>
      <c r="S856">
        <v>0.75</v>
      </c>
      <c r="T856">
        <v>0</v>
      </c>
      <c r="U856">
        <v>0</v>
      </c>
      <c r="V856" s="1">
        <v>46310</v>
      </c>
      <c r="W856" s="1">
        <v>46691</v>
      </c>
      <c r="X856" s="1">
        <v>46295</v>
      </c>
      <c r="Z856" t="s">
        <v>52</v>
      </c>
      <c r="AB856" t="s">
        <v>52</v>
      </c>
      <c r="AC856">
        <v>11</v>
      </c>
      <c r="AD856">
        <v>2</v>
      </c>
      <c r="AK856" t="s">
        <v>52</v>
      </c>
      <c r="AN856" t="s">
        <v>52</v>
      </c>
      <c r="AO856" t="s">
        <v>52</v>
      </c>
      <c r="AP856" t="s">
        <v>52</v>
      </c>
      <c r="AQ856" t="s">
        <v>52</v>
      </c>
      <c r="AR856" t="s">
        <v>55</v>
      </c>
      <c r="AS856" t="s">
        <v>60</v>
      </c>
    </row>
    <row r="857" spans="1:45" x14ac:dyDescent="0.25">
      <c r="A857" t="s">
        <v>47</v>
      </c>
      <c r="B857">
        <v>8</v>
      </c>
      <c r="C857" t="s">
        <v>175</v>
      </c>
      <c r="D857">
        <v>77</v>
      </c>
      <c r="E857" t="s">
        <v>49</v>
      </c>
      <c r="F857">
        <v>27</v>
      </c>
      <c r="H857" t="s">
        <v>50</v>
      </c>
      <c r="K857" t="s">
        <v>51</v>
      </c>
      <c r="L857">
        <v>1</v>
      </c>
      <c r="M857" t="s">
        <v>52</v>
      </c>
      <c r="N857" t="s">
        <v>53</v>
      </c>
      <c r="Q857">
        <v>230</v>
      </c>
      <c r="R857">
        <v>0</v>
      </c>
      <c r="S857">
        <v>0.75</v>
      </c>
      <c r="T857">
        <v>0</v>
      </c>
      <c r="U857">
        <v>0</v>
      </c>
      <c r="W857" s="1">
        <v>46675</v>
      </c>
      <c r="X857" s="1">
        <v>46357</v>
      </c>
      <c r="Y857" t="s">
        <v>54</v>
      </c>
      <c r="Z857" t="s">
        <v>52</v>
      </c>
      <c r="AB857" t="s">
        <v>52</v>
      </c>
      <c r="AC857">
        <v>27</v>
      </c>
      <c r="AD857">
        <v>1</v>
      </c>
      <c r="AE857">
        <v>0.97</v>
      </c>
      <c r="AG857">
        <v>0.97</v>
      </c>
      <c r="AK857" t="s">
        <v>52</v>
      </c>
      <c r="AN857" t="s">
        <v>52</v>
      </c>
      <c r="AO857" t="s">
        <v>52</v>
      </c>
      <c r="AP857" t="s">
        <v>52</v>
      </c>
      <c r="AQ857" t="s">
        <v>52</v>
      </c>
      <c r="AR857" t="s">
        <v>55</v>
      </c>
      <c r="AS857" t="s">
        <v>56</v>
      </c>
    </row>
    <row r="858" spans="1:45" x14ac:dyDescent="0.25">
      <c r="A858" t="s">
        <v>47</v>
      </c>
      <c r="B858">
        <v>8</v>
      </c>
      <c r="C858" t="s">
        <v>175</v>
      </c>
      <c r="D858">
        <v>77</v>
      </c>
      <c r="E858" t="s">
        <v>49</v>
      </c>
      <c r="F858">
        <v>27</v>
      </c>
      <c r="H858" t="s">
        <v>50</v>
      </c>
      <c r="K858" t="s">
        <v>52</v>
      </c>
      <c r="L858">
        <v>1</v>
      </c>
      <c r="M858" t="s">
        <v>52</v>
      </c>
      <c r="N858" t="s">
        <v>53</v>
      </c>
      <c r="Q858">
        <v>230</v>
      </c>
      <c r="R858">
        <v>0</v>
      </c>
      <c r="S858">
        <v>0.75</v>
      </c>
      <c r="T858">
        <v>0</v>
      </c>
      <c r="U858">
        <v>0</v>
      </c>
      <c r="W858" s="1">
        <v>46675</v>
      </c>
      <c r="X858" s="1">
        <v>46357</v>
      </c>
      <c r="Y858" t="s">
        <v>54</v>
      </c>
      <c r="Z858" t="s">
        <v>52</v>
      </c>
      <c r="AB858" t="s">
        <v>52</v>
      </c>
      <c r="AC858">
        <v>27</v>
      </c>
      <c r="AD858">
        <v>1</v>
      </c>
      <c r="AE858">
        <v>0.97</v>
      </c>
      <c r="AG858">
        <v>0.97</v>
      </c>
      <c r="AK858" t="s">
        <v>52</v>
      </c>
      <c r="AN858" t="s">
        <v>52</v>
      </c>
      <c r="AO858" t="s">
        <v>52</v>
      </c>
      <c r="AP858" t="s">
        <v>52</v>
      </c>
      <c r="AQ858" t="s">
        <v>52</v>
      </c>
      <c r="AR858" t="s">
        <v>55</v>
      </c>
      <c r="AS858" t="s">
        <v>57</v>
      </c>
    </row>
    <row r="859" spans="1:45" x14ac:dyDescent="0.25">
      <c r="A859" t="s">
        <v>47</v>
      </c>
      <c r="B859">
        <v>8</v>
      </c>
      <c r="C859" t="s">
        <v>175</v>
      </c>
      <c r="D859">
        <v>77</v>
      </c>
      <c r="E859" t="s">
        <v>87</v>
      </c>
      <c r="F859">
        <v>91</v>
      </c>
      <c r="G859" t="s">
        <v>76</v>
      </c>
      <c r="H859" t="s">
        <v>50</v>
      </c>
      <c r="K859" t="s">
        <v>51</v>
      </c>
      <c r="L859">
        <v>1</v>
      </c>
      <c r="M859" t="s">
        <v>52</v>
      </c>
      <c r="N859" t="s">
        <v>53</v>
      </c>
      <c r="R859">
        <v>0.77</v>
      </c>
      <c r="S859">
        <v>0.93</v>
      </c>
      <c r="T859">
        <v>0</v>
      </c>
      <c r="U859">
        <v>0</v>
      </c>
      <c r="V859" s="1">
        <v>46548</v>
      </c>
      <c r="W859" s="1">
        <v>46691</v>
      </c>
      <c r="X859" s="1">
        <v>46295</v>
      </c>
      <c r="Z859" t="s">
        <v>52</v>
      </c>
      <c r="AB859" t="s">
        <v>52</v>
      </c>
      <c r="AC859">
        <v>91</v>
      </c>
      <c r="AD859">
        <v>2</v>
      </c>
      <c r="AK859" t="s">
        <v>52</v>
      </c>
      <c r="AN859" t="s">
        <v>52</v>
      </c>
      <c r="AO859" t="s">
        <v>52</v>
      </c>
      <c r="AP859" t="s">
        <v>52</v>
      </c>
      <c r="AQ859" t="s">
        <v>52</v>
      </c>
      <c r="AR859" t="s">
        <v>55</v>
      </c>
      <c r="AS859" t="s">
        <v>60</v>
      </c>
    </row>
    <row r="860" spans="1:45" x14ac:dyDescent="0.25">
      <c r="A860" t="s">
        <v>47</v>
      </c>
      <c r="B860">
        <v>8</v>
      </c>
      <c r="C860" t="s">
        <v>175</v>
      </c>
      <c r="D860">
        <v>77</v>
      </c>
      <c r="E860" t="s">
        <v>58</v>
      </c>
      <c r="F860">
        <v>102</v>
      </c>
      <c r="G860" t="s">
        <v>59</v>
      </c>
      <c r="H860" t="s">
        <v>50</v>
      </c>
      <c r="K860" t="s">
        <v>51</v>
      </c>
      <c r="L860">
        <v>1</v>
      </c>
      <c r="M860" t="s">
        <v>52</v>
      </c>
      <c r="N860" t="s">
        <v>53</v>
      </c>
      <c r="R860">
        <v>0</v>
      </c>
      <c r="S860">
        <v>0.92</v>
      </c>
      <c r="T860">
        <v>0</v>
      </c>
      <c r="U860">
        <v>0</v>
      </c>
      <c r="W860" s="1">
        <v>46731</v>
      </c>
      <c r="X860" s="1">
        <v>46357</v>
      </c>
      <c r="Z860" t="s">
        <v>52</v>
      </c>
      <c r="AB860" t="s">
        <v>52</v>
      </c>
      <c r="AC860">
        <v>102</v>
      </c>
      <c r="AD860">
        <v>1</v>
      </c>
      <c r="AK860" t="s">
        <v>52</v>
      </c>
      <c r="AN860" t="s">
        <v>52</v>
      </c>
      <c r="AO860" t="s">
        <v>52</v>
      </c>
      <c r="AP860" t="s">
        <v>52</v>
      </c>
      <c r="AQ860" t="s">
        <v>52</v>
      </c>
      <c r="AR860" t="s">
        <v>55</v>
      </c>
    </row>
    <row r="861" spans="1:45" x14ac:dyDescent="0.25">
      <c r="A861" t="s">
        <v>47</v>
      </c>
      <c r="B861">
        <v>8</v>
      </c>
      <c r="C861" t="s">
        <v>175</v>
      </c>
      <c r="D861">
        <v>77</v>
      </c>
      <c r="E861" t="s">
        <v>58</v>
      </c>
      <c r="F861">
        <v>102</v>
      </c>
      <c r="G861" t="s">
        <v>59</v>
      </c>
      <c r="H861" t="s">
        <v>50</v>
      </c>
      <c r="K861" t="s">
        <v>52</v>
      </c>
      <c r="L861">
        <v>1</v>
      </c>
      <c r="M861" t="s">
        <v>52</v>
      </c>
      <c r="N861" t="s">
        <v>53</v>
      </c>
      <c r="R861">
        <v>0</v>
      </c>
      <c r="S861">
        <v>0.92</v>
      </c>
      <c r="T861">
        <v>0</v>
      </c>
      <c r="U861">
        <v>0</v>
      </c>
      <c r="W861" s="1">
        <v>46731</v>
      </c>
      <c r="X861" s="1">
        <v>46357</v>
      </c>
      <c r="Z861" t="s">
        <v>52</v>
      </c>
      <c r="AB861" t="s">
        <v>52</v>
      </c>
      <c r="AC861">
        <v>102</v>
      </c>
      <c r="AD861">
        <v>1</v>
      </c>
      <c r="AK861" t="s">
        <v>52</v>
      </c>
      <c r="AN861" t="s">
        <v>52</v>
      </c>
      <c r="AO861" t="s">
        <v>52</v>
      </c>
      <c r="AP861" t="s">
        <v>52</v>
      </c>
      <c r="AQ861" t="s">
        <v>52</v>
      </c>
      <c r="AR861" t="s">
        <v>55</v>
      </c>
    </row>
    <row r="862" spans="1:45" x14ac:dyDescent="0.25">
      <c r="A862" t="s">
        <v>47</v>
      </c>
      <c r="B862">
        <v>8</v>
      </c>
      <c r="C862" t="s">
        <v>175</v>
      </c>
      <c r="D862">
        <v>77</v>
      </c>
      <c r="E862" t="s">
        <v>58</v>
      </c>
      <c r="F862">
        <v>102</v>
      </c>
      <c r="G862" t="s">
        <v>62</v>
      </c>
      <c r="H862" t="s">
        <v>50</v>
      </c>
      <c r="K862" t="s">
        <v>51</v>
      </c>
      <c r="L862">
        <v>1</v>
      </c>
      <c r="M862" t="s">
        <v>52</v>
      </c>
      <c r="N862" t="s">
        <v>53</v>
      </c>
      <c r="R862">
        <v>0</v>
      </c>
      <c r="S862">
        <v>0.92</v>
      </c>
      <c r="T862">
        <v>0</v>
      </c>
      <c r="U862">
        <v>0</v>
      </c>
      <c r="W862" s="1">
        <v>46731</v>
      </c>
      <c r="X862" s="1">
        <v>46357</v>
      </c>
      <c r="Z862" t="s">
        <v>52</v>
      </c>
      <c r="AB862" t="s">
        <v>52</v>
      </c>
      <c r="AC862">
        <v>102</v>
      </c>
      <c r="AD862">
        <v>1</v>
      </c>
      <c r="AK862" t="s">
        <v>52</v>
      </c>
      <c r="AN862" t="s">
        <v>52</v>
      </c>
      <c r="AO862" t="s">
        <v>52</v>
      </c>
      <c r="AP862" t="s">
        <v>52</v>
      </c>
      <c r="AQ862" t="s">
        <v>52</v>
      </c>
      <c r="AR862" t="s">
        <v>55</v>
      </c>
    </row>
    <row r="863" spans="1:45" x14ac:dyDescent="0.25">
      <c r="A863" t="s">
        <v>47</v>
      </c>
      <c r="B863">
        <v>8</v>
      </c>
      <c r="C863" t="s">
        <v>175</v>
      </c>
      <c r="D863">
        <v>77</v>
      </c>
      <c r="E863" t="s">
        <v>58</v>
      </c>
      <c r="F863">
        <v>102</v>
      </c>
      <c r="G863" t="s">
        <v>62</v>
      </c>
      <c r="H863" t="s">
        <v>50</v>
      </c>
      <c r="K863" t="s">
        <v>52</v>
      </c>
      <c r="L863">
        <v>1</v>
      </c>
      <c r="M863" t="s">
        <v>52</v>
      </c>
      <c r="N863" t="s">
        <v>53</v>
      </c>
      <c r="R863">
        <v>0</v>
      </c>
      <c r="S863">
        <v>0.92</v>
      </c>
      <c r="T863">
        <v>0</v>
      </c>
      <c r="U863">
        <v>0</v>
      </c>
      <c r="W863" s="1">
        <v>46731</v>
      </c>
      <c r="X863" s="1">
        <v>46357</v>
      </c>
      <c r="Z863" t="s">
        <v>52</v>
      </c>
      <c r="AB863" t="s">
        <v>52</v>
      </c>
      <c r="AC863">
        <v>102</v>
      </c>
      <c r="AD863">
        <v>1</v>
      </c>
      <c r="AK863" t="s">
        <v>52</v>
      </c>
      <c r="AN863" t="s">
        <v>52</v>
      </c>
      <c r="AO863" t="s">
        <v>52</v>
      </c>
      <c r="AP863" t="s">
        <v>52</v>
      </c>
      <c r="AQ863" t="s">
        <v>52</v>
      </c>
      <c r="AR863" t="s">
        <v>55</v>
      </c>
    </row>
    <row r="864" spans="1:45" x14ac:dyDescent="0.25">
      <c r="A864" t="s">
        <v>47</v>
      </c>
      <c r="B864">
        <v>8</v>
      </c>
      <c r="C864" t="s">
        <v>175</v>
      </c>
      <c r="D864">
        <v>77</v>
      </c>
      <c r="E864" t="s">
        <v>58</v>
      </c>
      <c r="F864">
        <v>102</v>
      </c>
      <c r="G864" t="s">
        <v>63</v>
      </c>
      <c r="H864" t="s">
        <v>50</v>
      </c>
      <c r="K864" t="s">
        <v>51</v>
      </c>
      <c r="L864">
        <v>1</v>
      </c>
      <c r="M864" t="s">
        <v>52</v>
      </c>
      <c r="N864" t="s">
        <v>53</v>
      </c>
      <c r="R864">
        <v>0</v>
      </c>
      <c r="S864">
        <v>0.92</v>
      </c>
      <c r="T864">
        <v>0</v>
      </c>
      <c r="U864">
        <v>0</v>
      </c>
      <c r="W864" s="1">
        <v>46731</v>
      </c>
      <c r="X864" s="1">
        <v>46357</v>
      </c>
      <c r="Z864" t="s">
        <v>52</v>
      </c>
      <c r="AB864" t="s">
        <v>52</v>
      </c>
      <c r="AC864">
        <v>102</v>
      </c>
      <c r="AD864">
        <v>1</v>
      </c>
      <c r="AK864" t="s">
        <v>52</v>
      </c>
      <c r="AN864" t="s">
        <v>52</v>
      </c>
      <c r="AO864" t="s">
        <v>52</v>
      </c>
      <c r="AP864" t="s">
        <v>52</v>
      </c>
      <c r="AQ864" t="s">
        <v>52</v>
      </c>
      <c r="AR864" t="s">
        <v>55</v>
      </c>
    </row>
    <row r="865" spans="1:45" x14ac:dyDescent="0.25">
      <c r="A865" t="s">
        <v>47</v>
      </c>
      <c r="B865">
        <v>8</v>
      </c>
      <c r="C865" t="s">
        <v>175</v>
      </c>
      <c r="D865">
        <v>77</v>
      </c>
      <c r="E865" t="s">
        <v>58</v>
      </c>
      <c r="F865">
        <v>102</v>
      </c>
      <c r="G865" t="s">
        <v>63</v>
      </c>
      <c r="H865" t="s">
        <v>50</v>
      </c>
      <c r="K865" t="s">
        <v>52</v>
      </c>
      <c r="L865">
        <v>1</v>
      </c>
      <c r="M865" t="s">
        <v>52</v>
      </c>
      <c r="N865" t="s">
        <v>53</v>
      </c>
      <c r="R865">
        <v>0</v>
      </c>
      <c r="S865">
        <v>0.92</v>
      </c>
      <c r="T865">
        <v>0</v>
      </c>
      <c r="U865">
        <v>0</v>
      </c>
      <c r="W865" s="1">
        <v>46731</v>
      </c>
      <c r="X865" s="1">
        <v>46357</v>
      </c>
      <c r="Z865" t="s">
        <v>52</v>
      </c>
      <c r="AB865" t="s">
        <v>52</v>
      </c>
      <c r="AC865">
        <v>102</v>
      </c>
      <c r="AD865">
        <v>1</v>
      </c>
      <c r="AK865" t="s">
        <v>52</v>
      </c>
      <c r="AN865" t="s">
        <v>52</v>
      </c>
      <c r="AO865" t="s">
        <v>52</v>
      </c>
      <c r="AP865" t="s">
        <v>52</v>
      </c>
      <c r="AQ865" t="s">
        <v>52</v>
      </c>
      <c r="AR865" t="s">
        <v>55</v>
      </c>
    </row>
    <row r="866" spans="1:45" x14ac:dyDescent="0.25">
      <c r="A866" t="s">
        <v>47</v>
      </c>
      <c r="B866">
        <v>8</v>
      </c>
      <c r="C866" t="s">
        <v>175</v>
      </c>
      <c r="D866">
        <v>77</v>
      </c>
      <c r="E866" t="s">
        <v>58</v>
      </c>
      <c r="F866">
        <v>102</v>
      </c>
      <c r="G866" t="s">
        <v>128</v>
      </c>
      <c r="H866" t="s">
        <v>50</v>
      </c>
      <c r="K866" t="s">
        <v>51</v>
      </c>
      <c r="L866">
        <v>1</v>
      </c>
      <c r="M866" t="s">
        <v>52</v>
      </c>
      <c r="N866" t="s">
        <v>53</v>
      </c>
      <c r="R866">
        <v>0</v>
      </c>
      <c r="S866">
        <v>0.92</v>
      </c>
      <c r="U866">
        <v>0</v>
      </c>
      <c r="W866" s="1">
        <v>46731</v>
      </c>
      <c r="X866" s="1">
        <v>46357</v>
      </c>
      <c r="Z866" t="s">
        <v>52</v>
      </c>
      <c r="AB866" t="s">
        <v>52</v>
      </c>
      <c r="AC866">
        <v>102</v>
      </c>
      <c r="AD866">
        <v>1</v>
      </c>
      <c r="AK866" t="s">
        <v>52</v>
      </c>
      <c r="AN866" t="s">
        <v>52</v>
      </c>
      <c r="AO866" t="s">
        <v>52</v>
      </c>
      <c r="AP866" t="s">
        <v>52</v>
      </c>
      <c r="AQ866" t="s">
        <v>52</v>
      </c>
      <c r="AR866" t="s">
        <v>55</v>
      </c>
    </row>
    <row r="867" spans="1:45" x14ac:dyDescent="0.25">
      <c r="A867" t="s">
        <v>47</v>
      </c>
      <c r="B867">
        <v>8</v>
      </c>
      <c r="C867" t="s">
        <v>175</v>
      </c>
      <c r="D867">
        <v>77</v>
      </c>
      <c r="E867" t="s">
        <v>58</v>
      </c>
      <c r="F867">
        <v>102</v>
      </c>
      <c r="G867" t="s">
        <v>128</v>
      </c>
      <c r="H867" t="s">
        <v>50</v>
      </c>
      <c r="K867" t="s">
        <v>52</v>
      </c>
      <c r="L867">
        <v>1</v>
      </c>
      <c r="M867" t="s">
        <v>52</v>
      </c>
      <c r="N867" t="s">
        <v>53</v>
      </c>
      <c r="R867">
        <v>0</v>
      </c>
      <c r="S867">
        <v>0.92</v>
      </c>
      <c r="U867">
        <v>0</v>
      </c>
      <c r="W867" s="1">
        <v>46731</v>
      </c>
      <c r="X867" s="1">
        <v>46357</v>
      </c>
      <c r="Z867" t="s">
        <v>52</v>
      </c>
      <c r="AB867" t="s">
        <v>52</v>
      </c>
      <c r="AC867">
        <v>102</v>
      </c>
      <c r="AD867">
        <v>1</v>
      </c>
      <c r="AK867" t="s">
        <v>52</v>
      </c>
      <c r="AN867" t="s">
        <v>52</v>
      </c>
      <c r="AO867" t="s">
        <v>52</v>
      </c>
      <c r="AP867" t="s">
        <v>52</v>
      </c>
      <c r="AQ867" t="s">
        <v>52</v>
      </c>
      <c r="AR867" t="s">
        <v>55</v>
      </c>
    </row>
    <row r="868" spans="1:45" x14ac:dyDescent="0.25">
      <c r="A868" t="s">
        <v>47</v>
      </c>
      <c r="B868">
        <v>8</v>
      </c>
      <c r="C868" t="s">
        <v>175</v>
      </c>
      <c r="D868">
        <v>77</v>
      </c>
      <c r="E868" t="s">
        <v>70</v>
      </c>
      <c r="F868">
        <v>296</v>
      </c>
      <c r="G868" t="s">
        <v>71</v>
      </c>
      <c r="H868" t="s">
        <v>50</v>
      </c>
      <c r="K868" t="s">
        <v>51</v>
      </c>
      <c r="L868">
        <v>1</v>
      </c>
      <c r="M868" t="s">
        <v>52</v>
      </c>
      <c r="N868" t="s">
        <v>53</v>
      </c>
      <c r="Q868">
        <v>224.33330000000001</v>
      </c>
      <c r="R868">
        <v>0</v>
      </c>
      <c r="S868">
        <v>0.75</v>
      </c>
      <c r="T868">
        <v>0</v>
      </c>
      <c r="U868">
        <v>0</v>
      </c>
      <c r="W868" s="1">
        <v>46675</v>
      </c>
      <c r="X868" s="1">
        <v>46357</v>
      </c>
      <c r="Y868" t="s">
        <v>54</v>
      </c>
      <c r="Z868" t="s">
        <v>52</v>
      </c>
      <c r="AB868" t="s">
        <v>52</v>
      </c>
      <c r="AC868">
        <v>296</v>
      </c>
      <c r="AD868">
        <v>1</v>
      </c>
      <c r="AK868" t="s">
        <v>52</v>
      </c>
      <c r="AN868" t="s">
        <v>52</v>
      </c>
      <c r="AO868" t="s">
        <v>52</v>
      </c>
      <c r="AP868" t="s">
        <v>52</v>
      </c>
      <c r="AQ868" t="s">
        <v>52</v>
      </c>
      <c r="AR868" t="s">
        <v>55</v>
      </c>
    </row>
    <row r="869" spans="1:45" x14ac:dyDescent="0.25">
      <c r="A869" t="s">
        <v>47</v>
      </c>
      <c r="B869">
        <v>8</v>
      </c>
      <c r="C869" t="s">
        <v>175</v>
      </c>
      <c r="D869">
        <v>77</v>
      </c>
      <c r="E869" t="s">
        <v>70</v>
      </c>
      <c r="F869">
        <v>296</v>
      </c>
      <c r="G869" t="s">
        <v>71</v>
      </c>
      <c r="H869" t="s">
        <v>50</v>
      </c>
      <c r="K869" t="s">
        <v>52</v>
      </c>
      <c r="L869">
        <v>1</v>
      </c>
      <c r="M869" t="s">
        <v>52</v>
      </c>
      <c r="N869" t="s">
        <v>53</v>
      </c>
      <c r="Q869">
        <v>224.33330000000001</v>
      </c>
      <c r="R869">
        <v>0</v>
      </c>
      <c r="S869">
        <v>0.75</v>
      </c>
      <c r="T869">
        <v>0</v>
      </c>
      <c r="U869">
        <v>0</v>
      </c>
      <c r="W869" s="1">
        <v>46675</v>
      </c>
      <c r="X869" s="1">
        <v>46357</v>
      </c>
      <c r="Y869" t="s">
        <v>54</v>
      </c>
      <c r="Z869" t="s">
        <v>52</v>
      </c>
      <c r="AB869" t="s">
        <v>52</v>
      </c>
      <c r="AC869">
        <v>296</v>
      </c>
      <c r="AD869">
        <v>1</v>
      </c>
      <c r="AK869" t="s">
        <v>52</v>
      </c>
      <c r="AN869" t="s">
        <v>52</v>
      </c>
      <c r="AO869" t="s">
        <v>52</v>
      </c>
      <c r="AP869" t="s">
        <v>52</v>
      </c>
      <c r="AQ869" t="s">
        <v>52</v>
      </c>
      <c r="AR869" t="s">
        <v>55</v>
      </c>
    </row>
    <row r="870" spans="1:45" x14ac:dyDescent="0.25">
      <c r="A870" t="s">
        <v>47</v>
      </c>
      <c r="B870">
        <v>8</v>
      </c>
      <c r="C870" t="s">
        <v>175</v>
      </c>
      <c r="D870">
        <v>77</v>
      </c>
      <c r="E870" t="s">
        <v>70</v>
      </c>
      <c r="F870">
        <v>296</v>
      </c>
      <c r="G870" t="s">
        <v>73</v>
      </c>
      <c r="H870" t="s">
        <v>50</v>
      </c>
      <c r="K870" t="s">
        <v>51</v>
      </c>
      <c r="L870">
        <v>1</v>
      </c>
      <c r="M870" t="s">
        <v>52</v>
      </c>
      <c r="N870" t="s">
        <v>53</v>
      </c>
      <c r="R870">
        <v>0</v>
      </c>
      <c r="S870">
        <v>0.75</v>
      </c>
      <c r="T870">
        <v>0</v>
      </c>
      <c r="U870">
        <v>0</v>
      </c>
      <c r="W870" s="1">
        <v>46675</v>
      </c>
      <c r="X870" s="1">
        <v>46357</v>
      </c>
      <c r="Z870" t="s">
        <v>52</v>
      </c>
      <c r="AB870" t="s">
        <v>52</v>
      </c>
      <c r="AC870">
        <v>296</v>
      </c>
      <c r="AD870">
        <v>1</v>
      </c>
      <c r="AK870" t="s">
        <v>52</v>
      </c>
      <c r="AN870" t="s">
        <v>52</v>
      </c>
      <c r="AO870" t="s">
        <v>52</v>
      </c>
      <c r="AP870" t="s">
        <v>52</v>
      </c>
      <c r="AQ870" t="s">
        <v>52</v>
      </c>
      <c r="AR870" t="s">
        <v>55</v>
      </c>
    </row>
    <row r="871" spans="1:45" x14ac:dyDescent="0.25">
      <c r="A871" t="s">
        <v>47</v>
      </c>
      <c r="B871">
        <v>8</v>
      </c>
      <c r="C871" t="s">
        <v>175</v>
      </c>
      <c r="D871">
        <v>77</v>
      </c>
      <c r="E871" t="s">
        <v>70</v>
      </c>
      <c r="F871">
        <v>296</v>
      </c>
      <c r="G871" t="s">
        <v>73</v>
      </c>
      <c r="H871" t="s">
        <v>50</v>
      </c>
      <c r="K871" t="s">
        <v>52</v>
      </c>
      <c r="L871">
        <v>1</v>
      </c>
      <c r="M871" t="s">
        <v>52</v>
      </c>
      <c r="N871" t="s">
        <v>53</v>
      </c>
      <c r="R871">
        <v>0</v>
      </c>
      <c r="S871">
        <v>0.75</v>
      </c>
      <c r="T871">
        <v>0</v>
      </c>
      <c r="U871">
        <v>0</v>
      </c>
      <c r="W871" s="1">
        <v>46675</v>
      </c>
      <c r="X871" s="1">
        <v>46357</v>
      </c>
      <c r="Z871" t="s">
        <v>52</v>
      </c>
      <c r="AB871" t="s">
        <v>52</v>
      </c>
      <c r="AC871">
        <v>296</v>
      </c>
      <c r="AD871">
        <v>1</v>
      </c>
      <c r="AK871" t="s">
        <v>52</v>
      </c>
      <c r="AN871" t="s">
        <v>52</v>
      </c>
      <c r="AO871" t="s">
        <v>52</v>
      </c>
      <c r="AP871" t="s">
        <v>52</v>
      </c>
      <c r="AQ871" t="s">
        <v>52</v>
      </c>
      <c r="AR871" t="s">
        <v>55</v>
      </c>
    </row>
    <row r="872" spans="1:45" x14ac:dyDescent="0.25">
      <c r="A872" t="s">
        <v>47</v>
      </c>
      <c r="B872">
        <v>8</v>
      </c>
      <c r="C872" t="s">
        <v>175</v>
      </c>
      <c r="D872">
        <v>77</v>
      </c>
      <c r="E872" t="s">
        <v>75</v>
      </c>
      <c r="F872">
        <v>16</v>
      </c>
      <c r="G872" t="s">
        <v>76</v>
      </c>
      <c r="H872" t="s">
        <v>50</v>
      </c>
      <c r="K872" t="s">
        <v>51</v>
      </c>
      <c r="L872">
        <v>1</v>
      </c>
      <c r="M872" t="s">
        <v>52</v>
      </c>
      <c r="N872" t="s">
        <v>53</v>
      </c>
      <c r="R872">
        <v>0.5</v>
      </c>
      <c r="S872">
        <v>0.75</v>
      </c>
      <c r="T872">
        <v>0</v>
      </c>
      <c r="U872">
        <v>0</v>
      </c>
      <c r="V872" s="1">
        <v>46522</v>
      </c>
      <c r="W872" s="1">
        <v>46691</v>
      </c>
      <c r="X872" s="1">
        <v>46461</v>
      </c>
      <c r="Z872" t="s">
        <v>52</v>
      </c>
      <c r="AB872" t="s">
        <v>52</v>
      </c>
      <c r="AC872">
        <v>16</v>
      </c>
      <c r="AD872">
        <v>2</v>
      </c>
      <c r="AK872" t="s">
        <v>52</v>
      </c>
      <c r="AN872" t="s">
        <v>52</v>
      </c>
      <c r="AO872" t="s">
        <v>52</v>
      </c>
      <c r="AP872" t="s">
        <v>52</v>
      </c>
      <c r="AQ872" t="s">
        <v>52</v>
      </c>
      <c r="AR872" t="s">
        <v>55</v>
      </c>
    </row>
    <row r="873" spans="1:45" x14ac:dyDescent="0.25">
      <c r="A873" t="s">
        <v>47</v>
      </c>
      <c r="B873">
        <v>8</v>
      </c>
      <c r="C873" t="s">
        <v>175</v>
      </c>
      <c r="D873">
        <v>77</v>
      </c>
      <c r="E873" t="s">
        <v>79</v>
      </c>
      <c r="F873">
        <v>50</v>
      </c>
      <c r="G873" t="s">
        <v>65</v>
      </c>
      <c r="H873" t="s">
        <v>50</v>
      </c>
      <c r="K873" t="s">
        <v>51</v>
      </c>
      <c r="L873">
        <v>1</v>
      </c>
      <c r="M873" t="s">
        <v>52</v>
      </c>
      <c r="N873" t="s">
        <v>53</v>
      </c>
      <c r="R873">
        <v>0.5</v>
      </c>
      <c r="S873">
        <v>0.75</v>
      </c>
      <c r="T873">
        <v>0</v>
      </c>
      <c r="U873">
        <v>0</v>
      </c>
      <c r="V873" s="1">
        <v>46583</v>
      </c>
      <c r="W873" s="1">
        <v>46675</v>
      </c>
      <c r="X873" s="1">
        <v>46461</v>
      </c>
      <c r="Z873" t="s">
        <v>52</v>
      </c>
      <c r="AB873" t="s">
        <v>52</v>
      </c>
      <c r="AC873">
        <v>50</v>
      </c>
      <c r="AD873">
        <v>1</v>
      </c>
      <c r="AK873" t="s">
        <v>52</v>
      </c>
      <c r="AN873" t="s">
        <v>52</v>
      </c>
      <c r="AO873" t="s">
        <v>52</v>
      </c>
      <c r="AP873" t="s">
        <v>52</v>
      </c>
      <c r="AQ873" t="s">
        <v>52</v>
      </c>
      <c r="AR873" t="s">
        <v>55</v>
      </c>
      <c r="AS873" t="s">
        <v>88</v>
      </c>
    </row>
    <row r="874" spans="1:45" x14ac:dyDescent="0.25">
      <c r="A874" t="s">
        <v>47</v>
      </c>
      <c r="B874">
        <v>8</v>
      </c>
      <c r="C874" t="s">
        <v>175</v>
      </c>
      <c r="D874">
        <v>77</v>
      </c>
      <c r="E874" t="s">
        <v>79</v>
      </c>
      <c r="F874">
        <v>50</v>
      </c>
      <c r="G874" t="s">
        <v>65</v>
      </c>
      <c r="H874" t="s">
        <v>50</v>
      </c>
      <c r="K874" t="s">
        <v>52</v>
      </c>
      <c r="L874">
        <v>1</v>
      </c>
      <c r="M874" t="s">
        <v>52</v>
      </c>
      <c r="N874" t="s">
        <v>53</v>
      </c>
      <c r="R874">
        <v>0.5</v>
      </c>
      <c r="S874">
        <v>0.75</v>
      </c>
      <c r="T874">
        <v>0</v>
      </c>
      <c r="U874">
        <v>0</v>
      </c>
      <c r="V874" s="1">
        <v>46583</v>
      </c>
      <c r="W874" s="1">
        <v>46675</v>
      </c>
      <c r="X874" s="1">
        <v>46461</v>
      </c>
      <c r="Z874" t="s">
        <v>52</v>
      </c>
      <c r="AB874" t="s">
        <v>52</v>
      </c>
      <c r="AC874">
        <v>50</v>
      </c>
      <c r="AD874">
        <v>1</v>
      </c>
      <c r="AK874" t="s">
        <v>52</v>
      </c>
      <c r="AN874" t="s">
        <v>52</v>
      </c>
      <c r="AO874" t="s">
        <v>52</v>
      </c>
      <c r="AP874" t="s">
        <v>52</v>
      </c>
      <c r="AQ874" t="s">
        <v>52</v>
      </c>
      <c r="AR874" t="s">
        <v>55</v>
      </c>
    </row>
    <row r="875" spans="1:45" x14ac:dyDescent="0.25">
      <c r="A875" t="s">
        <v>47</v>
      </c>
      <c r="B875">
        <v>8</v>
      </c>
      <c r="C875" t="s">
        <v>175</v>
      </c>
      <c r="D875">
        <v>77</v>
      </c>
      <c r="E875" t="s">
        <v>83</v>
      </c>
      <c r="F875">
        <v>158</v>
      </c>
      <c r="H875" t="s">
        <v>50</v>
      </c>
      <c r="K875" t="s">
        <v>51</v>
      </c>
      <c r="L875">
        <v>1</v>
      </c>
      <c r="M875" t="s">
        <v>52</v>
      </c>
      <c r="N875" t="s">
        <v>53</v>
      </c>
      <c r="P875">
        <v>1.3</v>
      </c>
      <c r="R875">
        <v>0.77</v>
      </c>
      <c r="S875">
        <v>0.93</v>
      </c>
      <c r="T875">
        <v>0</v>
      </c>
      <c r="U875">
        <v>0</v>
      </c>
      <c r="V875" s="1">
        <v>46326</v>
      </c>
      <c r="W875" s="1">
        <v>46691</v>
      </c>
      <c r="X875" s="1">
        <v>46266</v>
      </c>
      <c r="Z875" t="s">
        <v>52</v>
      </c>
      <c r="AA875" t="s">
        <v>54</v>
      </c>
      <c r="AB875" t="s">
        <v>52</v>
      </c>
      <c r="AC875">
        <v>158</v>
      </c>
      <c r="AD875">
        <v>2</v>
      </c>
      <c r="AK875" t="s">
        <v>52</v>
      </c>
      <c r="AN875" t="s">
        <v>52</v>
      </c>
      <c r="AO875" t="s">
        <v>52</v>
      </c>
      <c r="AP875" t="s">
        <v>52</v>
      </c>
      <c r="AQ875" t="s">
        <v>52</v>
      </c>
      <c r="AR875" t="s">
        <v>95</v>
      </c>
      <c r="AS875" t="s">
        <v>140</v>
      </c>
    </row>
    <row r="876" spans="1:45" x14ac:dyDescent="0.25">
      <c r="A876" t="s">
        <v>47</v>
      </c>
      <c r="B876">
        <v>8</v>
      </c>
      <c r="C876" t="s">
        <v>176</v>
      </c>
      <c r="D876">
        <v>79</v>
      </c>
      <c r="E876" t="s">
        <v>58</v>
      </c>
      <c r="F876">
        <v>102</v>
      </c>
      <c r="G876" t="s">
        <v>62</v>
      </c>
      <c r="H876" t="s">
        <v>50</v>
      </c>
      <c r="K876" t="s">
        <v>51</v>
      </c>
      <c r="L876">
        <v>1</v>
      </c>
      <c r="M876" t="s">
        <v>52</v>
      </c>
      <c r="N876" t="s">
        <v>53</v>
      </c>
      <c r="R876">
        <v>0</v>
      </c>
      <c r="S876">
        <v>0.92</v>
      </c>
      <c r="T876">
        <v>0</v>
      </c>
      <c r="U876">
        <v>0</v>
      </c>
      <c r="W876" s="1">
        <v>46731</v>
      </c>
      <c r="X876" s="1">
        <v>46357</v>
      </c>
      <c r="Z876" t="s">
        <v>52</v>
      </c>
      <c r="AB876" t="s">
        <v>52</v>
      </c>
      <c r="AC876">
        <v>102</v>
      </c>
      <c r="AD876">
        <v>1</v>
      </c>
      <c r="AK876" t="s">
        <v>52</v>
      </c>
      <c r="AN876" t="s">
        <v>52</v>
      </c>
      <c r="AO876" t="s">
        <v>52</v>
      </c>
      <c r="AP876" t="s">
        <v>52</v>
      </c>
      <c r="AQ876" t="s">
        <v>52</v>
      </c>
      <c r="AR876" t="s">
        <v>55</v>
      </c>
    </row>
    <row r="877" spans="1:45" x14ac:dyDescent="0.25">
      <c r="A877" t="s">
        <v>47</v>
      </c>
      <c r="B877">
        <v>8</v>
      </c>
      <c r="C877" t="s">
        <v>176</v>
      </c>
      <c r="D877">
        <v>79</v>
      </c>
      <c r="E877" t="s">
        <v>58</v>
      </c>
      <c r="F877">
        <v>102</v>
      </c>
      <c r="G877" t="s">
        <v>62</v>
      </c>
      <c r="H877" t="s">
        <v>50</v>
      </c>
      <c r="K877" t="s">
        <v>52</v>
      </c>
      <c r="L877">
        <v>1</v>
      </c>
      <c r="M877" t="s">
        <v>52</v>
      </c>
      <c r="N877" t="s">
        <v>53</v>
      </c>
      <c r="R877">
        <v>0</v>
      </c>
      <c r="S877">
        <v>0.92</v>
      </c>
      <c r="T877">
        <v>0</v>
      </c>
      <c r="U877">
        <v>0</v>
      </c>
      <c r="W877" s="1">
        <v>46731</v>
      </c>
      <c r="X877" s="1">
        <v>46357</v>
      </c>
      <c r="Z877" t="s">
        <v>52</v>
      </c>
      <c r="AB877" t="s">
        <v>52</v>
      </c>
      <c r="AC877">
        <v>102</v>
      </c>
      <c r="AD877">
        <v>1</v>
      </c>
      <c r="AK877" t="s">
        <v>52</v>
      </c>
      <c r="AN877" t="s">
        <v>52</v>
      </c>
      <c r="AO877" t="s">
        <v>52</v>
      </c>
      <c r="AP877" t="s">
        <v>52</v>
      </c>
      <c r="AQ877" t="s">
        <v>52</v>
      </c>
      <c r="AR877" t="s">
        <v>55</v>
      </c>
    </row>
    <row r="878" spans="1:45" x14ac:dyDescent="0.25">
      <c r="A878" t="s">
        <v>47</v>
      </c>
      <c r="B878">
        <v>8</v>
      </c>
      <c r="C878" t="s">
        <v>176</v>
      </c>
      <c r="D878">
        <v>79</v>
      </c>
      <c r="E878" t="s">
        <v>58</v>
      </c>
      <c r="F878">
        <v>102</v>
      </c>
      <c r="G878" t="s">
        <v>156</v>
      </c>
      <c r="H878" t="s">
        <v>50</v>
      </c>
      <c r="K878" t="s">
        <v>52</v>
      </c>
      <c r="L878">
        <v>1</v>
      </c>
      <c r="M878" t="s">
        <v>52</v>
      </c>
      <c r="N878" t="s">
        <v>53</v>
      </c>
      <c r="R878">
        <v>0</v>
      </c>
      <c r="S878">
        <v>0.92</v>
      </c>
      <c r="T878">
        <v>0</v>
      </c>
      <c r="U878">
        <v>0</v>
      </c>
      <c r="W878" s="1">
        <v>46731</v>
      </c>
      <c r="X878" s="1">
        <v>46357</v>
      </c>
      <c r="Z878" t="s">
        <v>52</v>
      </c>
      <c r="AB878" t="s">
        <v>52</v>
      </c>
      <c r="AC878">
        <v>102</v>
      </c>
      <c r="AD878">
        <v>1</v>
      </c>
      <c r="AK878" t="s">
        <v>52</v>
      </c>
      <c r="AN878" t="s">
        <v>52</v>
      </c>
      <c r="AO878" t="s">
        <v>52</v>
      </c>
      <c r="AP878" t="s">
        <v>52</v>
      </c>
      <c r="AQ878" t="s">
        <v>52</v>
      </c>
      <c r="AR878" t="s">
        <v>55</v>
      </c>
      <c r="AS878" t="s">
        <v>60</v>
      </c>
    </row>
    <row r="879" spans="1:45" x14ac:dyDescent="0.25">
      <c r="A879" t="s">
        <v>47</v>
      </c>
      <c r="B879">
        <v>8</v>
      </c>
      <c r="C879" t="s">
        <v>177</v>
      </c>
      <c r="D879">
        <v>81</v>
      </c>
      <c r="E879" t="s">
        <v>49</v>
      </c>
      <c r="F879">
        <v>27</v>
      </c>
      <c r="H879" t="s">
        <v>50</v>
      </c>
      <c r="K879" t="s">
        <v>51</v>
      </c>
      <c r="L879">
        <v>1</v>
      </c>
      <c r="M879" t="s">
        <v>52</v>
      </c>
      <c r="N879" t="s">
        <v>53</v>
      </c>
      <c r="Q879">
        <v>230</v>
      </c>
      <c r="R879">
        <v>0</v>
      </c>
      <c r="S879">
        <v>0.75</v>
      </c>
      <c r="T879">
        <v>0</v>
      </c>
      <c r="U879">
        <v>0</v>
      </c>
      <c r="W879" s="1">
        <v>46675</v>
      </c>
      <c r="X879" s="1">
        <v>46357</v>
      </c>
      <c r="Y879" t="s">
        <v>54</v>
      </c>
      <c r="Z879" t="s">
        <v>52</v>
      </c>
      <c r="AB879" t="s">
        <v>52</v>
      </c>
      <c r="AC879">
        <v>27</v>
      </c>
      <c r="AD879">
        <v>1</v>
      </c>
      <c r="AE879">
        <v>0.97</v>
      </c>
      <c r="AG879">
        <v>0.97</v>
      </c>
      <c r="AK879" t="s">
        <v>52</v>
      </c>
      <c r="AN879" t="s">
        <v>52</v>
      </c>
      <c r="AO879" t="s">
        <v>52</v>
      </c>
      <c r="AP879" t="s">
        <v>52</v>
      </c>
      <c r="AQ879" t="s">
        <v>52</v>
      </c>
      <c r="AR879" t="s">
        <v>55</v>
      </c>
      <c r="AS879" t="s">
        <v>56</v>
      </c>
    </row>
    <row r="880" spans="1:45" x14ac:dyDescent="0.25">
      <c r="A880" t="s">
        <v>47</v>
      </c>
      <c r="B880">
        <v>8</v>
      </c>
      <c r="C880" t="s">
        <v>177</v>
      </c>
      <c r="D880">
        <v>81</v>
      </c>
      <c r="E880" t="s">
        <v>49</v>
      </c>
      <c r="F880">
        <v>27</v>
      </c>
      <c r="H880" t="s">
        <v>50</v>
      </c>
      <c r="K880" t="s">
        <v>52</v>
      </c>
      <c r="L880">
        <v>1</v>
      </c>
      <c r="M880" t="s">
        <v>52</v>
      </c>
      <c r="N880" t="s">
        <v>53</v>
      </c>
      <c r="Q880">
        <v>230</v>
      </c>
      <c r="R880">
        <v>0</v>
      </c>
      <c r="S880">
        <v>0.75</v>
      </c>
      <c r="T880">
        <v>0</v>
      </c>
      <c r="U880">
        <v>0</v>
      </c>
      <c r="W880" s="1">
        <v>46675</v>
      </c>
      <c r="X880" s="1">
        <v>46357</v>
      </c>
      <c r="Y880" t="s">
        <v>54</v>
      </c>
      <c r="Z880" t="s">
        <v>52</v>
      </c>
      <c r="AB880" t="s">
        <v>52</v>
      </c>
      <c r="AC880">
        <v>27</v>
      </c>
      <c r="AD880">
        <v>1</v>
      </c>
      <c r="AE880">
        <v>0.97</v>
      </c>
      <c r="AG880">
        <v>0.97</v>
      </c>
      <c r="AK880" t="s">
        <v>52</v>
      </c>
      <c r="AN880" t="s">
        <v>52</v>
      </c>
      <c r="AO880" t="s">
        <v>52</v>
      </c>
      <c r="AP880" t="s">
        <v>52</v>
      </c>
      <c r="AQ880" t="s">
        <v>52</v>
      </c>
      <c r="AR880" t="s">
        <v>55</v>
      </c>
      <c r="AS880" t="s">
        <v>57</v>
      </c>
    </row>
    <row r="881" spans="1:45" x14ac:dyDescent="0.25">
      <c r="A881" t="s">
        <v>47</v>
      </c>
      <c r="B881">
        <v>8</v>
      </c>
      <c r="C881" t="s">
        <v>177</v>
      </c>
      <c r="D881">
        <v>81</v>
      </c>
      <c r="E881" t="s">
        <v>58</v>
      </c>
      <c r="F881">
        <v>102</v>
      </c>
      <c r="G881" t="s">
        <v>59</v>
      </c>
      <c r="H881" t="s">
        <v>50</v>
      </c>
      <c r="K881" t="s">
        <v>51</v>
      </c>
      <c r="L881">
        <v>1</v>
      </c>
      <c r="M881" t="s">
        <v>52</v>
      </c>
      <c r="N881" t="s">
        <v>53</v>
      </c>
      <c r="R881">
        <v>0</v>
      </c>
      <c r="S881">
        <v>0.92</v>
      </c>
      <c r="T881">
        <v>0</v>
      </c>
      <c r="U881">
        <v>0</v>
      </c>
      <c r="W881" s="1">
        <v>46731</v>
      </c>
      <c r="X881" s="1">
        <v>46357</v>
      </c>
      <c r="Z881" t="s">
        <v>52</v>
      </c>
      <c r="AB881" t="s">
        <v>52</v>
      </c>
      <c r="AC881">
        <v>102</v>
      </c>
      <c r="AD881">
        <v>1</v>
      </c>
      <c r="AK881" t="s">
        <v>52</v>
      </c>
      <c r="AN881" t="s">
        <v>52</v>
      </c>
      <c r="AO881" t="s">
        <v>52</v>
      </c>
      <c r="AP881" t="s">
        <v>52</v>
      </c>
      <c r="AQ881" t="s">
        <v>52</v>
      </c>
      <c r="AR881" t="s">
        <v>55</v>
      </c>
    </row>
    <row r="882" spans="1:45" x14ac:dyDescent="0.25">
      <c r="A882" t="s">
        <v>47</v>
      </c>
      <c r="B882">
        <v>8</v>
      </c>
      <c r="C882" t="s">
        <v>177</v>
      </c>
      <c r="D882">
        <v>81</v>
      </c>
      <c r="E882" t="s">
        <v>58</v>
      </c>
      <c r="F882">
        <v>102</v>
      </c>
      <c r="G882" t="s">
        <v>59</v>
      </c>
      <c r="H882" t="s">
        <v>50</v>
      </c>
      <c r="K882" t="s">
        <v>52</v>
      </c>
      <c r="L882">
        <v>1</v>
      </c>
      <c r="M882" t="s">
        <v>52</v>
      </c>
      <c r="N882" t="s">
        <v>53</v>
      </c>
      <c r="R882">
        <v>0</v>
      </c>
      <c r="S882">
        <v>0.92</v>
      </c>
      <c r="T882">
        <v>0</v>
      </c>
      <c r="U882">
        <v>0</v>
      </c>
      <c r="W882" s="1">
        <v>46731</v>
      </c>
      <c r="X882" s="1">
        <v>46357</v>
      </c>
      <c r="Z882" t="s">
        <v>52</v>
      </c>
      <c r="AB882" t="s">
        <v>52</v>
      </c>
      <c r="AC882">
        <v>102</v>
      </c>
      <c r="AD882">
        <v>1</v>
      </c>
      <c r="AK882" t="s">
        <v>52</v>
      </c>
      <c r="AN882" t="s">
        <v>52</v>
      </c>
      <c r="AO882" t="s">
        <v>52</v>
      </c>
      <c r="AP882" t="s">
        <v>52</v>
      </c>
      <c r="AQ882" t="s">
        <v>52</v>
      </c>
      <c r="AR882" t="s">
        <v>55</v>
      </c>
    </row>
    <row r="883" spans="1:45" x14ac:dyDescent="0.25">
      <c r="A883" t="s">
        <v>47</v>
      </c>
      <c r="B883">
        <v>8</v>
      </c>
      <c r="C883" t="s">
        <v>177</v>
      </c>
      <c r="D883">
        <v>81</v>
      </c>
      <c r="E883" t="s">
        <v>58</v>
      </c>
      <c r="F883">
        <v>102</v>
      </c>
      <c r="G883" t="s">
        <v>61</v>
      </c>
      <c r="H883" t="s">
        <v>50</v>
      </c>
      <c r="K883" t="s">
        <v>51</v>
      </c>
      <c r="L883">
        <v>1</v>
      </c>
      <c r="M883" t="s">
        <v>52</v>
      </c>
      <c r="N883" t="s">
        <v>53</v>
      </c>
      <c r="R883">
        <v>0</v>
      </c>
      <c r="S883">
        <v>0.92</v>
      </c>
      <c r="T883">
        <v>0</v>
      </c>
      <c r="U883">
        <v>0</v>
      </c>
      <c r="W883" s="1">
        <v>46731</v>
      </c>
      <c r="X883" s="1">
        <v>46357</v>
      </c>
      <c r="Z883" t="s">
        <v>52</v>
      </c>
      <c r="AB883" t="s">
        <v>52</v>
      </c>
      <c r="AC883">
        <v>102</v>
      </c>
      <c r="AD883">
        <v>1</v>
      </c>
      <c r="AK883" t="s">
        <v>52</v>
      </c>
      <c r="AN883" t="s">
        <v>52</v>
      </c>
      <c r="AO883" t="s">
        <v>52</v>
      </c>
      <c r="AP883" t="s">
        <v>52</v>
      </c>
      <c r="AQ883" t="s">
        <v>52</v>
      </c>
      <c r="AR883" t="s">
        <v>55</v>
      </c>
      <c r="AS883" t="s">
        <v>60</v>
      </c>
    </row>
    <row r="884" spans="1:45" x14ac:dyDescent="0.25">
      <c r="A884" t="s">
        <v>47</v>
      </c>
      <c r="B884">
        <v>8</v>
      </c>
      <c r="C884" t="s">
        <v>177</v>
      </c>
      <c r="D884">
        <v>81</v>
      </c>
      <c r="E884" t="s">
        <v>58</v>
      </c>
      <c r="F884">
        <v>102</v>
      </c>
      <c r="G884" t="s">
        <v>61</v>
      </c>
      <c r="H884" t="s">
        <v>50</v>
      </c>
      <c r="K884" t="s">
        <v>52</v>
      </c>
      <c r="L884">
        <v>1</v>
      </c>
      <c r="M884" t="s">
        <v>52</v>
      </c>
      <c r="N884" t="s">
        <v>53</v>
      </c>
      <c r="R884">
        <v>0</v>
      </c>
      <c r="S884">
        <v>0.92</v>
      </c>
      <c r="T884">
        <v>0</v>
      </c>
      <c r="U884">
        <v>0</v>
      </c>
      <c r="W884" s="1">
        <v>46731</v>
      </c>
      <c r="X884" s="1">
        <v>46357</v>
      </c>
      <c r="Z884" t="s">
        <v>52</v>
      </c>
      <c r="AB884" t="s">
        <v>52</v>
      </c>
      <c r="AC884">
        <v>102</v>
      </c>
      <c r="AD884">
        <v>1</v>
      </c>
      <c r="AK884" t="s">
        <v>52</v>
      </c>
      <c r="AN884" t="s">
        <v>52</v>
      </c>
      <c r="AO884" t="s">
        <v>52</v>
      </c>
      <c r="AP884" t="s">
        <v>52</v>
      </c>
      <c r="AQ884" t="s">
        <v>52</v>
      </c>
      <c r="AR884" t="s">
        <v>55</v>
      </c>
      <c r="AS884" t="s">
        <v>60</v>
      </c>
    </row>
    <row r="885" spans="1:45" x14ac:dyDescent="0.25">
      <c r="A885" t="s">
        <v>47</v>
      </c>
      <c r="B885">
        <v>8</v>
      </c>
      <c r="C885" t="s">
        <v>177</v>
      </c>
      <c r="D885">
        <v>81</v>
      </c>
      <c r="E885" t="s">
        <v>58</v>
      </c>
      <c r="F885">
        <v>102</v>
      </c>
      <c r="G885" t="s">
        <v>178</v>
      </c>
      <c r="H885" t="s">
        <v>50</v>
      </c>
      <c r="K885" t="s">
        <v>51</v>
      </c>
      <c r="L885">
        <v>1</v>
      </c>
      <c r="M885" t="s">
        <v>52</v>
      </c>
      <c r="N885" t="s">
        <v>53</v>
      </c>
      <c r="R885">
        <v>0</v>
      </c>
      <c r="S885">
        <v>0.92</v>
      </c>
      <c r="T885">
        <v>0</v>
      </c>
      <c r="U885">
        <v>0</v>
      </c>
      <c r="W885" s="1">
        <v>46731</v>
      </c>
      <c r="X885" s="1">
        <v>46357</v>
      </c>
      <c r="Z885" t="s">
        <v>52</v>
      </c>
      <c r="AB885" t="s">
        <v>52</v>
      </c>
      <c r="AC885">
        <v>102</v>
      </c>
      <c r="AD885">
        <v>1</v>
      </c>
      <c r="AK885" t="s">
        <v>52</v>
      </c>
      <c r="AN885" t="s">
        <v>52</v>
      </c>
      <c r="AO885" t="s">
        <v>52</v>
      </c>
      <c r="AP885" t="s">
        <v>52</v>
      </c>
      <c r="AQ885" t="s">
        <v>52</v>
      </c>
      <c r="AR885" t="s">
        <v>55</v>
      </c>
      <c r="AS885" t="s">
        <v>60</v>
      </c>
    </row>
    <row r="886" spans="1:45" x14ac:dyDescent="0.25">
      <c r="A886" t="s">
        <v>47</v>
      </c>
      <c r="B886">
        <v>8</v>
      </c>
      <c r="C886" t="s">
        <v>177</v>
      </c>
      <c r="D886">
        <v>81</v>
      </c>
      <c r="E886" t="s">
        <v>58</v>
      </c>
      <c r="F886">
        <v>102</v>
      </c>
      <c r="G886" t="s">
        <v>178</v>
      </c>
      <c r="H886" t="s">
        <v>50</v>
      </c>
      <c r="K886" t="s">
        <v>52</v>
      </c>
      <c r="L886">
        <v>1</v>
      </c>
      <c r="M886" t="s">
        <v>52</v>
      </c>
      <c r="N886" t="s">
        <v>53</v>
      </c>
      <c r="R886">
        <v>0</v>
      </c>
      <c r="S886">
        <v>0.92</v>
      </c>
      <c r="T886">
        <v>0</v>
      </c>
      <c r="U886">
        <v>0</v>
      </c>
      <c r="W886" s="1">
        <v>46731</v>
      </c>
      <c r="X886" s="1">
        <v>46357</v>
      </c>
      <c r="Z886" t="s">
        <v>52</v>
      </c>
      <c r="AB886" t="s">
        <v>52</v>
      </c>
      <c r="AC886">
        <v>102</v>
      </c>
      <c r="AD886">
        <v>1</v>
      </c>
      <c r="AK886" t="s">
        <v>52</v>
      </c>
      <c r="AN886" t="s">
        <v>52</v>
      </c>
      <c r="AO886" t="s">
        <v>52</v>
      </c>
      <c r="AP886" t="s">
        <v>52</v>
      </c>
      <c r="AQ886" t="s">
        <v>52</v>
      </c>
      <c r="AR886" t="s">
        <v>55</v>
      </c>
      <c r="AS886" t="s">
        <v>60</v>
      </c>
    </row>
    <row r="887" spans="1:45" x14ac:dyDescent="0.25">
      <c r="A887" t="s">
        <v>47</v>
      </c>
      <c r="B887">
        <v>8</v>
      </c>
      <c r="C887" t="s">
        <v>177</v>
      </c>
      <c r="D887">
        <v>81</v>
      </c>
      <c r="E887" t="s">
        <v>58</v>
      </c>
      <c r="F887">
        <v>102</v>
      </c>
      <c r="G887" t="s">
        <v>62</v>
      </c>
      <c r="H887" t="s">
        <v>50</v>
      </c>
      <c r="K887" t="s">
        <v>51</v>
      </c>
      <c r="L887">
        <v>1</v>
      </c>
      <c r="M887" t="s">
        <v>52</v>
      </c>
      <c r="N887" t="s">
        <v>53</v>
      </c>
      <c r="R887">
        <v>0</v>
      </c>
      <c r="S887">
        <v>0.92</v>
      </c>
      <c r="T887">
        <v>0</v>
      </c>
      <c r="U887">
        <v>0</v>
      </c>
      <c r="W887" s="1">
        <v>46731</v>
      </c>
      <c r="X887" s="1">
        <v>46357</v>
      </c>
      <c r="Z887" t="s">
        <v>52</v>
      </c>
      <c r="AB887" t="s">
        <v>52</v>
      </c>
      <c r="AC887">
        <v>102</v>
      </c>
      <c r="AD887">
        <v>1</v>
      </c>
      <c r="AK887" t="s">
        <v>52</v>
      </c>
      <c r="AN887" t="s">
        <v>52</v>
      </c>
      <c r="AO887" t="s">
        <v>52</v>
      </c>
      <c r="AP887" t="s">
        <v>52</v>
      </c>
      <c r="AQ887" t="s">
        <v>52</v>
      </c>
      <c r="AR887" t="s">
        <v>55</v>
      </c>
    </row>
    <row r="888" spans="1:45" x14ac:dyDescent="0.25">
      <c r="A888" t="s">
        <v>47</v>
      </c>
      <c r="B888">
        <v>8</v>
      </c>
      <c r="C888" t="s">
        <v>177</v>
      </c>
      <c r="D888">
        <v>81</v>
      </c>
      <c r="E888" t="s">
        <v>58</v>
      </c>
      <c r="F888">
        <v>102</v>
      </c>
      <c r="G888" t="s">
        <v>62</v>
      </c>
      <c r="H888" t="s">
        <v>50</v>
      </c>
      <c r="K888" t="s">
        <v>52</v>
      </c>
      <c r="L888">
        <v>1</v>
      </c>
      <c r="M888" t="s">
        <v>52</v>
      </c>
      <c r="N888" t="s">
        <v>53</v>
      </c>
      <c r="R888">
        <v>0</v>
      </c>
      <c r="S888">
        <v>0.92</v>
      </c>
      <c r="T888">
        <v>0</v>
      </c>
      <c r="U888">
        <v>0</v>
      </c>
      <c r="W888" s="1">
        <v>46731</v>
      </c>
      <c r="X888" s="1">
        <v>46357</v>
      </c>
      <c r="Z888" t="s">
        <v>52</v>
      </c>
      <c r="AB888" t="s">
        <v>52</v>
      </c>
      <c r="AC888">
        <v>102</v>
      </c>
      <c r="AD888">
        <v>1</v>
      </c>
      <c r="AK888" t="s">
        <v>52</v>
      </c>
      <c r="AN888" t="s">
        <v>52</v>
      </c>
      <c r="AO888" t="s">
        <v>52</v>
      </c>
      <c r="AP888" t="s">
        <v>52</v>
      </c>
      <c r="AQ888" t="s">
        <v>52</v>
      </c>
      <c r="AR888" t="s">
        <v>55</v>
      </c>
    </row>
    <row r="889" spans="1:45" x14ac:dyDescent="0.25">
      <c r="A889" t="s">
        <v>47</v>
      </c>
      <c r="B889">
        <v>8</v>
      </c>
      <c r="C889" t="s">
        <v>177</v>
      </c>
      <c r="D889">
        <v>81</v>
      </c>
      <c r="E889" t="s">
        <v>58</v>
      </c>
      <c r="F889">
        <v>102</v>
      </c>
      <c r="G889" t="s">
        <v>63</v>
      </c>
      <c r="H889" t="s">
        <v>50</v>
      </c>
      <c r="K889" t="s">
        <v>51</v>
      </c>
      <c r="L889">
        <v>1</v>
      </c>
      <c r="M889" t="s">
        <v>52</v>
      </c>
      <c r="N889" t="s">
        <v>53</v>
      </c>
      <c r="R889">
        <v>0</v>
      </c>
      <c r="S889">
        <v>0.92</v>
      </c>
      <c r="T889">
        <v>0</v>
      </c>
      <c r="U889">
        <v>0</v>
      </c>
      <c r="W889" s="1">
        <v>46731</v>
      </c>
      <c r="X889" s="1">
        <v>46357</v>
      </c>
      <c r="Z889" t="s">
        <v>52</v>
      </c>
      <c r="AB889" t="s">
        <v>52</v>
      </c>
      <c r="AC889">
        <v>102</v>
      </c>
      <c r="AD889">
        <v>1</v>
      </c>
      <c r="AK889" t="s">
        <v>52</v>
      </c>
      <c r="AN889" t="s">
        <v>52</v>
      </c>
      <c r="AO889" t="s">
        <v>52</v>
      </c>
      <c r="AP889" t="s">
        <v>52</v>
      </c>
      <c r="AQ889" t="s">
        <v>52</v>
      </c>
      <c r="AR889" t="s">
        <v>55</v>
      </c>
    </row>
    <row r="890" spans="1:45" x14ac:dyDescent="0.25">
      <c r="A890" t="s">
        <v>47</v>
      </c>
      <c r="B890">
        <v>8</v>
      </c>
      <c r="C890" t="s">
        <v>177</v>
      </c>
      <c r="D890">
        <v>81</v>
      </c>
      <c r="E890" t="s">
        <v>58</v>
      </c>
      <c r="F890">
        <v>102</v>
      </c>
      <c r="G890" t="s">
        <v>63</v>
      </c>
      <c r="H890" t="s">
        <v>50</v>
      </c>
      <c r="K890" t="s">
        <v>52</v>
      </c>
      <c r="L890">
        <v>1</v>
      </c>
      <c r="M890" t="s">
        <v>52</v>
      </c>
      <c r="N890" t="s">
        <v>53</v>
      </c>
      <c r="R890">
        <v>0</v>
      </c>
      <c r="S890">
        <v>0.92</v>
      </c>
      <c r="T890">
        <v>0</v>
      </c>
      <c r="U890">
        <v>0</v>
      </c>
      <c r="W890" s="1">
        <v>46731</v>
      </c>
      <c r="X890" s="1">
        <v>46357</v>
      </c>
      <c r="Z890" t="s">
        <v>52</v>
      </c>
      <c r="AB890" t="s">
        <v>52</v>
      </c>
      <c r="AC890">
        <v>102</v>
      </c>
      <c r="AD890">
        <v>1</v>
      </c>
      <c r="AK890" t="s">
        <v>52</v>
      </c>
      <c r="AN890" t="s">
        <v>52</v>
      </c>
      <c r="AO890" t="s">
        <v>52</v>
      </c>
      <c r="AP890" t="s">
        <v>52</v>
      </c>
      <c r="AQ890" t="s">
        <v>52</v>
      </c>
      <c r="AR890" t="s">
        <v>55</v>
      </c>
    </row>
    <row r="891" spans="1:45" x14ac:dyDescent="0.25">
      <c r="A891" t="s">
        <v>47</v>
      </c>
      <c r="B891">
        <v>8</v>
      </c>
      <c r="C891" t="s">
        <v>177</v>
      </c>
      <c r="D891">
        <v>81</v>
      </c>
      <c r="E891" t="s">
        <v>58</v>
      </c>
      <c r="F891">
        <v>102</v>
      </c>
      <c r="G891" t="s">
        <v>64</v>
      </c>
      <c r="H891" t="s">
        <v>50</v>
      </c>
      <c r="K891" t="s">
        <v>52</v>
      </c>
      <c r="L891">
        <v>1</v>
      </c>
      <c r="M891" t="s">
        <v>52</v>
      </c>
      <c r="N891" t="s">
        <v>53</v>
      </c>
      <c r="R891">
        <v>0</v>
      </c>
      <c r="S891">
        <v>0.92</v>
      </c>
      <c r="T891">
        <v>0</v>
      </c>
      <c r="U891">
        <v>0</v>
      </c>
      <c r="W891" s="1">
        <v>46731</v>
      </c>
      <c r="X891" s="1">
        <v>46357</v>
      </c>
      <c r="Z891" t="s">
        <v>52</v>
      </c>
      <c r="AB891" t="s">
        <v>52</v>
      </c>
      <c r="AC891">
        <v>102</v>
      </c>
      <c r="AD891">
        <v>1</v>
      </c>
      <c r="AK891" t="s">
        <v>52</v>
      </c>
      <c r="AN891" t="s">
        <v>52</v>
      </c>
      <c r="AO891" t="s">
        <v>52</v>
      </c>
      <c r="AP891" t="s">
        <v>52</v>
      </c>
      <c r="AQ891" t="s">
        <v>52</v>
      </c>
      <c r="AR891" t="s">
        <v>55</v>
      </c>
      <c r="AS891" t="s">
        <v>60</v>
      </c>
    </row>
    <row r="892" spans="1:45" x14ac:dyDescent="0.25">
      <c r="A892" t="s">
        <v>47</v>
      </c>
      <c r="B892">
        <v>8</v>
      </c>
      <c r="C892" t="s">
        <v>177</v>
      </c>
      <c r="D892">
        <v>81</v>
      </c>
      <c r="E892" t="s">
        <v>58</v>
      </c>
      <c r="F892">
        <v>102</v>
      </c>
      <c r="G892" t="s">
        <v>167</v>
      </c>
      <c r="H892" t="s">
        <v>50</v>
      </c>
      <c r="K892" t="s">
        <v>51</v>
      </c>
      <c r="L892">
        <v>1</v>
      </c>
      <c r="M892" t="s">
        <v>52</v>
      </c>
      <c r="N892" t="s">
        <v>53</v>
      </c>
      <c r="R892">
        <v>0</v>
      </c>
      <c r="S892">
        <v>0.92</v>
      </c>
      <c r="T892">
        <v>0</v>
      </c>
      <c r="U892">
        <v>0</v>
      </c>
      <c r="W892" s="1">
        <v>46731</v>
      </c>
      <c r="X892" s="1">
        <v>46357</v>
      </c>
      <c r="Z892" t="s">
        <v>52</v>
      </c>
      <c r="AB892" t="s">
        <v>52</v>
      </c>
      <c r="AC892">
        <v>102</v>
      </c>
      <c r="AD892">
        <v>1</v>
      </c>
      <c r="AK892" t="s">
        <v>52</v>
      </c>
      <c r="AN892" t="s">
        <v>52</v>
      </c>
      <c r="AO892" t="s">
        <v>52</v>
      </c>
      <c r="AP892" t="s">
        <v>52</v>
      </c>
      <c r="AQ892" t="s">
        <v>52</v>
      </c>
      <c r="AR892" t="s">
        <v>55</v>
      </c>
      <c r="AS892" t="s">
        <v>60</v>
      </c>
    </row>
    <row r="893" spans="1:45" x14ac:dyDescent="0.25">
      <c r="A893" t="s">
        <v>47</v>
      </c>
      <c r="B893">
        <v>8</v>
      </c>
      <c r="C893" t="s">
        <v>177</v>
      </c>
      <c r="D893">
        <v>81</v>
      </c>
      <c r="E893" t="s">
        <v>58</v>
      </c>
      <c r="F893">
        <v>102</v>
      </c>
      <c r="G893" t="s">
        <v>167</v>
      </c>
      <c r="H893" t="s">
        <v>50</v>
      </c>
      <c r="K893" t="s">
        <v>52</v>
      </c>
      <c r="L893">
        <v>1</v>
      </c>
      <c r="M893" t="s">
        <v>52</v>
      </c>
      <c r="N893" t="s">
        <v>53</v>
      </c>
      <c r="R893">
        <v>0</v>
      </c>
      <c r="S893">
        <v>0.92</v>
      </c>
      <c r="T893">
        <v>0</v>
      </c>
      <c r="U893">
        <v>0</v>
      </c>
      <c r="W893" s="1">
        <v>46731</v>
      </c>
      <c r="X893" s="1">
        <v>46357</v>
      </c>
      <c r="Z893" t="s">
        <v>52</v>
      </c>
      <c r="AB893" t="s">
        <v>52</v>
      </c>
      <c r="AC893">
        <v>102</v>
      </c>
      <c r="AD893">
        <v>1</v>
      </c>
      <c r="AK893" t="s">
        <v>52</v>
      </c>
      <c r="AN893" t="s">
        <v>52</v>
      </c>
      <c r="AO893" t="s">
        <v>52</v>
      </c>
      <c r="AP893" t="s">
        <v>52</v>
      </c>
      <c r="AQ893" t="s">
        <v>52</v>
      </c>
      <c r="AR893" t="s">
        <v>55</v>
      </c>
      <c r="AS893" t="s">
        <v>60</v>
      </c>
    </row>
    <row r="894" spans="1:45" x14ac:dyDescent="0.25">
      <c r="A894" t="s">
        <v>47</v>
      </c>
      <c r="B894">
        <v>8</v>
      </c>
      <c r="C894" t="s">
        <v>177</v>
      </c>
      <c r="D894">
        <v>81</v>
      </c>
      <c r="E894" t="s">
        <v>58</v>
      </c>
      <c r="F894">
        <v>102</v>
      </c>
      <c r="G894" t="s">
        <v>136</v>
      </c>
      <c r="H894" t="s">
        <v>50</v>
      </c>
      <c r="K894" t="s">
        <v>51</v>
      </c>
      <c r="L894">
        <v>1</v>
      </c>
      <c r="M894" t="s">
        <v>52</v>
      </c>
      <c r="N894" t="s">
        <v>53</v>
      </c>
      <c r="R894">
        <v>0</v>
      </c>
      <c r="S894">
        <v>0.92</v>
      </c>
      <c r="T894">
        <v>0</v>
      </c>
      <c r="U894">
        <v>0</v>
      </c>
      <c r="W894" s="1">
        <v>46731</v>
      </c>
      <c r="X894" s="1">
        <v>46357</v>
      </c>
      <c r="Z894" t="s">
        <v>52</v>
      </c>
      <c r="AB894" t="s">
        <v>52</v>
      </c>
      <c r="AC894">
        <v>102</v>
      </c>
      <c r="AD894">
        <v>1</v>
      </c>
      <c r="AK894" t="s">
        <v>52</v>
      </c>
      <c r="AN894" t="s">
        <v>52</v>
      </c>
      <c r="AO894" t="s">
        <v>52</v>
      </c>
      <c r="AP894" t="s">
        <v>52</v>
      </c>
      <c r="AQ894" t="s">
        <v>52</v>
      </c>
      <c r="AR894" t="s">
        <v>55</v>
      </c>
    </row>
    <row r="895" spans="1:45" x14ac:dyDescent="0.25">
      <c r="A895" t="s">
        <v>47</v>
      </c>
      <c r="B895">
        <v>8</v>
      </c>
      <c r="C895" t="s">
        <v>177</v>
      </c>
      <c r="D895">
        <v>81</v>
      </c>
      <c r="E895" t="s">
        <v>58</v>
      </c>
      <c r="F895">
        <v>102</v>
      </c>
      <c r="G895" t="s">
        <v>136</v>
      </c>
      <c r="H895" t="s">
        <v>50</v>
      </c>
      <c r="K895" t="s">
        <v>52</v>
      </c>
      <c r="L895">
        <v>1</v>
      </c>
      <c r="M895" t="s">
        <v>52</v>
      </c>
      <c r="N895" t="s">
        <v>53</v>
      </c>
      <c r="R895">
        <v>0</v>
      </c>
      <c r="S895">
        <v>0.92</v>
      </c>
      <c r="T895">
        <v>0</v>
      </c>
      <c r="U895">
        <v>0</v>
      </c>
      <c r="W895" s="1">
        <v>46731</v>
      </c>
      <c r="X895" s="1">
        <v>46357</v>
      </c>
      <c r="Z895" t="s">
        <v>52</v>
      </c>
      <c r="AB895" t="s">
        <v>52</v>
      </c>
      <c r="AC895">
        <v>102</v>
      </c>
      <c r="AD895">
        <v>1</v>
      </c>
      <c r="AK895" t="s">
        <v>52</v>
      </c>
      <c r="AN895" t="s">
        <v>52</v>
      </c>
      <c r="AO895" t="s">
        <v>52</v>
      </c>
      <c r="AP895" t="s">
        <v>52</v>
      </c>
      <c r="AQ895" t="s">
        <v>52</v>
      </c>
      <c r="AR895" t="s">
        <v>55</v>
      </c>
    </row>
    <row r="896" spans="1:45" x14ac:dyDescent="0.25">
      <c r="A896" t="s">
        <v>47</v>
      </c>
      <c r="B896">
        <v>8</v>
      </c>
      <c r="C896" t="s">
        <v>177</v>
      </c>
      <c r="D896">
        <v>81</v>
      </c>
      <c r="E896" t="s">
        <v>58</v>
      </c>
      <c r="F896">
        <v>102</v>
      </c>
      <c r="G896" t="s">
        <v>66</v>
      </c>
      <c r="H896" t="s">
        <v>50</v>
      </c>
      <c r="K896" t="s">
        <v>52</v>
      </c>
      <c r="L896">
        <v>1</v>
      </c>
      <c r="M896" t="s">
        <v>52</v>
      </c>
      <c r="N896" t="s">
        <v>53</v>
      </c>
      <c r="R896">
        <v>0</v>
      </c>
      <c r="S896">
        <v>0.92</v>
      </c>
      <c r="T896">
        <v>0</v>
      </c>
      <c r="U896">
        <v>0</v>
      </c>
      <c r="W896" s="1">
        <v>46731</v>
      </c>
      <c r="X896" s="1">
        <v>46357</v>
      </c>
      <c r="Z896" t="s">
        <v>52</v>
      </c>
      <c r="AB896" t="s">
        <v>52</v>
      </c>
      <c r="AC896">
        <v>102</v>
      </c>
      <c r="AD896">
        <v>1</v>
      </c>
      <c r="AK896" t="s">
        <v>52</v>
      </c>
      <c r="AN896" t="s">
        <v>52</v>
      </c>
      <c r="AO896" t="s">
        <v>52</v>
      </c>
      <c r="AP896" t="s">
        <v>52</v>
      </c>
      <c r="AQ896" t="s">
        <v>52</v>
      </c>
      <c r="AR896" t="s">
        <v>55</v>
      </c>
    </row>
    <row r="897" spans="1:45" x14ac:dyDescent="0.25">
      <c r="A897" t="s">
        <v>47</v>
      </c>
      <c r="B897">
        <v>8</v>
      </c>
      <c r="C897" t="s">
        <v>177</v>
      </c>
      <c r="D897">
        <v>81</v>
      </c>
      <c r="E897" t="s">
        <v>58</v>
      </c>
      <c r="F897">
        <v>102</v>
      </c>
      <c r="G897" t="s">
        <v>118</v>
      </c>
      <c r="H897" t="s">
        <v>50</v>
      </c>
      <c r="K897" t="s">
        <v>51</v>
      </c>
      <c r="L897">
        <v>1</v>
      </c>
      <c r="M897" t="s">
        <v>52</v>
      </c>
      <c r="N897" t="s">
        <v>53</v>
      </c>
      <c r="R897">
        <v>0</v>
      </c>
      <c r="S897">
        <v>0.92</v>
      </c>
      <c r="T897">
        <v>0</v>
      </c>
      <c r="U897">
        <v>0</v>
      </c>
      <c r="W897" s="1">
        <v>46731</v>
      </c>
      <c r="X897" s="1">
        <v>46357</v>
      </c>
      <c r="Z897" t="s">
        <v>52</v>
      </c>
      <c r="AB897" t="s">
        <v>52</v>
      </c>
      <c r="AC897">
        <v>102</v>
      </c>
      <c r="AD897">
        <v>1</v>
      </c>
      <c r="AK897" t="s">
        <v>52</v>
      </c>
      <c r="AN897" t="s">
        <v>52</v>
      </c>
      <c r="AO897" t="s">
        <v>52</v>
      </c>
      <c r="AP897" t="s">
        <v>52</v>
      </c>
      <c r="AQ897" t="s">
        <v>52</v>
      </c>
      <c r="AR897" t="s">
        <v>55</v>
      </c>
    </row>
    <row r="898" spans="1:45" x14ac:dyDescent="0.25">
      <c r="A898" t="s">
        <v>47</v>
      </c>
      <c r="B898">
        <v>8</v>
      </c>
      <c r="C898" t="s">
        <v>177</v>
      </c>
      <c r="D898">
        <v>81</v>
      </c>
      <c r="E898" t="s">
        <v>58</v>
      </c>
      <c r="F898">
        <v>102</v>
      </c>
      <c r="G898" t="s">
        <v>118</v>
      </c>
      <c r="H898" t="s">
        <v>50</v>
      </c>
      <c r="K898" t="s">
        <v>52</v>
      </c>
      <c r="L898">
        <v>1</v>
      </c>
      <c r="M898" t="s">
        <v>52</v>
      </c>
      <c r="N898" t="s">
        <v>53</v>
      </c>
      <c r="R898">
        <v>0</v>
      </c>
      <c r="S898">
        <v>0.92</v>
      </c>
      <c r="T898">
        <v>0</v>
      </c>
      <c r="U898">
        <v>0</v>
      </c>
      <c r="W898" s="1">
        <v>46731</v>
      </c>
      <c r="X898" s="1">
        <v>46357</v>
      </c>
      <c r="Z898" t="s">
        <v>52</v>
      </c>
      <c r="AB898" t="s">
        <v>52</v>
      </c>
      <c r="AC898">
        <v>102</v>
      </c>
      <c r="AD898">
        <v>1</v>
      </c>
      <c r="AK898" t="s">
        <v>52</v>
      </c>
      <c r="AN898" t="s">
        <v>52</v>
      </c>
      <c r="AO898" t="s">
        <v>52</v>
      </c>
      <c r="AP898" t="s">
        <v>52</v>
      </c>
      <c r="AQ898" t="s">
        <v>52</v>
      </c>
      <c r="AR898" t="s">
        <v>55</v>
      </c>
    </row>
    <row r="899" spans="1:45" x14ac:dyDescent="0.25">
      <c r="A899" t="s">
        <v>47</v>
      </c>
      <c r="B899">
        <v>8</v>
      </c>
      <c r="C899" t="s">
        <v>177</v>
      </c>
      <c r="D899">
        <v>81</v>
      </c>
      <c r="E899" t="s">
        <v>58</v>
      </c>
      <c r="F899">
        <v>102</v>
      </c>
      <c r="G899" t="s">
        <v>67</v>
      </c>
      <c r="H899" t="s">
        <v>50</v>
      </c>
      <c r="K899" t="s">
        <v>52</v>
      </c>
      <c r="L899">
        <v>1</v>
      </c>
      <c r="M899" t="s">
        <v>52</v>
      </c>
      <c r="N899" t="s">
        <v>53</v>
      </c>
      <c r="R899">
        <v>0</v>
      </c>
      <c r="S899">
        <v>0.92</v>
      </c>
      <c r="T899">
        <v>0</v>
      </c>
      <c r="U899">
        <v>0</v>
      </c>
      <c r="W899" s="1">
        <v>46731</v>
      </c>
      <c r="X899" s="1">
        <v>46357</v>
      </c>
      <c r="Z899" t="s">
        <v>52</v>
      </c>
      <c r="AB899" t="s">
        <v>52</v>
      </c>
      <c r="AC899">
        <v>102</v>
      </c>
      <c r="AD899">
        <v>1</v>
      </c>
      <c r="AK899" t="s">
        <v>52</v>
      </c>
      <c r="AN899" t="s">
        <v>52</v>
      </c>
      <c r="AO899" t="s">
        <v>52</v>
      </c>
      <c r="AP899" t="s">
        <v>52</v>
      </c>
      <c r="AQ899" t="s">
        <v>52</v>
      </c>
      <c r="AR899" t="s">
        <v>55</v>
      </c>
    </row>
    <row r="900" spans="1:45" x14ac:dyDescent="0.25">
      <c r="A900" t="s">
        <v>47</v>
      </c>
      <c r="B900">
        <v>8</v>
      </c>
      <c r="C900" t="s">
        <v>177</v>
      </c>
      <c r="D900">
        <v>81</v>
      </c>
      <c r="E900" t="s">
        <v>58</v>
      </c>
      <c r="F900">
        <v>102</v>
      </c>
      <c r="G900" t="s">
        <v>114</v>
      </c>
      <c r="H900" t="s">
        <v>50</v>
      </c>
      <c r="K900" t="s">
        <v>52</v>
      </c>
      <c r="L900">
        <v>1</v>
      </c>
      <c r="M900" t="s">
        <v>52</v>
      </c>
      <c r="N900" t="s">
        <v>53</v>
      </c>
      <c r="R900">
        <v>0</v>
      </c>
      <c r="S900">
        <v>0.92</v>
      </c>
      <c r="T900">
        <v>0</v>
      </c>
      <c r="U900">
        <v>0</v>
      </c>
      <c r="W900" s="1">
        <v>46731</v>
      </c>
      <c r="X900" s="1">
        <v>46357</v>
      </c>
      <c r="Z900" t="s">
        <v>52</v>
      </c>
      <c r="AB900" t="s">
        <v>52</v>
      </c>
      <c r="AC900">
        <v>102</v>
      </c>
      <c r="AD900">
        <v>1</v>
      </c>
      <c r="AK900" t="s">
        <v>52</v>
      </c>
      <c r="AN900" t="s">
        <v>52</v>
      </c>
      <c r="AO900" t="s">
        <v>52</v>
      </c>
      <c r="AP900" t="s">
        <v>52</v>
      </c>
      <c r="AQ900" t="s">
        <v>52</v>
      </c>
      <c r="AR900" t="s">
        <v>55</v>
      </c>
    </row>
    <row r="901" spans="1:45" x14ac:dyDescent="0.25">
      <c r="A901" t="s">
        <v>47</v>
      </c>
      <c r="B901">
        <v>8</v>
      </c>
      <c r="C901" t="s">
        <v>177</v>
      </c>
      <c r="D901">
        <v>81</v>
      </c>
      <c r="E901" t="s">
        <v>70</v>
      </c>
      <c r="F901">
        <v>296</v>
      </c>
      <c r="G901" t="s">
        <v>71</v>
      </c>
      <c r="H901" t="s">
        <v>50</v>
      </c>
      <c r="K901" t="s">
        <v>51</v>
      </c>
      <c r="L901">
        <v>1</v>
      </c>
      <c r="M901" t="s">
        <v>52</v>
      </c>
      <c r="N901" t="s">
        <v>53</v>
      </c>
      <c r="Q901">
        <v>224.33330000000001</v>
      </c>
      <c r="R901">
        <v>0</v>
      </c>
      <c r="S901">
        <v>0.75</v>
      </c>
      <c r="T901">
        <v>0</v>
      </c>
      <c r="U901">
        <v>0</v>
      </c>
      <c r="W901" s="1">
        <v>46675</v>
      </c>
      <c r="X901" s="1">
        <v>46357</v>
      </c>
      <c r="Y901" t="s">
        <v>54</v>
      </c>
      <c r="Z901" t="s">
        <v>52</v>
      </c>
      <c r="AB901" t="s">
        <v>52</v>
      </c>
      <c r="AC901">
        <v>296</v>
      </c>
      <c r="AD901">
        <v>1</v>
      </c>
      <c r="AK901" t="s">
        <v>52</v>
      </c>
      <c r="AN901" t="s">
        <v>52</v>
      </c>
      <c r="AO901" t="s">
        <v>52</v>
      </c>
      <c r="AP901" t="s">
        <v>52</v>
      </c>
      <c r="AQ901" t="s">
        <v>52</v>
      </c>
      <c r="AR901" t="s">
        <v>55</v>
      </c>
    </row>
    <row r="902" spans="1:45" x14ac:dyDescent="0.25">
      <c r="A902" t="s">
        <v>47</v>
      </c>
      <c r="B902">
        <v>8</v>
      </c>
      <c r="C902" t="s">
        <v>177</v>
      </c>
      <c r="D902">
        <v>81</v>
      </c>
      <c r="E902" t="s">
        <v>70</v>
      </c>
      <c r="F902">
        <v>296</v>
      </c>
      <c r="G902" t="s">
        <v>71</v>
      </c>
      <c r="H902" t="s">
        <v>50</v>
      </c>
      <c r="K902" t="s">
        <v>52</v>
      </c>
      <c r="L902">
        <v>1</v>
      </c>
      <c r="M902" t="s">
        <v>52</v>
      </c>
      <c r="N902" t="s">
        <v>53</v>
      </c>
      <c r="Q902">
        <v>224.33330000000001</v>
      </c>
      <c r="R902">
        <v>0</v>
      </c>
      <c r="S902">
        <v>0.75</v>
      </c>
      <c r="T902">
        <v>0</v>
      </c>
      <c r="U902">
        <v>0</v>
      </c>
      <c r="W902" s="1">
        <v>46675</v>
      </c>
      <c r="X902" s="1">
        <v>46357</v>
      </c>
      <c r="Y902" t="s">
        <v>54</v>
      </c>
      <c r="Z902" t="s">
        <v>52</v>
      </c>
      <c r="AB902" t="s">
        <v>52</v>
      </c>
      <c r="AC902">
        <v>296</v>
      </c>
      <c r="AD902">
        <v>1</v>
      </c>
      <c r="AK902" t="s">
        <v>52</v>
      </c>
      <c r="AN902" t="s">
        <v>52</v>
      </c>
      <c r="AO902" t="s">
        <v>52</v>
      </c>
      <c r="AP902" t="s">
        <v>52</v>
      </c>
      <c r="AQ902" t="s">
        <v>52</v>
      </c>
      <c r="AR902" t="s">
        <v>55</v>
      </c>
    </row>
    <row r="903" spans="1:45" x14ac:dyDescent="0.25">
      <c r="A903" t="s">
        <v>47</v>
      </c>
      <c r="B903">
        <v>8</v>
      </c>
      <c r="C903" t="s">
        <v>177</v>
      </c>
      <c r="D903">
        <v>81</v>
      </c>
      <c r="E903" t="s">
        <v>70</v>
      </c>
      <c r="F903">
        <v>296</v>
      </c>
      <c r="G903" t="s">
        <v>74</v>
      </c>
      <c r="H903" t="s">
        <v>50</v>
      </c>
      <c r="K903" t="s">
        <v>51</v>
      </c>
      <c r="L903">
        <v>1</v>
      </c>
      <c r="M903" t="s">
        <v>52</v>
      </c>
      <c r="N903" t="s">
        <v>53</v>
      </c>
      <c r="R903">
        <v>0</v>
      </c>
      <c r="S903">
        <v>0.75</v>
      </c>
      <c r="T903">
        <v>0</v>
      </c>
      <c r="U903">
        <v>0</v>
      </c>
      <c r="W903" s="1">
        <v>46675</v>
      </c>
      <c r="X903" s="1">
        <v>46357</v>
      </c>
      <c r="Z903" t="s">
        <v>52</v>
      </c>
      <c r="AB903" t="s">
        <v>52</v>
      </c>
      <c r="AC903">
        <v>102</v>
      </c>
      <c r="AD903">
        <v>1</v>
      </c>
      <c r="AK903" t="s">
        <v>52</v>
      </c>
      <c r="AN903" t="s">
        <v>52</v>
      </c>
      <c r="AO903" t="s">
        <v>52</v>
      </c>
      <c r="AP903" t="s">
        <v>52</v>
      </c>
      <c r="AQ903" t="s">
        <v>52</v>
      </c>
      <c r="AR903" t="s">
        <v>55</v>
      </c>
    </row>
    <row r="904" spans="1:45" x14ac:dyDescent="0.25">
      <c r="A904" t="s">
        <v>47</v>
      </c>
      <c r="B904">
        <v>8</v>
      </c>
      <c r="C904" t="s">
        <v>177</v>
      </c>
      <c r="D904">
        <v>81</v>
      </c>
      <c r="E904" t="s">
        <v>70</v>
      </c>
      <c r="F904">
        <v>296</v>
      </c>
      <c r="G904" t="s">
        <v>74</v>
      </c>
      <c r="H904" t="s">
        <v>50</v>
      </c>
      <c r="K904" t="s">
        <v>52</v>
      </c>
      <c r="L904">
        <v>1</v>
      </c>
      <c r="M904" t="s">
        <v>52</v>
      </c>
      <c r="N904" t="s">
        <v>53</v>
      </c>
      <c r="R904">
        <v>0</v>
      </c>
      <c r="S904">
        <v>0.75</v>
      </c>
      <c r="T904">
        <v>0</v>
      </c>
      <c r="U904">
        <v>0</v>
      </c>
      <c r="W904" s="1">
        <v>46675</v>
      </c>
      <c r="X904" s="1">
        <v>46357</v>
      </c>
      <c r="Z904" t="s">
        <v>52</v>
      </c>
      <c r="AB904" t="s">
        <v>52</v>
      </c>
      <c r="AC904">
        <v>102</v>
      </c>
      <c r="AD904">
        <v>1</v>
      </c>
      <c r="AK904" t="s">
        <v>52</v>
      </c>
      <c r="AN904" t="s">
        <v>52</v>
      </c>
      <c r="AO904" t="s">
        <v>52</v>
      </c>
      <c r="AP904" t="s">
        <v>52</v>
      </c>
      <c r="AQ904" t="s">
        <v>52</v>
      </c>
      <c r="AR904" t="s">
        <v>55</v>
      </c>
    </row>
    <row r="905" spans="1:45" x14ac:dyDescent="0.25">
      <c r="A905" t="s">
        <v>47</v>
      </c>
      <c r="B905">
        <v>8</v>
      </c>
      <c r="C905" t="s">
        <v>177</v>
      </c>
      <c r="D905">
        <v>81</v>
      </c>
      <c r="E905" t="s">
        <v>70</v>
      </c>
      <c r="F905">
        <v>296</v>
      </c>
      <c r="G905" t="s">
        <v>122</v>
      </c>
      <c r="H905" t="s">
        <v>50</v>
      </c>
      <c r="K905" t="s">
        <v>51</v>
      </c>
      <c r="L905">
        <v>1</v>
      </c>
      <c r="M905" t="s">
        <v>52</v>
      </c>
      <c r="N905" t="s">
        <v>53</v>
      </c>
      <c r="R905">
        <v>0</v>
      </c>
      <c r="S905">
        <v>0.75</v>
      </c>
      <c r="T905">
        <v>0</v>
      </c>
      <c r="U905">
        <v>0</v>
      </c>
      <c r="W905" s="1">
        <v>46675</v>
      </c>
      <c r="X905" s="1">
        <v>46357</v>
      </c>
      <c r="Z905" t="s">
        <v>52</v>
      </c>
      <c r="AB905" t="s">
        <v>52</v>
      </c>
      <c r="AC905">
        <v>102</v>
      </c>
      <c r="AD905">
        <v>1</v>
      </c>
      <c r="AK905" t="s">
        <v>52</v>
      </c>
      <c r="AN905" t="s">
        <v>52</v>
      </c>
      <c r="AO905" t="s">
        <v>52</v>
      </c>
      <c r="AP905" t="s">
        <v>52</v>
      </c>
      <c r="AQ905" t="s">
        <v>52</v>
      </c>
      <c r="AR905" t="s">
        <v>55</v>
      </c>
    </row>
    <row r="906" spans="1:45" x14ac:dyDescent="0.25">
      <c r="A906" t="s">
        <v>47</v>
      </c>
      <c r="B906">
        <v>8</v>
      </c>
      <c r="C906" t="s">
        <v>177</v>
      </c>
      <c r="D906">
        <v>81</v>
      </c>
      <c r="E906" t="s">
        <v>70</v>
      </c>
      <c r="F906">
        <v>296</v>
      </c>
      <c r="G906" t="s">
        <v>122</v>
      </c>
      <c r="H906" t="s">
        <v>50</v>
      </c>
      <c r="K906" t="s">
        <v>52</v>
      </c>
      <c r="L906">
        <v>1</v>
      </c>
      <c r="M906" t="s">
        <v>52</v>
      </c>
      <c r="N906" t="s">
        <v>53</v>
      </c>
      <c r="R906">
        <v>0</v>
      </c>
      <c r="S906">
        <v>0.75</v>
      </c>
      <c r="T906">
        <v>0</v>
      </c>
      <c r="U906">
        <v>0</v>
      </c>
      <c r="W906" s="1">
        <v>46675</v>
      </c>
      <c r="X906" s="1">
        <v>46357</v>
      </c>
      <c r="Z906" t="s">
        <v>52</v>
      </c>
      <c r="AB906" t="s">
        <v>52</v>
      </c>
      <c r="AC906">
        <v>102</v>
      </c>
      <c r="AD906">
        <v>1</v>
      </c>
      <c r="AK906" t="s">
        <v>52</v>
      </c>
      <c r="AN906" t="s">
        <v>52</v>
      </c>
      <c r="AO906" t="s">
        <v>52</v>
      </c>
      <c r="AP906" t="s">
        <v>52</v>
      </c>
      <c r="AQ906" t="s">
        <v>52</v>
      </c>
      <c r="AR906" t="s">
        <v>55</v>
      </c>
    </row>
    <row r="907" spans="1:45" x14ac:dyDescent="0.25">
      <c r="A907" t="s">
        <v>47</v>
      </c>
      <c r="B907">
        <v>8</v>
      </c>
      <c r="C907" t="s">
        <v>177</v>
      </c>
      <c r="D907">
        <v>81</v>
      </c>
      <c r="E907" t="s">
        <v>75</v>
      </c>
      <c r="F907">
        <v>16</v>
      </c>
      <c r="G907" t="s">
        <v>76</v>
      </c>
      <c r="H907" t="s">
        <v>50</v>
      </c>
      <c r="K907" t="s">
        <v>51</v>
      </c>
      <c r="L907">
        <v>1</v>
      </c>
      <c r="M907" t="s">
        <v>52</v>
      </c>
      <c r="N907" t="s">
        <v>53</v>
      </c>
      <c r="R907">
        <v>0.5</v>
      </c>
      <c r="S907">
        <v>0.75</v>
      </c>
      <c r="T907">
        <v>0</v>
      </c>
      <c r="U907">
        <v>0</v>
      </c>
      <c r="V907" s="1">
        <v>46583</v>
      </c>
      <c r="W907" s="1">
        <v>46691</v>
      </c>
      <c r="X907" s="1">
        <v>46461</v>
      </c>
      <c r="Z907" t="s">
        <v>52</v>
      </c>
      <c r="AB907" t="s">
        <v>52</v>
      </c>
      <c r="AC907">
        <v>16</v>
      </c>
      <c r="AD907">
        <v>2</v>
      </c>
      <c r="AK907" t="s">
        <v>52</v>
      </c>
      <c r="AN907" t="s">
        <v>52</v>
      </c>
      <c r="AO907" t="s">
        <v>52</v>
      </c>
      <c r="AP907" t="s">
        <v>52</v>
      </c>
      <c r="AQ907" t="s">
        <v>52</v>
      </c>
      <c r="AR907" t="s">
        <v>55</v>
      </c>
    </row>
    <row r="908" spans="1:45" x14ac:dyDescent="0.25">
      <c r="A908" t="s">
        <v>47</v>
      </c>
      <c r="B908">
        <v>8</v>
      </c>
      <c r="C908" t="s">
        <v>177</v>
      </c>
      <c r="D908">
        <v>81</v>
      </c>
      <c r="E908" t="s">
        <v>75</v>
      </c>
      <c r="F908">
        <v>16</v>
      </c>
      <c r="G908" t="s">
        <v>76</v>
      </c>
      <c r="H908" t="s">
        <v>50</v>
      </c>
      <c r="K908" t="s">
        <v>52</v>
      </c>
      <c r="L908">
        <v>1</v>
      </c>
      <c r="M908" t="s">
        <v>52</v>
      </c>
      <c r="N908" t="s">
        <v>53</v>
      </c>
      <c r="R908">
        <v>0.5</v>
      </c>
      <c r="S908">
        <v>0.75</v>
      </c>
      <c r="T908">
        <v>0</v>
      </c>
      <c r="U908">
        <v>0</v>
      </c>
      <c r="V908" s="1">
        <v>46583</v>
      </c>
      <c r="W908" s="1">
        <v>46691</v>
      </c>
      <c r="X908" s="1">
        <v>46461</v>
      </c>
      <c r="Z908" t="s">
        <v>52</v>
      </c>
      <c r="AB908" t="s">
        <v>52</v>
      </c>
      <c r="AC908">
        <v>16</v>
      </c>
      <c r="AD908">
        <v>2</v>
      </c>
      <c r="AK908" t="s">
        <v>52</v>
      </c>
      <c r="AN908" t="s">
        <v>52</v>
      </c>
      <c r="AO908" t="s">
        <v>52</v>
      </c>
      <c r="AP908" t="s">
        <v>52</v>
      </c>
      <c r="AQ908" t="s">
        <v>52</v>
      </c>
      <c r="AR908" t="s">
        <v>55</v>
      </c>
    </row>
    <row r="909" spans="1:45" x14ac:dyDescent="0.25">
      <c r="A909" t="s">
        <v>47</v>
      </c>
      <c r="B909">
        <v>8</v>
      </c>
      <c r="C909" t="s">
        <v>177</v>
      </c>
      <c r="D909">
        <v>81</v>
      </c>
      <c r="E909" t="s">
        <v>125</v>
      </c>
      <c r="F909">
        <v>67</v>
      </c>
      <c r="G909" t="s">
        <v>111</v>
      </c>
      <c r="H909" t="s">
        <v>50</v>
      </c>
      <c r="K909" t="s">
        <v>52</v>
      </c>
      <c r="L909">
        <v>1</v>
      </c>
      <c r="M909" t="s">
        <v>52</v>
      </c>
      <c r="N909" t="s">
        <v>53</v>
      </c>
      <c r="R909">
        <v>0.5</v>
      </c>
      <c r="S909">
        <v>0.87</v>
      </c>
      <c r="U909">
        <v>0</v>
      </c>
      <c r="V909" s="1">
        <v>46583</v>
      </c>
      <c r="W909" s="1">
        <v>46691</v>
      </c>
      <c r="X909" s="1">
        <v>46461</v>
      </c>
      <c r="Z909" t="s">
        <v>52</v>
      </c>
      <c r="AB909" t="s">
        <v>52</v>
      </c>
      <c r="AC909">
        <v>67</v>
      </c>
      <c r="AD909">
        <v>1</v>
      </c>
      <c r="AK909" t="s">
        <v>52</v>
      </c>
      <c r="AN909" t="s">
        <v>52</v>
      </c>
      <c r="AO909" t="s">
        <v>52</v>
      </c>
      <c r="AP909" t="s">
        <v>52</v>
      </c>
      <c r="AQ909" t="s">
        <v>52</v>
      </c>
      <c r="AR909" t="s">
        <v>55</v>
      </c>
      <c r="AS909" t="s">
        <v>60</v>
      </c>
    </row>
    <row r="910" spans="1:45" x14ac:dyDescent="0.25">
      <c r="A910" t="s">
        <v>47</v>
      </c>
      <c r="B910">
        <v>8</v>
      </c>
      <c r="C910" t="s">
        <v>177</v>
      </c>
      <c r="D910">
        <v>81</v>
      </c>
      <c r="E910" t="s">
        <v>93</v>
      </c>
      <c r="F910">
        <v>94</v>
      </c>
      <c r="H910" t="s">
        <v>50</v>
      </c>
      <c r="K910" t="s">
        <v>52</v>
      </c>
      <c r="L910">
        <v>1</v>
      </c>
      <c r="M910" t="s">
        <v>52</v>
      </c>
      <c r="N910" t="s">
        <v>53</v>
      </c>
      <c r="R910">
        <v>0.77</v>
      </c>
      <c r="S910">
        <v>0.93</v>
      </c>
      <c r="T910">
        <v>0</v>
      </c>
      <c r="U910">
        <v>0</v>
      </c>
      <c r="V910" s="1">
        <v>46326</v>
      </c>
      <c r="W910" s="1">
        <v>46691</v>
      </c>
      <c r="X910" s="1">
        <v>46266</v>
      </c>
      <c r="Z910" t="s">
        <v>52</v>
      </c>
      <c r="AB910" t="s">
        <v>52</v>
      </c>
      <c r="AC910">
        <v>94</v>
      </c>
      <c r="AD910">
        <v>2</v>
      </c>
      <c r="AK910" t="s">
        <v>52</v>
      </c>
      <c r="AN910" t="s">
        <v>52</v>
      </c>
      <c r="AO910" t="s">
        <v>52</v>
      </c>
      <c r="AP910" t="s">
        <v>52</v>
      </c>
      <c r="AQ910" t="s">
        <v>52</v>
      </c>
      <c r="AR910" t="s">
        <v>55</v>
      </c>
    </row>
    <row r="911" spans="1:45" x14ac:dyDescent="0.25">
      <c r="A911" t="s">
        <v>47</v>
      </c>
      <c r="B911">
        <v>8</v>
      </c>
      <c r="C911" t="s">
        <v>177</v>
      </c>
      <c r="D911">
        <v>81</v>
      </c>
      <c r="E911" t="s">
        <v>94</v>
      </c>
      <c r="F911">
        <v>26</v>
      </c>
      <c r="H911" t="s">
        <v>50</v>
      </c>
      <c r="K911" t="s">
        <v>51</v>
      </c>
      <c r="L911">
        <v>1</v>
      </c>
      <c r="M911" t="s">
        <v>52</v>
      </c>
      <c r="N911" t="s">
        <v>53</v>
      </c>
      <c r="R911">
        <v>0</v>
      </c>
      <c r="S911">
        <v>0.92</v>
      </c>
      <c r="U911">
        <v>0</v>
      </c>
      <c r="W911" s="1">
        <v>46675</v>
      </c>
      <c r="X911" s="1">
        <v>46357</v>
      </c>
      <c r="Z911" t="s">
        <v>52</v>
      </c>
      <c r="AB911" t="s">
        <v>52</v>
      </c>
      <c r="AC911">
        <v>102</v>
      </c>
      <c r="AD911">
        <v>1</v>
      </c>
      <c r="AK911" t="s">
        <v>52</v>
      </c>
      <c r="AN911" t="s">
        <v>52</v>
      </c>
      <c r="AO911" t="s">
        <v>52</v>
      </c>
      <c r="AP911" t="s">
        <v>52</v>
      </c>
      <c r="AQ911" t="s">
        <v>52</v>
      </c>
      <c r="AR911" t="s">
        <v>55</v>
      </c>
    </row>
    <row r="912" spans="1:45" x14ac:dyDescent="0.25">
      <c r="A912" t="s">
        <v>47</v>
      </c>
      <c r="B912">
        <v>8</v>
      </c>
      <c r="C912" t="s">
        <v>177</v>
      </c>
      <c r="D912">
        <v>81</v>
      </c>
      <c r="E912" t="s">
        <v>94</v>
      </c>
      <c r="F912">
        <v>26</v>
      </c>
      <c r="H912" t="s">
        <v>50</v>
      </c>
      <c r="K912" t="s">
        <v>52</v>
      </c>
      <c r="L912">
        <v>1</v>
      </c>
      <c r="M912" t="s">
        <v>52</v>
      </c>
      <c r="N912" t="s">
        <v>53</v>
      </c>
      <c r="R912">
        <v>0</v>
      </c>
      <c r="S912">
        <v>0.92</v>
      </c>
      <c r="U912">
        <v>0</v>
      </c>
      <c r="W912" s="1">
        <v>46675</v>
      </c>
      <c r="X912" s="1">
        <v>46357</v>
      </c>
      <c r="Z912" t="s">
        <v>52</v>
      </c>
      <c r="AB912" t="s">
        <v>52</v>
      </c>
      <c r="AC912">
        <v>102</v>
      </c>
      <c r="AD912">
        <v>1</v>
      </c>
      <c r="AK912" t="s">
        <v>52</v>
      </c>
      <c r="AN912" t="s">
        <v>52</v>
      </c>
      <c r="AO912" t="s">
        <v>52</v>
      </c>
      <c r="AP912" t="s">
        <v>52</v>
      </c>
      <c r="AQ912" t="s">
        <v>52</v>
      </c>
      <c r="AR912" t="s">
        <v>55</v>
      </c>
    </row>
    <row r="913" spans="1:45" x14ac:dyDescent="0.25">
      <c r="A913" t="s">
        <v>47</v>
      </c>
      <c r="B913">
        <v>8</v>
      </c>
      <c r="C913" t="s">
        <v>177</v>
      </c>
      <c r="D913">
        <v>81</v>
      </c>
      <c r="E913" t="s">
        <v>79</v>
      </c>
      <c r="F913">
        <v>50</v>
      </c>
      <c r="G913" t="s">
        <v>65</v>
      </c>
      <c r="H913" t="s">
        <v>50</v>
      </c>
      <c r="K913" t="s">
        <v>51</v>
      </c>
      <c r="L913">
        <v>1</v>
      </c>
      <c r="M913" t="s">
        <v>52</v>
      </c>
      <c r="N913" t="s">
        <v>53</v>
      </c>
      <c r="R913">
        <v>0.5</v>
      </c>
      <c r="S913">
        <v>0.75</v>
      </c>
      <c r="U913">
        <v>0</v>
      </c>
      <c r="V913" s="1">
        <v>46583</v>
      </c>
      <c r="W913" s="1">
        <v>46675</v>
      </c>
      <c r="X913" s="1">
        <v>46461</v>
      </c>
      <c r="Z913" t="s">
        <v>52</v>
      </c>
      <c r="AB913" t="s">
        <v>52</v>
      </c>
      <c r="AC913">
        <v>50</v>
      </c>
      <c r="AD913">
        <v>1</v>
      </c>
      <c r="AK913" t="s">
        <v>52</v>
      </c>
      <c r="AN913" t="s">
        <v>52</v>
      </c>
      <c r="AO913" t="s">
        <v>52</v>
      </c>
      <c r="AP913" t="s">
        <v>52</v>
      </c>
      <c r="AQ913" t="s">
        <v>52</v>
      </c>
      <c r="AR913" t="s">
        <v>55</v>
      </c>
      <c r="AS913" t="s">
        <v>88</v>
      </c>
    </row>
    <row r="914" spans="1:45" x14ac:dyDescent="0.25">
      <c r="A914" t="s">
        <v>47</v>
      </c>
      <c r="B914">
        <v>8</v>
      </c>
      <c r="C914" t="s">
        <v>177</v>
      </c>
      <c r="D914">
        <v>81</v>
      </c>
      <c r="E914" t="s">
        <v>83</v>
      </c>
      <c r="F914">
        <v>158</v>
      </c>
      <c r="H914" t="s">
        <v>50</v>
      </c>
      <c r="K914" t="s">
        <v>51</v>
      </c>
      <c r="L914">
        <v>1</v>
      </c>
      <c r="M914" t="s">
        <v>52</v>
      </c>
      <c r="N914" t="s">
        <v>53</v>
      </c>
      <c r="P914">
        <v>1.3</v>
      </c>
      <c r="R914">
        <v>0.77</v>
      </c>
      <c r="S914">
        <v>0.93</v>
      </c>
      <c r="U914">
        <v>0</v>
      </c>
      <c r="V914" s="1">
        <v>46522</v>
      </c>
      <c r="W914" s="1">
        <v>46691</v>
      </c>
      <c r="X914" s="1">
        <v>46266</v>
      </c>
      <c r="Z914" t="s">
        <v>52</v>
      </c>
      <c r="AA914" t="s">
        <v>54</v>
      </c>
      <c r="AB914" t="s">
        <v>52</v>
      </c>
      <c r="AC914">
        <v>158</v>
      </c>
      <c r="AD914">
        <v>2</v>
      </c>
      <c r="AK914" t="s">
        <v>52</v>
      </c>
      <c r="AN914" t="s">
        <v>52</v>
      </c>
      <c r="AO914" t="s">
        <v>52</v>
      </c>
      <c r="AP914" t="s">
        <v>52</v>
      </c>
      <c r="AQ914" t="s">
        <v>52</v>
      </c>
      <c r="AR914" t="s">
        <v>95</v>
      </c>
      <c r="AS914" t="s">
        <v>140</v>
      </c>
    </row>
    <row r="915" spans="1:45" x14ac:dyDescent="0.25">
      <c r="A915" t="s">
        <v>47</v>
      </c>
      <c r="B915">
        <v>8</v>
      </c>
      <c r="C915" t="s">
        <v>177</v>
      </c>
      <c r="D915">
        <v>81</v>
      </c>
      <c r="E915" t="s">
        <v>83</v>
      </c>
      <c r="F915">
        <v>158</v>
      </c>
      <c r="H915" t="s">
        <v>50</v>
      </c>
      <c r="K915" t="s">
        <v>52</v>
      </c>
      <c r="L915">
        <v>1</v>
      </c>
      <c r="M915" t="s">
        <v>52</v>
      </c>
      <c r="N915" t="s">
        <v>53</v>
      </c>
      <c r="R915">
        <v>0.77</v>
      </c>
      <c r="S915">
        <v>0.93</v>
      </c>
      <c r="U915">
        <v>0</v>
      </c>
      <c r="V915" s="1">
        <v>46522</v>
      </c>
      <c r="W915" s="1">
        <v>46691</v>
      </c>
      <c r="X915" s="1">
        <v>46266</v>
      </c>
      <c r="Z915" t="s">
        <v>52</v>
      </c>
      <c r="AB915" t="s">
        <v>52</v>
      </c>
      <c r="AC915">
        <v>158</v>
      </c>
      <c r="AD915">
        <v>2</v>
      </c>
      <c r="AK915" t="s">
        <v>52</v>
      </c>
      <c r="AN915" t="s">
        <v>52</v>
      </c>
      <c r="AO915" t="s">
        <v>52</v>
      </c>
      <c r="AP915" t="s">
        <v>52</v>
      </c>
      <c r="AQ915" t="s">
        <v>52</v>
      </c>
      <c r="AR915" t="s">
        <v>55</v>
      </c>
    </row>
    <row r="916" spans="1:45" x14ac:dyDescent="0.25">
      <c r="A916" t="s">
        <v>47</v>
      </c>
      <c r="B916">
        <v>8</v>
      </c>
      <c r="C916" t="s">
        <v>177</v>
      </c>
      <c r="D916">
        <v>81</v>
      </c>
      <c r="E916" t="s">
        <v>84</v>
      </c>
      <c r="F916">
        <v>11</v>
      </c>
      <c r="G916" t="s">
        <v>96</v>
      </c>
      <c r="H916" t="s">
        <v>50</v>
      </c>
      <c r="K916" t="s">
        <v>52</v>
      </c>
      <c r="L916">
        <v>1</v>
      </c>
      <c r="M916" t="s">
        <v>52</v>
      </c>
      <c r="N916" t="s">
        <v>53</v>
      </c>
      <c r="R916">
        <v>0.5</v>
      </c>
      <c r="S916">
        <v>0.75</v>
      </c>
      <c r="T916">
        <v>0</v>
      </c>
      <c r="U916">
        <v>0</v>
      </c>
      <c r="V916" s="1">
        <v>46326</v>
      </c>
      <c r="W916" s="1">
        <v>46691</v>
      </c>
      <c r="X916" s="1">
        <v>46295</v>
      </c>
      <c r="Z916" t="s">
        <v>52</v>
      </c>
      <c r="AB916" t="s">
        <v>52</v>
      </c>
      <c r="AC916">
        <v>11</v>
      </c>
      <c r="AD916">
        <v>2</v>
      </c>
      <c r="AK916" t="s">
        <v>52</v>
      </c>
      <c r="AN916" t="s">
        <v>52</v>
      </c>
      <c r="AO916" t="s">
        <v>52</v>
      </c>
      <c r="AP916" t="s">
        <v>52</v>
      </c>
      <c r="AQ916" t="s">
        <v>52</v>
      </c>
      <c r="AR916" t="s">
        <v>55</v>
      </c>
    </row>
    <row r="917" spans="1:45" x14ac:dyDescent="0.25">
      <c r="A917" t="s">
        <v>47</v>
      </c>
      <c r="B917">
        <v>8</v>
      </c>
      <c r="C917" t="s">
        <v>179</v>
      </c>
      <c r="D917">
        <v>83</v>
      </c>
      <c r="E917" t="s">
        <v>49</v>
      </c>
      <c r="F917">
        <v>27</v>
      </c>
      <c r="H917" t="s">
        <v>50</v>
      </c>
      <c r="K917" t="s">
        <v>51</v>
      </c>
      <c r="L917">
        <v>1</v>
      </c>
      <c r="M917" t="s">
        <v>52</v>
      </c>
      <c r="N917" t="s">
        <v>53</v>
      </c>
      <c r="P917">
        <v>2.56</v>
      </c>
      <c r="Q917">
        <v>230</v>
      </c>
      <c r="R917">
        <v>0</v>
      </c>
      <c r="S917">
        <v>0.75</v>
      </c>
      <c r="T917">
        <v>0</v>
      </c>
      <c r="U917">
        <v>0</v>
      </c>
      <c r="W917" s="1">
        <v>46675</v>
      </c>
      <c r="X917" s="1">
        <v>46357</v>
      </c>
      <c r="Y917" t="s">
        <v>54</v>
      </c>
      <c r="Z917" t="s">
        <v>52</v>
      </c>
      <c r="AA917" t="s">
        <v>54</v>
      </c>
      <c r="AB917" t="s">
        <v>52</v>
      </c>
      <c r="AC917">
        <v>27</v>
      </c>
      <c r="AD917">
        <v>1</v>
      </c>
      <c r="AE917">
        <v>0.97</v>
      </c>
      <c r="AF917">
        <v>2.4832000000000001</v>
      </c>
      <c r="AG917">
        <v>0.97</v>
      </c>
      <c r="AH917">
        <v>2.4832000000000001</v>
      </c>
      <c r="AK917" t="s">
        <v>52</v>
      </c>
      <c r="AN917" t="s">
        <v>52</v>
      </c>
      <c r="AO917" t="s">
        <v>52</v>
      </c>
      <c r="AP917" t="s">
        <v>52</v>
      </c>
      <c r="AQ917" t="s">
        <v>52</v>
      </c>
      <c r="AR917" t="s">
        <v>55</v>
      </c>
      <c r="AS917" t="s">
        <v>56</v>
      </c>
    </row>
    <row r="918" spans="1:45" x14ac:dyDescent="0.25">
      <c r="A918" t="s">
        <v>47</v>
      </c>
      <c r="B918">
        <v>8</v>
      </c>
      <c r="C918" t="s">
        <v>179</v>
      </c>
      <c r="D918">
        <v>83</v>
      </c>
      <c r="E918" t="s">
        <v>49</v>
      </c>
      <c r="F918">
        <v>27</v>
      </c>
      <c r="H918" t="s">
        <v>50</v>
      </c>
      <c r="K918" t="s">
        <v>52</v>
      </c>
      <c r="L918">
        <v>1</v>
      </c>
      <c r="M918" t="s">
        <v>52</v>
      </c>
      <c r="N918" t="s">
        <v>53</v>
      </c>
      <c r="P918">
        <v>0.4</v>
      </c>
      <c r="Q918">
        <v>230</v>
      </c>
      <c r="R918">
        <v>0</v>
      </c>
      <c r="S918">
        <v>0.75</v>
      </c>
      <c r="T918">
        <v>0</v>
      </c>
      <c r="U918">
        <v>0</v>
      </c>
      <c r="W918" s="1">
        <v>46675</v>
      </c>
      <c r="X918" s="1">
        <v>46357</v>
      </c>
      <c r="Y918" t="s">
        <v>54</v>
      </c>
      <c r="Z918" t="s">
        <v>52</v>
      </c>
      <c r="AA918" t="s">
        <v>54</v>
      </c>
      <c r="AB918" t="s">
        <v>52</v>
      </c>
      <c r="AC918">
        <v>27</v>
      </c>
      <c r="AD918">
        <v>1</v>
      </c>
      <c r="AE918">
        <v>0.97</v>
      </c>
      <c r="AF918">
        <v>0.38800000000000001</v>
      </c>
      <c r="AG918">
        <v>0.97</v>
      </c>
      <c r="AH918">
        <v>0.38800000000000001</v>
      </c>
      <c r="AK918" t="s">
        <v>52</v>
      </c>
      <c r="AN918" t="s">
        <v>52</v>
      </c>
      <c r="AO918" t="s">
        <v>52</v>
      </c>
      <c r="AP918" t="s">
        <v>52</v>
      </c>
      <c r="AQ918" t="s">
        <v>52</v>
      </c>
      <c r="AR918" t="s">
        <v>55</v>
      </c>
      <c r="AS918" t="s">
        <v>57</v>
      </c>
    </row>
    <row r="919" spans="1:45" x14ac:dyDescent="0.25">
      <c r="A919" t="s">
        <v>47</v>
      </c>
      <c r="B919">
        <v>8</v>
      </c>
      <c r="C919" t="s">
        <v>179</v>
      </c>
      <c r="D919">
        <v>83</v>
      </c>
      <c r="E919" t="s">
        <v>87</v>
      </c>
      <c r="F919">
        <v>91</v>
      </c>
      <c r="G919" t="s">
        <v>76</v>
      </c>
      <c r="H919" t="s">
        <v>50</v>
      </c>
      <c r="K919" t="s">
        <v>51</v>
      </c>
      <c r="L919">
        <v>1</v>
      </c>
      <c r="M919" t="s">
        <v>52</v>
      </c>
      <c r="N919" t="s">
        <v>53</v>
      </c>
      <c r="R919">
        <v>0.77</v>
      </c>
      <c r="S919">
        <v>0.93</v>
      </c>
      <c r="U919">
        <v>0</v>
      </c>
      <c r="V919" s="1">
        <v>46569</v>
      </c>
      <c r="W919" s="1">
        <v>46691</v>
      </c>
      <c r="X919" s="1">
        <v>46295</v>
      </c>
      <c r="Z919" t="s">
        <v>52</v>
      </c>
      <c r="AB919" t="s">
        <v>52</v>
      </c>
      <c r="AC919">
        <v>91</v>
      </c>
      <c r="AD919">
        <v>2</v>
      </c>
      <c r="AK919" t="s">
        <v>52</v>
      </c>
      <c r="AN919" t="s">
        <v>52</v>
      </c>
      <c r="AO919" t="s">
        <v>52</v>
      </c>
      <c r="AP919" t="s">
        <v>52</v>
      </c>
      <c r="AQ919" t="s">
        <v>52</v>
      </c>
      <c r="AR919" t="s">
        <v>55</v>
      </c>
    </row>
    <row r="920" spans="1:45" x14ac:dyDescent="0.25">
      <c r="A920" t="s">
        <v>47</v>
      </c>
      <c r="B920">
        <v>8</v>
      </c>
      <c r="C920" t="s">
        <v>179</v>
      </c>
      <c r="D920">
        <v>83</v>
      </c>
      <c r="E920" t="s">
        <v>87</v>
      </c>
      <c r="F920">
        <v>91</v>
      </c>
      <c r="G920" t="s">
        <v>76</v>
      </c>
      <c r="H920" t="s">
        <v>50</v>
      </c>
      <c r="K920" t="s">
        <v>52</v>
      </c>
      <c r="L920">
        <v>1</v>
      </c>
      <c r="M920" t="s">
        <v>52</v>
      </c>
      <c r="N920" t="s">
        <v>53</v>
      </c>
      <c r="R920">
        <v>0.77</v>
      </c>
      <c r="S920">
        <v>0.93</v>
      </c>
      <c r="U920">
        <v>0</v>
      </c>
      <c r="V920" s="1">
        <v>46569</v>
      </c>
      <c r="W920" s="1">
        <v>46691</v>
      </c>
      <c r="X920" s="1">
        <v>46295</v>
      </c>
      <c r="Z920" t="s">
        <v>52</v>
      </c>
      <c r="AB920" t="s">
        <v>52</v>
      </c>
      <c r="AC920">
        <v>91</v>
      </c>
      <c r="AD920">
        <v>2</v>
      </c>
      <c r="AK920" t="s">
        <v>52</v>
      </c>
      <c r="AN920" t="s">
        <v>52</v>
      </c>
      <c r="AO920" t="s">
        <v>52</v>
      </c>
      <c r="AP920" t="s">
        <v>52</v>
      </c>
      <c r="AQ920" t="s">
        <v>52</v>
      </c>
      <c r="AR920" t="s">
        <v>55</v>
      </c>
    </row>
    <row r="921" spans="1:45" x14ac:dyDescent="0.25">
      <c r="A921" t="s">
        <v>47</v>
      </c>
      <c r="B921">
        <v>8</v>
      </c>
      <c r="C921" t="s">
        <v>179</v>
      </c>
      <c r="D921">
        <v>83</v>
      </c>
      <c r="E921" t="s">
        <v>58</v>
      </c>
      <c r="F921">
        <v>102</v>
      </c>
      <c r="G921" t="s">
        <v>59</v>
      </c>
      <c r="H921" t="s">
        <v>50</v>
      </c>
      <c r="K921" t="s">
        <v>51</v>
      </c>
      <c r="L921">
        <v>1</v>
      </c>
      <c r="M921" t="s">
        <v>52</v>
      </c>
      <c r="N921" t="s">
        <v>53</v>
      </c>
      <c r="R921">
        <v>0</v>
      </c>
      <c r="S921">
        <v>0.92</v>
      </c>
      <c r="T921">
        <v>0</v>
      </c>
      <c r="U921">
        <v>0</v>
      </c>
      <c r="W921" s="1">
        <v>46731</v>
      </c>
      <c r="X921" s="1">
        <v>46357</v>
      </c>
      <c r="Z921" t="s">
        <v>52</v>
      </c>
      <c r="AB921" t="s">
        <v>52</v>
      </c>
      <c r="AC921">
        <v>102</v>
      </c>
      <c r="AD921">
        <v>1</v>
      </c>
      <c r="AK921" t="s">
        <v>52</v>
      </c>
      <c r="AN921" t="s">
        <v>52</v>
      </c>
      <c r="AO921" t="s">
        <v>52</v>
      </c>
      <c r="AP921" t="s">
        <v>52</v>
      </c>
      <c r="AQ921" t="s">
        <v>52</v>
      </c>
      <c r="AR921" t="s">
        <v>55</v>
      </c>
    </row>
    <row r="922" spans="1:45" x14ac:dyDescent="0.25">
      <c r="A922" t="s">
        <v>47</v>
      </c>
      <c r="B922">
        <v>8</v>
      </c>
      <c r="C922" t="s">
        <v>179</v>
      </c>
      <c r="D922">
        <v>83</v>
      </c>
      <c r="E922" t="s">
        <v>58</v>
      </c>
      <c r="F922">
        <v>102</v>
      </c>
      <c r="G922" t="s">
        <v>59</v>
      </c>
      <c r="H922" t="s">
        <v>50</v>
      </c>
      <c r="K922" t="s">
        <v>52</v>
      </c>
      <c r="L922">
        <v>1</v>
      </c>
      <c r="M922" t="s">
        <v>52</v>
      </c>
      <c r="N922" t="s">
        <v>53</v>
      </c>
      <c r="R922">
        <v>0</v>
      </c>
      <c r="S922">
        <v>0.92</v>
      </c>
      <c r="T922">
        <v>0</v>
      </c>
      <c r="U922">
        <v>0</v>
      </c>
      <c r="W922" s="1">
        <v>46731</v>
      </c>
      <c r="X922" s="1">
        <v>46357</v>
      </c>
      <c r="Z922" t="s">
        <v>52</v>
      </c>
      <c r="AB922" t="s">
        <v>52</v>
      </c>
      <c r="AC922">
        <v>102</v>
      </c>
      <c r="AD922">
        <v>1</v>
      </c>
      <c r="AK922" t="s">
        <v>52</v>
      </c>
      <c r="AN922" t="s">
        <v>52</v>
      </c>
      <c r="AO922" t="s">
        <v>52</v>
      </c>
      <c r="AP922" t="s">
        <v>52</v>
      </c>
      <c r="AQ922" t="s">
        <v>52</v>
      </c>
      <c r="AR922" t="s">
        <v>55</v>
      </c>
    </row>
    <row r="923" spans="1:45" x14ac:dyDescent="0.25">
      <c r="A923" t="s">
        <v>47</v>
      </c>
      <c r="B923">
        <v>8</v>
      </c>
      <c r="C923" t="s">
        <v>179</v>
      </c>
      <c r="D923">
        <v>83</v>
      </c>
      <c r="E923" t="s">
        <v>58</v>
      </c>
      <c r="F923">
        <v>102</v>
      </c>
      <c r="G923" t="s">
        <v>62</v>
      </c>
      <c r="H923" t="s">
        <v>50</v>
      </c>
      <c r="K923" t="s">
        <v>51</v>
      </c>
      <c r="L923">
        <v>1</v>
      </c>
      <c r="M923" t="s">
        <v>52</v>
      </c>
      <c r="N923" t="s">
        <v>53</v>
      </c>
      <c r="R923">
        <v>0</v>
      </c>
      <c r="S923">
        <v>0.92</v>
      </c>
      <c r="T923">
        <v>0</v>
      </c>
      <c r="U923">
        <v>0</v>
      </c>
      <c r="W923" s="1">
        <v>46731</v>
      </c>
      <c r="X923" s="1">
        <v>46357</v>
      </c>
      <c r="Z923" t="s">
        <v>52</v>
      </c>
      <c r="AB923" t="s">
        <v>52</v>
      </c>
      <c r="AC923">
        <v>102</v>
      </c>
      <c r="AD923">
        <v>1</v>
      </c>
      <c r="AK923" t="s">
        <v>52</v>
      </c>
      <c r="AN923" t="s">
        <v>52</v>
      </c>
      <c r="AO923" t="s">
        <v>52</v>
      </c>
      <c r="AP923" t="s">
        <v>52</v>
      </c>
      <c r="AQ923" t="s">
        <v>52</v>
      </c>
      <c r="AR923" t="s">
        <v>55</v>
      </c>
    </row>
    <row r="924" spans="1:45" x14ac:dyDescent="0.25">
      <c r="A924" t="s">
        <v>47</v>
      </c>
      <c r="B924">
        <v>8</v>
      </c>
      <c r="C924" t="s">
        <v>179</v>
      </c>
      <c r="D924">
        <v>83</v>
      </c>
      <c r="E924" t="s">
        <v>58</v>
      </c>
      <c r="F924">
        <v>102</v>
      </c>
      <c r="G924" t="s">
        <v>62</v>
      </c>
      <c r="H924" t="s">
        <v>50</v>
      </c>
      <c r="K924" t="s">
        <v>52</v>
      </c>
      <c r="L924">
        <v>1</v>
      </c>
      <c r="M924" t="s">
        <v>52</v>
      </c>
      <c r="N924" t="s">
        <v>53</v>
      </c>
      <c r="R924">
        <v>0</v>
      </c>
      <c r="S924">
        <v>0.92</v>
      </c>
      <c r="T924">
        <v>0</v>
      </c>
      <c r="U924">
        <v>0</v>
      </c>
      <c r="W924" s="1">
        <v>46731</v>
      </c>
      <c r="X924" s="1">
        <v>46357</v>
      </c>
      <c r="Z924" t="s">
        <v>52</v>
      </c>
      <c r="AB924" t="s">
        <v>52</v>
      </c>
      <c r="AC924">
        <v>102</v>
      </c>
      <c r="AD924">
        <v>1</v>
      </c>
      <c r="AK924" t="s">
        <v>52</v>
      </c>
      <c r="AN924" t="s">
        <v>52</v>
      </c>
      <c r="AO924" t="s">
        <v>52</v>
      </c>
      <c r="AP924" t="s">
        <v>52</v>
      </c>
      <c r="AQ924" t="s">
        <v>52</v>
      </c>
      <c r="AR924" t="s">
        <v>55</v>
      </c>
    </row>
    <row r="925" spans="1:45" x14ac:dyDescent="0.25">
      <c r="A925" t="s">
        <v>47</v>
      </c>
      <c r="B925">
        <v>8</v>
      </c>
      <c r="C925" t="s">
        <v>179</v>
      </c>
      <c r="D925">
        <v>83</v>
      </c>
      <c r="E925" t="s">
        <v>58</v>
      </c>
      <c r="F925">
        <v>102</v>
      </c>
      <c r="G925" t="s">
        <v>63</v>
      </c>
      <c r="H925" t="s">
        <v>50</v>
      </c>
      <c r="K925" t="s">
        <v>51</v>
      </c>
      <c r="L925">
        <v>1</v>
      </c>
      <c r="M925" t="s">
        <v>52</v>
      </c>
      <c r="N925" t="s">
        <v>53</v>
      </c>
      <c r="R925">
        <v>0</v>
      </c>
      <c r="S925">
        <v>0.92</v>
      </c>
      <c r="U925">
        <v>0</v>
      </c>
      <c r="W925" s="1">
        <v>46731</v>
      </c>
      <c r="X925" s="1">
        <v>46357</v>
      </c>
      <c r="Z925" t="s">
        <v>52</v>
      </c>
      <c r="AB925" t="s">
        <v>52</v>
      </c>
      <c r="AC925">
        <v>102</v>
      </c>
      <c r="AD925">
        <v>1</v>
      </c>
      <c r="AK925" t="s">
        <v>52</v>
      </c>
      <c r="AN925" t="s">
        <v>52</v>
      </c>
      <c r="AO925" t="s">
        <v>52</v>
      </c>
      <c r="AP925" t="s">
        <v>52</v>
      </c>
      <c r="AQ925" t="s">
        <v>52</v>
      </c>
      <c r="AR925" t="s">
        <v>55</v>
      </c>
    </row>
    <row r="926" spans="1:45" x14ac:dyDescent="0.25">
      <c r="A926" t="s">
        <v>47</v>
      </c>
      <c r="B926">
        <v>8</v>
      </c>
      <c r="C926" t="s">
        <v>179</v>
      </c>
      <c r="D926">
        <v>83</v>
      </c>
      <c r="E926" t="s">
        <v>58</v>
      </c>
      <c r="F926">
        <v>102</v>
      </c>
      <c r="G926" t="s">
        <v>64</v>
      </c>
      <c r="H926" t="s">
        <v>50</v>
      </c>
      <c r="K926" t="s">
        <v>51</v>
      </c>
      <c r="L926">
        <v>1</v>
      </c>
      <c r="M926" t="s">
        <v>52</v>
      </c>
      <c r="N926" t="s">
        <v>53</v>
      </c>
      <c r="R926">
        <v>0</v>
      </c>
      <c r="S926">
        <v>0.92</v>
      </c>
      <c r="T926">
        <v>0</v>
      </c>
      <c r="U926">
        <v>0</v>
      </c>
      <c r="W926" s="1">
        <v>46731</v>
      </c>
      <c r="X926" s="1">
        <v>46357</v>
      </c>
      <c r="Z926" t="s">
        <v>52</v>
      </c>
      <c r="AB926" t="s">
        <v>52</v>
      </c>
      <c r="AC926">
        <v>102</v>
      </c>
      <c r="AD926">
        <v>1</v>
      </c>
      <c r="AK926" t="s">
        <v>52</v>
      </c>
      <c r="AN926" t="s">
        <v>52</v>
      </c>
      <c r="AO926" t="s">
        <v>52</v>
      </c>
      <c r="AP926" t="s">
        <v>52</v>
      </c>
      <c r="AQ926" t="s">
        <v>52</v>
      </c>
      <c r="AR926" t="s">
        <v>55</v>
      </c>
    </row>
    <row r="927" spans="1:45" x14ac:dyDescent="0.25">
      <c r="A927" t="s">
        <v>47</v>
      </c>
      <c r="B927">
        <v>8</v>
      </c>
      <c r="C927" t="s">
        <v>179</v>
      </c>
      <c r="D927">
        <v>83</v>
      </c>
      <c r="E927" t="s">
        <v>58</v>
      </c>
      <c r="F927">
        <v>102</v>
      </c>
      <c r="G927" t="s">
        <v>64</v>
      </c>
      <c r="H927" t="s">
        <v>50</v>
      </c>
      <c r="K927" t="s">
        <v>52</v>
      </c>
      <c r="L927">
        <v>1</v>
      </c>
      <c r="M927" t="s">
        <v>52</v>
      </c>
      <c r="N927" t="s">
        <v>53</v>
      </c>
      <c r="R927">
        <v>0</v>
      </c>
      <c r="S927">
        <v>0.92</v>
      </c>
      <c r="T927">
        <v>0</v>
      </c>
      <c r="U927">
        <v>0</v>
      </c>
      <c r="W927" s="1">
        <v>46731</v>
      </c>
      <c r="X927" s="1">
        <v>46357</v>
      </c>
      <c r="Z927" t="s">
        <v>52</v>
      </c>
      <c r="AB927" t="s">
        <v>52</v>
      </c>
      <c r="AC927">
        <v>102</v>
      </c>
      <c r="AD927">
        <v>1</v>
      </c>
      <c r="AK927" t="s">
        <v>52</v>
      </c>
      <c r="AN927" t="s">
        <v>52</v>
      </c>
      <c r="AO927" t="s">
        <v>52</v>
      </c>
      <c r="AP927" t="s">
        <v>52</v>
      </c>
      <c r="AQ927" t="s">
        <v>52</v>
      </c>
      <c r="AR927" t="s">
        <v>55</v>
      </c>
    </row>
    <row r="928" spans="1:45" x14ac:dyDescent="0.25">
      <c r="A928" t="s">
        <v>47</v>
      </c>
      <c r="B928">
        <v>8</v>
      </c>
      <c r="C928" t="s">
        <v>179</v>
      </c>
      <c r="D928">
        <v>83</v>
      </c>
      <c r="E928" t="s">
        <v>58</v>
      </c>
      <c r="F928">
        <v>102</v>
      </c>
      <c r="G928" t="s">
        <v>180</v>
      </c>
      <c r="H928" t="s">
        <v>50</v>
      </c>
      <c r="K928" t="s">
        <v>51</v>
      </c>
      <c r="L928">
        <v>1</v>
      </c>
      <c r="M928" t="s">
        <v>52</v>
      </c>
      <c r="N928" t="s">
        <v>53</v>
      </c>
      <c r="R928">
        <v>0</v>
      </c>
      <c r="S928">
        <v>0.92</v>
      </c>
      <c r="T928">
        <v>0</v>
      </c>
      <c r="U928">
        <v>0</v>
      </c>
      <c r="W928" s="1">
        <v>46731</v>
      </c>
      <c r="X928" s="1">
        <v>46357</v>
      </c>
      <c r="Z928" t="s">
        <v>52</v>
      </c>
      <c r="AB928" t="s">
        <v>52</v>
      </c>
      <c r="AC928">
        <v>102</v>
      </c>
      <c r="AD928">
        <v>1</v>
      </c>
      <c r="AK928" t="s">
        <v>52</v>
      </c>
      <c r="AN928" t="s">
        <v>52</v>
      </c>
      <c r="AO928" t="s">
        <v>52</v>
      </c>
      <c r="AP928" t="s">
        <v>52</v>
      </c>
      <c r="AQ928" t="s">
        <v>52</v>
      </c>
      <c r="AR928" t="s">
        <v>55</v>
      </c>
    </row>
    <row r="929" spans="1:45" x14ac:dyDescent="0.25">
      <c r="A929" t="s">
        <v>47</v>
      </c>
      <c r="B929">
        <v>8</v>
      </c>
      <c r="C929" t="s">
        <v>179</v>
      </c>
      <c r="D929">
        <v>83</v>
      </c>
      <c r="E929" t="s">
        <v>58</v>
      </c>
      <c r="F929">
        <v>102</v>
      </c>
      <c r="G929" t="s">
        <v>180</v>
      </c>
      <c r="H929" t="s">
        <v>50</v>
      </c>
      <c r="K929" t="s">
        <v>52</v>
      </c>
      <c r="L929">
        <v>1</v>
      </c>
      <c r="M929" t="s">
        <v>52</v>
      </c>
      <c r="N929" t="s">
        <v>53</v>
      </c>
      <c r="R929">
        <v>0</v>
      </c>
      <c r="S929">
        <v>0.92</v>
      </c>
      <c r="T929">
        <v>0</v>
      </c>
      <c r="U929">
        <v>0</v>
      </c>
      <c r="W929" s="1">
        <v>46731</v>
      </c>
      <c r="X929" s="1">
        <v>46357</v>
      </c>
      <c r="Z929" t="s">
        <v>52</v>
      </c>
      <c r="AB929" t="s">
        <v>52</v>
      </c>
      <c r="AC929">
        <v>102</v>
      </c>
      <c r="AD929">
        <v>1</v>
      </c>
      <c r="AK929" t="s">
        <v>52</v>
      </c>
      <c r="AN929" t="s">
        <v>52</v>
      </c>
      <c r="AO929" t="s">
        <v>52</v>
      </c>
      <c r="AP929" t="s">
        <v>52</v>
      </c>
      <c r="AQ929" t="s">
        <v>52</v>
      </c>
      <c r="AR929" t="s">
        <v>55</v>
      </c>
    </row>
    <row r="930" spans="1:45" x14ac:dyDescent="0.25">
      <c r="A930" t="s">
        <v>47</v>
      </c>
      <c r="B930">
        <v>8</v>
      </c>
      <c r="C930" t="s">
        <v>179</v>
      </c>
      <c r="D930">
        <v>83</v>
      </c>
      <c r="E930" t="s">
        <v>58</v>
      </c>
      <c r="F930">
        <v>102</v>
      </c>
      <c r="G930" t="s">
        <v>127</v>
      </c>
      <c r="H930" t="s">
        <v>50</v>
      </c>
      <c r="K930" t="s">
        <v>51</v>
      </c>
      <c r="L930">
        <v>1</v>
      </c>
      <c r="M930" t="s">
        <v>52</v>
      </c>
      <c r="N930" t="s">
        <v>53</v>
      </c>
      <c r="R930">
        <v>0</v>
      </c>
      <c r="S930">
        <v>0.92</v>
      </c>
      <c r="U930">
        <v>0</v>
      </c>
      <c r="W930" s="1">
        <v>46731</v>
      </c>
      <c r="X930" s="1">
        <v>46357</v>
      </c>
      <c r="Z930" t="s">
        <v>52</v>
      </c>
      <c r="AB930" t="s">
        <v>52</v>
      </c>
      <c r="AC930">
        <v>102</v>
      </c>
      <c r="AD930">
        <v>1</v>
      </c>
      <c r="AK930" t="s">
        <v>52</v>
      </c>
      <c r="AN930" t="s">
        <v>52</v>
      </c>
      <c r="AO930" t="s">
        <v>52</v>
      </c>
      <c r="AP930" t="s">
        <v>52</v>
      </c>
      <c r="AQ930" t="s">
        <v>52</v>
      </c>
      <c r="AR930" t="s">
        <v>55</v>
      </c>
    </row>
    <row r="931" spans="1:45" x14ac:dyDescent="0.25">
      <c r="A931" t="s">
        <v>47</v>
      </c>
      <c r="B931">
        <v>8</v>
      </c>
      <c r="C931" t="s">
        <v>179</v>
      </c>
      <c r="D931">
        <v>83</v>
      </c>
      <c r="E931" t="s">
        <v>58</v>
      </c>
      <c r="F931">
        <v>102</v>
      </c>
      <c r="G931" t="s">
        <v>65</v>
      </c>
      <c r="H931" t="s">
        <v>50</v>
      </c>
      <c r="K931" t="s">
        <v>52</v>
      </c>
      <c r="L931">
        <v>1</v>
      </c>
      <c r="M931" t="s">
        <v>52</v>
      </c>
      <c r="N931" t="s">
        <v>53</v>
      </c>
      <c r="R931">
        <v>0</v>
      </c>
      <c r="S931">
        <v>0.92</v>
      </c>
      <c r="T931">
        <v>0</v>
      </c>
      <c r="U931">
        <v>0</v>
      </c>
      <c r="W931" s="1">
        <v>46731</v>
      </c>
      <c r="X931" s="1">
        <v>46357</v>
      </c>
      <c r="Z931" t="s">
        <v>52</v>
      </c>
      <c r="AB931" t="s">
        <v>52</v>
      </c>
      <c r="AC931">
        <v>102</v>
      </c>
      <c r="AD931">
        <v>1</v>
      </c>
      <c r="AK931" t="s">
        <v>52</v>
      </c>
      <c r="AN931" t="s">
        <v>52</v>
      </c>
      <c r="AO931" t="s">
        <v>52</v>
      </c>
      <c r="AP931" t="s">
        <v>52</v>
      </c>
      <c r="AQ931" t="s">
        <v>52</v>
      </c>
      <c r="AR931" t="s">
        <v>55</v>
      </c>
    </row>
    <row r="932" spans="1:45" x14ac:dyDescent="0.25">
      <c r="A932" t="s">
        <v>47</v>
      </c>
      <c r="B932">
        <v>8</v>
      </c>
      <c r="C932" t="s">
        <v>179</v>
      </c>
      <c r="D932">
        <v>83</v>
      </c>
      <c r="E932" t="s">
        <v>58</v>
      </c>
      <c r="F932">
        <v>102</v>
      </c>
      <c r="G932" t="s">
        <v>66</v>
      </c>
      <c r="H932" t="s">
        <v>50</v>
      </c>
      <c r="K932" t="s">
        <v>51</v>
      </c>
      <c r="L932">
        <v>1</v>
      </c>
      <c r="M932" t="s">
        <v>52</v>
      </c>
      <c r="N932" t="s">
        <v>53</v>
      </c>
      <c r="R932">
        <v>0</v>
      </c>
      <c r="S932">
        <v>0.92</v>
      </c>
      <c r="T932">
        <v>0</v>
      </c>
      <c r="U932">
        <v>0</v>
      </c>
      <c r="W932" s="1">
        <v>46731</v>
      </c>
      <c r="X932" s="1">
        <v>46357</v>
      </c>
      <c r="Z932" t="s">
        <v>52</v>
      </c>
      <c r="AB932" t="s">
        <v>52</v>
      </c>
      <c r="AC932">
        <v>102</v>
      </c>
      <c r="AD932">
        <v>1</v>
      </c>
      <c r="AK932" t="s">
        <v>52</v>
      </c>
      <c r="AN932" t="s">
        <v>52</v>
      </c>
      <c r="AO932" t="s">
        <v>52</v>
      </c>
      <c r="AP932" t="s">
        <v>52</v>
      </c>
      <c r="AQ932" t="s">
        <v>52</v>
      </c>
      <c r="AR932" t="s">
        <v>55</v>
      </c>
    </row>
    <row r="933" spans="1:45" x14ac:dyDescent="0.25">
      <c r="A933" t="s">
        <v>47</v>
      </c>
      <c r="B933">
        <v>8</v>
      </c>
      <c r="C933" t="s">
        <v>179</v>
      </c>
      <c r="D933">
        <v>83</v>
      </c>
      <c r="E933" t="s">
        <v>58</v>
      </c>
      <c r="F933">
        <v>102</v>
      </c>
      <c r="G933" t="s">
        <v>66</v>
      </c>
      <c r="H933" t="s">
        <v>50</v>
      </c>
      <c r="K933" t="s">
        <v>52</v>
      </c>
      <c r="L933">
        <v>1</v>
      </c>
      <c r="M933" t="s">
        <v>52</v>
      </c>
      <c r="N933" t="s">
        <v>53</v>
      </c>
      <c r="R933">
        <v>0</v>
      </c>
      <c r="S933">
        <v>0.92</v>
      </c>
      <c r="T933">
        <v>0</v>
      </c>
      <c r="U933">
        <v>0</v>
      </c>
      <c r="W933" s="1">
        <v>46731</v>
      </c>
      <c r="X933" s="1">
        <v>46357</v>
      </c>
      <c r="Z933" t="s">
        <v>52</v>
      </c>
      <c r="AB933" t="s">
        <v>52</v>
      </c>
      <c r="AC933">
        <v>102</v>
      </c>
      <c r="AD933">
        <v>1</v>
      </c>
      <c r="AK933" t="s">
        <v>52</v>
      </c>
      <c r="AN933" t="s">
        <v>52</v>
      </c>
      <c r="AO933" t="s">
        <v>52</v>
      </c>
      <c r="AP933" t="s">
        <v>52</v>
      </c>
      <c r="AQ933" t="s">
        <v>52</v>
      </c>
      <c r="AR933" t="s">
        <v>55</v>
      </c>
    </row>
    <row r="934" spans="1:45" x14ac:dyDescent="0.25">
      <c r="A934" t="s">
        <v>47</v>
      </c>
      <c r="B934">
        <v>8</v>
      </c>
      <c r="C934" t="s">
        <v>179</v>
      </c>
      <c r="D934">
        <v>83</v>
      </c>
      <c r="E934" t="s">
        <v>58</v>
      </c>
      <c r="F934">
        <v>102</v>
      </c>
      <c r="G934" t="s">
        <v>118</v>
      </c>
      <c r="H934" t="s">
        <v>50</v>
      </c>
      <c r="K934" t="s">
        <v>51</v>
      </c>
      <c r="L934">
        <v>1</v>
      </c>
      <c r="M934" t="s">
        <v>52</v>
      </c>
      <c r="N934" t="s">
        <v>53</v>
      </c>
      <c r="R934">
        <v>0</v>
      </c>
      <c r="S934">
        <v>0.92</v>
      </c>
      <c r="T934">
        <v>0</v>
      </c>
      <c r="U934">
        <v>0</v>
      </c>
      <c r="W934" s="1">
        <v>46731</v>
      </c>
      <c r="X934" s="1">
        <v>46357</v>
      </c>
      <c r="Z934" t="s">
        <v>52</v>
      </c>
      <c r="AB934" t="s">
        <v>52</v>
      </c>
      <c r="AC934">
        <v>102</v>
      </c>
      <c r="AD934">
        <v>1</v>
      </c>
      <c r="AK934" t="s">
        <v>52</v>
      </c>
      <c r="AN934" t="s">
        <v>52</v>
      </c>
      <c r="AO934" t="s">
        <v>52</v>
      </c>
      <c r="AP934" t="s">
        <v>52</v>
      </c>
      <c r="AQ934" t="s">
        <v>52</v>
      </c>
      <c r="AR934" t="s">
        <v>55</v>
      </c>
    </row>
    <row r="935" spans="1:45" x14ac:dyDescent="0.25">
      <c r="A935" t="s">
        <v>47</v>
      </c>
      <c r="B935">
        <v>8</v>
      </c>
      <c r="C935" t="s">
        <v>179</v>
      </c>
      <c r="D935">
        <v>83</v>
      </c>
      <c r="E935" t="s">
        <v>58</v>
      </c>
      <c r="F935">
        <v>102</v>
      </c>
      <c r="G935" t="s">
        <v>118</v>
      </c>
      <c r="H935" t="s">
        <v>50</v>
      </c>
      <c r="K935" t="s">
        <v>52</v>
      </c>
      <c r="L935">
        <v>1</v>
      </c>
      <c r="M935" t="s">
        <v>52</v>
      </c>
      <c r="N935" t="s">
        <v>53</v>
      </c>
      <c r="R935">
        <v>0</v>
      </c>
      <c r="S935">
        <v>0.92</v>
      </c>
      <c r="T935">
        <v>0</v>
      </c>
      <c r="U935">
        <v>0</v>
      </c>
      <c r="W935" s="1">
        <v>46731</v>
      </c>
      <c r="X935" s="1">
        <v>46357</v>
      </c>
      <c r="Z935" t="s">
        <v>52</v>
      </c>
      <c r="AB935" t="s">
        <v>52</v>
      </c>
      <c r="AC935">
        <v>102</v>
      </c>
      <c r="AD935">
        <v>1</v>
      </c>
      <c r="AK935" t="s">
        <v>52</v>
      </c>
      <c r="AN935" t="s">
        <v>52</v>
      </c>
      <c r="AO935" t="s">
        <v>52</v>
      </c>
      <c r="AP935" t="s">
        <v>52</v>
      </c>
      <c r="AQ935" t="s">
        <v>52</v>
      </c>
      <c r="AR935" t="s">
        <v>55</v>
      </c>
    </row>
    <row r="936" spans="1:45" x14ac:dyDescent="0.25">
      <c r="A936" t="s">
        <v>47</v>
      </c>
      <c r="B936">
        <v>8</v>
      </c>
      <c r="C936" t="s">
        <v>179</v>
      </c>
      <c r="D936">
        <v>83</v>
      </c>
      <c r="E936" t="s">
        <v>58</v>
      </c>
      <c r="F936">
        <v>102</v>
      </c>
      <c r="G936" t="s">
        <v>67</v>
      </c>
      <c r="H936" t="s">
        <v>50</v>
      </c>
      <c r="K936" t="s">
        <v>51</v>
      </c>
      <c r="L936">
        <v>1</v>
      </c>
      <c r="M936" t="s">
        <v>52</v>
      </c>
      <c r="N936" t="s">
        <v>53</v>
      </c>
      <c r="R936">
        <v>0</v>
      </c>
      <c r="S936">
        <v>0.92</v>
      </c>
      <c r="T936">
        <v>0</v>
      </c>
      <c r="U936">
        <v>0</v>
      </c>
      <c r="W936" s="1">
        <v>46731</v>
      </c>
      <c r="X936" s="1">
        <v>46357</v>
      </c>
      <c r="Z936" t="s">
        <v>52</v>
      </c>
      <c r="AB936" t="s">
        <v>52</v>
      </c>
      <c r="AC936">
        <v>102</v>
      </c>
      <c r="AD936">
        <v>1</v>
      </c>
      <c r="AK936" t="s">
        <v>52</v>
      </c>
      <c r="AN936" t="s">
        <v>52</v>
      </c>
      <c r="AO936" t="s">
        <v>52</v>
      </c>
      <c r="AP936" t="s">
        <v>52</v>
      </c>
      <c r="AQ936" t="s">
        <v>52</v>
      </c>
      <c r="AR936" t="s">
        <v>55</v>
      </c>
    </row>
    <row r="937" spans="1:45" x14ac:dyDescent="0.25">
      <c r="A937" t="s">
        <v>47</v>
      </c>
      <c r="B937">
        <v>8</v>
      </c>
      <c r="C937" t="s">
        <v>179</v>
      </c>
      <c r="D937">
        <v>83</v>
      </c>
      <c r="E937" t="s">
        <v>58</v>
      </c>
      <c r="F937">
        <v>102</v>
      </c>
      <c r="G937" t="s">
        <v>67</v>
      </c>
      <c r="H937" t="s">
        <v>50</v>
      </c>
      <c r="K937" t="s">
        <v>52</v>
      </c>
      <c r="L937">
        <v>1</v>
      </c>
      <c r="M937" t="s">
        <v>52</v>
      </c>
      <c r="N937" t="s">
        <v>53</v>
      </c>
      <c r="R937">
        <v>0</v>
      </c>
      <c r="S937">
        <v>0.92</v>
      </c>
      <c r="T937">
        <v>0</v>
      </c>
      <c r="U937">
        <v>0</v>
      </c>
      <c r="W937" s="1">
        <v>46731</v>
      </c>
      <c r="X937" s="1">
        <v>46357</v>
      </c>
      <c r="Z937" t="s">
        <v>52</v>
      </c>
      <c r="AB937" t="s">
        <v>52</v>
      </c>
      <c r="AC937">
        <v>102</v>
      </c>
      <c r="AD937">
        <v>1</v>
      </c>
      <c r="AK937" t="s">
        <v>52</v>
      </c>
      <c r="AN937" t="s">
        <v>52</v>
      </c>
      <c r="AO937" t="s">
        <v>52</v>
      </c>
      <c r="AP937" t="s">
        <v>52</v>
      </c>
      <c r="AQ937" t="s">
        <v>52</v>
      </c>
      <c r="AR937" t="s">
        <v>55</v>
      </c>
    </row>
    <row r="938" spans="1:45" x14ac:dyDescent="0.25">
      <c r="A938" t="s">
        <v>47</v>
      </c>
      <c r="B938">
        <v>8</v>
      </c>
      <c r="C938" t="s">
        <v>179</v>
      </c>
      <c r="D938">
        <v>83</v>
      </c>
      <c r="E938" t="s">
        <v>68</v>
      </c>
      <c r="F938">
        <v>80</v>
      </c>
      <c r="G938" t="s">
        <v>69</v>
      </c>
      <c r="H938" t="s">
        <v>50</v>
      </c>
      <c r="K938" t="s">
        <v>51</v>
      </c>
      <c r="L938">
        <v>1</v>
      </c>
      <c r="M938" t="s">
        <v>52</v>
      </c>
      <c r="N938" t="s">
        <v>53</v>
      </c>
      <c r="R938">
        <v>0.5</v>
      </c>
      <c r="S938">
        <v>0.75</v>
      </c>
      <c r="T938">
        <v>0</v>
      </c>
      <c r="U938">
        <v>0</v>
      </c>
      <c r="V938" s="1">
        <v>46583</v>
      </c>
      <c r="W938" s="1">
        <v>46675</v>
      </c>
      <c r="X938" s="1">
        <v>46461</v>
      </c>
      <c r="Z938" t="s">
        <v>52</v>
      </c>
      <c r="AB938" t="s">
        <v>52</v>
      </c>
      <c r="AC938">
        <v>80</v>
      </c>
      <c r="AD938">
        <v>1</v>
      </c>
      <c r="AK938" t="s">
        <v>52</v>
      </c>
      <c r="AN938" t="s">
        <v>52</v>
      </c>
      <c r="AO938" t="s">
        <v>52</v>
      </c>
      <c r="AP938" t="s">
        <v>52</v>
      </c>
      <c r="AQ938" t="s">
        <v>52</v>
      </c>
      <c r="AR938" t="s">
        <v>55</v>
      </c>
      <c r="AS938" t="s">
        <v>88</v>
      </c>
    </row>
    <row r="939" spans="1:45" x14ac:dyDescent="0.25">
      <c r="A939" t="s">
        <v>47</v>
      </c>
      <c r="B939">
        <v>8</v>
      </c>
      <c r="C939" t="s">
        <v>179</v>
      </c>
      <c r="D939">
        <v>83</v>
      </c>
      <c r="E939" t="s">
        <v>68</v>
      </c>
      <c r="F939">
        <v>80</v>
      </c>
      <c r="G939" t="s">
        <v>69</v>
      </c>
      <c r="H939" t="s">
        <v>50</v>
      </c>
      <c r="K939" t="s">
        <v>52</v>
      </c>
      <c r="L939">
        <v>1</v>
      </c>
      <c r="M939" t="s">
        <v>52</v>
      </c>
      <c r="N939" t="s">
        <v>53</v>
      </c>
      <c r="R939">
        <v>0.5</v>
      </c>
      <c r="S939">
        <v>0.75</v>
      </c>
      <c r="T939">
        <v>0</v>
      </c>
      <c r="U939">
        <v>0</v>
      </c>
      <c r="V939" s="1">
        <v>46583</v>
      </c>
      <c r="W939" s="1">
        <v>46675</v>
      </c>
      <c r="X939" s="1">
        <v>46461</v>
      </c>
      <c r="Z939" t="s">
        <v>52</v>
      </c>
      <c r="AB939" t="s">
        <v>52</v>
      </c>
      <c r="AC939">
        <v>80</v>
      </c>
      <c r="AD939">
        <v>1</v>
      </c>
      <c r="AK939" t="s">
        <v>52</v>
      </c>
      <c r="AN939" t="s">
        <v>52</v>
      </c>
      <c r="AO939" t="s">
        <v>52</v>
      </c>
      <c r="AP939" t="s">
        <v>52</v>
      </c>
      <c r="AQ939" t="s">
        <v>52</v>
      </c>
      <c r="AR939" t="s">
        <v>55</v>
      </c>
      <c r="AS939" t="s">
        <v>88</v>
      </c>
    </row>
    <row r="940" spans="1:45" x14ac:dyDescent="0.25">
      <c r="A940" t="s">
        <v>47</v>
      </c>
      <c r="B940">
        <v>8</v>
      </c>
      <c r="C940" t="s">
        <v>179</v>
      </c>
      <c r="D940">
        <v>83</v>
      </c>
      <c r="E940" t="s">
        <v>70</v>
      </c>
      <c r="F940">
        <v>296</v>
      </c>
      <c r="G940" t="s">
        <v>71</v>
      </c>
      <c r="H940" t="s">
        <v>50</v>
      </c>
      <c r="K940" t="s">
        <v>51</v>
      </c>
      <c r="L940">
        <v>1</v>
      </c>
      <c r="M940" t="s">
        <v>52</v>
      </c>
      <c r="N940" t="s">
        <v>53</v>
      </c>
      <c r="Q940">
        <v>224.33330000000001</v>
      </c>
      <c r="R940">
        <v>0</v>
      </c>
      <c r="S940">
        <v>0.75</v>
      </c>
      <c r="T940">
        <v>0</v>
      </c>
      <c r="U940">
        <v>0</v>
      </c>
      <c r="W940" s="1">
        <v>46675</v>
      </c>
      <c r="X940" s="1">
        <v>46357</v>
      </c>
      <c r="Y940" t="s">
        <v>54</v>
      </c>
      <c r="Z940" t="s">
        <v>52</v>
      </c>
      <c r="AB940" t="s">
        <v>52</v>
      </c>
      <c r="AC940">
        <v>296</v>
      </c>
      <c r="AD940">
        <v>1</v>
      </c>
      <c r="AK940" t="s">
        <v>52</v>
      </c>
      <c r="AN940" t="s">
        <v>52</v>
      </c>
      <c r="AO940" t="s">
        <v>52</v>
      </c>
      <c r="AP940" t="s">
        <v>52</v>
      </c>
      <c r="AQ940" t="s">
        <v>52</v>
      </c>
      <c r="AR940" t="s">
        <v>55</v>
      </c>
    </row>
    <row r="941" spans="1:45" x14ac:dyDescent="0.25">
      <c r="A941" t="s">
        <v>47</v>
      </c>
      <c r="B941">
        <v>8</v>
      </c>
      <c r="C941" t="s">
        <v>179</v>
      </c>
      <c r="D941">
        <v>83</v>
      </c>
      <c r="E941" t="s">
        <v>70</v>
      </c>
      <c r="F941">
        <v>296</v>
      </c>
      <c r="G941" t="s">
        <v>71</v>
      </c>
      <c r="H941" t="s">
        <v>50</v>
      </c>
      <c r="K941" t="s">
        <v>52</v>
      </c>
      <c r="L941">
        <v>1</v>
      </c>
      <c r="M941" t="s">
        <v>52</v>
      </c>
      <c r="N941" t="s">
        <v>53</v>
      </c>
      <c r="Q941">
        <v>224.33330000000001</v>
      </c>
      <c r="R941">
        <v>0</v>
      </c>
      <c r="S941">
        <v>0.75</v>
      </c>
      <c r="T941">
        <v>0</v>
      </c>
      <c r="U941">
        <v>0</v>
      </c>
      <c r="W941" s="1">
        <v>46675</v>
      </c>
      <c r="X941" s="1">
        <v>46357</v>
      </c>
      <c r="Y941" t="s">
        <v>54</v>
      </c>
      <c r="Z941" t="s">
        <v>52</v>
      </c>
      <c r="AB941" t="s">
        <v>52</v>
      </c>
      <c r="AC941">
        <v>296</v>
      </c>
      <c r="AD941">
        <v>1</v>
      </c>
      <c r="AK941" t="s">
        <v>52</v>
      </c>
      <c r="AN941" t="s">
        <v>52</v>
      </c>
      <c r="AO941" t="s">
        <v>52</v>
      </c>
      <c r="AP941" t="s">
        <v>52</v>
      </c>
      <c r="AQ941" t="s">
        <v>52</v>
      </c>
      <c r="AR941" t="s">
        <v>55</v>
      </c>
    </row>
    <row r="942" spans="1:45" x14ac:dyDescent="0.25">
      <c r="A942" t="s">
        <v>47</v>
      </c>
      <c r="B942">
        <v>8</v>
      </c>
      <c r="C942" t="s">
        <v>179</v>
      </c>
      <c r="D942">
        <v>83</v>
      </c>
      <c r="E942" t="s">
        <v>70</v>
      </c>
      <c r="F942">
        <v>296</v>
      </c>
      <c r="G942" t="s">
        <v>72</v>
      </c>
      <c r="H942" t="s">
        <v>50</v>
      </c>
      <c r="K942" t="s">
        <v>51</v>
      </c>
      <c r="L942">
        <v>1</v>
      </c>
      <c r="M942" t="s">
        <v>52</v>
      </c>
      <c r="N942" t="s">
        <v>53</v>
      </c>
      <c r="R942">
        <v>0.5</v>
      </c>
      <c r="S942">
        <v>0.75</v>
      </c>
      <c r="T942">
        <v>0</v>
      </c>
      <c r="U942">
        <v>0</v>
      </c>
      <c r="V942" s="1">
        <v>46569</v>
      </c>
      <c r="W942" s="1">
        <v>46675</v>
      </c>
      <c r="X942" s="1">
        <v>46357</v>
      </c>
      <c r="Z942" t="s">
        <v>52</v>
      </c>
      <c r="AB942" t="s">
        <v>52</v>
      </c>
      <c r="AC942">
        <v>296</v>
      </c>
      <c r="AD942">
        <v>1</v>
      </c>
      <c r="AK942" t="s">
        <v>52</v>
      </c>
      <c r="AN942" t="s">
        <v>52</v>
      </c>
      <c r="AO942" t="s">
        <v>52</v>
      </c>
      <c r="AP942" t="s">
        <v>52</v>
      </c>
      <c r="AQ942" t="s">
        <v>52</v>
      </c>
      <c r="AR942" t="s">
        <v>55</v>
      </c>
    </row>
    <row r="943" spans="1:45" x14ac:dyDescent="0.25">
      <c r="A943" t="s">
        <v>47</v>
      </c>
      <c r="B943">
        <v>8</v>
      </c>
      <c r="C943" t="s">
        <v>179</v>
      </c>
      <c r="D943">
        <v>83</v>
      </c>
      <c r="E943" t="s">
        <v>70</v>
      </c>
      <c r="F943">
        <v>296</v>
      </c>
      <c r="G943" t="s">
        <v>72</v>
      </c>
      <c r="H943" t="s">
        <v>50</v>
      </c>
      <c r="K943" t="s">
        <v>52</v>
      </c>
      <c r="L943">
        <v>1</v>
      </c>
      <c r="M943" t="s">
        <v>52</v>
      </c>
      <c r="N943" t="s">
        <v>53</v>
      </c>
      <c r="R943">
        <v>0.5</v>
      </c>
      <c r="S943">
        <v>0.75</v>
      </c>
      <c r="T943">
        <v>0</v>
      </c>
      <c r="U943">
        <v>0</v>
      </c>
      <c r="V943" s="1">
        <v>46569</v>
      </c>
      <c r="W943" s="1">
        <v>46675</v>
      </c>
      <c r="X943" s="1">
        <v>46357</v>
      </c>
      <c r="Z943" t="s">
        <v>52</v>
      </c>
      <c r="AB943" t="s">
        <v>52</v>
      </c>
      <c r="AC943">
        <v>296</v>
      </c>
      <c r="AD943">
        <v>1</v>
      </c>
      <c r="AK943" t="s">
        <v>52</v>
      </c>
      <c r="AN943" t="s">
        <v>52</v>
      </c>
      <c r="AO943" t="s">
        <v>52</v>
      </c>
      <c r="AP943" t="s">
        <v>52</v>
      </c>
      <c r="AQ943" t="s">
        <v>52</v>
      </c>
      <c r="AR943" t="s">
        <v>55</v>
      </c>
    </row>
    <row r="944" spans="1:45" x14ac:dyDescent="0.25">
      <c r="A944" t="s">
        <v>47</v>
      </c>
      <c r="B944">
        <v>8</v>
      </c>
      <c r="C944" t="s">
        <v>179</v>
      </c>
      <c r="D944">
        <v>83</v>
      </c>
      <c r="E944" t="s">
        <v>70</v>
      </c>
      <c r="F944">
        <v>296</v>
      </c>
      <c r="G944" t="s">
        <v>73</v>
      </c>
      <c r="H944" t="s">
        <v>50</v>
      </c>
      <c r="K944" t="s">
        <v>51</v>
      </c>
      <c r="L944">
        <v>1</v>
      </c>
      <c r="M944" t="s">
        <v>52</v>
      </c>
      <c r="N944" t="s">
        <v>53</v>
      </c>
      <c r="R944">
        <v>0</v>
      </c>
      <c r="S944">
        <v>0.75</v>
      </c>
      <c r="T944">
        <v>0</v>
      </c>
      <c r="U944">
        <v>0</v>
      </c>
      <c r="W944" s="1">
        <v>46675</v>
      </c>
      <c r="X944" s="1">
        <v>46357</v>
      </c>
      <c r="Z944" t="s">
        <v>52</v>
      </c>
      <c r="AB944" t="s">
        <v>52</v>
      </c>
      <c r="AC944">
        <v>296</v>
      </c>
      <c r="AD944">
        <v>1</v>
      </c>
      <c r="AK944" t="s">
        <v>52</v>
      </c>
      <c r="AN944" t="s">
        <v>52</v>
      </c>
      <c r="AO944" t="s">
        <v>52</v>
      </c>
      <c r="AP944" t="s">
        <v>52</v>
      </c>
      <c r="AQ944" t="s">
        <v>52</v>
      </c>
      <c r="AR944" t="s">
        <v>55</v>
      </c>
    </row>
    <row r="945" spans="1:44" x14ac:dyDescent="0.25">
      <c r="A945" t="s">
        <v>47</v>
      </c>
      <c r="B945">
        <v>8</v>
      </c>
      <c r="C945" t="s">
        <v>179</v>
      </c>
      <c r="D945">
        <v>83</v>
      </c>
      <c r="E945" t="s">
        <v>70</v>
      </c>
      <c r="F945">
        <v>296</v>
      </c>
      <c r="G945" t="s">
        <v>73</v>
      </c>
      <c r="H945" t="s">
        <v>50</v>
      </c>
      <c r="K945" t="s">
        <v>52</v>
      </c>
      <c r="L945">
        <v>1</v>
      </c>
      <c r="M945" t="s">
        <v>52</v>
      </c>
      <c r="N945" t="s">
        <v>53</v>
      </c>
      <c r="R945">
        <v>0</v>
      </c>
      <c r="S945">
        <v>0.75</v>
      </c>
      <c r="T945">
        <v>0</v>
      </c>
      <c r="U945">
        <v>0</v>
      </c>
      <c r="W945" s="1">
        <v>46675</v>
      </c>
      <c r="X945" s="1">
        <v>46357</v>
      </c>
      <c r="Z945" t="s">
        <v>52</v>
      </c>
      <c r="AB945" t="s">
        <v>52</v>
      </c>
      <c r="AC945">
        <v>296</v>
      </c>
      <c r="AD945">
        <v>1</v>
      </c>
      <c r="AK945" t="s">
        <v>52</v>
      </c>
      <c r="AN945" t="s">
        <v>52</v>
      </c>
      <c r="AO945" t="s">
        <v>52</v>
      </c>
      <c r="AP945" t="s">
        <v>52</v>
      </c>
      <c r="AQ945" t="s">
        <v>52</v>
      </c>
      <c r="AR945" t="s">
        <v>55</v>
      </c>
    </row>
    <row r="946" spans="1:44" x14ac:dyDescent="0.25">
      <c r="A946" t="s">
        <v>47</v>
      </c>
      <c r="B946">
        <v>8</v>
      </c>
      <c r="C946" t="s">
        <v>179</v>
      </c>
      <c r="D946">
        <v>83</v>
      </c>
      <c r="E946" t="s">
        <v>70</v>
      </c>
      <c r="F946">
        <v>296</v>
      </c>
      <c r="G946" t="s">
        <v>74</v>
      </c>
      <c r="H946" t="s">
        <v>50</v>
      </c>
      <c r="K946" t="s">
        <v>51</v>
      </c>
      <c r="L946">
        <v>1</v>
      </c>
      <c r="M946" t="s">
        <v>52</v>
      </c>
      <c r="N946" t="s">
        <v>53</v>
      </c>
      <c r="R946">
        <v>0</v>
      </c>
      <c r="S946">
        <v>0.75</v>
      </c>
      <c r="T946">
        <v>0</v>
      </c>
      <c r="U946">
        <v>0</v>
      </c>
      <c r="W946" s="1">
        <v>46675</v>
      </c>
      <c r="X946" s="1">
        <v>46357</v>
      </c>
      <c r="Z946" t="s">
        <v>52</v>
      </c>
      <c r="AB946" t="s">
        <v>52</v>
      </c>
      <c r="AC946">
        <v>102</v>
      </c>
      <c r="AD946">
        <v>1</v>
      </c>
      <c r="AK946" t="s">
        <v>52</v>
      </c>
      <c r="AN946" t="s">
        <v>52</v>
      </c>
      <c r="AO946" t="s">
        <v>52</v>
      </c>
      <c r="AP946" t="s">
        <v>52</v>
      </c>
      <c r="AQ946" t="s">
        <v>52</v>
      </c>
      <c r="AR946" t="s">
        <v>55</v>
      </c>
    </row>
    <row r="947" spans="1:44" x14ac:dyDescent="0.25">
      <c r="A947" t="s">
        <v>47</v>
      </c>
      <c r="B947">
        <v>8</v>
      </c>
      <c r="C947" t="s">
        <v>179</v>
      </c>
      <c r="D947">
        <v>83</v>
      </c>
      <c r="E947" t="s">
        <v>70</v>
      </c>
      <c r="F947">
        <v>296</v>
      </c>
      <c r="G947" t="s">
        <v>74</v>
      </c>
      <c r="H947" t="s">
        <v>50</v>
      </c>
      <c r="K947" t="s">
        <v>52</v>
      </c>
      <c r="L947">
        <v>1</v>
      </c>
      <c r="M947" t="s">
        <v>52</v>
      </c>
      <c r="N947" t="s">
        <v>53</v>
      </c>
      <c r="R947">
        <v>0</v>
      </c>
      <c r="S947">
        <v>0.75</v>
      </c>
      <c r="T947">
        <v>0</v>
      </c>
      <c r="U947">
        <v>0</v>
      </c>
      <c r="W947" s="1">
        <v>46675</v>
      </c>
      <c r="X947" s="1">
        <v>46357</v>
      </c>
      <c r="Z947" t="s">
        <v>52</v>
      </c>
      <c r="AB947" t="s">
        <v>52</v>
      </c>
      <c r="AC947">
        <v>102</v>
      </c>
      <c r="AD947">
        <v>1</v>
      </c>
      <c r="AK947" t="s">
        <v>52</v>
      </c>
      <c r="AN947" t="s">
        <v>52</v>
      </c>
      <c r="AO947" t="s">
        <v>52</v>
      </c>
      <c r="AP947" t="s">
        <v>52</v>
      </c>
      <c r="AQ947" t="s">
        <v>52</v>
      </c>
      <c r="AR947" t="s">
        <v>55</v>
      </c>
    </row>
    <row r="948" spans="1:44" x14ac:dyDescent="0.25">
      <c r="A948" t="s">
        <v>47</v>
      </c>
      <c r="B948">
        <v>8</v>
      </c>
      <c r="C948" t="s">
        <v>179</v>
      </c>
      <c r="D948">
        <v>83</v>
      </c>
      <c r="E948" t="s">
        <v>70</v>
      </c>
      <c r="F948">
        <v>296</v>
      </c>
      <c r="G948" t="s">
        <v>129</v>
      </c>
      <c r="H948" t="s">
        <v>50</v>
      </c>
      <c r="K948" t="s">
        <v>51</v>
      </c>
      <c r="L948">
        <v>1</v>
      </c>
      <c r="M948" t="s">
        <v>52</v>
      </c>
      <c r="N948" t="s">
        <v>53</v>
      </c>
      <c r="R948">
        <v>0</v>
      </c>
      <c r="S948">
        <v>0.75</v>
      </c>
      <c r="T948">
        <v>0</v>
      </c>
      <c r="U948">
        <v>0</v>
      </c>
      <c r="W948" s="1">
        <v>46675</v>
      </c>
      <c r="X948" s="1">
        <v>46357</v>
      </c>
      <c r="Z948" t="s">
        <v>52</v>
      </c>
      <c r="AB948" t="s">
        <v>52</v>
      </c>
      <c r="AC948">
        <v>102</v>
      </c>
      <c r="AD948">
        <v>1</v>
      </c>
      <c r="AK948" t="s">
        <v>52</v>
      </c>
      <c r="AN948" t="s">
        <v>52</v>
      </c>
      <c r="AO948" t="s">
        <v>52</v>
      </c>
      <c r="AP948" t="s">
        <v>52</v>
      </c>
      <c r="AQ948" t="s">
        <v>52</v>
      </c>
      <c r="AR948" t="s">
        <v>55</v>
      </c>
    </row>
    <row r="949" spans="1:44" x14ac:dyDescent="0.25">
      <c r="A949" t="s">
        <v>47</v>
      </c>
      <c r="B949">
        <v>8</v>
      </c>
      <c r="C949" t="s">
        <v>179</v>
      </c>
      <c r="D949">
        <v>83</v>
      </c>
      <c r="E949" t="s">
        <v>70</v>
      </c>
      <c r="F949">
        <v>296</v>
      </c>
      <c r="G949" t="s">
        <v>129</v>
      </c>
      <c r="H949" t="s">
        <v>50</v>
      </c>
      <c r="K949" t="s">
        <v>52</v>
      </c>
      <c r="L949">
        <v>1</v>
      </c>
      <c r="M949" t="s">
        <v>52</v>
      </c>
      <c r="N949" t="s">
        <v>53</v>
      </c>
      <c r="R949">
        <v>0</v>
      </c>
      <c r="S949">
        <v>0.75</v>
      </c>
      <c r="T949">
        <v>0</v>
      </c>
      <c r="U949">
        <v>0</v>
      </c>
      <c r="W949" s="1">
        <v>46675</v>
      </c>
      <c r="X949" s="1">
        <v>46357</v>
      </c>
      <c r="Z949" t="s">
        <v>52</v>
      </c>
      <c r="AB949" t="s">
        <v>52</v>
      </c>
      <c r="AC949">
        <v>102</v>
      </c>
      <c r="AD949">
        <v>1</v>
      </c>
      <c r="AK949" t="s">
        <v>52</v>
      </c>
      <c r="AN949" t="s">
        <v>52</v>
      </c>
      <c r="AO949" t="s">
        <v>52</v>
      </c>
      <c r="AP949" t="s">
        <v>52</v>
      </c>
      <c r="AQ949" t="s">
        <v>52</v>
      </c>
      <c r="AR949" t="s">
        <v>55</v>
      </c>
    </row>
    <row r="950" spans="1:44" x14ac:dyDescent="0.25">
      <c r="A950" t="s">
        <v>47</v>
      </c>
      <c r="B950">
        <v>8</v>
      </c>
      <c r="C950" t="s">
        <v>179</v>
      </c>
      <c r="D950">
        <v>83</v>
      </c>
      <c r="E950" t="s">
        <v>70</v>
      </c>
      <c r="F950">
        <v>296</v>
      </c>
      <c r="G950" t="s">
        <v>89</v>
      </c>
      <c r="H950" t="s">
        <v>50</v>
      </c>
      <c r="K950" t="s">
        <v>51</v>
      </c>
      <c r="L950">
        <v>1</v>
      </c>
      <c r="M950" t="s">
        <v>52</v>
      </c>
      <c r="N950" t="s">
        <v>53</v>
      </c>
      <c r="R950">
        <v>0.25</v>
      </c>
      <c r="S950">
        <v>0.75</v>
      </c>
      <c r="U950">
        <v>0</v>
      </c>
      <c r="V950" s="1">
        <v>46569</v>
      </c>
      <c r="W950" s="1">
        <v>46675</v>
      </c>
      <c r="X950" s="1">
        <v>46357</v>
      </c>
      <c r="Z950" t="s">
        <v>52</v>
      </c>
      <c r="AB950" t="s">
        <v>52</v>
      </c>
      <c r="AC950">
        <v>102</v>
      </c>
      <c r="AD950">
        <v>1</v>
      </c>
      <c r="AK950" t="s">
        <v>52</v>
      </c>
      <c r="AN950" t="s">
        <v>52</v>
      </c>
      <c r="AO950" t="s">
        <v>52</v>
      </c>
      <c r="AP950" t="s">
        <v>52</v>
      </c>
      <c r="AQ950" t="s">
        <v>52</v>
      </c>
      <c r="AR950" t="s">
        <v>55</v>
      </c>
    </row>
    <row r="951" spans="1:44" x14ac:dyDescent="0.25">
      <c r="A951" t="s">
        <v>47</v>
      </c>
      <c r="B951">
        <v>8</v>
      </c>
      <c r="C951" t="s">
        <v>179</v>
      </c>
      <c r="D951">
        <v>83</v>
      </c>
      <c r="E951" t="s">
        <v>70</v>
      </c>
      <c r="F951">
        <v>296</v>
      </c>
      <c r="G951" t="s">
        <v>122</v>
      </c>
      <c r="H951" t="s">
        <v>50</v>
      </c>
      <c r="K951" t="s">
        <v>51</v>
      </c>
      <c r="L951">
        <v>1</v>
      </c>
      <c r="M951" t="s">
        <v>52</v>
      </c>
      <c r="N951" t="s">
        <v>53</v>
      </c>
      <c r="R951">
        <v>0</v>
      </c>
      <c r="S951">
        <v>0.75</v>
      </c>
      <c r="T951">
        <v>0</v>
      </c>
      <c r="U951">
        <v>0</v>
      </c>
      <c r="W951" s="1">
        <v>46675</v>
      </c>
      <c r="X951" s="1">
        <v>46357</v>
      </c>
      <c r="Z951" t="s">
        <v>52</v>
      </c>
      <c r="AB951" t="s">
        <v>52</v>
      </c>
      <c r="AC951">
        <v>102</v>
      </c>
      <c r="AD951">
        <v>1</v>
      </c>
      <c r="AK951" t="s">
        <v>52</v>
      </c>
      <c r="AN951" t="s">
        <v>52</v>
      </c>
      <c r="AO951" t="s">
        <v>52</v>
      </c>
      <c r="AP951" t="s">
        <v>52</v>
      </c>
      <c r="AQ951" t="s">
        <v>52</v>
      </c>
      <c r="AR951" t="s">
        <v>55</v>
      </c>
    </row>
    <row r="952" spans="1:44" x14ac:dyDescent="0.25">
      <c r="A952" t="s">
        <v>47</v>
      </c>
      <c r="B952">
        <v>8</v>
      </c>
      <c r="C952" t="s">
        <v>179</v>
      </c>
      <c r="D952">
        <v>83</v>
      </c>
      <c r="E952" t="s">
        <v>70</v>
      </c>
      <c r="F952">
        <v>296</v>
      </c>
      <c r="G952" t="s">
        <v>122</v>
      </c>
      <c r="H952" t="s">
        <v>50</v>
      </c>
      <c r="K952" t="s">
        <v>52</v>
      </c>
      <c r="L952">
        <v>1</v>
      </c>
      <c r="M952" t="s">
        <v>52</v>
      </c>
      <c r="N952" t="s">
        <v>53</v>
      </c>
      <c r="R952">
        <v>0</v>
      </c>
      <c r="S952">
        <v>0.75</v>
      </c>
      <c r="T952">
        <v>0</v>
      </c>
      <c r="U952">
        <v>0</v>
      </c>
      <c r="W952" s="1">
        <v>46675</v>
      </c>
      <c r="X952" s="1">
        <v>46357</v>
      </c>
      <c r="Z952" t="s">
        <v>52</v>
      </c>
      <c r="AB952" t="s">
        <v>52</v>
      </c>
      <c r="AC952">
        <v>102</v>
      </c>
      <c r="AD952">
        <v>1</v>
      </c>
      <c r="AK952" t="s">
        <v>52</v>
      </c>
      <c r="AN952" t="s">
        <v>52</v>
      </c>
      <c r="AO952" t="s">
        <v>52</v>
      </c>
      <c r="AP952" t="s">
        <v>52</v>
      </c>
      <c r="AQ952" t="s">
        <v>52</v>
      </c>
      <c r="AR952" t="s">
        <v>55</v>
      </c>
    </row>
    <row r="953" spans="1:44" x14ac:dyDescent="0.25">
      <c r="A953" t="s">
        <v>47</v>
      </c>
      <c r="B953">
        <v>8</v>
      </c>
      <c r="C953" t="s">
        <v>179</v>
      </c>
      <c r="D953">
        <v>83</v>
      </c>
      <c r="E953" t="s">
        <v>70</v>
      </c>
      <c r="F953">
        <v>296</v>
      </c>
      <c r="G953" t="s">
        <v>90</v>
      </c>
      <c r="H953" t="s">
        <v>50</v>
      </c>
      <c r="K953" t="s">
        <v>51</v>
      </c>
      <c r="L953">
        <v>1</v>
      </c>
      <c r="M953" t="s">
        <v>52</v>
      </c>
      <c r="N953" t="s">
        <v>53</v>
      </c>
      <c r="R953">
        <v>0.5</v>
      </c>
      <c r="S953">
        <v>0.75</v>
      </c>
      <c r="T953">
        <v>0</v>
      </c>
      <c r="U953">
        <v>0</v>
      </c>
      <c r="V953" s="1">
        <v>46569</v>
      </c>
      <c r="W953" s="1">
        <v>46675</v>
      </c>
      <c r="X953" s="1">
        <v>46357</v>
      </c>
      <c r="Z953" t="s">
        <v>52</v>
      </c>
      <c r="AB953" t="s">
        <v>52</v>
      </c>
      <c r="AC953">
        <v>102</v>
      </c>
      <c r="AD953">
        <v>1</v>
      </c>
      <c r="AK953" t="s">
        <v>52</v>
      </c>
      <c r="AN953" t="s">
        <v>52</v>
      </c>
      <c r="AO953" t="s">
        <v>52</v>
      </c>
      <c r="AP953" t="s">
        <v>52</v>
      </c>
      <c r="AQ953" t="s">
        <v>52</v>
      </c>
      <c r="AR953" t="s">
        <v>55</v>
      </c>
    </row>
    <row r="954" spans="1:44" x14ac:dyDescent="0.25">
      <c r="A954" t="s">
        <v>47</v>
      </c>
      <c r="B954">
        <v>8</v>
      </c>
      <c r="C954" t="s">
        <v>179</v>
      </c>
      <c r="D954">
        <v>83</v>
      </c>
      <c r="E954" t="s">
        <v>70</v>
      </c>
      <c r="F954">
        <v>296</v>
      </c>
      <c r="G954" t="s">
        <v>90</v>
      </c>
      <c r="H954" t="s">
        <v>50</v>
      </c>
      <c r="K954" t="s">
        <v>52</v>
      </c>
      <c r="L954">
        <v>1</v>
      </c>
      <c r="M954" t="s">
        <v>52</v>
      </c>
      <c r="N954" t="s">
        <v>53</v>
      </c>
      <c r="R954">
        <v>0.5</v>
      </c>
      <c r="S954">
        <v>0.75</v>
      </c>
      <c r="T954">
        <v>0</v>
      </c>
      <c r="U954">
        <v>0</v>
      </c>
      <c r="V954" s="1">
        <v>46569</v>
      </c>
      <c r="W954" s="1">
        <v>46675</v>
      </c>
      <c r="X954" s="1">
        <v>46357</v>
      </c>
      <c r="Z954" t="s">
        <v>52</v>
      </c>
      <c r="AB954" t="s">
        <v>52</v>
      </c>
      <c r="AC954">
        <v>102</v>
      </c>
      <c r="AD954">
        <v>1</v>
      </c>
      <c r="AK954" t="s">
        <v>52</v>
      </c>
      <c r="AN954" t="s">
        <v>52</v>
      </c>
      <c r="AO954" t="s">
        <v>52</v>
      </c>
      <c r="AP954" t="s">
        <v>52</v>
      </c>
      <c r="AQ954" t="s">
        <v>52</v>
      </c>
      <c r="AR954" t="s">
        <v>55</v>
      </c>
    </row>
    <row r="955" spans="1:44" x14ac:dyDescent="0.25">
      <c r="A955" t="s">
        <v>47</v>
      </c>
      <c r="B955">
        <v>8</v>
      </c>
      <c r="C955" t="s">
        <v>179</v>
      </c>
      <c r="D955">
        <v>83</v>
      </c>
      <c r="E955" t="s">
        <v>70</v>
      </c>
      <c r="F955">
        <v>296</v>
      </c>
      <c r="G955" t="s">
        <v>91</v>
      </c>
      <c r="H955" t="s">
        <v>50</v>
      </c>
      <c r="K955" t="s">
        <v>51</v>
      </c>
      <c r="L955">
        <v>1</v>
      </c>
      <c r="M955" t="s">
        <v>52</v>
      </c>
      <c r="N955" t="s">
        <v>53</v>
      </c>
      <c r="R955">
        <v>0.5</v>
      </c>
      <c r="S955">
        <v>0.75</v>
      </c>
      <c r="T955">
        <v>0</v>
      </c>
      <c r="U955">
        <v>0</v>
      </c>
      <c r="V955" s="1">
        <v>46569</v>
      </c>
      <c r="W955" s="1">
        <v>46675</v>
      </c>
      <c r="X955" s="1">
        <v>46357</v>
      </c>
      <c r="Z955" t="s">
        <v>52</v>
      </c>
      <c r="AB955" t="s">
        <v>52</v>
      </c>
      <c r="AC955">
        <v>102</v>
      </c>
      <c r="AD955">
        <v>1</v>
      </c>
      <c r="AK955" t="s">
        <v>52</v>
      </c>
      <c r="AN955" t="s">
        <v>52</v>
      </c>
      <c r="AO955" t="s">
        <v>52</v>
      </c>
      <c r="AP955" t="s">
        <v>52</v>
      </c>
      <c r="AQ955" t="s">
        <v>52</v>
      </c>
      <c r="AR955" t="s">
        <v>55</v>
      </c>
    </row>
    <row r="956" spans="1:44" x14ac:dyDescent="0.25">
      <c r="A956" t="s">
        <v>47</v>
      </c>
      <c r="B956">
        <v>8</v>
      </c>
      <c r="C956" t="s">
        <v>179</v>
      </c>
      <c r="D956">
        <v>83</v>
      </c>
      <c r="E956" t="s">
        <v>70</v>
      </c>
      <c r="F956">
        <v>296</v>
      </c>
      <c r="G956" t="s">
        <v>91</v>
      </c>
      <c r="H956" t="s">
        <v>50</v>
      </c>
      <c r="K956" t="s">
        <v>52</v>
      </c>
      <c r="L956">
        <v>1</v>
      </c>
      <c r="M956" t="s">
        <v>52</v>
      </c>
      <c r="N956" t="s">
        <v>53</v>
      </c>
      <c r="R956">
        <v>0.5</v>
      </c>
      <c r="S956">
        <v>0.75</v>
      </c>
      <c r="T956">
        <v>0</v>
      </c>
      <c r="U956">
        <v>0</v>
      </c>
      <c r="V956" s="1">
        <v>46569</v>
      </c>
      <c r="W956" s="1">
        <v>46675</v>
      </c>
      <c r="X956" s="1">
        <v>46357</v>
      </c>
      <c r="Z956" t="s">
        <v>52</v>
      </c>
      <c r="AB956" t="s">
        <v>52</v>
      </c>
      <c r="AC956">
        <v>102</v>
      </c>
      <c r="AD956">
        <v>1</v>
      </c>
      <c r="AK956" t="s">
        <v>52</v>
      </c>
      <c r="AN956" t="s">
        <v>52</v>
      </c>
      <c r="AO956" t="s">
        <v>52</v>
      </c>
      <c r="AP956" t="s">
        <v>52</v>
      </c>
      <c r="AQ956" t="s">
        <v>52</v>
      </c>
      <c r="AR956" t="s">
        <v>55</v>
      </c>
    </row>
    <row r="957" spans="1:44" x14ac:dyDescent="0.25">
      <c r="A957" t="s">
        <v>47</v>
      </c>
      <c r="B957">
        <v>8</v>
      </c>
      <c r="C957" t="s">
        <v>179</v>
      </c>
      <c r="D957">
        <v>83</v>
      </c>
      <c r="E957" t="s">
        <v>70</v>
      </c>
      <c r="F957">
        <v>296</v>
      </c>
      <c r="G957" t="s">
        <v>124</v>
      </c>
      <c r="H957" t="s">
        <v>50</v>
      </c>
      <c r="K957" t="s">
        <v>51</v>
      </c>
      <c r="L957">
        <v>1</v>
      </c>
      <c r="M957" t="s">
        <v>52</v>
      </c>
      <c r="N957" t="s">
        <v>53</v>
      </c>
      <c r="R957">
        <v>0</v>
      </c>
      <c r="S957">
        <v>0.75</v>
      </c>
      <c r="T957">
        <v>0</v>
      </c>
      <c r="U957">
        <v>0</v>
      </c>
      <c r="W957" s="1">
        <v>46675</v>
      </c>
      <c r="X957" s="1">
        <v>46357</v>
      </c>
      <c r="Z957" t="s">
        <v>52</v>
      </c>
      <c r="AB957" t="s">
        <v>52</v>
      </c>
      <c r="AC957">
        <v>102</v>
      </c>
      <c r="AD957">
        <v>1</v>
      </c>
      <c r="AK957" t="s">
        <v>52</v>
      </c>
      <c r="AN957" t="s">
        <v>52</v>
      </c>
      <c r="AO957" t="s">
        <v>52</v>
      </c>
      <c r="AP957" t="s">
        <v>52</v>
      </c>
      <c r="AQ957" t="s">
        <v>52</v>
      </c>
      <c r="AR957" t="s">
        <v>55</v>
      </c>
    </row>
    <row r="958" spans="1:44" x14ac:dyDescent="0.25">
      <c r="A958" t="s">
        <v>47</v>
      </c>
      <c r="B958">
        <v>8</v>
      </c>
      <c r="C958" t="s">
        <v>179</v>
      </c>
      <c r="D958">
        <v>83</v>
      </c>
      <c r="E958" t="s">
        <v>70</v>
      </c>
      <c r="F958">
        <v>296</v>
      </c>
      <c r="G958" t="s">
        <v>124</v>
      </c>
      <c r="H958" t="s">
        <v>50</v>
      </c>
      <c r="K958" t="s">
        <v>52</v>
      </c>
      <c r="L958">
        <v>1</v>
      </c>
      <c r="M958" t="s">
        <v>52</v>
      </c>
      <c r="N958" t="s">
        <v>53</v>
      </c>
      <c r="R958">
        <v>0</v>
      </c>
      <c r="S958">
        <v>0.75</v>
      </c>
      <c r="T958">
        <v>0</v>
      </c>
      <c r="U958">
        <v>0</v>
      </c>
      <c r="W958" s="1">
        <v>46675</v>
      </c>
      <c r="X958" s="1">
        <v>46357</v>
      </c>
      <c r="Z958" t="s">
        <v>52</v>
      </c>
      <c r="AB958" t="s">
        <v>52</v>
      </c>
      <c r="AC958">
        <v>102</v>
      </c>
      <c r="AD958">
        <v>1</v>
      </c>
      <c r="AK958" t="s">
        <v>52</v>
      </c>
      <c r="AN958" t="s">
        <v>52</v>
      </c>
      <c r="AO958" t="s">
        <v>52</v>
      </c>
      <c r="AP958" t="s">
        <v>52</v>
      </c>
      <c r="AQ958" t="s">
        <v>52</v>
      </c>
      <c r="AR958" t="s">
        <v>55</v>
      </c>
    </row>
    <row r="959" spans="1:44" x14ac:dyDescent="0.25">
      <c r="A959" t="s">
        <v>47</v>
      </c>
      <c r="B959">
        <v>8</v>
      </c>
      <c r="C959" t="s">
        <v>179</v>
      </c>
      <c r="D959">
        <v>83</v>
      </c>
      <c r="E959" t="s">
        <v>70</v>
      </c>
      <c r="F959">
        <v>296</v>
      </c>
      <c r="G959" t="s">
        <v>92</v>
      </c>
      <c r="H959" t="s">
        <v>50</v>
      </c>
      <c r="K959" t="s">
        <v>51</v>
      </c>
      <c r="L959">
        <v>1</v>
      </c>
      <c r="M959" t="s">
        <v>52</v>
      </c>
      <c r="N959" t="s">
        <v>53</v>
      </c>
      <c r="R959">
        <v>0.5</v>
      </c>
      <c r="S959">
        <v>0.75</v>
      </c>
      <c r="T959">
        <v>0</v>
      </c>
      <c r="U959">
        <v>0</v>
      </c>
      <c r="V959" s="1">
        <v>46569</v>
      </c>
      <c r="W959" s="1">
        <v>46675</v>
      </c>
      <c r="X959" s="1">
        <v>46357</v>
      </c>
      <c r="Z959" t="s">
        <v>52</v>
      </c>
      <c r="AB959" t="s">
        <v>52</v>
      </c>
      <c r="AC959">
        <v>102</v>
      </c>
      <c r="AD959">
        <v>1</v>
      </c>
      <c r="AK959" t="s">
        <v>52</v>
      </c>
      <c r="AN959" t="s">
        <v>52</v>
      </c>
      <c r="AO959" t="s">
        <v>52</v>
      </c>
      <c r="AP959" t="s">
        <v>52</v>
      </c>
      <c r="AQ959" t="s">
        <v>52</v>
      </c>
      <c r="AR959" t="s">
        <v>55</v>
      </c>
    </row>
    <row r="960" spans="1:44" x14ac:dyDescent="0.25">
      <c r="A960" t="s">
        <v>47</v>
      </c>
      <c r="B960">
        <v>8</v>
      </c>
      <c r="C960" t="s">
        <v>179</v>
      </c>
      <c r="D960">
        <v>83</v>
      </c>
      <c r="E960" t="s">
        <v>70</v>
      </c>
      <c r="F960">
        <v>296</v>
      </c>
      <c r="G960" t="s">
        <v>92</v>
      </c>
      <c r="H960" t="s">
        <v>50</v>
      </c>
      <c r="K960" t="s">
        <v>52</v>
      </c>
      <c r="L960">
        <v>1</v>
      </c>
      <c r="M960" t="s">
        <v>52</v>
      </c>
      <c r="N960" t="s">
        <v>53</v>
      </c>
      <c r="R960">
        <v>0.5</v>
      </c>
      <c r="S960">
        <v>0.75</v>
      </c>
      <c r="T960">
        <v>0</v>
      </c>
      <c r="U960">
        <v>0</v>
      </c>
      <c r="V960" s="1">
        <v>46569</v>
      </c>
      <c r="W960" s="1">
        <v>46675</v>
      </c>
      <c r="X960" s="1">
        <v>46357</v>
      </c>
      <c r="Z960" t="s">
        <v>52</v>
      </c>
      <c r="AB960" t="s">
        <v>52</v>
      </c>
      <c r="AC960">
        <v>102</v>
      </c>
      <c r="AD960">
        <v>1</v>
      </c>
      <c r="AK960" t="s">
        <v>52</v>
      </c>
      <c r="AN960" t="s">
        <v>52</v>
      </c>
      <c r="AO960" t="s">
        <v>52</v>
      </c>
      <c r="AP960" t="s">
        <v>52</v>
      </c>
      <c r="AQ960" t="s">
        <v>52</v>
      </c>
      <c r="AR960" t="s">
        <v>55</v>
      </c>
    </row>
    <row r="961" spans="1:45" x14ac:dyDescent="0.25">
      <c r="A961" t="s">
        <v>47</v>
      </c>
      <c r="B961">
        <v>8</v>
      </c>
      <c r="C961" t="s">
        <v>179</v>
      </c>
      <c r="D961">
        <v>83</v>
      </c>
      <c r="E961" t="s">
        <v>70</v>
      </c>
      <c r="F961">
        <v>296</v>
      </c>
      <c r="G961" t="s">
        <v>116</v>
      </c>
      <c r="H961" t="s">
        <v>50</v>
      </c>
      <c r="K961" t="s">
        <v>51</v>
      </c>
      <c r="L961">
        <v>1</v>
      </c>
      <c r="M961" t="s">
        <v>52</v>
      </c>
      <c r="N961" t="s">
        <v>53</v>
      </c>
      <c r="R961">
        <v>0.5</v>
      </c>
      <c r="S961">
        <v>0.75</v>
      </c>
      <c r="T961">
        <v>0</v>
      </c>
      <c r="U961">
        <v>0</v>
      </c>
      <c r="V961" s="1">
        <v>46569</v>
      </c>
      <c r="W961" s="1">
        <v>46675</v>
      </c>
      <c r="X961" s="1">
        <v>46357</v>
      </c>
      <c r="Z961" t="s">
        <v>52</v>
      </c>
      <c r="AB961" t="s">
        <v>52</v>
      </c>
      <c r="AC961">
        <v>102</v>
      </c>
      <c r="AD961">
        <v>1</v>
      </c>
      <c r="AK961" t="s">
        <v>52</v>
      </c>
      <c r="AN961" t="s">
        <v>52</v>
      </c>
      <c r="AO961" t="s">
        <v>52</v>
      </c>
      <c r="AP961" t="s">
        <v>52</v>
      </c>
      <c r="AQ961" t="s">
        <v>52</v>
      </c>
      <c r="AR961" t="s">
        <v>55</v>
      </c>
    </row>
    <row r="962" spans="1:45" x14ac:dyDescent="0.25">
      <c r="A962" t="s">
        <v>47</v>
      </c>
      <c r="B962">
        <v>8</v>
      </c>
      <c r="C962" t="s">
        <v>179</v>
      </c>
      <c r="D962">
        <v>83</v>
      </c>
      <c r="E962" t="s">
        <v>70</v>
      </c>
      <c r="F962">
        <v>296</v>
      </c>
      <c r="G962" t="s">
        <v>116</v>
      </c>
      <c r="H962" t="s">
        <v>50</v>
      </c>
      <c r="K962" t="s">
        <v>52</v>
      </c>
      <c r="L962">
        <v>1</v>
      </c>
      <c r="M962" t="s">
        <v>52</v>
      </c>
      <c r="N962" t="s">
        <v>53</v>
      </c>
      <c r="R962">
        <v>0.5</v>
      </c>
      <c r="S962">
        <v>0.75</v>
      </c>
      <c r="T962">
        <v>0</v>
      </c>
      <c r="U962">
        <v>0</v>
      </c>
      <c r="V962" s="1">
        <v>46569</v>
      </c>
      <c r="W962" s="1">
        <v>46675</v>
      </c>
      <c r="X962" s="1">
        <v>46357</v>
      </c>
      <c r="Z962" t="s">
        <v>52</v>
      </c>
      <c r="AB962" t="s">
        <v>52</v>
      </c>
      <c r="AC962">
        <v>102</v>
      </c>
      <c r="AD962">
        <v>1</v>
      </c>
      <c r="AK962" t="s">
        <v>52</v>
      </c>
      <c r="AN962" t="s">
        <v>52</v>
      </c>
      <c r="AO962" t="s">
        <v>52</v>
      </c>
      <c r="AP962" t="s">
        <v>52</v>
      </c>
      <c r="AQ962" t="s">
        <v>52</v>
      </c>
      <c r="AR962" t="s">
        <v>55</v>
      </c>
    </row>
    <row r="963" spans="1:45" x14ac:dyDescent="0.25">
      <c r="A963" t="s">
        <v>47</v>
      </c>
      <c r="B963">
        <v>8</v>
      </c>
      <c r="C963" t="s">
        <v>179</v>
      </c>
      <c r="D963">
        <v>83</v>
      </c>
      <c r="E963" t="s">
        <v>75</v>
      </c>
      <c r="F963">
        <v>16</v>
      </c>
      <c r="G963" t="s">
        <v>76</v>
      </c>
      <c r="H963" t="s">
        <v>50</v>
      </c>
      <c r="K963" t="s">
        <v>51</v>
      </c>
      <c r="L963">
        <v>1</v>
      </c>
      <c r="M963" t="s">
        <v>52</v>
      </c>
      <c r="N963" t="s">
        <v>53</v>
      </c>
      <c r="R963">
        <v>0.5</v>
      </c>
      <c r="S963">
        <v>0.75</v>
      </c>
      <c r="T963">
        <v>0</v>
      </c>
      <c r="U963">
        <v>0</v>
      </c>
      <c r="V963" s="1">
        <v>46532</v>
      </c>
      <c r="W963" s="1">
        <v>46691</v>
      </c>
      <c r="X963" s="1">
        <v>46461</v>
      </c>
      <c r="Z963" t="s">
        <v>52</v>
      </c>
      <c r="AB963" t="s">
        <v>52</v>
      </c>
      <c r="AC963">
        <v>16</v>
      </c>
      <c r="AD963">
        <v>2</v>
      </c>
      <c r="AK963" t="s">
        <v>52</v>
      </c>
      <c r="AN963" t="s">
        <v>52</v>
      </c>
      <c r="AO963" t="s">
        <v>52</v>
      </c>
      <c r="AP963" t="s">
        <v>52</v>
      </c>
      <c r="AQ963" t="s">
        <v>52</v>
      </c>
      <c r="AR963" t="s">
        <v>55</v>
      </c>
    </row>
    <row r="964" spans="1:45" x14ac:dyDescent="0.25">
      <c r="A964" t="s">
        <v>47</v>
      </c>
      <c r="B964">
        <v>8</v>
      </c>
      <c r="C964" t="s">
        <v>179</v>
      </c>
      <c r="D964">
        <v>83</v>
      </c>
      <c r="E964" t="s">
        <v>75</v>
      </c>
      <c r="F964">
        <v>16</v>
      </c>
      <c r="G964" t="s">
        <v>76</v>
      </c>
      <c r="H964" t="s">
        <v>50</v>
      </c>
      <c r="K964" t="s">
        <v>52</v>
      </c>
      <c r="L964">
        <v>1</v>
      </c>
      <c r="M964" t="s">
        <v>52</v>
      </c>
      <c r="N964" t="s">
        <v>53</v>
      </c>
      <c r="R964">
        <v>0.5</v>
      </c>
      <c r="S964">
        <v>0.75</v>
      </c>
      <c r="T964">
        <v>0</v>
      </c>
      <c r="U964">
        <v>0</v>
      </c>
      <c r="V964" s="1">
        <v>46532</v>
      </c>
      <c r="W964" s="1">
        <v>46691</v>
      </c>
      <c r="X964" s="1">
        <v>46461</v>
      </c>
      <c r="Z964" t="s">
        <v>52</v>
      </c>
      <c r="AB964" t="s">
        <v>52</v>
      </c>
      <c r="AC964">
        <v>16</v>
      </c>
      <c r="AD964">
        <v>2</v>
      </c>
      <c r="AK964" t="s">
        <v>52</v>
      </c>
      <c r="AN964" t="s">
        <v>52</v>
      </c>
      <c r="AO964" t="s">
        <v>52</v>
      </c>
      <c r="AP964" t="s">
        <v>52</v>
      </c>
      <c r="AQ964" t="s">
        <v>52</v>
      </c>
      <c r="AR964" t="s">
        <v>55</v>
      </c>
    </row>
    <row r="965" spans="1:45" x14ac:dyDescent="0.25">
      <c r="A965" t="s">
        <v>47</v>
      </c>
      <c r="B965">
        <v>8</v>
      </c>
      <c r="C965" t="s">
        <v>179</v>
      </c>
      <c r="D965">
        <v>83</v>
      </c>
      <c r="E965" t="s">
        <v>94</v>
      </c>
      <c r="F965">
        <v>26</v>
      </c>
      <c r="H965" t="s">
        <v>50</v>
      </c>
      <c r="K965" t="s">
        <v>51</v>
      </c>
      <c r="L965">
        <v>1</v>
      </c>
      <c r="M965" t="s">
        <v>52</v>
      </c>
      <c r="N965" t="s">
        <v>53</v>
      </c>
      <c r="R965">
        <v>0</v>
      </c>
      <c r="S965">
        <v>0.92</v>
      </c>
      <c r="U965">
        <v>0</v>
      </c>
      <c r="W965" s="1">
        <v>46675</v>
      </c>
      <c r="X965" s="1">
        <v>46357</v>
      </c>
      <c r="Z965" t="s">
        <v>52</v>
      </c>
      <c r="AB965" t="s">
        <v>52</v>
      </c>
      <c r="AC965">
        <v>102</v>
      </c>
      <c r="AD965">
        <v>1</v>
      </c>
      <c r="AK965" t="s">
        <v>52</v>
      </c>
      <c r="AN965" t="s">
        <v>52</v>
      </c>
      <c r="AO965" t="s">
        <v>52</v>
      </c>
      <c r="AP965" t="s">
        <v>52</v>
      </c>
      <c r="AQ965" t="s">
        <v>52</v>
      </c>
      <c r="AR965" t="s">
        <v>55</v>
      </c>
    </row>
    <row r="966" spans="1:45" x14ac:dyDescent="0.25">
      <c r="A966" t="s">
        <v>47</v>
      </c>
      <c r="B966">
        <v>8</v>
      </c>
      <c r="C966" t="s">
        <v>179</v>
      </c>
      <c r="D966">
        <v>83</v>
      </c>
      <c r="E966" t="s">
        <v>79</v>
      </c>
      <c r="F966">
        <v>50</v>
      </c>
      <c r="G966" t="s">
        <v>65</v>
      </c>
      <c r="H966" t="s">
        <v>50</v>
      </c>
      <c r="K966" t="s">
        <v>51</v>
      </c>
      <c r="L966">
        <v>1</v>
      </c>
      <c r="M966" t="s">
        <v>52</v>
      </c>
      <c r="N966" t="s">
        <v>53</v>
      </c>
      <c r="R966">
        <v>0.5</v>
      </c>
      <c r="S966">
        <v>0.75</v>
      </c>
      <c r="U966">
        <v>0</v>
      </c>
      <c r="V966" s="1">
        <v>46553</v>
      </c>
      <c r="W966" s="1">
        <v>46675</v>
      </c>
      <c r="X966" s="1">
        <v>46461</v>
      </c>
      <c r="Z966" t="s">
        <v>52</v>
      </c>
      <c r="AB966" t="s">
        <v>52</v>
      </c>
      <c r="AC966">
        <v>50</v>
      </c>
      <c r="AD966">
        <v>1</v>
      </c>
      <c r="AK966" t="s">
        <v>52</v>
      </c>
      <c r="AN966" t="s">
        <v>52</v>
      </c>
      <c r="AO966" t="s">
        <v>52</v>
      </c>
      <c r="AP966" t="s">
        <v>52</v>
      </c>
      <c r="AQ966" t="s">
        <v>52</v>
      </c>
      <c r="AR966" t="s">
        <v>55</v>
      </c>
    </row>
    <row r="967" spans="1:45" x14ac:dyDescent="0.25">
      <c r="A967" t="s">
        <v>47</v>
      </c>
      <c r="B967">
        <v>8</v>
      </c>
      <c r="C967" t="s">
        <v>179</v>
      </c>
      <c r="D967">
        <v>83</v>
      </c>
      <c r="E967" t="s">
        <v>79</v>
      </c>
      <c r="F967">
        <v>50</v>
      </c>
      <c r="G967" t="s">
        <v>65</v>
      </c>
      <c r="H967" t="s">
        <v>50</v>
      </c>
      <c r="K967" t="s">
        <v>52</v>
      </c>
      <c r="L967">
        <v>1</v>
      </c>
      <c r="M967" t="s">
        <v>52</v>
      </c>
      <c r="N967" t="s">
        <v>53</v>
      </c>
      <c r="R967">
        <v>0.5</v>
      </c>
      <c r="S967">
        <v>0.75</v>
      </c>
      <c r="U967">
        <v>0</v>
      </c>
      <c r="V967" s="1">
        <v>46553</v>
      </c>
      <c r="W967" s="1">
        <v>46675</v>
      </c>
      <c r="X967" s="1">
        <v>46461</v>
      </c>
      <c r="Z967" t="s">
        <v>52</v>
      </c>
      <c r="AB967" t="s">
        <v>52</v>
      </c>
      <c r="AC967">
        <v>50</v>
      </c>
      <c r="AD967">
        <v>1</v>
      </c>
      <c r="AK967" t="s">
        <v>52</v>
      </c>
      <c r="AN967" t="s">
        <v>52</v>
      </c>
      <c r="AO967" t="s">
        <v>52</v>
      </c>
      <c r="AP967" t="s">
        <v>52</v>
      </c>
      <c r="AQ967" t="s">
        <v>52</v>
      </c>
      <c r="AR967" t="s">
        <v>55</v>
      </c>
    </row>
    <row r="968" spans="1:45" x14ac:dyDescent="0.25">
      <c r="A968" t="s">
        <v>47</v>
      </c>
      <c r="B968">
        <v>8</v>
      </c>
      <c r="C968" t="s">
        <v>179</v>
      </c>
      <c r="D968">
        <v>83</v>
      </c>
      <c r="E968" t="s">
        <v>79</v>
      </c>
      <c r="F968">
        <v>50</v>
      </c>
      <c r="G968" t="s">
        <v>81</v>
      </c>
      <c r="H968" t="s">
        <v>50</v>
      </c>
      <c r="K968" t="s">
        <v>51</v>
      </c>
      <c r="L968">
        <v>1</v>
      </c>
      <c r="M968" t="s">
        <v>52</v>
      </c>
      <c r="N968" t="s">
        <v>53</v>
      </c>
      <c r="R968">
        <v>0.5</v>
      </c>
      <c r="S968">
        <v>0.75</v>
      </c>
      <c r="U968">
        <v>0</v>
      </c>
      <c r="V968" s="1">
        <v>46553</v>
      </c>
      <c r="W968" s="1">
        <v>46675</v>
      </c>
      <c r="X968" s="1">
        <v>46461</v>
      </c>
      <c r="Z968" t="s">
        <v>52</v>
      </c>
      <c r="AB968" t="s">
        <v>52</v>
      </c>
      <c r="AC968">
        <v>50</v>
      </c>
      <c r="AD968">
        <v>1</v>
      </c>
      <c r="AK968" t="s">
        <v>52</v>
      </c>
      <c r="AN968" t="s">
        <v>52</v>
      </c>
      <c r="AO968" t="s">
        <v>52</v>
      </c>
      <c r="AP968" t="s">
        <v>52</v>
      </c>
      <c r="AQ968" t="s">
        <v>52</v>
      </c>
      <c r="AR968" t="s">
        <v>55</v>
      </c>
    </row>
    <row r="969" spans="1:45" x14ac:dyDescent="0.25">
      <c r="A969" t="s">
        <v>47</v>
      </c>
      <c r="B969">
        <v>8</v>
      </c>
      <c r="C969" t="s">
        <v>179</v>
      </c>
      <c r="D969">
        <v>83</v>
      </c>
      <c r="E969" t="s">
        <v>79</v>
      </c>
      <c r="F969">
        <v>50</v>
      </c>
      <c r="G969" t="s">
        <v>81</v>
      </c>
      <c r="H969" t="s">
        <v>50</v>
      </c>
      <c r="K969" t="s">
        <v>52</v>
      </c>
      <c r="L969">
        <v>1</v>
      </c>
      <c r="M969" t="s">
        <v>52</v>
      </c>
      <c r="N969" t="s">
        <v>53</v>
      </c>
      <c r="R969">
        <v>0.5</v>
      </c>
      <c r="S969">
        <v>0.75</v>
      </c>
      <c r="U969">
        <v>0</v>
      </c>
      <c r="V969" s="1">
        <v>46553</v>
      </c>
      <c r="W969" s="1">
        <v>46675</v>
      </c>
      <c r="X969" s="1">
        <v>46461</v>
      </c>
      <c r="Z969" t="s">
        <v>52</v>
      </c>
      <c r="AB969" t="s">
        <v>52</v>
      </c>
      <c r="AC969">
        <v>50</v>
      </c>
      <c r="AD969">
        <v>1</v>
      </c>
      <c r="AK969" t="s">
        <v>52</v>
      </c>
      <c r="AN969" t="s">
        <v>52</v>
      </c>
      <c r="AO969" t="s">
        <v>52</v>
      </c>
      <c r="AP969" t="s">
        <v>52</v>
      </c>
      <c r="AQ969" t="s">
        <v>52</v>
      </c>
      <c r="AR969" t="s">
        <v>55</v>
      </c>
    </row>
    <row r="970" spans="1:45" x14ac:dyDescent="0.25">
      <c r="A970" t="s">
        <v>47</v>
      </c>
      <c r="B970">
        <v>8</v>
      </c>
      <c r="C970" t="s">
        <v>179</v>
      </c>
      <c r="D970">
        <v>83</v>
      </c>
      <c r="E970" t="s">
        <v>83</v>
      </c>
      <c r="F970">
        <v>158</v>
      </c>
      <c r="H970" t="s">
        <v>50</v>
      </c>
      <c r="K970" t="s">
        <v>51</v>
      </c>
      <c r="L970">
        <v>1</v>
      </c>
      <c r="M970" t="s">
        <v>52</v>
      </c>
      <c r="N970" t="s">
        <v>53</v>
      </c>
      <c r="P970">
        <v>1.3</v>
      </c>
      <c r="R970">
        <v>0.77</v>
      </c>
      <c r="S970">
        <v>0.93</v>
      </c>
      <c r="T970">
        <v>0</v>
      </c>
      <c r="U970">
        <v>0</v>
      </c>
      <c r="V970" s="1">
        <v>46522</v>
      </c>
      <c r="W970" s="1">
        <v>46691</v>
      </c>
      <c r="X970" s="1">
        <v>46266</v>
      </c>
      <c r="Z970" t="s">
        <v>52</v>
      </c>
      <c r="AA970" t="s">
        <v>54</v>
      </c>
      <c r="AB970" t="s">
        <v>52</v>
      </c>
      <c r="AC970">
        <v>158</v>
      </c>
      <c r="AD970">
        <v>2</v>
      </c>
      <c r="AK970" t="s">
        <v>52</v>
      </c>
      <c r="AN970" t="s">
        <v>52</v>
      </c>
      <c r="AO970" t="s">
        <v>52</v>
      </c>
      <c r="AP970" t="s">
        <v>52</v>
      </c>
      <c r="AQ970" t="s">
        <v>52</v>
      </c>
      <c r="AR970" t="s">
        <v>95</v>
      </c>
      <c r="AS970" t="s">
        <v>140</v>
      </c>
    </row>
    <row r="971" spans="1:45" x14ac:dyDescent="0.25">
      <c r="A971" t="s">
        <v>47</v>
      </c>
      <c r="B971">
        <v>8</v>
      </c>
      <c r="C971" t="s">
        <v>179</v>
      </c>
      <c r="D971">
        <v>83</v>
      </c>
      <c r="E971" t="s">
        <v>83</v>
      </c>
      <c r="F971">
        <v>158</v>
      </c>
      <c r="H971" t="s">
        <v>50</v>
      </c>
      <c r="K971" t="s">
        <v>52</v>
      </c>
      <c r="L971">
        <v>1</v>
      </c>
      <c r="M971" t="s">
        <v>52</v>
      </c>
      <c r="N971" t="s">
        <v>53</v>
      </c>
      <c r="R971">
        <v>0.77</v>
      </c>
      <c r="S971">
        <v>0.93</v>
      </c>
      <c r="U971">
        <v>0</v>
      </c>
      <c r="V971" s="1">
        <v>46522</v>
      </c>
      <c r="W971" s="1">
        <v>46691</v>
      </c>
      <c r="X971" s="1">
        <v>46266</v>
      </c>
      <c r="Z971" t="s">
        <v>52</v>
      </c>
      <c r="AB971" t="s">
        <v>52</v>
      </c>
      <c r="AC971">
        <v>158</v>
      </c>
      <c r="AD971">
        <v>2</v>
      </c>
      <c r="AK971" t="s">
        <v>52</v>
      </c>
      <c r="AN971" t="s">
        <v>52</v>
      </c>
      <c r="AO971" t="s">
        <v>52</v>
      </c>
      <c r="AP971" t="s">
        <v>52</v>
      </c>
      <c r="AQ971" t="s">
        <v>52</v>
      </c>
      <c r="AR971" t="s">
        <v>55</v>
      </c>
    </row>
    <row r="972" spans="1:45" x14ac:dyDescent="0.25">
      <c r="A972" t="s">
        <v>47</v>
      </c>
      <c r="B972">
        <v>8</v>
      </c>
      <c r="C972" t="s">
        <v>179</v>
      </c>
      <c r="D972">
        <v>83</v>
      </c>
      <c r="E972" t="s">
        <v>84</v>
      </c>
      <c r="F972">
        <v>11</v>
      </c>
      <c r="G972" t="s">
        <v>85</v>
      </c>
      <c r="H972" t="s">
        <v>50</v>
      </c>
      <c r="K972" t="s">
        <v>51</v>
      </c>
      <c r="L972">
        <v>1</v>
      </c>
      <c r="M972" t="s">
        <v>52</v>
      </c>
      <c r="N972" t="s">
        <v>53</v>
      </c>
      <c r="R972">
        <v>0.5</v>
      </c>
      <c r="S972">
        <v>0.75</v>
      </c>
      <c r="T972">
        <v>0</v>
      </c>
      <c r="U972">
        <v>0</v>
      </c>
      <c r="V972" s="1">
        <v>46593</v>
      </c>
      <c r="W972" s="1">
        <v>46691</v>
      </c>
      <c r="X972" s="1">
        <v>46295</v>
      </c>
      <c r="Z972" t="s">
        <v>52</v>
      </c>
      <c r="AB972" t="s">
        <v>52</v>
      </c>
      <c r="AC972">
        <v>11</v>
      </c>
      <c r="AD972">
        <v>2</v>
      </c>
      <c r="AK972" t="s">
        <v>52</v>
      </c>
      <c r="AN972" t="s">
        <v>52</v>
      </c>
      <c r="AO972" t="s">
        <v>52</v>
      </c>
      <c r="AP972" t="s">
        <v>52</v>
      </c>
      <c r="AQ972" t="s">
        <v>52</v>
      </c>
      <c r="AR972" t="s">
        <v>55</v>
      </c>
    </row>
    <row r="973" spans="1:45" x14ac:dyDescent="0.25">
      <c r="A973" t="s">
        <v>47</v>
      </c>
      <c r="B973">
        <v>8</v>
      </c>
      <c r="C973" t="s">
        <v>179</v>
      </c>
      <c r="D973">
        <v>83</v>
      </c>
      <c r="E973" t="s">
        <v>84</v>
      </c>
      <c r="F973">
        <v>11</v>
      </c>
      <c r="G973" t="s">
        <v>85</v>
      </c>
      <c r="H973" t="s">
        <v>50</v>
      </c>
      <c r="K973" t="s">
        <v>52</v>
      </c>
      <c r="L973">
        <v>1</v>
      </c>
      <c r="M973" t="s">
        <v>52</v>
      </c>
      <c r="N973" t="s">
        <v>53</v>
      </c>
      <c r="R973">
        <v>0.5</v>
      </c>
      <c r="S973">
        <v>0.75</v>
      </c>
      <c r="T973">
        <v>0</v>
      </c>
      <c r="U973">
        <v>0</v>
      </c>
      <c r="V973" s="1">
        <v>46593</v>
      </c>
      <c r="W973" s="1">
        <v>46691</v>
      </c>
      <c r="X973" s="1">
        <v>46295</v>
      </c>
      <c r="Z973" t="s">
        <v>52</v>
      </c>
      <c r="AB973" t="s">
        <v>52</v>
      </c>
      <c r="AC973">
        <v>11</v>
      </c>
      <c r="AD973">
        <v>2</v>
      </c>
      <c r="AK973" t="s">
        <v>52</v>
      </c>
      <c r="AN973" t="s">
        <v>52</v>
      </c>
      <c r="AO973" t="s">
        <v>52</v>
      </c>
      <c r="AP973" t="s">
        <v>52</v>
      </c>
      <c r="AQ973" t="s">
        <v>52</v>
      </c>
      <c r="AR973" t="s">
        <v>55</v>
      </c>
    </row>
    <row r="974" spans="1:45" x14ac:dyDescent="0.25">
      <c r="A974" t="s">
        <v>47</v>
      </c>
      <c r="B974">
        <v>8</v>
      </c>
      <c r="C974" t="s">
        <v>179</v>
      </c>
      <c r="D974">
        <v>83</v>
      </c>
      <c r="E974" t="s">
        <v>84</v>
      </c>
      <c r="F974">
        <v>11</v>
      </c>
      <c r="G974" t="s">
        <v>96</v>
      </c>
      <c r="H974" t="s">
        <v>50</v>
      </c>
      <c r="K974" t="s">
        <v>51</v>
      </c>
      <c r="L974">
        <v>1</v>
      </c>
      <c r="M974" t="s">
        <v>52</v>
      </c>
      <c r="N974" t="s">
        <v>53</v>
      </c>
      <c r="R974">
        <v>0.5</v>
      </c>
      <c r="S974">
        <v>0.75</v>
      </c>
      <c r="T974">
        <v>0</v>
      </c>
      <c r="U974">
        <v>0</v>
      </c>
      <c r="V974" s="1">
        <v>46326</v>
      </c>
      <c r="W974" s="1">
        <v>46691</v>
      </c>
      <c r="X974" s="1">
        <v>46295</v>
      </c>
      <c r="Z974" t="s">
        <v>52</v>
      </c>
      <c r="AB974" t="s">
        <v>52</v>
      </c>
      <c r="AC974">
        <v>11</v>
      </c>
      <c r="AD974">
        <v>2</v>
      </c>
      <c r="AK974" t="s">
        <v>52</v>
      </c>
      <c r="AN974" t="s">
        <v>52</v>
      </c>
      <c r="AO974" t="s">
        <v>52</v>
      </c>
      <c r="AP974" t="s">
        <v>52</v>
      </c>
      <c r="AQ974" t="s">
        <v>52</v>
      </c>
      <c r="AR974" t="s">
        <v>55</v>
      </c>
    </row>
    <row r="975" spans="1:45" x14ac:dyDescent="0.25">
      <c r="A975" t="s">
        <v>47</v>
      </c>
      <c r="B975">
        <v>8</v>
      </c>
      <c r="C975" t="s">
        <v>179</v>
      </c>
      <c r="D975">
        <v>83</v>
      </c>
      <c r="E975" t="s">
        <v>84</v>
      </c>
      <c r="F975">
        <v>11</v>
      </c>
      <c r="G975" t="s">
        <v>96</v>
      </c>
      <c r="H975" t="s">
        <v>50</v>
      </c>
      <c r="K975" t="s">
        <v>52</v>
      </c>
      <c r="L975">
        <v>1</v>
      </c>
      <c r="M975" t="s">
        <v>52</v>
      </c>
      <c r="N975" t="s">
        <v>53</v>
      </c>
      <c r="R975">
        <v>0.5</v>
      </c>
      <c r="S975">
        <v>0.75</v>
      </c>
      <c r="T975">
        <v>0</v>
      </c>
      <c r="U975">
        <v>0</v>
      </c>
      <c r="V975" s="1">
        <v>46326</v>
      </c>
      <c r="W975" s="1">
        <v>46691</v>
      </c>
      <c r="X975" s="1">
        <v>46295</v>
      </c>
      <c r="Z975" t="s">
        <v>52</v>
      </c>
      <c r="AB975" t="s">
        <v>52</v>
      </c>
      <c r="AC975">
        <v>11</v>
      </c>
      <c r="AD975">
        <v>2</v>
      </c>
      <c r="AK975" t="s">
        <v>52</v>
      </c>
      <c r="AN975" t="s">
        <v>52</v>
      </c>
      <c r="AO975" t="s">
        <v>52</v>
      </c>
      <c r="AP975" t="s">
        <v>52</v>
      </c>
      <c r="AQ975" t="s">
        <v>52</v>
      </c>
      <c r="AR975" t="s">
        <v>55</v>
      </c>
    </row>
    <row r="976" spans="1:45" x14ac:dyDescent="0.25">
      <c r="A976" t="s">
        <v>47</v>
      </c>
      <c r="B976">
        <v>8</v>
      </c>
      <c r="C976" t="s">
        <v>179</v>
      </c>
      <c r="D976">
        <v>83</v>
      </c>
      <c r="E976" t="s">
        <v>84</v>
      </c>
      <c r="F976">
        <v>11</v>
      </c>
      <c r="G976" t="s">
        <v>108</v>
      </c>
      <c r="H976" t="s">
        <v>50</v>
      </c>
      <c r="K976" t="s">
        <v>51</v>
      </c>
      <c r="L976">
        <v>1</v>
      </c>
      <c r="M976" t="s">
        <v>52</v>
      </c>
      <c r="N976" t="s">
        <v>53</v>
      </c>
      <c r="R976">
        <v>0.5</v>
      </c>
      <c r="S976">
        <v>0.75</v>
      </c>
      <c r="T976">
        <v>0</v>
      </c>
      <c r="U976">
        <v>0</v>
      </c>
      <c r="V976" s="1">
        <v>46326</v>
      </c>
      <c r="W976" s="1">
        <v>46691</v>
      </c>
      <c r="X976" s="1">
        <v>46295</v>
      </c>
      <c r="Z976" t="s">
        <v>52</v>
      </c>
      <c r="AB976" t="s">
        <v>52</v>
      </c>
      <c r="AC976">
        <v>11</v>
      </c>
      <c r="AD976">
        <v>2</v>
      </c>
      <c r="AK976" t="s">
        <v>52</v>
      </c>
      <c r="AN976" t="s">
        <v>52</v>
      </c>
      <c r="AO976" t="s">
        <v>52</v>
      </c>
      <c r="AP976" t="s">
        <v>52</v>
      </c>
      <c r="AQ976" t="s">
        <v>52</v>
      </c>
      <c r="AR976" t="s">
        <v>55</v>
      </c>
    </row>
    <row r="977" spans="1:45" x14ac:dyDescent="0.25">
      <c r="A977" t="s">
        <v>47</v>
      </c>
      <c r="B977">
        <v>8</v>
      </c>
      <c r="C977" t="s">
        <v>179</v>
      </c>
      <c r="D977">
        <v>83</v>
      </c>
      <c r="E977" t="s">
        <v>84</v>
      </c>
      <c r="F977">
        <v>11</v>
      </c>
      <c r="G977" t="s">
        <v>108</v>
      </c>
      <c r="H977" t="s">
        <v>50</v>
      </c>
      <c r="K977" t="s">
        <v>52</v>
      </c>
      <c r="L977">
        <v>1</v>
      </c>
      <c r="M977" t="s">
        <v>52</v>
      </c>
      <c r="N977" t="s">
        <v>53</v>
      </c>
      <c r="R977">
        <v>0.5</v>
      </c>
      <c r="S977">
        <v>0.75</v>
      </c>
      <c r="T977">
        <v>0</v>
      </c>
      <c r="U977">
        <v>0</v>
      </c>
      <c r="V977" s="1">
        <v>46326</v>
      </c>
      <c r="W977" s="1">
        <v>46691</v>
      </c>
      <c r="X977" s="1">
        <v>46295</v>
      </c>
      <c r="Z977" t="s">
        <v>52</v>
      </c>
      <c r="AB977" t="s">
        <v>52</v>
      </c>
      <c r="AC977">
        <v>11</v>
      </c>
      <c r="AD977">
        <v>2</v>
      </c>
      <c r="AK977" t="s">
        <v>52</v>
      </c>
      <c r="AN977" t="s">
        <v>52</v>
      </c>
      <c r="AO977" t="s">
        <v>52</v>
      </c>
      <c r="AP977" t="s">
        <v>52</v>
      </c>
      <c r="AQ977" t="s">
        <v>52</v>
      </c>
      <c r="AR977" t="s">
        <v>55</v>
      </c>
    </row>
    <row r="978" spans="1:45" x14ac:dyDescent="0.25">
      <c r="A978" t="s">
        <v>47</v>
      </c>
      <c r="B978">
        <v>8</v>
      </c>
      <c r="C978" t="s">
        <v>181</v>
      </c>
      <c r="D978">
        <v>85</v>
      </c>
      <c r="E978" t="s">
        <v>49</v>
      </c>
      <c r="F978">
        <v>27</v>
      </c>
      <c r="H978" t="s">
        <v>50</v>
      </c>
      <c r="K978" t="s">
        <v>51</v>
      </c>
      <c r="L978">
        <v>1</v>
      </c>
      <c r="M978" t="s">
        <v>52</v>
      </c>
      <c r="N978" t="s">
        <v>53</v>
      </c>
      <c r="Q978">
        <v>230</v>
      </c>
      <c r="R978">
        <v>0</v>
      </c>
      <c r="S978">
        <v>0.75</v>
      </c>
      <c r="T978">
        <v>0</v>
      </c>
      <c r="U978">
        <v>0</v>
      </c>
      <c r="W978" s="1">
        <v>46675</v>
      </c>
      <c r="X978" s="1">
        <v>46357</v>
      </c>
      <c r="Y978" t="s">
        <v>54</v>
      </c>
      <c r="Z978" t="s">
        <v>52</v>
      </c>
      <c r="AB978" t="s">
        <v>52</v>
      </c>
      <c r="AC978">
        <v>27</v>
      </c>
      <c r="AD978">
        <v>1</v>
      </c>
      <c r="AE978">
        <v>0.97</v>
      </c>
      <c r="AG978">
        <v>0.97</v>
      </c>
      <c r="AK978" t="s">
        <v>52</v>
      </c>
      <c r="AN978" t="s">
        <v>52</v>
      </c>
      <c r="AO978" t="s">
        <v>52</v>
      </c>
      <c r="AP978" t="s">
        <v>52</v>
      </c>
      <c r="AQ978" t="s">
        <v>52</v>
      </c>
      <c r="AR978" t="s">
        <v>55</v>
      </c>
      <c r="AS978" t="s">
        <v>56</v>
      </c>
    </row>
    <row r="979" spans="1:45" x14ac:dyDescent="0.25">
      <c r="A979" t="s">
        <v>47</v>
      </c>
      <c r="B979">
        <v>8</v>
      </c>
      <c r="C979" t="s">
        <v>181</v>
      </c>
      <c r="D979">
        <v>85</v>
      </c>
      <c r="E979" t="s">
        <v>49</v>
      </c>
      <c r="F979">
        <v>27</v>
      </c>
      <c r="H979" t="s">
        <v>50</v>
      </c>
      <c r="K979" t="s">
        <v>52</v>
      </c>
      <c r="L979">
        <v>1</v>
      </c>
      <c r="M979" t="s">
        <v>52</v>
      </c>
      <c r="N979" t="s">
        <v>53</v>
      </c>
      <c r="Q979">
        <v>230</v>
      </c>
      <c r="R979">
        <v>0</v>
      </c>
      <c r="S979">
        <v>0.75</v>
      </c>
      <c r="T979">
        <v>0</v>
      </c>
      <c r="U979">
        <v>0</v>
      </c>
      <c r="W979" s="1">
        <v>46675</v>
      </c>
      <c r="X979" s="1">
        <v>46357</v>
      </c>
      <c r="Y979" t="s">
        <v>54</v>
      </c>
      <c r="Z979" t="s">
        <v>52</v>
      </c>
      <c r="AB979" t="s">
        <v>52</v>
      </c>
      <c r="AC979">
        <v>27</v>
      </c>
      <c r="AD979">
        <v>1</v>
      </c>
      <c r="AE979">
        <v>0.97</v>
      </c>
      <c r="AG979">
        <v>0.97</v>
      </c>
      <c r="AK979" t="s">
        <v>52</v>
      </c>
      <c r="AN979" t="s">
        <v>52</v>
      </c>
      <c r="AO979" t="s">
        <v>52</v>
      </c>
      <c r="AP979" t="s">
        <v>52</v>
      </c>
      <c r="AQ979" t="s">
        <v>52</v>
      </c>
      <c r="AR979" t="s">
        <v>55</v>
      </c>
      <c r="AS979" t="s">
        <v>57</v>
      </c>
    </row>
    <row r="980" spans="1:45" x14ac:dyDescent="0.25">
      <c r="A980" t="s">
        <v>47</v>
      </c>
      <c r="B980">
        <v>8</v>
      </c>
      <c r="C980" t="s">
        <v>181</v>
      </c>
      <c r="D980">
        <v>85</v>
      </c>
      <c r="E980" t="s">
        <v>58</v>
      </c>
      <c r="F980">
        <v>102</v>
      </c>
      <c r="G980" t="s">
        <v>62</v>
      </c>
      <c r="H980" t="s">
        <v>50</v>
      </c>
      <c r="K980" t="s">
        <v>51</v>
      </c>
      <c r="L980">
        <v>1</v>
      </c>
      <c r="M980" t="s">
        <v>52</v>
      </c>
      <c r="N980" t="s">
        <v>53</v>
      </c>
      <c r="R980">
        <v>0</v>
      </c>
      <c r="S980">
        <v>0.92</v>
      </c>
      <c r="T980">
        <v>0</v>
      </c>
      <c r="U980">
        <v>0</v>
      </c>
      <c r="W980" s="1">
        <v>46731</v>
      </c>
      <c r="X980" s="1">
        <v>46357</v>
      </c>
      <c r="Z980" t="s">
        <v>52</v>
      </c>
      <c r="AB980" t="s">
        <v>52</v>
      </c>
      <c r="AC980">
        <v>102</v>
      </c>
      <c r="AD980">
        <v>1</v>
      </c>
      <c r="AK980" t="s">
        <v>52</v>
      </c>
      <c r="AN980" t="s">
        <v>52</v>
      </c>
      <c r="AO980" t="s">
        <v>52</v>
      </c>
      <c r="AP980" t="s">
        <v>52</v>
      </c>
      <c r="AQ980" t="s">
        <v>52</v>
      </c>
      <c r="AR980" t="s">
        <v>55</v>
      </c>
    </row>
    <row r="981" spans="1:45" x14ac:dyDescent="0.25">
      <c r="A981" t="s">
        <v>47</v>
      </c>
      <c r="B981">
        <v>8</v>
      </c>
      <c r="C981" t="s">
        <v>181</v>
      </c>
      <c r="D981">
        <v>85</v>
      </c>
      <c r="E981" t="s">
        <v>58</v>
      </c>
      <c r="F981">
        <v>102</v>
      </c>
      <c r="G981" t="s">
        <v>62</v>
      </c>
      <c r="H981" t="s">
        <v>50</v>
      </c>
      <c r="K981" t="s">
        <v>52</v>
      </c>
      <c r="L981">
        <v>1</v>
      </c>
      <c r="M981" t="s">
        <v>52</v>
      </c>
      <c r="N981" t="s">
        <v>53</v>
      </c>
      <c r="R981">
        <v>0</v>
      </c>
      <c r="S981">
        <v>0.92</v>
      </c>
      <c r="T981">
        <v>0</v>
      </c>
      <c r="U981">
        <v>0</v>
      </c>
      <c r="W981" s="1">
        <v>46731</v>
      </c>
      <c r="X981" s="1">
        <v>46357</v>
      </c>
      <c r="Z981" t="s">
        <v>52</v>
      </c>
      <c r="AB981" t="s">
        <v>52</v>
      </c>
      <c r="AC981">
        <v>102</v>
      </c>
      <c r="AD981">
        <v>1</v>
      </c>
      <c r="AK981" t="s">
        <v>52</v>
      </c>
      <c r="AN981" t="s">
        <v>52</v>
      </c>
      <c r="AO981" t="s">
        <v>52</v>
      </c>
      <c r="AP981" t="s">
        <v>52</v>
      </c>
      <c r="AQ981" t="s">
        <v>52</v>
      </c>
      <c r="AR981" t="s">
        <v>55</v>
      </c>
    </row>
    <row r="982" spans="1:45" x14ac:dyDescent="0.25">
      <c r="A982" t="s">
        <v>47</v>
      </c>
      <c r="B982">
        <v>8</v>
      </c>
      <c r="C982" t="s">
        <v>181</v>
      </c>
      <c r="D982">
        <v>85</v>
      </c>
      <c r="E982" t="s">
        <v>58</v>
      </c>
      <c r="F982">
        <v>102</v>
      </c>
      <c r="G982" t="s">
        <v>136</v>
      </c>
      <c r="H982" t="s">
        <v>50</v>
      </c>
      <c r="K982" t="s">
        <v>51</v>
      </c>
      <c r="L982">
        <v>1</v>
      </c>
      <c r="M982" t="s">
        <v>52</v>
      </c>
      <c r="N982" t="s">
        <v>53</v>
      </c>
      <c r="R982">
        <v>0</v>
      </c>
      <c r="S982">
        <v>0.92</v>
      </c>
      <c r="U982">
        <v>0</v>
      </c>
      <c r="W982" s="1">
        <v>46675</v>
      </c>
      <c r="X982" s="1">
        <v>46357</v>
      </c>
      <c r="Z982" t="s">
        <v>52</v>
      </c>
      <c r="AB982" t="s">
        <v>52</v>
      </c>
      <c r="AC982">
        <v>102</v>
      </c>
      <c r="AD982">
        <v>1</v>
      </c>
      <c r="AK982" t="s">
        <v>52</v>
      </c>
      <c r="AN982" t="s">
        <v>52</v>
      </c>
      <c r="AO982" t="s">
        <v>52</v>
      </c>
      <c r="AP982" t="s">
        <v>52</v>
      </c>
      <c r="AQ982" t="s">
        <v>52</v>
      </c>
      <c r="AR982" t="s">
        <v>55</v>
      </c>
    </row>
    <row r="983" spans="1:45" x14ac:dyDescent="0.25">
      <c r="A983" t="s">
        <v>47</v>
      </c>
      <c r="B983">
        <v>8</v>
      </c>
      <c r="C983" t="s">
        <v>181</v>
      </c>
      <c r="D983">
        <v>85</v>
      </c>
      <c r="E983" t="s">
        <v>70</v>
      </c>
      <c r="F983">
        <v>296</v>
      </c>
      <c r="G983" t="s">
        <v>71</v>
      </c>
      <c r="H983" t="s">
        <v>50</v>
      </c>
      <c r="K983" t="s">
        <v>51</v>
      </c>
      <c r="L983">
        <v>1</v>
      </c>
      <c r="M983" t="s">
        <v>52</v>
      </c>
      <c r="N983" t="s">
        <v>53</v>
      </c>
      <c r="Q983">
        <v>224.33330000000001</v>
      </c>
      <c r="R983">
        <v>0</v>
      </c>
      <c r="S983">
        <v>0.75</v>
      </c>
      <c r="T983">
        <v>0</v>
      </c>
      <c r="U983">
        <v>0</v>
      </c>
      <c r="W983" s="1">
        <v>46675</v>
      </c>
      <c r="X983" s="1">
        <v>46357</v>
      </c>
      <c r="Y983" t="s">
        <v>54</v>
      </c>
      <c r="Z983" t="s">
        <v>52</v>
      </c>
      <c r="AB983" t="s">
        <v>52</v>
      </c>
      <c r="AC983">
        <v>296</v>
      </c>
      <c r="AD983">
        <v>1</v>
      </c>
      <c r="AK983" t="s">
        <v>52</v>
      </c>
      <c r="AN983" t="s">
        <v>52</v>
      </c>
      <c r="AO983" t="s">
        <v>52</v>
      </c>
      <c r="AP983" t="s">
        <v>52</v>
      </c>
      <c r="AQ983" t="s">
        <v>52</v>
      </c>
      <c r="AR983" t="s">
        <v>55</v>
      </c>
    </row>
    <row r="984" spans="1:45" x14ac:dyDescent="0.25">
      <c r="A984" t="s">
        <v>47</v>
      </c>
      <c r="B984">
        <v>8</v>
      </c>
      <c r="C984" t="s">
        <v>181</v>
      </c>
      <c r="D984">
        <v>85</v>
      </c>
      <c r="E984" t="s">
        <v>70</v>
      </c>
      <c r="F984">
        <v>296</v>
      </c>
      <c r="G984" t="s">
        <v>71</v>
      </c>
      <c r="H984" t="s">
        <v>50</v>
      </c>
      <c r="K984" t="s">
        <v>52</v>
      </c>
      <c r="L984">
        <v>1</v>
      </c>
      <c r="M984" t="s">
        <v>52</v>
      </c>
      <c r="N984" t="s">
        <v>53</v>
      </c>
      <c r="Q984">
        <v>224.33330000000001</v>
      </c>
      <c r="R984">
        <v>0</v>
      </c>
      <c r="S984">
        <v>0.75</v>
      </c>
      <c r="T984">
        <v>0</v>
      </c>
      <c r="U984">
        <v>0</v>
      </c>
      <c r="W984" s="1">
        <v>46675</v>
      </c>
      <c r="X984" s="1">
        <v>46357</v>
      </c>
      <c r="Y984" t="s">
        <v>54</v>
      </c>
      <c r="Z984" t="s">
        <v>52</v>
      </c>
      <c r="AB984" t="s">
        <v>52</v>
      </c>
      <c r="AC984">
        <v>296</v>
      </c>
      <c r="AD984">
        <v>1</v>
      </c>
      <c r="AK984" t="s">
        <v>52</v>
      </c>
      <c r="AN984" t="s">
        <v>52</v>
      </c>
      <c r="AO984" t="s">
        <v>52</v>
      </c>
      <c r="AP984" t="s">
        <v>52</v>
      </c>
      <c r="AQ984" t="s">
        <v>52</v>
      </c>
      <c r="AR984" t="s">
        <v>55</v>
      </c>
    </row>
    <row r="985" spans="1:45" x14ac:dyDescent="0.25">
      <c r="A985" t="s">
        <v>47</v>
      </c>
      <c r="B985">
        <v>8</v>
      </c>
      <c r="C985" t="s">
        <v>181</v>
      </c>
      <c r="D985">
        <v>85</v>
      </c>
      <c r="E985" t="s">
        <v>70</v>
      </c>
      <c r="F985">
        <v>296</v>
      </c>
      <c r="G985" t="s">
        <v>73</v>
      </c>
      <c r="H985" t="s">
        <v>50</v>
      </c>
      <c r="K985" t="s">
        <v>51</v>
      </c>
      <c r="L985">
        <v>1</v>
      </c>
      <c r="M985" t="s">
        <v>52</v>
      </c>
      <c r="N985" t="s">
        <v>53</v>
      </c>
      <c r="R985">
        <v>0</v>
      </c>
      <c r="S985">
        <v>0.75</v>
      </c>
      <c r="U985">
        <v>0</v>
      </c>
      <c r="W985" s="1">
        <v>46675</v>
      </c>
      <c r="X985" s="1">
        <v>46357</v>
      </c>
      <c r="Z985" t="s">
        <v>52</v>
      </c>
      <c r="AB985" t="s">
        <v>52</v>
      </c>
      <c r="AC985">
        <v>296</v>
      </c>
      <c r="AD985">
        <v>1</v>
      </c>
      <c r="AK985" t="s">
        <v>52</v>
      </c>
      <c r="AN985" t="s">
        <v>52</v>
      </c>
      <c r="AO985" t="s">
        <v>52</v>
      </c>
      <c r="AP985" t="s">
        <v>52</v>
      </c>
      <c r="AQ985" t="s">
        <v>52</v>
      </c>
      <c r="AR985" t="s">
        <v>55</v>
      </c>
    </row>
    <row r="986" spans="1:45" x14ac:dyDescent="0.25">
      <c r="A986" t="s">
        <v>47</v>
      </c>
      <c r="B986">
        <v>8</v>
      </c>
      <c r="C986" t="s">
        <v>181</v>
      </c>
      <c r="D986">
        <v>85</v>
      </c>
      <c r="E986" t="s">
        <v>70</v>
      </c>
      <c r="F986">
        <v>296</v>
      </c>
      <c r="G986" t="s">
        <v>74</v>
      </c>
      <c r="H986" t="s">
        <v>50</v>
      </c>
      <c r="K986" t="s">
        <v>51</v>
      </c>
      <c r="L986">
        <v>1</v>
      </c>
      <c r="M986" t="s">
        <v>52</v>
      </c>
      <c r="N986" t="s">
        <v>53</v>
      </c>
      <c r="R986">
        <v>0</v>
      </c>
      <c r="S986">
        <v>0.75</v>
      </c>
      <c r="U986">
        <v>0</v>
      </c>
      <c r="W986" s="1">
        <v>46675</v>
      </c>
      <c r="X986" s="1">
        <v>46357</v>
      </c>
      <c r="Z986" t="s">
        <v>52</v>
      </c>
      <c r="AB986" t="s">
        <v>52</v>
      </c>
      <c r="AC986">
        <v>102</v>
      </c>
      <c r="AD986">
        <v>1</v>
      </c>
      <c r="AK986" t="s">
        <v>52</v>
      </c>
      <c r="AN986" t="s">
        <v>52</v>
      </c>
      <c r="AO986" t="s">
        <v>52</v>
      </c>
      <c r="AP986" t="s">
        <v>52</v>
      </c>
      <c r="AQ986" t="s">
        <v>52</v>
      </c>
      <c r="AR986" t="s">
        <v>55</v>
      </c>
    </row>
    <row r="987" spans="1:45" x14ac:dyDescent="0.25">
      <c r="A987" t="s">
        <v>47</v>
      </c>
      <c r="B987">
        <v>8</v>
      </c>
      <c r="C987" t="s">
        <v>181</v>
      </c>
      <c r="D987">
        <v>85</v>
      </c>
      <c r="E987" t="s">
        <v>75</v>
      </c>
      <c r="F987">
        <v>16</v>
      </c>
      <c r="G987" t="s">
        <v>76</v>
      </c>
      <c r="H987" t="s">
        <v>50</v>
      </c>
      <c r="K987" t="s">
        <v>51</v>
      </c>
      <c r="L987">
        <v>1</v>
      </c>
      <c r="M987" t="s">
        <v>52</v>
      </c>
      <c r="N987" t="s">
        <v>53</v>
      </c>
      <c r="R987">
        <v>0.5</v>
      </c>
      <c r="S987">
        <v>0.75</v>
      </c>
      <c r="T987">
        <v>0</v>
      </c>
      <c r="U987">
        <v>0</v>
      </c>
      <c r="V987" s="1">
        <v>46532</v>
      </c>
      <c r="W987" s="1">
        <v>46691</v>
      </c>
      <c r="X987" s="1">
        <v>46461</v>
      </c>
      <c r="Z987" t="s">
        <v>52</v>
      </c>
      <c r="AB987" t="s">
        <v>52</v>
      </c>
      <c r="AC987">
        <v>16</v>
      </c>
      <c r="AD987">
        <v>2</v>
      </c>
      <c r="AK987" t="s">
        <v>52</v>
      </c>
      <c r="AN987" t="s">
        <v>52</v>
      </c>
      <c r="AO987" t="s">
        <v>52</v>
      </c>
      <c r="AP987" t="s">
        <v>52</v>
      </c>
      <c r="AQ987" t="s">
        <v>52</v>
      </c>
      <c r="AR987" t="s">
        <v>55</v>
      </c>
      <c r="AS987" t="s">
        <v>60</v>
      </c>
    </row>
    <row r="988" spans="1:45" x14ac:dyDescent="0.25">
      <c r="A988" t="s">
        <v>47</v>
      </c>
      <c r="B988">
        <v>8</v>
      </c>
      <c r="C988" t="s">
        <v>181</v>
      </c>
      <c r="D988">
        <v>85</v>
      </c>
      <c r="E988" t="s">
        <v>94</v>
      </c>
      <c r="F988">
        <v>26</v>
      </c>
      <c r="H988" t="s">
        <v>50</v>
      </c>
      <c r="K988" t="s">
        <v>51</v>
      </c>
      <c r="L988">
        <v>1</v>
      </c>
      <c r="M988" t="s">
        <v>52</v>
      </c>
      <c r="N988" t="s">
        <v>53</v>
      </c>
      <c r="R988">
        <v>0</v>
      </c>
      <c r="S988">
        <v>0.92</v>
      </c>
      <c r="U988">
        <v>0</v>
      </c>
      <c r="W988" s="1">
        <v>46731</v>
      </c>
      <c r="X988" s="1">
        <v>46357</v>
      </c>
      <c r="Z988" t="s">
        <v>52</v>
      </c>
      <c r="AB988" t="s">
        <v>52</v>
      </c>
      <c r="AC988">
        <v>102</v>
      </c>
      <c r="AD988">
        <v>1</v>
      </c>
      <c r="AK988" t="s">
        <v>52</v>
      </c>
      <c r="AN988" t="s">
        <v>52</v>
      </c>
      <c r="AO988" t="s">
        <v>52</v>
      </c>
      <c r="AP988" t="s">
        <v>52</v>
      </c>
      <c r="AQ988" t="s">
        <v>52</v>
      </c>
      <c r="AR988" t="s">
        <v>55</v>
      </c>
    </row>
    <row r="989" spans="1:45" x14ac:dyDescent="0.25">
      <c r="A989" t="s">
        <v>47</v>
      </c>
      <c r="B989">
        <v>8</v>
      </c>
      <c r="C989" t="s">
        <v>181</v>
      </c>
      <c r="D989">
        <v>85</v>
      </c>
      <c r="E989" t="s">
        <v>79</v>
      </c>
      <c r="F989">
        <v>50</v>
      </c>
      <c r="G989" t="s">
        <v>100</v>
      </c>
      <c r="H989" t="s">
        <v>50</v>
      </c>
      <c r="K989" t="s">
        <v>51</v>
      </c>
      <c r="L989">
        <v>1</v>
      </c>
      <c r="M989" t="s">
        <v>52</v>
      </c>
      <c r="N989" t="s">
        <v>53</v>
      </c>
      <c r="R989">
        <v>0.5</v>
      </c>
      <c r="S989">
        <v>0.75</v>
      </c>
      <c r="T989">
        <v>0</v>
      </c>
      <c r="U989">
        <v>0</v>
      </c>
      <c r="V989" s="1">
        <v>46583</v>
      </c>
      <c r="W989" s="1">
        <v>46675</v>
      </c>
      <c r="X989" s="1">
        <v>46461</v>
      </c>
      <c r="Z989" t="s">
        <v>52</v>
      </c>
      <c r="AB989" t="s">
        <v>52</v>
      </c>
      <c r="AC989">
        <v>50</v>
      </c>
      <c r="AD989">
        <v>1</v>
      </c>
      <c r="AK989" t="s">
        <v>52</v>
      </c>
      <c r="AN989" t="s">
        <v>52</v>
      </c>
      <c r="AO989" t="s">
        <v>52</v>
      </c>
      <c r="AP989" t="s">
        <v>52</v>
      </c>
      <c r="AQ989" t="s">
        <v>52</v>
      </c>
      <c r="AR989" t="s">
        <v>55</v>
      </c>
      <c r="AS989" t="s">
        <v>60</v>
      </c>
    </row>
    <row r="990" spans="1:45" x14ac:dyDescent="0.25">
      <c r="A990" t="s">
        <v>47</v>
      </c>
      <c r="B990">
        <v>8</v>
      </c>
      <c r="C990" t="s">
        <v>181</v>
      </c>
      <c r="D990">
        <v>85</v>
      </c>
      <c r="E990" t="s">
        <v>79</v>
      </c>
      <c r="F990">
        <v>50</v>
      </c>
      <c r="G990" t="s">
        <v>65</v>
      </c>
      <c r="H990" t="s">
        <v>50</v>
      </c>
      <c r="K990" t="s">
        <v>51</v>
      </c>
      <c r="L990">
        <v>1</v>
      </c>
      <c r="M990" t="s">
        <v>52</v>
      </c>
      <c r="N990" t="s">
        <v>53</v>
      </c>
      <c r="R990">
        <v>0.5</v>
      </c>
      <c r="S990">
        <v>0.75</v>
      </c>
      <c r="T990">
        <v>0</v>
      </c>
      <c r="U990">
        <v>0</v>
      </c>
      <c r="V990" s="1">
        <v>46583</v>
      </c>
      <c r="W990" s="1">
        <v>46675</v>
      </c>
      <c r="X990" s="1">
        <v>46461</v>
      </c>
      <c r="Z990" t="s">
        <v>52</v>
      </c>
      <c r="AB990" t="s">
        <v>52</v>
      </c>
      <c r="AC990">
        <v>50</v>
      </c>
      <c r="AD990">
        <v>1</v>
      </c>
      <c r="AK990" t="s">
        <v>52</v>
      </c>
      <c r="AN990" t="s">
        <v>52</v>
      </c>
      <c r="AO990" t="s">
        <v>52</v>
      </c>
      <c r="AP990" t="s">
        <v>52</v>
      </c>
      <c r="AQ990" t="s">
        <v>52</v>
      </c>
      <c r="AR990" t="s">
        <v>55</v>
      </c>
      <c r="AS990" t="s">
        <v>88</v>
      </c>
    </row>
    <row r="991" spans="1:45" x14ac:dyDescent="0.25">
      <c r="A991" t="s">
        <v>47</v>
      </c>
      <c r="B991">
        <v>8</v>
      </c>
      <c r="C991" t="s">
        <v>181</v>
      </c>
      <c r="D991">
        <v>85</v>
      </c>
      <c r="E991" t="s">
        <v>79</v>
      </c>
      <c r="F991">
        <v>50</v>
      </c>
      <c r="G991" t="s">
        <v>81</v>
      </c>
      <c r="H991" t="s">
        <v>50</v>
      </c>
      <c r="K991" t="s">
        <v>51</v>
      </c>
      <c r="L991">
        <v>1</v>
      </c>
      <c r="M991" t="s">
        <v>52</v>
      </c>
      <c r="N991" t="s">
        <v>53</v>
      </c>
      <c r="R991">
        <v>0.5</v>
      </c>
      <c r="S991">
        <v>0.75</v>
      </c>
      <c r="T991">
        <v>0</v>
      </c>
      <c r="U991">
        <v>0</v>
      </c>
      <c r="V991" s="1">
        <v>46583</v>
      </c>
      <c r="W991" s="1">
        <v>46675</v>
      </c>
      <c r="X991" s="1">
        <v>46461</v>
      </c>
      <c r="Z991" t="s">
        <v>52</v>
      </c>
      <c r="AB991" t="s">
        <v>52</v>
      </c>
      <c r="AC991">
        <v>50</v>
      </c>
      <c r="AD991">
        <v>1</v>
      </c>
      <c r="AK991" t="s">
        <v>52</v>
      </c>
      <c r="AN991" t="s">
        <v>52</v>
      </c>
      <c r="AO991" t="s">
        <v>52</v>
      </c>
      <c r="AP991" t="s">
        <v>52</v>
      </c>
      <c r="AQ991" t="s">
        <v>52</v>
      </c>
      <c r="AR991" t="s">
        <v>55</v>
      </c>
      <c r="AS991" t="s">
        <v>60</v>
      </c>
    </row>
    <row r="992" spans="1:45" x14ac:dyDescent="0.25">
      <c r="A992" t="s">
        <v>47</v>
      </c>
      <c r="B992">
        <v>8</v>
      </c>
      <c r="C992" t="s">
        <v>181</v>
      </c>
      <c r="D992">
        <v>85</v>
      </c>
      <c r="E992" t="s">
        <v>182</v>
      </c>
      <c r="F992">
        <v>131</v>
      </c>
      <c r="H992" t="s">
        <v>50</v>
      </c>
      <c r="K992" t="s">
        <v>51</v>
      </c>
      <c r="L992">
        <v>1</v>
      </c>
      <c r="M992" t="s">
        <v>52</v>
      </c>
      <c r="N992" t="s">
        <v>53</v>
      </c>
      <c r="R992">
        <v>0.6</v>
      </c>
      <c r="S992">
        <v>0.84</v>
      </c>
      <c r="T992">
        <v>0</v>
      </c>
      <c r="U992">
        <v>0</v>
      </c>
      <c r="V992" s="1">
        <v>46326</v>
      </c>
      <c r="W992" s="1">
        <v>46691</v>
      </c>
      <c r="X992" s="1">
        <v>46266</v>
      </c>
      <c r="Z992" t="s">
        <v>52</v>
      </c>
      <c r="AB992" t="s">
        <v>52</v>
      </c>
      <c r="AC992">
        <v>131</v>
      </c>
      <c r="AD992">
        <v>1</v>
      </c>
      <c r="AK992" t="s">
        <v>52</v>
      </c>
      <c r="AN992" t="s">
        <v>52</v>
      </c>
      <c r="AO992" t="s">
        <v>52</v>
      </c>
      <c r="AP992" t="s">
        <v>52</v>
      </c>
      <c r="AQ992" t="s">
        <v>52</v>
      </c>
      <c r="AR992" t="s">
        <v>55</v>
      </c>
    </row>
    <row r="993" spans="1:45" x14ac:dyDescent="0.25">
      <c r="A993" t="s">
        <v>47</v>
      </c>
      <c r="B993">
        <v>8</v>
      </c>
      <c r="C993" t="s">
        <v>181</v>
      </c>
      <c r="D993">
        <v>85</v>
      </c>
      <c r="E993" t="s">
        <v>83</v>
      </c>
      <c r="F993">
        <v>158</v>
      </c>
      <c r="H993" t="s">
        <v>50</v>
      </c>
      <c r="K993" t="s">
        <v>51</v>
      </c>
      <c r="L993">
        <v>1</v>
      </c>
      <c r="M993" t="s">
        <v>52</v>
      </c>
      <c r="N993" t="s">
        <v>53</v>
      </c>
      <c r="R993">
        <v>0.77</v>
      </c>
      <c r="S993">
        <v>0.93</v>
      </c>
      <c r="T993">
        <v>0</v>
      </c>
      <c r="U993">
        <v>0</v>
      </c>
      <c r="V993" s="1">
        <v>46326</v>
      </c>
      <c r="W993" s="1">
        <v>46691</v>
      </c>
      <c r="X993" s="1">
        <v>46266</v>
      </c>
      <c r="Z993" t="s">
        <v>52</v>
      </c>
      <c r="AB993" t="s">
        <v>52</v>
      </c>
      <c r="AC993">
        <v>158</v>
      </c>
      <c r="AD993">
        <v>2</v>
      </c>
      <c r="AK993" t="s">
        <v>52</v>
      </c>
      <c r="AN993" t="s">
        <v>52</v>
      </c>
      <c r="AO993" t="s">
        <v>52</v>
      </c>
      <c r="AP993" t="s">
        <v>52</v>
      </c>
      <c r="AQ993" t="s">
        <v>52</v>
      </c>
      <c r="AR993" t="s">
        <v>55</v>
      </c>
      <c r="AS993" t="s">
        <v>60</v>
      </c>
    </row>
    <row r="994" spans="1:45" x14ac:dyDescent="0.25">
      <c r="A994" t="s">
        <v>47</v>
      </c>
      <c r="B994">
        <v>8</v>
      </c>
      <c r="C994" t="s">
        <v>183</v>
      </c>
      <c r="D994">
        <v>87</v>
      </c>
      <c r="E994" t="s">
        <v>49</v>
      </c>
      <c r="F994">
        <v>27</v>
      </c>
      <c r="H994" t="s">
        <v>50</v>
      </c>
      <c r="K994" t="s">
        <v>51</v>
      </c>
      <c r="L994">
        <v>1</v>
      </c>
      <c r="M994" t="s">
        <v>52</v>
      </c>
      <c r="N994" t="s">
        <v>53</v>
      </c>
      <c r="Q994">
        <v>230</v>
      </c>
      <c r="R994">
        <v>0</v>
      </c>
      <c r="S994">
        <v>0.75</v>
      </c>
      <c r="T994">
        <v>0</v>
      </c>
      <c r="U994">
        <v>0</v>
      </c>
      <c r="W994" s="1">
        <v>46675</v>
      </c>
      <c r="X994" s="1">
        <v>46357</v>
      </c>
      <c r="Y994" t="s">
        <v>54</v>
      </c>
      <c r="Z994" t="s">
        <v>52</v>
      </c>
      <c r="AB994" t="s">
        <v>52</v>
      </c>
      <c r="AC994">
        <v>27</v>
      </c>
      <c r="AD994">
        <v>1</v>
      </c>
      <c r="AE994">
        <v>0.97</v>
      </c>
      <c r="AG994">
        <v>0.97</v>
      </c>
      <c r="AK994" t="s">
        <v>52</v>
      </c>
      <c r="AN994" t="s">
        <v>52</v>
      </c>
      <c r="AO994" t="s">
        <v>52</v>
      </c>
      <c r="AP994" t="s">
        <v>52</v>
      </c>
      <c r="AQ994" t="s">
        <v>52</v>
      </c>
      <c r="AR994" t="s">
        <v>55</v>
      </c>
      <c r="AS994" t="s">
        <v>56</v>
      </c>
    </row>
    <row r="995" spans="1:45" x14ac:dyDescent="0.25">
      <c r="A995" t="s">
        <v>47</v>
      </c>
      <c r="B995">
        <v>8</v>
      </c>
      <c r="C995" t="s">
        <v>183</v>
      </c>
      <c r="D995">
        <v>87</v>
      </c>
      <c r="E995" t="s">
        <v>49</v>
      </c>
      <c r="F995">
        <v>27</v>
      </c>
      <c r="H995" t="s">
        <v>50</v>
      </c>
      <c r="K995" t="s">
        <v>52</v>
      </c>
      <c r="L995">
        <v>1</v>
      </c>
      <c r="M995" t="s">
        <v>52</v>
      </c>
      <c r="N995" t="s">
        <v>53</v>
      </c>
      <c r="Q995">
        <v>230</v>
      </c>
      <c r="R995">
        <v>0</v>
      </c>
      <c r="S995">
        <v>0.75</v>
      </c>
      <c r="T995">
        <v>0</v>
      </c>
      <c r="U995">
        <v>0</v>
      </c>
      <c r="W995" s="1">
        <v>46675</v>
      </c>
      <c r="X995" s="1">
        <v>46357</v>
      </c>
      <c r="Y995" t="s">
        <v>54</v>
      </c>
      <c r="Z995" t="s">
        <v>52</v>
      </c>
      <c r="AB995" t="s">
        <v>52</v>
      </c>
      <c r="AC995">
        <v>27</v>
      </c>
      <c r="AD995">
        <v>1</v>
      </c>
      <c r="AE995">
        <v>0.97</v>
      </c>
      <c r="AG995">
        <v>0.97</v>
      </c>
      <c r="AK995" t="s">
        <v>52</v>
      </c>
      <c r="AN995" t="s">
        <v>52</v>
      </c>
      <c r="AO995" t="s">
        <v>52</v>
      </c>
      <c r="AP995" t="s">
        <v>52</v>
      </c>
      <c r="AQ995" t="s">
        <v>52</v>
      </c>
      <c r="AR995" t="s">
        <v>55</v>
      </c>
      <c r="AS995" t="s">
        <v>57</v>
      </c>
    </row>
    <row r="996" spans="1:45" x14ac:dyDescent="0.25">
      <c r="A996" t="s">
        <v>47</v>
      </c>
      <c r="B996">
        <v>8</v>
      </c>
      <c r="C996" t="s">
        <v>183</v>
      </c>
      <c r="D996">
        <v>87</v>
      </c>
      <c r="E996" t="s">
        <v>87</v>
      </c>
      <c r="F996">
        <v>91</v>
      </c>
      <c r="G996" t="s">
        <v>103</v>
      </c>
      <c r="H996" t="s">
        <v>50</v>
      </c>
      <c r="K996" t="s">
        <v>51</v>
      </c>
      <c r="L996">
        <v>1</v>
      </c>
      <c r="M996" t="s">
        <v>52</v>
      </c>
      <c r="N996" t="s">
        <v>53</v>
      </c>
      <c r="R996">
        <v>0.77</v>
      </c>
      <c r="S996">
        <v>0.93</v>
      </c>
      <c r="T996">
        <v>0</v>
      </c>
      <c r="U996">
        <v>0</v>
      </c>
      <c r="V996" s="1">
        <v>46326</v>
      </c>
      <c r="W996" s="1">
        <v>46691</v>
      </c>
      <c r="X996" s="1">
        <v>46295</v>
      </c>
      <c r="Z996" t="s">
        <v>52</v>
      </c>
      <c r="AB996" t="s">
        <v>52</v>
      </c>
      <c r="AC996">
        <v>91</v>
      </c>
      <c r="AD996">
        <v>2</v>
      </c>
      <c r="AK996" t="s">
        <v>52</v>
      </c>
      <c r="AN996" t="s">
        <v>52</v>
      </c>
      <c r="AO996" t="s">
        <v>52</v>
      </c>
      <c r="AP996" t="s">
        <v>52</v>
      </c>
      <c r="AQ996" t="s">
        <v>52</v>
      </c>
      <c r="AR996" t="s">
        <v>55</v>
      </c>
      <c r="AS996" t="s">
        <v>60</v>
      </c>
    </row>
    <row r="997" spans="1:45" x14ac:dyDescent="0.25">
      <c r="A997" t="s">
        <v>47</v>
      </c>
      <c r="B997">
        <v>8</v>
      </c>
      <c r="C997" t="s">
        <v>183</v>
      </c>
      <c r="D997">
        <v>87</v>
      </c>
      <c r="E997" t="s">
        <v>87</v>
      </c>
      <c r="F997">
        <v>91</v>
      </c>
      <c r="G997" t="s">
        <v>103</v>
      </c>
      <c r="H997" t="s">
        <v>50</v>
      </c>
      <c r="K997" t="s">
        <v>52</v>
      </c>
      <c r="L997">
        <v>1</v>
      </c>
      <c r="M997" t="s">
        <v>52</v>
      </c>
      <c r="N997" t="s">
        <v>53</v>
      </c>
      <c r="R997">
        <v>0.77</v>
      </c>
      <c r="S997">
        <v>0.93</v>
      </c>
      <c r="T997">
        <v>0</v>
      </c>
      <c r="U997">
        <v>0</v>
      </c>
      <c r="V997" s="1">
        <v>46326</v>
      </c>
      <c r="W997" s="1">
        <v>46691</v>
      </c>
      <c r="X997" s="1">
        <v>46295</v>
      </c>
      <c r="Z997" t="s">
        <v>52</v>
      </c>
      <c r="AB997" t="s">
        <v>52</v>
      </c>
      <c r="AC997">
        <v>91</v>
      </c>
      <c r="AD997">
        <v>2</v>
      </c>
      <c r="AK997" t="s">
        <v>52</v>
      </c>
      <c r="AN997" t="s">
        <v>52</v>
      </c>
      <c r="AO997" t="s">
        <v>52</v>
      </c>
      <c r="AP997" t="s">
        <v>52</v>
      </c>
      <c r="AQ997" t="s">
        <v>52</v>
      </c>
      <c r="AR997" t="s">
        <v>55</v>
      </c>
    </row>
    <row r="998" spans="1:45" x14ac:dyDescent="0.25">
      <c r="A998" t="s">
        <v>47</v>
      </c>
      <c r="B998">
        <v>8</v>
      </c>
      <c r="C998" t="s">
        <v>183</v>
      </c>
      <c r="D998">
        <v>87</v>
      </c>
      <c r="E998" t="s">
        <v>58</v>
      </c>
      <c r="F998">
        <v>102</v>
      </c>
      <c r="G998" t="s">
        <v>61</v>
      </c>
      <c r="H998" t="s">
        <v>50</v>
      </c>
      <c r="K998" t="s">
        <v>51</v>
      </c>
      <c r="L998">
        <v>1</v>
      </c>
      <c r="M998" t="s">
        <v>52</v>
      </c>
      <c r="N998" t="s">
        <v>53</v>
      </c>
      <c r="R998">
        <v>0</v>
      </c>
      <c r="S998">
        <v>0.92</v>
      </c>
      <c r="U998">
        <v>0</v>
      </c>
      <c r="W998" s="1">
        <v>46731</v>
      </c>
      <c r="X998" s="1">
        <v>46357</v>
      </c>
      <c r="Z998" t="s">
        <v>52</v>
      </c>
      <c r="AB998" t="s">
        <v>52</v>
      </c>
      <c r="AC998">
        <v>102</v>
      </c>
      <c r="AD998">
        <v>1</v>
      </c>
      <c r="AK998" t="s">
        <v>52</v>
      </c>
      <c r="AN998" t="s">
        <v>52</v>
      </c>
      <c r="AO998" t="s">
        <v>52</v>
      </c>
      <c r="AP998" t="s">
        <v>52</v>
      </c>
      <c r="AQ998" t="s">
        <v>52</v>
      </c>
      <c r="AR998" t="s">
        <v>55</v>
      </c>
    </row>
    <row r="999" spans="1:45" x14ac:dyDescent="0.25">
      <c r="A999" t="s">
        <v>47</v>
      </c>
      <c r="B999">
        <v>8</v>
      </c>
      <c r="C999" t="s">
        <v>183</v>
      </c>
      <c r="D999">
        <v>87</v>
      </c>
      <c r="E999" t="s">
        <v>58</v>
      </c>
      <c r="F999">
        <v>102</v>
      </c>
      <c r="G999" t="s">
        <v>61</v>
      </c>
      <c r="H999" t="s">
        <v>50</v>
      </c>
      <c r="K999" t="s">
        <v>52</v>
      </c>
      <c r="L999">
        <v>1</v>
      </c>
      <c r="M999" t="s">
        <v>52</v>
      </c>
      <c r="N999" t="s">
        <v>53</v>
      </c>
      <c r="R999">
        <v>0</v>
      </c>
      <c r="S999">
        <v>0.92</v>
      </c>
      <c r="U999">
        <v>0</v>
      </c>
      <c r="W999" s="1">
        <v>46731</v>
      </c>
      <c r="X999" s="1">
        <v>46357</v>
      </c>
      <c r="Z999" t="s">
        <v>52</v>
      </c>
      <c r="AB999" t="s">
        <v>52</v>
      </c>
      <c r="AC999">
        <v>102</v>
      </c>
      <c r="AD999">
        <v>1</v>
      </c>
      <c r="AK999" t="s">
        <v>52</v>
      </c>
      <c r="AN999" t="s">
        <v>52</v>
      </c>
      <c r="AO999" t="s">
        <v>52</v>
      </c>
      <c r="AP999" t="s">
        <v>52</v>
      </c>
      <c r="AQ999" t="s">
        <v>52</v>
      </c>
      <c r="AR999" t="s">
        <v>55</v>
      </c>
    </row>
    <row r="1000" spans="1:45" x14ac:dyDescent="0.25">
      <c r="A1000" t="s">
        <v>47</v>
      </c>
      <c r="B1000">
        <v>8</v>
      </c>
      <c r="C1000" t="s">
        <v>183</v>
      </c>
      <c r="D1000">
        <v>87</v>
      </c>
      <c r="E1000" t="s">
        <v>58</v>
      </c>
      <c r="F1000">
        <v>102</v>
      </c>
      <c r="G1000" t="s">
        <v>62</v>
      </c>
      <c r="H1000" t="s">
        <v>50</v>
      </c>
      <c r="K1000" t="s">
        <v>52</v>
      </c>
      <c r="L1000">
        <v>1</v>
      </c>
      <c r="M1000" t="s">
        <v>52</v>
      </c>
      <c r="N1000" t="s">
        <v>53</v>
      </c>
      <c r="R1000">
        <v>0</v>
      </c>
      <c r="S1000">
        <v>0.92</v>
      </c>
      <c r="T1000">
        <v>0</v>
      </c>
      <c r="U1000">
        <v>0</v>
      </c>
      <c r="W1000" s="1">
        <v>46731</v>
      </c>
      <c r="X1000" s="1">
        <v>46357</v>
      </c>
      <c r="Z1000" t="s">
        <v>52</v>
      </c>
      <c r="AB1000" t="s">
        <v>52</v>
      </c>
      <c r="AC1000">
        <v>102</v>
      </c>
      <c r="AD1000">
        <v>1</v>
      </c>
      <c r="AK1000" t="s">
        <v>52</v>
      </c>
      <c r="AN1000" t="s">
        <v>52</v>
      </c>
      <c r="AO1000" t="s">
        <v>52</v>
      </c>
      <c r="AP1000" t="s">
        <v>52</v>
      </c>
      <c r="AQ1000" t="s">
        <v>52</v>
      </c>
      <c r="AR1000" t="s">
        <v>55</v>
      </c>
    </row>
    <row r="1001" spans="1:45" x14ac:dyDescent="0.25">
      <c r="A1001" t="s">
        <v>47</v>
      </c>
      <c r="B1001">
        <v>8</v>
      </c>
      <c r="C1001" t="s">
        <v>183</v>
      </c>
      <c r="D1001">
        <v>87</v>
      </c>
      <c r="E1001" t="s">
        <v>58</v>
      </c>
      <c r="F1001">
        <v>102</v>
      </c>
      <c r="G1001" t="s">
        <v>184</v>
      </c>
      <c r="H1001" t="s">
        <v>50</v>
      </c>
      <c r="K1001" t="s">
        <v>52</v>
      </c>
      <c r="L1001">
        <v>1</v>
      </c>
      <c r="M1001" t="s">
        <v>52</v>
      </c>
      <c r="N1001" t="s">
        <v>53</v>
      </c>
      <c r="R1001">
        <v>0</v>
      </c>
      <c r="S1001">
        <v>0.92</v>
      </c>
      <c r="T1001">
        <v>0</v>
      </c>
      <c r="U1001">
        <v>0</v>
      </c>
      <c r="W1001" s="1">
        <v>46731</v>
      </c>
      <c r="X1001" s="1">
        <v>46357</v>
      </c>
      <c r="Z1001" t="s">
        <v>52</v>
      </c>
      <c r="AB1001" t="s">
        <v>52</v>
      </c>
      <c r="AC1001">
        <v>102</v>
      </c>
      <c r="AD1001">
        <v>1</v>
      </c>
      <c r="AK1001" t="s">
        <v>52</v>
      </c>
      <c r="AN1001" t="s">
        <v>52</v>
      </c>
      <c r="AO1001" t="s">
        <v>52</v>
      </c>
      <c r="AP1001" t="s">
        <v>52</v>
      </c>
      <c r="AQ1001" t="s">
        <v>52</v>
      </c>
      <c r="AR1001" t="s">
        <v>55</v>
      </c>
      <c r="AS1001" t="s">
        <v>60</v>
      </c>
    </row>
    <row r="1002" spans="1:45" x14ac:dyDescent="0.25">
      <c r="A1002" t="s">
        <v>47</v>
      </c>
      <c r="B1002">
        <v>8</v>
      </c>
      <c r="C1002" t="s">
        <v>183</v>
      </c>
      <c r="D1002">
        <v>87</v>
      </c>
      <c r="E1002" t="s">
        <v>68</v>
      </c>
      <c r="F1002">
        <v>80</v>
      </c>
      <c r="G1002" t="s">
        <v>69</v>
      </c>
      <c r="H1002" t="s">
        <v>50</v>
      </c>
      <c r="K1002" t="s">
        <v>51</v>
      </c>
      <c r="L1002">
        <v>1</v>
      </c>
      <c r="M1002" t="s">
        <v>52</v>
      </c>
      <c r="N1002" t="s">
        <v>53</v>
      </c>
      <c r="R1002">
        <v>0.5</v>
      </c>
      <c r="S1002">
        <v>0.75</v>
      </c>
      <c r="T1002">
        <v>0</v>
      </c>
      <c r="U1002">
        <v>0</v>
      </c>
      <c r="V1002" s="1">
        <v>46583</v>
      </c>
      <c r="W1002" s="1">
        <v>46675</v>
      </c>
      <c r="X1002" s="1">
        <v>46461</v>
      </c>
      <c r="Z1002" t="s">
        <v>52</v>
      </c>
      <c r="AB1002" t="s">
        <v>52</v>
      </c>
      <c r="AC1002">
        <v>80</v>
      </c>
      <c r="AD1002">
        <v>1</v>
      </c>
      <c r="AK1002" t="s">
        <v>52</v>
      </c>
      <c r="AN1002" t="s">
        <v>52</v>
      </c>
      <c r="AO1002" t="s">
        <v>52</v>
      </c>
      <c r="AP1002" t="s">
        <v>52</v>
      </c>
      <c r="AQ1002" t="s">
        <v>52</v>
      </c>
      <c r="AR1002" t="s">
        <v>55</v>
      </c>
    </row>
    <row r="1003" spans="1:45" x14ac:dyDescent="0.25">
      <c r="A1003" t="s">
        <v>47</v>
      </c>
      <c r="B1003">
        <v>8</v>
      </c>
      <c r="C1003" t="s">
        <v>183</v>
      </c>
      <c r="D1003">
        <v>87</v>
      </c>
      <c r="E1003" t="s">
        <v>68</v>
      </c>
      <c r="F1003">
        <v>80</v>
      </c>
      <c r="G1003" t="s">
        <v>69</v>
      </c>
      <c r="H1003" t="s">
        <v>50</v>
      </c>
      <c r="K1003" t="s">
        <v>52</v>
      </c>
      <c r="L1003">
        <v>1</v>
      </c>
      <c r="M1003" t="s">
        <v>52</v>
      </c>
      <c r="N1003" t="s">
        <v>53</v>
      </c>
      <c r="R1003">
        <v>0.5</v>
      </c>
      <c r="S1003">
        <v>0.75</v>
      </c>
      <c r="T1003">
        <v>0</v>
      </c>
      <c r="U1003">
        <v>0</v>
      </c>
      <c r="V1003" s="1">
        <v>46583</v>
      </c>
      <c r="W1003" s="1">
        <v>46675</v>
      </c>
      <c r="X1003" s="1">
        <v>46461</v>
      </c>
      <c r="Z1003" t="s">
        <v>52</v>
      </c>
      <c r="AB1003" t="s">
        <v>52</v>
      </c>
      <c r="AC1003">
        <v>80</v>
      </c>
      <c r="AD1003">
        <v>1</v>
      </c>
      <c r="AK1003" t="s">
        <v>52</v>
      </c>
      <c r="AN1003" t="s">
        <v>52</v>
      </c>
      <c r="AO1003" t="s">
        <v>52</v>
      </c>
      <c r="AP1003" t="s">
        <v>52</v>
      </c>
      <c r="AQ1003" t="s">
        <v>52</v>
      </c>
      <c r="AR1003" t="s">
        <v>55</v>
      </c>
    </row>
    <row r="1004" spans="1:45" x14ac:dyDescent="0.25">
      <c r="A1004" t="s">
        <v>47</v>
      </c>
      <c r="B1004">
        <v>8</v>
      </c>
      <c r="C1004" t="s">
        <v>183</v>
      </c>
      <c r="D1004">
        <v>87</v>
      </c>
      <c r="E1004" t="s">
        <v>70</v>
      </c>
      <c r="F1004">
        <v>296</v>
      </c>
      <c r="G1004" t="s">
        <v>71</v>
      </c>
      <c r="H1004" t="s">
        <v>50</v>
      </c>
      <c r="K1004" t="s">
        <v>51</v>
      </c>
      <c r="L1004">
        <v>1</v>
      </c>
      <c r="M1004" t="s">
        <v>52</v>
      </c>
      <c r="N1004" t="s">
        <v>53</v>
      </c>
      <c r="Q1004">
        <v>224.33330000000001</v>
      </c>
      <c r="R1004">
        <v>0</v>
      </c>
      <c r="S1004">
        <v>0.75</v>
      </c>
      <c r="T1004">
        <v>0</v>
      </c>
      <c r="U1004">
        <v>0</v>
      </c>
      <c r="W1004" s="1">
        <v>46675</v>
      </c>
      <c r="X1004" s="1">
        <v>46357</v>
      </c>
      <c r="Y1004" t="s">
        <v>54</v>
      </c>
      <c r="Z1004" t="s">
        <v>52</v>
      </c>
      <c r="AB1004" t="s">
        <v>52</v>
      </c>
      <c r="AC1004">
        <v>296</v>
      </c>
      <c r="AD1004">
        <v>1</v>
      </c>
      <c r="AK1004" t="s">
        <v>52</v>
      </c>
      <c r="AN1004" t="s">
        <v>52</v>
      </c>
      <c r="AO1004" t="s">
        <v>52</v>
      </c>
      <c r="AP1004" t="s">
        <v>52</v>
      </c>
      <c r="AQ1004" t="s">
        <v>52</v>
      </c>
      <c r="AR1004" t="s">
        <v>55</v>
      </c>
    </row>
    <row r="1005" spans="1:45" x14ac:dyDescent="0.25">
      <c r="A1005" t="s">
        <v>47</v>
      </c>
      <c r="B1005">
        <v>8</v>
      </c>
      <c r="C1005" t="s">
        <v>183</v>
      </c>
      <c r="D1005">
        <v>87</v>
      </c>
      <c r="E1005" t="s">
        <v>70</v>
      </c>
      <c r="F1005">
        <v>296</v>
      </c>
      <c r="G1005" t="s">
        <v>71</v>
      </c>
      <c r="H1005" t="s">
        <v>50</v>
      </c>
      <c r="K1005" t="s">
        <v>52</v>
      </c>
      <c r="L1005">
        <v>1</v>
      </c>
      <c r="M1005" t="s">
        <v>52</v>
      </c>
      <c r="N1005" t="s">
        <v>53</v>
      </c>
      <c r="Q1005">
        <v>224.33330000000001</v>
      </c>
      <c r="R1005">
        <v>0</v>
      </c>
      <c r="S1005">
        <v>0.75</v>
      </c>
      <c r="T1005">
        <v>0</v>
      </c>
      <c r="U1005">
        <v>0</v>
      </c>
      <c r="W1005" s="1">
        <v>46675</v>
      </c>
      <c r="X1005" s="1">
        <v>46357</v>
      </c>
      <c r="Y1005" t="s">
        <v>54</v>
      </c>
      <c r="Z1005" t="s">
        <v>52</v>
      </c>
      <c r="AB1005" t="s">
        <v>52</v>
      </c>
      <c r="AC1005">
        <v>296</v>
      </c>
      <c r="AD1005">
        <v>1</v>
      </c>
      <c r="AK1005" t="s">
        <v>52</v>
      </c>
      <c r="AN1005" t="s">
        <v>52</v>
      </c>
      <c r="AO1005" t="s">
        <v>52</v>
      </c>
      <c r="AP1005" t="s">
        <v>52</v>
      </c>
      <c r="AQ1005" t="s">
        <v>52</v>
      </c>
      <c r="AR1005" t="s">
        <v>55</v>
      </c>
    </row>
    <row r="1006" spans="1:45" x14ac:dyDescent="0.25">
      <c r="A1006" t="s">
        <v>47</v>
      </c>
      <c r="B1006">
        <v>8</v>
      </c>
      <c r="C1006" t="s">
        <v>183</v>
      </c>
      <c r="D1006">
        <v>87</v>
      </c>
      <c r="E1006" t="s">
        <v>70</v>
      </c>
      <c r="F1006">
        <v>296</v>
      </c>
      <c r="G1006" t="s">
        <v>74</v>
      </c>
      <c r="H1006" t="s">
        <v>50</v>
      </c>
      <c r="K1006" t="s">
        <v>51</v>
      </c>
      <c r="L1006">
        <v>1</v>
      </c>
      <c r="M1006" t="s">
        <v>52</v>
      </c>
      <c r="N1006" t="s">
        <v>53</v>
      </c>
      <c r="R1006">
        <v>0</v>
      </c>
      <c r="S1006">
        <v>0.75</v>
      </c>
      <c r="T1006">
        <v>0</v>
      </c>
      <c r="U1006">
        <v>0</v>
      </c>
      <c r="W1006" s="1">
        <v>46675</v>
      </c>
      <c r="X1006" s="1">
        <v>46357</v>
      </c>
      <c r="Z1006" t="s">
        <v>52</v>
      </c>
      <c r="AB1006" t="s">
        <v>52</v>
      </c>
      <c r="AC1006">
        <v>102</v>
      </c>
      <c r="AD1006">
        <v>1</v>
      </c>
      <c r="AK1006" t="s">
        <v>52</v>
      </c>
      <c r="AN1006" t="s">
        <v>52</v>
      </c>
      <c r="AO1006" t="s">
        <v>52</v>
      </c>
      <c r="AP1006" t="s">
        <v>52</v>
      </c>
      <c r="AQ1006" t="s">
        <v>52</v>
      </c>
      <c r="AR1006" t="s">
        <v>55</v>
      </c>
    </row>
    <row r="1007" spans="1:45" x14ac:dyDescent="0.25">
      <c r="A1007" t="s">
        <v>47</v>
      </c>
      <c r="B1007">
        <v>8</v>
      </c>
      <c r="C1007" t="s">
        <v>183</v>
      </c>
      <c r="D1007">
        <v>87</v>
      </c>
      <c r="E1007" t="s">
        <v>70</v>
      </c>
      <c r="F1007">
        <v>296</v>
      </c>
      <c r="G1007" t="s">
        <v>74</v>
      </c>
      <c r="H1007" t="s">
        <v>50</v>
      </c>
      <c r="K1007" t="s">
        <v>52</v>
      </c>
      <c r="L1007">
        <v>1</v>
      </c>
      <c r="M1007" t="s">
        <v>52</v>
      </c>
      <c r="N1007" t="s">
        <v>53</v>
      </c>
      <c r="R1007">
        <v>0</v>
      </c>
      <c r="S1007">
        <v>0.75</v>
      </c>
      <c r="T1007">
        <v>0</v>
      </c>
      <c r="U1007">
        <v>0</v>
      </c>
      <c r="W1007" s="1">
        <v>46675</v>
      </c>
      <c r="X1007" s="1">
        <v>46357</v>
      </c>
      <c r="Z1007" t="s">
        <v>52</v>
      </c>
      <c r="AB1007" t="s">
        <v>52</v>
      </c>
      <c r="AC1007">
        <v>102</v>
      </c>
      <c r="AD1007">
        <v>1</v>
      </c>
      <c r="AK1007" t="s">
        <v>52</v>
      </c>
      <c r="AN1007" t="s">
        <v>52</v>
      </c>
      <c r="AO1007" t="s">
        <v>52</v>
      </c>
      <c r="AP1007" t="s">
        <v>52</v>
      </c>
      <c r="AQ1007" t="s">
        <v>52</v>
      </c>
      <c r="AR1007" t="s">
        <v>55</v>
      </c>
    </row>
    <row r="1008" spans="1:45" x14ac:dyDescent="0.25">
      <c r="A1008" t="s">
        <v>47</v>
      </c>
      <c r="B1008">
        <v>8</v>
      </c>
      <c r="C1008" t="s">
        <v>183</v>
      </c>
      <c r="D1008">
        <v>87</v>
      </c>
      <c r="E1008" t="s">
        <v>75</v>
      </c>
      <c r="F1008">
        <v>16</v>
      </c>
      <c r="G1008" t="s">
        <v>76</v>
      </c>
      <c r="H1008" t="s">
        <v>50</v>
      </c>
      <c r="K1008" t="s">
        <v>51</v>
      </c>
      <c r="L1008">
        <v>1</v>
      </c>
      <c r="M1008" t="s">
        <v>52</v>
      </c>
      <c r="N1008" t="s">
        <v>53</v>
      </c>
      <c r="R1008">
        <v>0.5</v>
      </c>
      <c r="S1008">
        <v>0.75</v>
      </c>
      <c r="T1008">
        <v>0</v>
      </c>
      <c r="U1008">
        <v>0</v>
      </c>
      <c r="V1008" s="1">
        <v>46507</v>
      </c>
      <c r="W1008" s="1">
        <v>46691</v>
      </c>
      <c r="X1008" s="1">
        <v>46461</v>
      </c>
      <c r="Z1008" t="s">
        <v>52</v>
      </c>
      <c r="AB1008" t="s">
        <v>52</v>
      </c>
      <c r="AC1008">
        <v>16</v>
      </c>
      <c r="AD1008">
        <v>2</v>
      </c>
      <c r="AK1008" t="s">
        <v>52</v>
      </c>
      <c r="AN1008" t="s">
        <v>52</v>
      </c>
      <c r="AO1008" t="s">
        <v>52</v>
      </c>
      <c r="AP1008" t="s">
        <v>52</v>
      </c>
      <c r="AQ1008" t="s">
        <v>52</v>
      </c>
      <c r="AR1008" t="s">
        <v>55</v>
      </c>
    </row>
    <row r="1009" spans="1:45" x14ac:dyDescent="0.25">
      <c r="A1009" t="s">
        <v>47</v>
      </c>
      <c r="B1009">
        <v>8</v>
      </c>
      <c r="C1009" t="s">
        <v>183</v>
      </c>
      <c r="D1009">
        <v>87</v>
      </c>
      <c r="E1009" t="s">
        <v>75</v>
      </c>
      <c r="F1009">
        <v>16</v>
      </c>
      <c r="G1009" t="s">
        <v>76</v>
      </c>
      <c r="H1009" t="s">
        <v>50</v>
      </c>
      <c r="K1009" t="s">
        <v>52</v>
      </c>
      <c r="L1009">
        <v>1</v>
      </c>
      <c r="M1009" t="s">
        <v>52</v>
      </c>
      <c r="N1009" t="s">
        <v>53</v>
      </c>
      <c r="R1009">
        <v>0.5</v>
      </c>
      <c r="S1009">
        <v>0.75</v>
      </c>
      <c r="T1009">
        <v>0</v>
      </c>
      <c r="U1009">
        <v>0</v>
      </c>
      <c r="V1009" s="1">
        <v>46507</v>
      </c>
      <c r="W1009" s="1">
        <v>46691</v>
      </c>
      <c r="X1009" s="1">
        <v>46461</v>
      </c>
      <c r="Z1009" t="s">
        <v>52</v>
      </c>
      <c r="AB1009" t="s">
        <v>52</v>
      </c>
      <c r="AC1009">
        <v>16</v>
      </c>
      <c r="AD1009">
        <v>2</v>
      </c>
      <c r="AK1009" t="s">
        <v>52</v>
      </c>
      <c r="AN1009" t="s">
        <v>52</v>
      </c>
      <c r="AO1009" t="s">
        <v>52</v>
      </c>
      <c r="AP1009" t="s">
        <v>52</v>
      </c>
      <c r="AQ1009" t="s">
        <v>52</v>
      </c>
      <c r="AR1009" t="s">
        <v>55</v>
      </c>
    </row>
    <row r="1010" spans="1:45" x14ac:dyDescent="0.25">
      <c r="A1010" t="s">
        <v>47</v>
      </c>
      <c r="B1010">
        <v>8</v>
      </c>
      <c r="C1010" t="s">
        <v>183</v>
      </c>
      <c r="D1010">
        <v>87</v>
      </c>
      <c r="E1010" t="s">
        <v>125</v>
      </c>
      <c r="F1010">
        <v>67</v>
      </c>
      <c r="G1010" t="s">
        <v>111</v>
      </c>
      <c r="H1010" t="s">
        <v>50</v>
      </c>
      <c r="K1010" t="s">
        <v>52</v>
      </c>
      <c r="L1010">
        <v>1</v>
      </c>
      <c r="M1010" t="s">
        <v>52</v>
      </c>
      <c r="N1010" t="s">
        <v>53</v>
      </c>
      <c r="R1010">
        <v>0.5</v>
      </c>
      <c r="S1010">
        <v>0.87</v>
      </c>
      <c r="U1010">
        <v>0</v>
      </c>
      <c r="V1010" s="1">
        <v>46583</v>
      </c>
      <c r="W1010" s="1">
        <v>46691</v>
      </c>
      <c r="X1010" s="1">
        <v>46461</v>
      </c>
      <c r="Z1010" t="s">
        <v>52</v>
      </c>
      <c r="AB1010" t="s">
        <v>52</v>
      </c>
      <c r="AC1010">
        <v>67</v>
      </c>
      <c r="AD1010">
        <v>1</v>
      </c>
      <c r="AK1010" t="s">
        <v>52</v>
      </c>
      <c r="AN1010" t="s">
        <v>52</v>
      </c>
      <c r="AO1010" t="s">
        <v>52</v>
      </c>
      <c r="AP1010" t="s">
        <v>52</v>
      </c>
      <c r="AQ1010" t="s">
        <v>52</v>
      </c>
      <c r="AR1010" t="s">
        <v>55</v>
      </c>
      <c r="AS1010" t="s">
        <v>60</v>
      </c>
    </row>
    <row r="1011" spans="1:45" x14ac:dyDescent="0.25">
      <c r="A1011" t="s">
        <v>47</v>
      </c>
      <c r="B1011">
        <v>8</v>
      </c>
      <c r="C1011" t="s">
        <v>183</v>
      </c>
      <c r="D1011">
        <v>87</v>
      </c>
      <c r="E1011" t="s">
        <v>93</v>
      </c>
      <c r="F1011">
        <v>94</v>
      </c>
      <c r="H1011" t="s">
        <v>50</v>
      </c>
      <c r="K1011" t="s">
        <v>52</v>
      </c>
      <c r="L1011">
        <v>1</v>
      </c>
      <c r="M1011" t="s">
        <v>52</v>
      </c>
      <c r="N1011" t="s">
        <v>53</v>
      </c>
      <c r="R1011">
        <v>0.77</v>
      </c>
      <c r="S1011">
        <v>0.93</v>
      </c>
      <c r="U1011">
        <v>0</v>
      </c>
      <c r="V1011" s="1">
        <v>46326</v>
      </c>
      <c r="W1011" s="1">
        <v>46691</v>
      </c>
      <c r="X1011" s="1">
        <v>46266</v>
      </c>
      <c r="Z1011" t="s">
        <v>52</v>
      </c>
      <c r="AB1011" t="s">
        <v>52</v>
      </c>
      <c r="AC1011">
        <v>94</v>
      </c>
      <c r="AD1011">
        <v>2</v>
      </c>
      <c r="AK1011" t="s">
        <v>52</v>
      </c>
      <c r="AN1011" t="s">
        <v>52</v>
      </c>
      <c r="AO1011" t="s">
        <v>52</v>
      </c>
      <c r="AP1011" t="s">
        <v>52</v>
      </c>
      <c r="AQ1011" t="s">
        <v>52</v>
      </c>
      <c r="AR1011" t="s">
        <v>55</v>
      </c>
      <c r="AS1011" t="s">
        <v>60</v>
      </c>
    </row>
    <row r="1012" spans="1:45" x14ac:dyDescent="0.25">
      <c r="A1012" t="s">
        <v>47</v>
      </c>
      <c r="B1012">
        <v>8</v>
      </c>
      <c r="C1012" t="s">
        <v>183</v>
      </c>
      <c r="D1012">
        <v>87</v>
      </c>
      <c r="E1012" t="s">
        <v>79</v>
      </c>
      <c r="F1012">
        <v>50</v>
      </c>
      <c r="G1012" t="s">
        <v>65</v>
      </c>
      <c r="H1012" t="s">
        <v>50</v>
      </c>
      <c r="K1012" t="s">
        <v>51</v>
      </c>
      <c r="L1012">
        <v>1</v>
      </c>
      <c r="M1012" t="s">
        <v>52</v>
      </c>
      <c r="N1012" t="s">
        <v>53</v>
      </c>
      <c r="R1012">
        <v>0.5</v>
      </c>
      <c r="S1012">
        <v>0.75</v>
      </c>
      <c r="U1012">
        <v>0</v>
      </c>
      <c r="V1012" s="1">
        <v>46583</v>
      </c>
      <c r="W1012" s="1">
        <v>46675</v>
      </c>
      <c r="X1012" s="1">
        <v>46461</v>
      </c>
      <c r="Z1012" t="s">
        <v>52</v>
      </c>
      <c r="AB1012" t="s">
        <v>52</v>
      </c>
      <c r="AC1012">
        <v>50</v>
      </c>
      <c r="AD1012">
        <v>1</v>
      </c>
      <c r="AK1012" t="s">
        <v>52</v>
      </c>
      <c r="AN1012" t="s">
        <v>52</v>
      </c>
      <c r="AO1012" t="s">
        <v>52</v>
      </c>
      <c r="AP1012" t="s">
        <v>52</v>
      </c>
      <c r="AQ1012" t="s">
        <v>52</v>
      </c>
      <c r="AR1012" t="s">
        <v>55</v>
      </c>
    </row>
    <row r="1013" spans="1:45" x14ac:dyDescent="0.25">
      <c r="A1013" t="s">
        <v>47</v>
      </c>
      <c r="B1013">
        <v>8</v>
      </c>
      <c r="C1013" t="s">
        <v>183</v>
      </c>
      <c r="D1013">
        <v>87</v>
      </c>
      <c r="E1013" t="s">
        <v>79</v>
      </c>
      <c r="F1013">
        <v>50</v>
      </c>
      <c r="G1013" t="s">
        <v>65</v>
      </c>
      <c r="H1013" t="s">
        <v>50</v>
      </c>
      <c r="K1013" t="s">
        <v>52</v>
      </c>
      <c r="L1013">
        <v>1</v>
      </c>
      <c r="M1013" t="s">
        <v>52</v>
      </c>
      <c r="N1013" t="s">
        <v>53</v>
      </c>
      <c r="R1013">
        <v>0.5</v>
      </c>
      <c r="S1013">
        <v>0.75</v>
      </c>
      <c r="T1013">
        <v>0</v>
      </c>
      <c r="U1013">
        <v>0</v>
      </c>
      <c r="V1013" s="1">
        <v>46583</v>
      </c>
      <c r="W1013" s="1">
        <v>46675</v>
      </c>
      <c r="X1013" s="1">
        <v>46461</v>
      </c>
      <c r="Z1013" t="s">
        <v>52</v>
      </c>
      <c r="AB1013" t="s">
        <v>52</v>
      </c>
      <c r="AC1013">
        <v>50</v>
      </c>
      <c r="AD1013">
        <v>1</v>
      </c>
      <c r="AK1013" t="s">
        <v>52</v>
      </c>
      <c r="AN1013" t="s">
        <v>52</v>
      </c>
      <c r="AO1013" t="s">
        <v>52</v>
      </c>
      <c r="AP1013" t="s">
        <v>52</v>
      </c>
      <c r="AQ1013" t="s">
        <v>52</v>
      </c>
      <c r="AR1013" t="s">
        <v>55</v>
      </c>
    </row>
    <row r="1014" spans="1:45" x14ac:dyDescent="0.25">
      <c r="A1014" t="s">
        <v>47</v>
      </c>
      <c r="B1014">
        <v>8</v>
      </c>
      <c r="C1014" t="s">
        <v>183</v>
      </c>
      <c r="D1014">
        <v>87</v>
      </c>
      <c r="E1014" t="s">
        <v>82</v>
      </c>
      <c r="F1014">
        <v>52</v>
      </c>
      <c r="H1014" t="s">
        <v>50</v>
      </c>
      <c r="K1014" t="s">
        <v>52</v>
      </c>
      <c r="L1014">
        <v>1</v>
      </c>
      <c r="M1014" t="s">
        <v>52</v>
      </c>
      <c r="N1014" t="s">
        <v>53</v>
      </c>
      <c r="R1014">
        <v>0.5</v>
      </c>
      <c r="S1014">
        <v>0.75</v>
      </c>
      <c r="U1014">
        <v>0</v>
      </c>
      <c r="V1014" s="1">
        <v>46569</v>
      </c>
      <c r="W1014" s="1">
        <v>46675</v>
      </c>
      <c r="X1014" s="1">
        <v>46461</v>
      </c>
      <c r="Z1014" t="s">
        <v>52</v>
      </c>
      <c r="AB1014" t="s">
        <v>52</v>
      </c>
      <c r="AC1014">
        <v>50</v>
      </c>
      <c r="AD1014">
        <v>1</v>
      </c>
      <c r="AK1014" t="s">
        <v>52</v>
      </c>
      <c r="AN1014" t="s">
        <v>52</v>
      </c>
      <c r="AO1014" t="s">
        <v>52</v>
      </c>
      <c r="AP1014" t="s">
        <v>52</v>
      </c>
      <c r="AQ1014" t="s">
        <v>52</v>
      </c>
      <c r="AR1014" t="s">
        <v>55</v>
      </c>
      <c r="AS1014" t="s">
        <v>107</v>
      </c>
    </row>
    <row r="1015" spans="1:45" x14ac:dyDescent="0.25">
      <c r="A1015" t="s">
        <v>47</v>
      </c>
      <c r="B1015">
        <v>8</v>
      </c>
      <c r="C1015" t="s">
        <v>183</v>
      </c>
      <c r="D1015">
        <v>87</v>
      </c>
      <c r="E1015" t="s">
        <v>83</v>
      </c>
      <c r="F1015">
        <v>158</v>
      </c>
      <c r="H1015" t="s">
        <v>50</v>
      </c>
      <c r="K1015" t="s">
        <v>51</v>
      </c>
      <c r="L1015">
        <v>1</v>
      </c>
      <c r="M1015" t="s">
        <v>52</v>
      </c>
      <c r="N1015" t="s">
        <v>53</v>
      </c>
      <c r="P1015">
        <v>1.2</v>
      </c>
      <c r="R1015">
        <v>0.77</v>
      </c>
      <c r="S1015">
        <v>0.93</v>
      </c>
      <c r="T1015">
        <v>0</v>
      </c>
      <c r="U1015">
        <v>0</v>
      </c>
      <c r="V1015" s="1">
        <v>46326</v>
      </c>
      <c r="W1015" s="1">
        <v>46691</v>
      </c>
      <c r="X1015" s="1">
        <v>46266</v>
      </c>
      <c r="Z1015" t="s">
        <v>52</v>
      </c>
      <c r="AA1015" t="s">
        <v>54</v>
      </c>
      <c r="AB1015" t="s">
        <v>52</v>
      </c>
      <c r="AC1015">
        <v>158</v>
      </c>
      <c r="AD1015">
        <v>2</v>
      </c>
      <c r="AK1015" t="s">
        <v>52</v>
      </c>
      <c r="AN1015" t="s">
        <v>52</v>
      </c>
      <c r="AO1015" t="s">
        <v>52</v>
      </c>
      <c r="AP1015" t="s">
        <v>52</v>
      </c>
      <c r="AQ1015" t="s">
        <v>52</v>
      </c>
      <c r="AR1015" t="s">
        <v>95</v>
      </c>
      <c r="AS1015" t="s">
        <v>140</v>
      </c>
    </row>
    <row r="1016" spans="1:45" x14ac:dyDescent="0.25">
      <c r="A1016" t="s">
        <v>47</v>
      </c>
      <c r="B1016">
        <v>8</v>
      </c>
      <c r="C1016" t="s">
        <v>183</v>
      </c>
      <c r="D1016">
        <v>87</v>
      </c>
      <c r="E1016" t="s">
        <v>83</v>
      </c>
      <c r="F1016">
        <v>158</v>
      </c>
      <c r="H1016" t="s">
        <v>50</v>
      </c>
      <c r="K1016" t="s">
        <v>52</v>
      </c>
      <c r="L1016">
        <v>1</v>
      </c>
      <c r="M1016" t="s">
        <v>52</v>
      </c>
      <c r="N1016" t="s">
        <v>53</v>
      </c>
      <c r="R1016">
        <v>0.77</v>
      </c>
      <c r="S1016">
        <v>0.93</v>
      </c>
      <c r="U1016">
        <v>0</v>
      </c>
      <c r="V1016" s="1">
        <v>46326</v>
      </c>
      <c r="W1016" s="1">
        <v>46691</v>
      </c>
      <c r="X1016" s="1">
        <v>46266</v>
      </c>
      <c r="Z1016" t="s">
        <v>52</v>
      </c>
      <c r="AB1016" t="s">
        <v>52</v>
      </c>
      <c r="AC1016">
        <v>158</v>
      </c>
      <c r="AD1016">
        <v>2</v>
      </c>
      <c r="AK1016" t="s">
        <v>52</v>
      </c>
      <c r="AN1016" t="s">
        <v>52</v>
      </c>
      <c r="AO1016" t="s">
        <v>52</v>
      </c>
      <c r="AP1016" t="s">
        <v>52</v>
      </c>
      <c r="AQ1016" t="s">
        <v>52</v>
      </c>
      <c r="AR1016" t="s">
        <v>55</v>
      </c>
    </row>
    <row r="1017" spans="1:45" x14ac:dyDescent="0.25">
      <c r="A1017" t="s">
        <v>47</v>
      </c>
      <c r="B1017">
        <v>8</v>
      </c>
      <c r="C1017" t="s">
        <v>183</v>
      </c>
      <c r="D1017">
        <v>87</v>
      </c>
      <c r="E1017" t="s">
        <v>84</v>
      </c>
      <c r="F1017">
        <v>11</v>
      </c>
      <c r="G1017" t="s">
        <v>96</v>
      </c>
      <c r="H1017" t="s">
        <v>50</v>
      </c>
      <c r="K1017" t="s">
        <v>52</v>
      </c>
      <c r="L1017">
        <v>1</v>
      </c>
      <c r="M1017" t="s">
        <v>52</v>
      </c>
      <c r="N1017" t="s">
        <v>53</v>
      </c>
      <c r="R1017">
        <v>0.5</v>
      </c>
      <c r="S1017">
        <v>0.75</v>
      </c>
      <c r="T1017">
        <v>0</v>
      </c>
      <c r="U1017">
        <v>0</v>
      </c>
      <c r="V1017" s="1">
        <v>46310</v>
      </c>
      <c r="W1017" s="1">
        <v>46691</v>
      </c>
      <c r="X1017" s="1">
        <v>46295</v>
      </c>
      <c r="Z1017" t="s">
        <v>52</v>
      </c>
      <c r="AB1017" t="s">
        <v>52</v>
      </c>
      <c r="AC1017">
        <v>11</v>
      </c>
      <c r="AD1017">
        <v>2</v>
      </c>
      <c r="AK1017" t="s">
        <v>52</v>
      </c>
      <c r="AN1017" t="s">
        <v>52</v>
      </c>
      <c r="AO1017" t="s">
        <v>52</v>
      </c>
      <c r="AP1017" t="s">
        <v>52</v>
      </c>
      <c r="AQ1017" t="s">
        <v>52</v>
      </c>
      <c r="AR1017" t="s">
        <v>55</v>
      </c>
      <c r="AS1017" t="s">
        <v>60</v>
      </c>
    </row>
    <row r="1018" spans="1:45" x14ac:dyDescent="0.25">
      <c r="A1018" t="s">
        <v>47</v>
      </c>
      <c r="B1018">
        <v>8</v>
      </c>
      <c r="C1018" t="s">
        <v>185</v>
      </c>
      <c r="D1018">
        <v>89</v>
      </c>
      <c r="E1018" t="s">
        <v>49</v>
      </c>
      <c r="F1018">
        <v>27</v>
      </c>
      <c r="H1018" t="s">
        <v>50</v>
      </c>
      <c r="K1018" t="s">
        <v>51</v>
      </c>
      <c r="L1018">
        <v>1</v>
      </c>
      <c r="M1018" t="s">
        <v>52</v>
      </c>
      <c r="N1018" t="s">
        <v>53</v>
      </c>
      <c r="Q1018">
        <v>230</v>
      </c>
      <c r="R1018">
        <v>0</v>
      </c>
      <c r="S1018">
        <v>0.75</v>
      </c>
      <c r="T1018">
        <v>0</v>
      </c>
      <c r="U1018">
        <v>0</v>
      </c>
      <c r="W1018" s="1">
        <v>46675</v>
      </c>
      <c r="X1018" s="1">
        <v>46357</v>
      </c>
      <c r="Y1018" t="s">
        <v>54</v>
      </c>
      <c r="Z1018" t="s">
        <v>52</v>
      </c>
      <c r="AB1018" t="s">
        <v>52</v>
      </c>
      <c r="AC1018">
        <v>27</v>
      </c>
      <c r="AD1018">
        <v>1</v>
      </c>
      <c r="AE1018">
        <v>0.97</v>
      </c>
      <c r="AG1018">
        <v>0.97</v>
      </c>
      <c r="AK1018" t="s">
        <v>52</v>
      </c>
      <c r="AN1018" t="s">
        <v>52</v>
      </c>
      <c r="AO1018" t="s">
        <v>52</v>
      </c>
      <c r="AP1018" t="s">
        <v>52</v>
      </c>
      <c r="AQ1018" t="s">
        <v>52</v>
      </c>
      <c r="AR1018" t="s">
        <v>55</v>
      </c>
      <c r="AS1018" t="s">
        <v>56</v>
      </c>
    </row>
    <row r="1019" spans="1:45" x14ac:dyDescent="0.25">
      <c r="A1019" t="s">
        <v>47</v>
      </c>
      <c r="B1019">
        <v>8</v>
      </c>
      <c r="C1019" t="s">
        <v>185</v>
      </c>
      <c r="D1019">
        <v>89</v>
      </c>
      <c r="E1019" t="s">
        <v>49</v>
      </c>
      <c r="F1019">
        <v>27</v>
      </c>
      <c r="H1019" t="s">
        <v>50</v>
      </c>
      <c r="K1019" t="s">
        <v>52</v>
      </c>
      <c r="L1019">
        <v>1</v>
      </c>
      <c r="M1019" t="s">
        <v>52</v>
      </c>
      <c r="N1019" t="s">
        <v>53</v>
      </c>
      <c r="Q1019">
        <v>230</v>
      </c>
      <c r="R1019">
        <v>0</v>
      </c>
      <c r="S1019">
        <v>0.75</v>
      </c>
      <c r="T1019">
        <v>0</v>
      </c>
      <c r="U1019">
        <v>0</v>
      </c>
      <c r="W1019" s="1">
        <v>46675</v>
      </c>
      <c r="X1019" s="1">
        <v>46357</v>
      </c>
      <c r="Y1019" t="s">
        <v>54</v>
      </c>
      <c r="Z1019" t="s">
        <v>52</v>
      </c>
      <c r="AB1019" t="s">
        <v>52</v>
      </c>
      <c r="AC1019">
        <v>27</v>
      </c>
      <c r="AD1019">
        <v>1</v>
      </c>
      <c r="AE1019">
        <v>0.97</v>
      </c>
      <c r="AG1019">
        <v>0.97</v>
      </c>
      <c r="AK1019" t="s">
        <v>52</v>
      </c>
      <c r="AN1019" t="s">
        <v>52</v>
      </c>
      <c r="AO1019" t="s">
        <v>52</v>
      </c>
      <c r="AP1019" t="s">
        <v>52</v>
      </c>
      <c r="AQ1019" t="s">
        <v>52</v>
      </c>
      <c r="AR1019" t="s">
        <v>55</v>
      </c>
      <c r="AS1019" t="s">
        <v>57</v>
      </c>
    </row>
    <row r="1020" spans="1:45" x14ac:dyDescent="0.25">
      <c r="A1020" t="s">
        <v>47</v>
      </c>
      <c r="B1020">
        <v>8</v>
      </c>
      <c r="C1020" t="s">
        <v>185</v>
      </c>
      <c r="D1020">
        <v>89</v>
      </c>
      <c r="E1020" t="s">
        <v>87</v>
      </c>
      <c r="F1020">
        <v>91</v>
      </c>
      <c r="G1020" t="s">
        <v>76</v>
      </c>
      <c r="H1020" t="s">
        <v>50</v>
      </c>
      <c r="K1020" t="s">
        <v>51</v>
      </c>
      <c r="L1020">
        <v>1</v>
      </c>
      <c r="M1020" t="s">
        <v>52</v>
      </c>
      <c r="N1020" t="s">
        <v>53</v>
      </c>
      <c r="R1020">
        <v>0.77</v>
      </c>
      <c r="S1020">
        <v>0.93</v>
      </c>
      <c r="T1020">
        <v>0</v>
      </c>
      <c r="U1020">
        <v>0</v>
      </c>
      <c r="V1020" s="1">
        <v>46548</v>
      </c>
      <c r="W1020" s="1">
        <v>46691</v>
      </c>
      <c r="X1020" s="1">
        <v>46295</v>
      </c>
      <c r="Z1020" t="s">
        <v>52</v>
      </c>
      <c r="AB1020" t="s">
        <v>52</v>
      </c>
      <c r="AC1020">
        <v>91</v>
      </c>
      <c r="AD1020">
        <v>2</v>
      </c>
      <c r="AK1020" t="s">
        <v>52</v>
      </c>
      <c r="AN1020" t="s">
        <v>52</v>
      </c>
      <c r="AO1020" t="s">
        <v>52</v>
      </c>
      <c r="AP1020" t="s">
        <v>52</v>
      </c>
      <c r="AQ1020" t="s">
        <v>52</v>
      </c>
      <c r="AR1020" t="s">
        <v>55</v>
      </c>
    </row>
    <row r="1021" spans="1:45" x14ac:dyDescent="0.25">
      <c r="A1021" t="s">
        <v>47</v>
      </c>
      <c r="B1021">
        <v>8</v>
      </c>
      <c r="C1021" t="s">
        <v>185</v>
      </c>
      <c r="D1021">
        <v>89</v>
      </c>
      <c r="E1021" t="s">
        <v>87</v>
      </c>
      <c r="F1021">
        <v>91</v>
      </c>
      <c r="G1021" t="s">
        <v>103</v>
      </c>
      <c r="H1021" t="s">
        <v>50</v>
      </c>
      <c r="K1021" t="s">
        <v>51</v>
      </c>
      <c r="L1021">
        <v>1</v>
      </c>
      <c r="M1021" t="s">
        <v>52</v>
      </c>
      <c r="N1021" t="s">
        <v>53</v>
      </c>
      <c r="R1021">
        <v>0.77</v>
      </c>
      <c r="S1021">
        <v>0.93</v>
      </c>
      <c r="T1021">
        <v>0</v>
      </c>
      <c r="U1021">
        <v>0</v>
      </c>
      <c r="V1021" s="1">
        <v>46326</v>
      </c>
      <c r="W1021" s="1">
        <v>46691</v>
      </c>
      <c r="X1021" s="1">
        <v>46295</v>
      </c>
      <c r="Z1021" t="s">
        <v>52</v>
      </c>
      <c r="AB1021" t="s">
        <v>52</v>
      </c>
      <c r="AC1021">
        <v>91</v>
      </c>
      <c r="AD1021">
        <v>2</v>
      </c>
      <c r="AK1021" t="s">
        <v>52</v>
      </c>
      <c r="AN1021" t="s">
        <v>52</v>
      </c>
      <c r="AO1021" t="s">
        <v>52</v>
      </c>
      <c r="AP1021" t="s">
        <v>52</v>
      </c>
      <c r="AQ1021" t="s">
        <v>52</v>
      </c>
      <c r="AR1021" t="s">
        <v>55</v>
      </c>
      <c r="AS1021" t="s">
        <v>60</v>
      </c>
    </row>
    <row r="1022" spans="1:45" x14ac:dyDescent="0.25">
      <c r="A1022" t="s">
        <v>47</v>
      </c>
      <c r="B1022">
        <v>8</v>
      </c>
      <c r="C1022" t="s">
        <v>185</v>
      </c>
      <c r="D1022">
        <v>89</v>
      </c>
      <c r="E1022" t="s">
        <v>132</v>
      </c>
      <c r="F1022">
        <v>47</v>
      </c>
      <c r="G1022" t="s">
        <v>133</v>
      </c>
      <c r="H1022" t="s">
        <v>50</v>
      </c>
      <c r="K1022" t="s">
        <v>51</v>
      </c>
      <c r="L1022">
        <v>1</v>
      </c>
      <c r="M1022" t="s">
        <v>52</v>
      </c>
      <c r="N1022" t="s">
        <v>53</v>
      </c>
      <c r="R1022">
        <v>0.63</v>
      </c>
      <c r="S1022">
        <v>0.8</v>
      </c>
      <c r="T1022">
        <v>0</v>
      </c>
      <c r="U1022">
        <v>0</v>
      </c>
      <c r="V1022" s="1">
        <v>46558</v>
      </c>
      <c r="W1022" s="1">
        <v>46691</v>
      </c>
      <c r="X1022" s="1">
        <v>46461</v>
      </c>
      <c r="Z1022" t="s">
        <v>52</v>
      </c>
      <c r="AB1022" t="s">
        <v>52</v>
      </c>
      <c r="AC1022">
        <v>47</v>
      </c>
      <c r="AD1022">
        <v>1</v>
      </c>
      <c r="AK1022" t="s">
        <v>52</v>
      </c>
      <c r="AN1022" t="s">
        <v>52</v>
      </c>
      <c r="AO1022" t="s">
        <v>52</v>
      </c>
      <c r="AP1022" t="s">
        <v>52</v>
      </c>
      <c r="AQ1022" t="s">
        <v>52</v>
      </c>
      <c r="AR1022" t="s">
        <v>55</v>
      </c>
    </row>
    <row r="1023" spans="1:45" x14ac:dyDescent="0.25">
      <c r="A1023" t="s">
        <v>47</v>
      </c>
      <c r="B1023">
        <v>8</v>
      </c>
      <c r="C1023" t="s">
        <v>185</v>
      </c>
      <c r="D1023">
        <v>89</v>
      </c>
      <c r="E1023" t="s">
        <v>58</v>
      </c>
      <c r="F1023">
        <v>102</v>
      </c>
      <c r="G1023" t="s">
        <v>62</v>
      </c>
      <c r="H1023" t="s">
        <v>50</v>
      </c>
      <c r="K1023" t="s">
        <v>52</v>
      </c>
      <c r="L1023">
        <v>1</v>
      </c>
      <c r="M1023" t="s">
        <v>52</v>
      </c>
      <c r="N1023" t="s">
        <v>53</v>
      </c>
      <c r="R1023">
        <v>0</v>
      </c>
      <c r="S1023">
        <v>0.92</v>
      </c>
      <c r="T1023">
        <v>0</v>
      </c>
      <c r="U1023">
        <v>0</v>
      </c>
      <c r="W1023" s="1">
        <v>46731</v>
      </c>
      <c r="X1023" s="1">
        <v>46357</v>
      </c>
      <c r="Z1023" t="s">
        <v>52</v>
      </c>
      <c r="AB1023" t="s">
        <v>52</v>
      </c>
      <c r="AC1023">
        <v>102</v>
      </c>
      <c r="AD1023">
        <v>1</v>
      </c>
      <c r="AK1023" t="s">
        <v>52</v>
      </c>
      <c r="AN1023" t="s">
        <v>52</v>
      </c>
      <c r="AO1023" t="s">
        <v>52</v>
      </c>
      <c r="AP1023" t="s">
        <v>52</v>
      </c>
      <c r="AQ1023" t="s">
        <v>52</v>
      </c>
      <c r="AR1023" t="s">
        <v>55</v>
      </c>
    </row>
    <row r="1024" spans="1:45" x14ac:dyDescent="0.25">
      <c r="A1024" t="s">
        <v>47</v>
      </c>
      <c r="B1024">
        <v>8</v>
      </c>
      <c r="C1024" t="s">
        <v>185</v>
      </c>
      <c r="D1024">
        <v>89</v>
      </c>
      <c r="E1024" t="s">
        <v>68</v>
      </c>
      <c r="F1024">
        <v>80</v>
      </c>
      <c r="G1024" t="s">
        <v>69</v>
      </c>
      <c r="H1024" t="s">
        <v>50</v>
      </c>
      <c r="K1024" t="s">
        <v>51</v>
      </c>
      <c r="L1024">
        <v>1</v>
      </c>
      <c r="M1024" t="s">
        <v>52</v>
      </c>
      <c r="N1024" t="s">
        <v>53</v>
      </c>
      <c r="R1024">
        <v>0.5</v>
      </c>
      <c r="S1024">
        <v>0.75</v>
      </c>
      <c r="U1024">
        <v>0</v>
      </c>
      <c r="V1024" s="1">
        <v>46583</v>
      </c>
      <c r="W1024" s="1">
        <v>46675</v>
      </c>
      <c r="X1024" s="1">
        <v>46461</v>
      </c>
      <c r="Z1024" t="s">
        <v>52</v>
      </c>
      <c r="AB1024" t="s">
        <v>52</v>
      </c>
      <c r="AC1024">
        <v>80</v>
      </c>
      <c r="AD1024">
        <v>1</v>
      </c>
      <c r="AK1024" t="s">
        <v>52</v>
      </c>
      <c r="AN1024" t="s">
        <v>52</v>
      </c>
      <c r="AO1024" t="s">
        <v>52</v>
      </c>
      <c r="AP1024" t="s">
        <v>52</v>
      </c>
      <c r="AQ1024" t="s">
        <v>52</v>
      </c>
      <c r="AR1024" t="s">
        <v>55</v>
      </c>
    </row>
    <row r="1025" spans="1:45" x14ac:dyDescent="0.25">
      <c r="A1025" t="s">
        <v>47</v>
      </c>
      <c r="B1025">
        <v>8</v>
      </c>
      <c r="C1025" t="s">
        <v>185</v>
      </c>
      <c r="D1025">
        <v>89</v>
      </c>
      <c r="E1025" t="s">
        <v>70</v>
      </c>
      <c r="F1025">
        <v>296</v>
      </c>
      <c r="G1025" t="s">
        <v>71</v>
      </c>
      <c r="H1025" t="s">
        <v>50</v>
      </c>
      <c r="K1025" t="s">
        <v>51</v>
      </c>
      <c r="L1025">
        <v>1</v>
      </c>
      <c r="M1025" t="s">
        <v>52</v>
      </c>
      <c r="N1025" t="s">
        <v>53</v>
      </c>
      <c r="Q1025">
        <v>224.33330000000001</v>
      </c>
      <c r="R1025">
        <v>0</v>
      </c>
      <c r="S1025">
        <v>0.75</v>
      </c>
      <c r="T1025">
        <v>0</v>
      </c>
      <c r="U1025">
        <v>0</v>
      </c>
      <c r="W1025" s="1">
        <v>46675</v>
      </c>
      <c r="X1025" s="1">
        <v>46357</v>
      </c>
      <c r="Y1025" t="s">
        <v>54</v>
      </c>
      <c r="Z1025" t="s">
        <v>52</v>
      </c>
      <c r="AB1025" t="s">
        <v>52</v>
      </c>
      <c r="AC1025">
        <v>296</v>
      </c>
      <c r="AD1025">
        <v>1</v>
      </c>
      <c r="AK1025" t="s">
        <v>52</v>
      </c>
      <c r="AN1025" t="s">
        <v>52</v>
      </c>
      <c r="AO1025" t="s">
        <v>52</v>
      </c>
      <c r="AP1025" t="s">
        <v>52</v>
      </c>
      <c r="AQ1025" t="s">
        <v>52</v>
      </c>
      <c r="AR1025" t="s">
        <v>55</v>
      </c>
    </row>
    <row r="1026" spans="1:45" x14ac:dyDescent="0.25">
      <c r="A1026" t="s">
        <v>47</v>
      </c>
      <c r="B1026">
        <v>8</v>
      </c>
      <c r="C1026" t="s">
        <v>185</v>
      </c>
      <c r="D1026">
        <v>89</v>
      </c>
      <c r="E1026" t="s">
        <v>70</v>
      </c>
      <c r="F1026">
        <v>296</v>
      </c>
      <c r="G1026" t="s">
        <v>74</v>
      </c>
      <c r="H1026" t="s">
        <v>50</v>
      </c>
      <c r="K1026" t="s">
        <v>51</v>
      </c>
      <c r="L1026">
        <v>1</v>
      </c>
      <c r="M1026" t="s">
        <v>52</v>
      </c>
      <c r="N1026" t="s">
        <v>53</v>
      </c>
      <c r="R1026">
        <v>0</v>
      </c>
      <c r="S1026">
        <v>0.75</v>
      </c>
      <c r="T1026">
        <v>0</v>
      </c>
      <c r="U1026">
        <v>0</v>
      </c>
      <c r="W1026" s="1">
        <v>46675</v>
      </c>
      <c r="X1026" s="1">
        <v>46357</v>
      </c>
      <c r="Z1026" t="s">
        <v>52</v>
      </c>
      <c r="AB1026" t="s">
        <v>52</v>
      </c>
      <c r="AC1026">
        <v>102</v>
      </c>
      <c r="AD1026">
        <v>1</v>
      </c>
      <c r="AK1026" t="s">
        <v>52</v>
      </c>
      <c r="AN1026" t="s">
        <v>52</v>
      </c>
      <c r="AO1026" t="s">
        <v>52</v>
      </c>
      <c r="AP1026" t="s">
        <v>52</v>
      </c>
      <c r="AQ1026" t="s">
        <v>52</v>
      </c>
      <c r="AR1026" t="s">
        <v>55</v>
      </c>
    </row>
    <row r="1027" spans="1:45" x14ac:dyDescent="0.25">
      <c r="A1027" t="s">
        <v>47</v>
      </c>
      <c r="B1027">
        <v>8</v>
      </c>
      <c r="C1027" t="s">
        <v>185</v>
      </c>
      <c r="D1027">
        <v>89</v>
      </c>
      <c r="E1027" t="s">
        <v>70</v>
      </c>
      <c r="F1027">
        <v>296</v>
      </c>
      <c r="G1027" t="s">
        <v>90</v>
      </c>
      <c r="H1027" t="s">
        <v>50</v>
      </c>
      <c r="K1027" t="s">
        <v>51</v>
      </c>
      <c r="L1027">
        <v>1</v>
      </c>
      <c r="M1027" t="s">
        <v>52</v>
      </c>
      <c r="N1027" t="s">
        <v>53</v>
      </c>
      <c r="R1027">
        <v>0.5</v>
      </c>
      <c r="S1027">
        <v>0.75</v>
      </c>
      <c r="T1027">
        <v>0</v>
      </c>
      <c r="U1027">
        <v>0</v>
      </c>
      <c r="V1027" s="1">
        <v>46593</v>
      </c>
      <c r="W1027" s="1">
        <v>46675</v>
      </c>
      <c r="X1027" s="1">
        <v>46357</v>
      </c>
      <c r="Z1027" t="s">
        <v>52</v>
      </c>
      <c r="AB1027" t="s">
        <v>52</v>
      </c>
      <c r="AC1027">
        <v>102</v>
      </c>
      <c r="AD1027">
        <v>1</v>
      </c>
      <c r="AK1027" t="s">
        <v>52</v>
      </c>
      <c r="AN1027" t="s">
        <v>52</v>
      </c>
      <c r="AO1027" t="s">
        <v>52</v>
      </c>
      <c r="AP1027" t="s">
        <v>52</v>
      </c>
      <c r="AQ1027" t="s">
        <v>52</v>
      </c>
      <c r="AR1027" t="s">
        <v>55</v>
      </c>
    </row>
    <row r="1028" spans="1:45" x14ac:dyDescent="0.25">
      <c r="A1028" t="s">
        <v>47</v>
      </c>
      <c r="B1028">
        <v>8</v>
      </c>
      <c r="C1028" t="s">
        <v>185</v>
      </c>
      <c r="D1028">
        <v>89</v>
      </c>
      <c r="E1028" t="s">
        <v>70</v>
      </c>
      <c r="F1028">
        <v>296</v>
      </c>
      <c r="G1028" t="s">
        <v>124</v>
      </c>
      <c r="H1028" t="s">
        <v>50</v>
      </c>
      <c r="K1028" t="s">
        <v>52</v>
      </c>
      <c r="L1028">
        <v>1</v>
      </c>
      <c r="M1028" t="s">
        <v>52</v>
      </c>
      <c r="N1028" t="s">
        <v>53</v>
      </c>
      <c r="R1028">
        <v>0</v>
      </c>
      <c r="S1028">
        <v>0.75</v>
      </c>
      <c r="T1028">
        <v>0</v>
      </c>
      <c r="U1028">
        <v>0</v>
      </c>
      <c r="W1028" s="1">
        <v>46675</v>
      </c>
      <c r="X1028" s="1">
        <v>46357</v>
      </c>
      <c r="Z1028" t="s">
        <v>52</v>
      </c>
      <c r="AB1028" t="s">
        <v>52</v>
      </c>
      <c r="AC1028">
        <v>102</v>
      </c>
      <c r="AD1028">
        <v>1</v>
      </c>
      <c r="AK1028" t="s">
        <v>52</v>
      </c>
      <c r="AN1028" t="s">
        <v>52</v>
      </c>
      <c r="AO1028" t="s">
        <v>52</v>
      </c>
      <c r="AP1028" t="s">
        <v>52</v>
      </c>
      <c r="AQ1028" t="s">
        <v>52</v>
      </c>
      <c r="AR1028" t="s">
        <v>55</v>
      </c>
    </row>
    <row r="1029" spans="1:45" x14ac:dyDescent="0.25">
      <c r="A1029" t="s">
        <v>47</v>
      </c>
      <c r="B1029">
        <v>8</v>
      </c>
      <c r="C1029" t="s">
        <v>185</v>
      </c>
      <c r="D1029">
        <v>89</v>
      </c>
      <c r="E1029" t="s">
        <v>75</v>
      </c>
      <c r="F1029">
        <v>16</v>
      </c>
      <c r="G1029" t="s">
        <v>76</v>
      </c>
      <c r="H1029" t="s">
        <v>50</v>
      </c>
      <c r="K1029" t="s">
        <v>51</v>
      </c>
      <c r="L1029">
        <v>1</v>
      </c>
      <c r="M1029" t="s">
        <v>52</v>
      </c>
      <c r="N1029" t="s">
        <v>53</v>
      </c>
      <c r="R1029">
        <v>0.5</v>
      </c>
      <c r="S1029">
        <v>0.75</v>
      </c>
      <c r="T1029">
        <v>0</v>
      </c>
      <c r="U1029">
        <v>0</v>
      </c>
      <c r="V1029" s="1">
        <v>46522</v>
      </c>
      <c r="W1029" s="1">
        <v>46691</v>
      </c>
      <c r="X1029" s="1">
        <v>46461</v>
      </c>
      <c r="Z1029" t="s">
        <v>52</v>
      </c>
      <c r="AB1029" t="s">
        <v>52</v>
      </c>
      <c r="AC1029">
        <v>16</v>
      </c>
      <c r="AD1029">
        <v>2</v>
      </c>
      <c r="AK1029" t="s">
        <v>52</v>
      </c>
      <c r="AN1029" t="s">
        <v>52</v>
      </c>
      <c r="AO1029" t="s">
        <v>52</v>
      </c>
      <c r="AP1029" t="s">
        <v>52</v>
      </c>
      <c r="AQ1029" t="s">
        <v>52</v>
      </c>
      <c r="AR1029" t="s">
        <v>55</v>
      </c>
    </row>
    <row r="1030" spans="1:45" x14ac:dyDescent="0.25">
      <c r="A1030" t="s">
        <v>47</v>
      </c>
      <c r="B1030">
        <v>8</v>
      </c>
      <c r="C1030" t="s">
        <v>185</v>
      </c>
      <c r="D1030">
        <v>89</v>
      </c>
      <c r="E1030" t="s">
        <v>93</v>
      </c>
      <c r="F1030">
        <v>94</v>
      </c>
      <c r="H1030" t="s">
        <v>50</v>
      </c>
      <c r="K1030" t="s">
        <v>51</v>
      </c>
      <c r="L1030">
        <v>1</v>
      </c>
      <c r="M1030" t="s">
        <v>52</v>
      </c>
      <c r="N1030" t="s">
        <v>53</v>
      </c>
      <c r="R1030">
        <v>0.77</v>
      </c>
      <c r="S1030">
        <v>0.93</v>
      </c>
      <c r="T1030">
        <v>0</v>
      </c>
      <c r="U1030">
        <v>0</v>
      </c>
      <c r="V1030" s="1">
        <v>46326</v>
      </c>
      <c r="W1030" s="1">
        <v>46691</v>
      </c>
      <c r="X1030" s="1">
        <v>46266</v>
      </c>
      <c r="Z1030" t="s">
        <v>52</v>
      </c>
      <c r="AB1030" t="s">
        <v>52</v>
      </c>
      <c r="AC1030">
        <v>94</v>
      </c>
      <c r="AD1030">
        <v>2</v>
      </c>
      <c r="AK1030" t="s">
        <v>52</v>
      </c>
      <c r="AN1030" t="s">
        <v>52</v>
      </c>
      <c r="AO1030" t="s">
        <v>52</v>
      </c>
      <c r="AP1030" t="s">
        <v>52</v>
      </c>
      <c r="AQ1030" t="s">
        <v>52</v>
      </c>
      <c r="AR1030" t="s">
        <v>55</v>
      </c>
    </row>
    <row r="1031" spans="1:45" x14ac:dyDescent="0.25">
      <c r="A1031" t="s">
        <v>47</v>
      </c>
      <c r="B1031">
        <v>8</v>
      </c>
      <c r="C1031" t="s">
        <v>185</v>
      </c>
      <c r="D1031">
        <v>89</v>
      </c>
      <c r="E1031" t="s">
        <v>77</v>
      </c>
      <c r="F1031">
        <v>51</v>
      </c>
      <c r="G1031" t="s">
        <v>78</v>
      </c>
      <c r="H1031" t="s">
        <v>50</v>
      </c>
      <c r="K1031" t="s">
        <v>51</v>
      </c>
      <c r="L1031">
        <v>1</v>
      </c>
      <c r="M1031" t="s">
        <v>52</v>
      </c>
      <c r="N1031" t="s">
        <v>53</v>
      </c>
      <c r="R1031">
        <v>0.5</v>
      </c>
      <c r="S1031">
        <v>0.73</v>
      </c>
      <c r="T1031">
        <v>0</v>
      </c>
      <c r="U1031">
        <v>0</v>
      </c>
      <c r="V1031" s="1">
        <v>46569</v>
      </c>
      <c r="W1031" s="1">
        <v>46675</v>
      </c>
      <c r="X1031" s="1">
        <v>46461</v>
      </c>
      <c r="Z1031" t="s">
        <v>52</v>
      </c>
      <c r="AB1031" t="s">
        <v>52</v>
      </c>
      <c r="AC1031">
        <v>51</v>
      </c>
      <c r="AD1031">
        <v>2</v>
      </c>
      <c r="AK1031" t="s">
        <v>52</v>
      </c>
      <c r="AN1031" t="s">
        <v>52</v>
      </c>
      <c r="AO1031" t="s">
        <v>52</v>
      </c>
      <c r="AP1031" t="s">
        <v>52</v>
      </c>
      <c r="AQ1031" t="s">
        <v>52</v>
      </c>
      <c r="AR1031" t="s">
        <v>55</v>
      </c>
    </row>
    <row r="1032" spans="1:45" x14ac:dyDescent="0.25">
      <c r="A1032" t="s">
        <v>47</v>
      </c>
      <c r="B1032">
        <v>8</v>
      </c>
      <c r="C1032" t="s">
        <v>185</v>
      </c>
      <c r="D1032">
        <v>89</v>
      </c>
      <c r="E1032" t="s">
        <v>79</v>
      </c>
      <c r="F1032">
        <v>50</v>
      </c>
      <c r="G1032" t="s">
        <v>81</v>
      </c>
      <c r="H1032" t="s">
        <v>50</v>
      </c>
      <c r="K1032" t="s">
        <v>51</v>
      </c>
      <c r="L1032">
        <v>1</v>
      </c>
      <c r="M1032" t="s">
        <v>52</v>
      </c>
      <c r="N1032" t="s">
        <v>53</v>
      </c>
      <c r="R1032">
        <v>0.5</v>
      </c>
      <c r="S1032">
        <v>0.75</v>
      </c>
      <c r="T1032">
        <v>0</v>
      </c>
      <c r="U1032">
        <v>0</v>
      </c>
      <c r="V1032" s="1">
        <v>46583</v>
      </c>
      <c r="W1032" s="1">
        <v>46675</v>
      </c>
      <c r="X1032" s="1">
        <v>46461</v>
      </c>
      <c r="Z1032" t="s">
        <v>52</v>
      </c>
      <c r="AB1032" t="s">
        <v>52</v>
      </c>
      <c r="AC1032">
        <v>50</v>
      </c>
      <c r="AD1032">
        <v>1</v>
      </c>
      <c r="AK1032" t="s">
        <v>52</v>
      </c>
      <c r="AN1032" t="s">
        <v>52</v>
      </c>
      <c r="AO1032" t="s">
        <v>52</v>
      </c>
      <c r="AP1032" t="s">
        <v>52</v>
      </c>
      <c r="AQ1032" t="s">
        <v>52</v>
      </c>
      <c r="AR1032" t="s">
        <v>55</v>
      </c>
    </row>
    <row r="1033" spans="1:45" x14ac:dyDescent="0.25">
      <c r="A1033" t="s">
        <v>47</v>
      </c>
      <c r="B1033">
        <v>8</v>
      </c>
      <c r="C1033" t="s">
        <v>185</v>
      </c>
      <c r="D1033">
        <v>89</v>
      </c>
      <c r="E1033" t="s">
        <v>82</v>
      </c>
      <c r="F1033">
        <v>52</v>
      </c>
      <c r="H1033" t="s">
        <v>50</v>
      </c>
      <c r="K1033" t="s">
        <v>51</v>
      </c>
      <c r="L1033">
        <v>1</v>
      </c>
      <c r="M1033" t="s">
        <v>52</v>
      </c>
      <c r="N1033" t="s">
        <v>53</v>
      </c>
      <c r="R1033">
        <v>0.5</v>
      </c>
      <c r="S1033">
        <v>0.75</v>
      </c>
      <c r="U1033">
        <v>0</v>
      </c>
      <c r="V1033" s="1">
        <v>46569</v>
      </c>
      <c r="W1033" s="1">
        <v>46675</v>
      </c>
      <c r="X1033" s="1">
        <v>46461</v>
      </c>
      <c r="Z1033" t="s">
        <v>52</v>
      </c>
      <c r="AB1033" t="s">
        <v>52</v>
      </c>
      <c r="AC1033">
        <v>50</v>
      </c>
      <c r="AD1033">
        <v>1</v>
      </c>
      <c r="AK1033" t="s">
        <v>52</v>
      </c>
      <c r="AN1033" t="s">
        <v>52</v>
      </c>
      <c r="AO1033" t="s">
        <v>52</v>
      </c>
      <c r="AP1033" t="s">
        <v>52</v>
      </c>
      <c r="AQ1033" t="s">
        <v>52</v>
      </c>
      <c r="AR1033" t="s">
        <v>55</v>
      </c>
    </row>
    <row r="1034" spans="1:45" x14ac:dyDescent="0.25">
      <c r="A1034" t="s">
        <v>47</v>
      </c>
      <c r="B1034">
        <v>8</v>
      </c>
      <c r="C1034" t="s">
        <v>185</v>
      </c>
      <c r="D1034">
        <v>89</v>
      </c>
      <c r="E1034" t="s">
        <v>83</v>
      </c>
      <c r="F1034">
        <v>158</v>
      </c>
      <c r="H1034" t="s">
        <v>50</v>
      </c>
      <c r="K1034" t="s">
        <v>51</v>
      </c>
      <c r="L1034">
        <v>1</v>
      </c>
      <c r="M1034" t="s">
        <v>52</v>
      </c>
      <c r="N1034" t="s">
        <v>53</v>
      </c>
      <c r="P1034">
        <v>1.42</v>
      </c>
      <c r="R1034">
        <v>0.77</v>
      </c>
      <c r="S1034">
        <v>0.93</v>
      </c>
      <c r="T1034">
        <v>0</v>
      </c>
      <c r="U1034">
        <v>0</v>
      </c>
      <c r="V1034" s="1">
        <v>46522</v>
      </c>
      <c r="W1034" s="1">
        <v>46691</v>
      </c>
      <c r="X1034" s="1">
        <v>46266</v>
      </c>
      <c r="Z1034" t="s">
        <v>52</v>
      </c>
      <c r="AA1034" t="s">
        <v>54</v>
      </c>
      <c r="AB1034" t="s">
        <v>52</v>
      </c>
      <c r="AC1034">
        <v>158</v>
      </c>
      <c r="AD1034">
        <v>2</v>
      </c>
      <c r="AK1034" t="s">
        <v>52</v>
      </c>
      <c r="AN1034" t="s">
        <v>52</v>
      </c>
      <c r="AO1034" t="s">
        <v>52</v>
      </c>
      <c r="AP1034" t="s">
        <v>52</v>
      </c>
      <c r="AQ1034" t="s">
        <v>52</v>
      </c>
      <c r="AR1034" t="s">
        <v>95</v>
      </c>
      <c r="AS1034" t="s">
        <v>140</v>
      </c>
    </row>
    <row r="1035" spans="1:45" x14ac:dyDescent="0.25">
      <c r="A1035" t="s">
        <v>47</v>
      </c>
      <c r="B1035">
        <v>8</v>
      </c>
      <c r="C1035" t="s">
        <v>185</v>
      </c>
      <c r="D1035">
        <v>89</v>
      </c>
      <c r="E1035" t="s">
        <v>83</v>
      </c>
      <c r="F1035">
        <v>158</v>
      </c>
      <c r="H1035" t="s">
        <v>50</v>
      </c>
      <c r="K1035" t="s">
        <v>52</v>
      </c>
      <c r="L1035">
        <v>1</v>
      </c>
      <c r="M1035" t="s">
        <v>52</v>
      </c>
      <c r="N1035" t="s">
        <v>53</v>
      </c>
      <c r="R1035">
        <v>0.77</v>
      </c>
      <c r="S1035">
        <v>0.93</v>
      </c>
      <c r="U1035">
        <v>0</v>
      </c>
      <c r="V1035" s="1">
        <v>46326</v>
      </c>
      <c r="W1035" s="1">
        <v>46691</v>
      </c>
      <c r="X1035" s="1">
        <v>46266</v>
      </c>
      <c r="Z1035" t="s">
        <v>52</v>
      </c>
      <c r="AB1035" t="s">
        <v>52</v>
      </c>
      <c r="AC1035">
        <v>158</v>
      </c>
      <c r="AD1035">
        <v>2</v>
      </c>
      <c r="AK1035" t="s">
        <v>52</v>
      </c>
      <c r="AN1035" t="s">
        <v>52</v>
      </c>
      <c r="AO1035" t="s">
        <v>52</v>
      </c>
      <c r="AP1035" t="s">
        <v>52</v>
      </c>
      <c r="AQ1035" t="s">
        <v>52</v>
      </c>
      <c r="AR1035" t="s">
        <v>55</v>
      </c>
    </row>
    <row r="1036" spans="1:45" x14ac:dyDescent="0.25">
      <c r="A1036" t="s">
        <v>47</v>
      </c>
      <c r="B1036">
        <v>8</v>
      </c>
      <c r="C1036" t="s">
        <v>185</v>
      </c>
      <c r="D1036">
        <v>89</v>
      </c>
      <c r="E1036" t="s">
        <v>84</v>
      </c>
      <c r="F1036">
        <v>11</v>
      </c>
      <c r="G1036" t="s">
        <v>85</v>
      </c>
      <c r="H1036" t="s">
        <v>50</v>
      </c>
      <c r="K1036" t="s">
        <v>51</v>
      </c>
      <c r="L1036">
        <v>1</v>
      </c>
      <c r="M1036" t="s">
        <v>52</v>
      </c>
      <c r="N1036" t="s">
        <v>53</v>
      </c>
      <c r="R1036">
        <v>0.5</v>
      </c>
      <c r="S1036">
        <v>0.75</v>
      </c>
      <c r="T1036">
        <v>0</v>
      </c>
      <c r="U1036">
        <v>0</v>
      </c>
      <c r="V1036" s="1">
        <v>46522</v>
      </c>
      <c r="W1036" s="1">
        <v>46691</v>
      </c>
      <c r="X1036" s="1">
        <v>46295</v>
      </c>
      <c r="Z1036" t="s">
        <v>52</v>
      </c>
      <c r="AB1036" t="s">
        <v>52</v>
      </c>
      <c r="AC1036">
        <v>11</v>
      </c>
      <c r="AD1036">
        <v>2</v>
      </c>
      <c r="AK1036" t="s">
        <v>52</v>
      </c>
      <c r="AN1036" t="s">
        <v>52</v>
      </c>
      <c r="AO1036" t="s">
        <v>52</v>
      </c>
      <c r="AP1036" t="s">
        <v>52</v>
      </c>
      <c r="AQ1036" t="s">
        <v>52</v>
      </c>
      <c r="AR1036" t="s">
        <v>55</v>
      </c>
    </row>
    <row r="1037" spans="1:45" x14ac:dyDescent="0.25">
      <c r="A1037" t="s">
        <v>47</v>
      </c>
      <c r="B1037">
        <v>8</v>
      </c>
      <c r="C1037" t="s">
        <v>185</v>
      </c>
      <c r="D1037">
        <v>89</v>
      </c>
      <c r="E1037" t="s">
        <v>84</v>
      </c>
      <c r="F1037">
        <v>11</v>
      </c>
      <c r="G1037" t="s">
        <v>96</v>
      </c>
      <c r="H1037" t="s">
        <v>50</v>
      </c>
      <c r="K1037" t="s">
        <v>51</v>
      </c>
      <c r="L1037">
        <v>1</v>
      </c>
      <c r="M1037" t="s">
        <v>52</v>
      </c>
      <c r="N1037" t="s">
        <v>53</v>
      </c>
      <c r="R1037">
        <v>0.5</v>
      </c>
      <c r="S1037">
        <v>0.75</v>
      </c>
      <c r="T1037">
        <v>0</v>
      </c>
      <c r="U1037">
        <v>0</v>
      </c>
      <c r="V1037" s="1">
        <v>46300</v>
      </c>
      <c r="W1037" s="1">
        <v>46691</v>
      </c>
      <c r="X1037" s="1">
        <v>46295</v>
      </c>
      <c r="Z1037" t="s">
        <v>52</v>
      </c>
      <c r="AB1037" t="s">
        <v>52</v>
      </c>
      <c r="AC1037">
        <v>11</v>
      </c>
      <c r="AD1037">
        <v>2</v>
      </c>
      <c r="AK1037" t="s">
        <v>52</v>
      </c>
      <c r="AN1037" t="s">
        <v>52</v>
      </c>
      <c r="AO1037" t="s">
        <v>52</v>
      </c>
      <c r="AP1037" t="s">
        <v>52</v>
      </c>
      <c r="AQ1037" t="s">
        <v>52</v>
      </c>
      <c r="AR1037" t="s">
        <v>55</v>
      </c>
    </row>
    <row r="1038" spans="1:45" x14ac:dyDescent="0.25">
      <c r="A1038" t="s">
        <v>47</v>
      </c>
      <c r="B1038">
        <v>8</v>
      </c>
      <c r="C1038" t="s">
        <v>186</v>
      </c>
      <c r="D1038">
        <v>91</v>
      </c>
      <c r="E1038" t="s">
        <v>49</v>
      </c>
      <c r="F1038">
        <v>27</v>
      </c>
      <c r="H1038" t="s">
        <v>50</v>
      </c>
      <c r="K1038" t="s">
        <v>51</v>
      </c>
      <c r="L1038">
        <v>1</v>
      </c>
      <c r="M1038" t="s">
        <v>52</v>
      </c>
      <c r="N1038" t="s">
        <v>53</v>
      </c>
      <c r="Q1038">
        <v>230</v>
      </c>
      <c r="R1038">
        <v>0</v>
      </c>
      <c r="S1038">
        <v>0.75</v>
      </c>
      <c r="T1038">
        <v>0</v>
      </c>
      <c r="U1038">
        <v>0</v>
      </c>
      <c r="W1038" s="1">
        <v>46675</v>
      </c>
      <c r="X1038" s="1">
        <v>46357</v>
      </c>
      <c r="Y1038" t="s">
        <v>54</v>
      </c>
      <c r="Z1038" t="s">
        <v>52</v>
      </c>
      <c r="AB1038" t="s">
        <v>52</v>
      </c>
      <c r="AC1038">
        <v>27</v>
      </c>
      <c r="AD1038">
        <v>1</v>
      </c>
      <c r="AE1038">
        <v>0.97</v>
      </c>
      <c r="AG1038">
        <v>0.97</v>
      </c>
      <c r="AK1038" t="s">
        <v>52</v>
      </c>
      <c r="AN1038" t="s">
        <v>52</v>
      </c>
      <c r="AO1038" t="s">
        <v>52</v>
      </c>
      <c r="AP1038" t="s">
        <v>52</v>
      </c>
      <c r="AQ1038" t="s">
        <v>52</v>
      </c>
      <c r="AR1038" t="s">
        <v>55</v>
      </c>
      <c r="AS1038" t="s">
        <v>56</v>
      </c>
    </row>
    <row r="1039" spans="1:45" x14ac:dyDescent="0.25">
      <c r="A1039" t="s">
        <v>47</v>
      </c>
      <c r="B1039">
        <v>8</v>
      </c>
      <c r="C1039" t="s">
        <v>186</v>
      </c>
      <c r="D1039">
        <v>91</v>
      </c>
      <c r="E1039" t="s">
        <v>49</v>
      </c>
      <c r="F1039">
        <v>27</v>
      </c>
      <c r="H1039" t="s">
        <v>50</v>
      </c>
      <c r="K1039" t="s">
        <v>52</v>
      </c>
      <c r="L1039">
        <v>1</v>
      </c>
      <c r="M1039" t="s">
        <v>52</v>
      </c>
      <c r="N1039" t="s">
        <v>53</v>
      </c>
      <c r="Q1039">
        <v>230</v>
      </c>
      <c r="R1039">
        <v>0</v>
      </c>
      <c r="S1039">
        <v>0.75</v>
      </c>
      <c r="T1039">
        <v>0</v>
      </c>
      <c r="U1039">
        <v>0</v>
      </c>
      <c r="W1039" s="1">
        <v>46675</v>
      </c>
      <c r="X1039" s="1">
        <v>46357</v>
      </c>
      <c r="Y1039" t="s">
        <v>54</v>
      </c>
      <c r="Z1039" t="s">
        <v>52</v>
      </c>
      <c r="AB1039" t="s">
        <v>52</v>
      </c>
      <c r="AC1039">
        <v>27</v>
      </c>
      <c r="AD1039">
        <v>1</v>
      </c>
      <c r="AE1039">
        <v>0.97</v>
      </c>
      <c r="AG1039">
        <v>0.97</v>
      </c>
      <c r="AK1039" t="s">
        <v>52</v>
      </c>
      <c r="AN1039" t="s">
        <v>52</v>
      </c>
      <c r="AO1039" t="s">
        <v>52</v>
      </c>
      <c r="AP1039" t="s">
        <v>52</v>
      </c>
      <c r="AQ1039" t="s">
        <v>52</v>
      </c>
      <c r="AR1039" t="s">
        <v>55</v>
      </c>
      <c r="AS1039" t="s">
        <v>57</v>
      </c>
    </row>
    <row r="1040" spans="1:45" x14ac:dyDescent="0.25">
      <c r="A1040" t="s">
        <v>47</v>
      </c>
      <c r="B1040">
        <v>8</v>
      </c>
      <c r="C1040" t="s">
        <v>186</v>
      </c>
      <c r="D1040">
        <v>91</v>
      </c>
      <c r="E1040" t="s">
        <v>58</v>
      </c>
      <c r="F1040">
        <v>102</v>
      </c>
      <c r="G1040" t="s">
        <v>62</v>
      </c>
      <c r="H1040" t="s">
        <v>50</v>
      </c>
      <c r="K1040" t="s">
        <v>51</v>
      </c>
      <c r="L1040">
        <v>1</v>
      </c>
      <c r="M1040" t="s">
        <v>52</v>
      </c>
      <c r="N1040" t="s">
        <v>53</v>
      </c>
      <c r="R1040">
        <v>0</v>
      </c>
      <c r="S1040">
        <v>0.92</v>
      </c>
      <c r="T1040">
        <v>0</v>
      </c>
      <c r="U1040">
        <v>0</v>
      </c>
      <c r="W1040" s="1">
        <v>46731</v>
      </c>
      <c r="X1040" s="1">
        <v>46357</v>
      </c>
      <c r="Z1040" t="s">
        <v>52</v>
      </c>
      <c r="AB1040" t="s">
        <v>52</v>
      </c>
      <c r="AC1040">
        <v>102</v>
      </c>
      <c r="AD1040">
        <v>1</v>
      </c>
      <c r="AK1040" t="s">
        <v>52</v>
      </c>
      <c r="AN1040" t="s">
        <v>52</v>
      </c>
      <c r="AO1040" t="s">
        <v>52</v>
      </c>
      <c r="AP1040" t="s">
        <v>52</v>
      </c>
      <c r="AQ1040" t="s">
        <v>52</v>
      </c>
      <c r="AR1040" t="s">
        <v>55</v>
      </c>
    </row>
    <row r="1041" spans="1:45" x14ac:dyDescent="0.25">
      <c r="A1041" t="s">
        <v>47</v>
      </c>
      <c r="B1041">
        <v>8</v>
      </c>
      <c r="C1041" t="s">
        <v>186</v>
      </c>
      <c r="D1041">
        <v>91</v>
      </c>
      <c r="E1041" t="s">
        <v>58</v>
      </c>
      <c r="F1041">
        <v>102</v>
      </c>
      <c r="G1041" t="s">
        <v>62</v>
      </c>
      <c r="H1041" t="s">
        <v>50</v>
      </c>
      <c r="K1041" t="s">
        <v>52</v>
      </c>
      <c r="L1041">
        <v>1</v>
      </c>
      <c r="M1041" t="s">
        <v>52</v>
      </c>
      <c r="N1041" t="s">
        <v>53</v>
      </c>
      <c r="R1041">
        <v>0</v>
      </c>
      <c r="S1041">
        <v>0.92</v>
      </c>
      <c r="T1041">
        <v>0</v>
      </c>
      <c r="U1041">
        <v>0</v>
      </c>
      <c r="W1041" s="1">
        <v>46731</v>
      </c>
      <c r="X1041" s="1">
        <v>46357</v>
      </c>
      <c r="Z1041" t="s">
        <v>52</v>
      </c>
      <c r="AB1041" t="s">
        <v>52</v>
      </c>
      <c r="AC1041">
        <v>102</v>
      </c>
      <c r="AD1041">
        <v>1</v>
      </c>
      <c r="AK1041" t="s">
        <v>52</v>
      </c>
      <c r="AN1041" t="s">
        <v>52</v>
      </c>
      <c r="AO1041" t="s">
        <v>52</v>
      </c>
      <c r="AP1041" t="s">
        <v>52</v>
      </c>
      <c r="AQ1041" t="s">
        <v>52</v>
      </c>
      <c r="AR1041" t="s">
        <v>55</v>
      </c>
    </row>
    <row r="1042" spans="1:45" x14ac:dyDescent="0.25">
      <c r="A1042" t="s">
        <v>47</v>
      </c>
      <c r="B1042">
        <v>8</v>
      </c>
      <c r="C1042" t="s">
        <v>187</v>
      </c>
      <c r="D1042">
        <v>93</v>
      </c>
      <c r="E1042" t="s">
        <v>58</v>
      </c>
      <c r="F1042">
        <v>102</v>
      </c>
      <c r="G1042" t="s">
        <v>62</v>
      </c>
      <c r="H1042" t="s">
        <v>50</v>
      </c>
      <c r="K1042" t="s">
        <v>51</v>
      </c>
      <c r="L1042">
        <v>1</v>
      </c>
      <c r="M1042" t="s">
        <v>52</v>
      </c>
      <c r="N1042" t="s">
        <v>53</v>
      </c>
      <c r="R1042">
        <v>0</v>
      </c>
      <c r="S1042">
        <v>0.92</v>
      </c>
      <c r="T1042">
        <v>0</v>
      </c>
      <c r="U1042">
        <v>0</v>
      </c>
      <c r="W1042" s="1">
        <v>46731</v>
      </c>
      <c r="X1042" s="1">
        <v>46357</v>
      </c>
      <c r="Z1042" t="s">
        <v>52</v>
      </c>
      <c r="AB1042" t="s">
        <v>52</v>
      </c>
      <c r="AC1042">
        <v>102</v>
      </c>
      <c r="AD1042">
        <v>1</v>
      </c>
      <c r="AK1042" t="s">
        <v>52</v>
      </c>
      <c r="AN1042" t="s">
        <v>52</v>
      </c>
      <c r="AO1042" t="s">
        <v>52</v>
      </c>
      <c r="AP1042" t="s">
        <v>52</v>
      </c>
      <c r="AQ1042" t="s">
        <v>52</v>
      </c>
      <c r="AR1042" t="s">
        <v>55</v>
      </c>
    </row>
    <row r="1043" spans="1:45" x14ac:dyDescent="0.25">
      <c r="A1043" t="s">
        <v>47</v>
      </c>
      <c r="B1043">
        <v>8</v>
      </c>
      <c r="C1043" t="s">
        <v>187</v>
      </c>
      <c r="D1043">
        <v>93</v>
      </c>
      <c r="E1043" t="s">
        <v>58</v>
      </c>
      <c r="F1043">
        <v>102</v>
      </c>
      <c r="G1043" t="s">
        <v>62</v>
      </c>
      <c r="H1043" t="s">
        <v>50</v>
      </c>
      <c r="K1043" t="s">
        <v>52</v>
      </c>
      <c r="L1043">
        <v>1</v>
      </c>
      <c r="M1043" t="s">
        <v>52</v>
      </c>
      <c r="N1043" t="s">
        <v>53</v>
      </c>
      <c r="R1043">
        <v>0</v>
      </c>
      <c r="S1043">
        <v>0.92</v>
      </c>
      <c r="T1043">
        <v>0</v>
      </c>
      <c r="U1043">
        <v>0</v>
      </c>
      <c r="W1043" s="1">
        <v>46731</v>
      </c>
      <c r="X1043" s="1">
        <v>46357</v>
      </c>
      <c r="Z1043" t="s">
        <v>52</v>
      </c>
      <c r="AB1043" t="s">
        <v>52</v>
      </c>
      <c r="AC1043">
        <v>102</v>
      </c>
      <c r="AD1043">
        <v>1</v>
      </c>
      <c r="AK1043" t="s">
        <v>52</v>
      </c>
      <c r="AN1043" t="s">
        <v>52</v>
      </c>
      <c r="AO1043" t="s">
        <v>52</v>
      </c>
      <c r="AP1043" t="s">
        <v>52</v>
      </c>
      <c r="AQ1043" t="s">
        <v>52</v>
      </c>
      <c r="AR1043" t="s">
        <v>55</v>
      </c>
    </row>
    <row r="1044" spans="1:45" x14ac:dyDescent="0.25">
      <c r="A1044" t="s">
        <v>47</v>
      </c>
      <c r="B1044">
        <v>8</v>
      </c>
      <c r="C1044" t="s">
        <v>188</v>
      </c>
      <c r="D1044">
        <v>95</v>
      </c>
      <c r="E1044" t="s">
        <v>49</v>
      </c>
      <c r="F1044">
        <v>27</v>
      </c>
      <c r="H1044" t="s">
        <v>50</v>
      </c>
      <c r="K1044" t="s">
        <v>51</v>
      </c>
      <c r="L1044">
        <v>1</v>
      </c>
      <c r="M1044" t="s">
        <v>52</v>
      </c>
      <c r="N1044" t="s">
        <v>53</v>
      </c>
      <c r="Q1044">
        <v>230</v>
      </c>
      <c r="R1044">
        <v>0</v>
      </c>
      <c r="S1044">
        <v>0.75</v>
      </c>
      <c r="T1044">
        <v>0</v>
      </c>
      <c r="U1044">
        <v>0</v>
      </c>
      <c r="W1044" s="1">
        <v>46675</v>
      </c>
      <c r="X1044" s="1">
        <v>46357</v>
      </c>
      <c r="Y1044" t="s">
        <v>54</v>
      </c>
      <c r="Z1044" t="s">
        <v>52</v>
      </c>
      <c r="AB1044" t="s">
        <v>52</v>
      </c>
      <c r="AC1044">
        <v>27</v>
      </c>
      <c r="AD1044">
        <v>1</v>
      </c>
      <c r="AE1044">
        <v>0.97</v>
      </c>
      <c r="AG1044">
        <v>0.97</v>
      </c>
      <c r="AK1044" t="s">
        <v>52</v>
      </c>
      <c r="AN1044" t="s">
        <v>52</v>
      </c>
      <c r="AO1044" t="s">
        <v>52</v>
      </c>
      <c r="AP1044" t="s">
        <v>52</v>
      </c>
      <c r="AQ1044" t="s">
        <v>52</v>
      </c>
      <c r="AR1044" t="s">
        <v>55</v>
      </c>
      <c r="AS1044" t="s">
        <v>56</v>
      </c>
    </row>
    <row r="1045" spans="1:45" x14ac:dyDescent="0.25">
      <c r="A1045" t="s">
        <v>47</v>
      </c>
      <c r="B1045">
        <v>8</v>
      </c>
      <c r="C1045" t="s">
        <v>188</v>
      </c>
      <c r="D1045">
        <v>95</v>
      </c>
      <c r="E1045" t="s">
        <v>49</v>
      </c>
      <c r="F1045">
        <v>27</v>
      </c>
      <c r="H1045" t="s">
        <v>50</v>
      </c>
      <c r="K1045" t="s">
        <v>52</v>
      </c>
      <c r="L1045">
        <v>1</v>
      </c>
      <c r="M1045" t="s">
        <v>52</v>
      </c>
      <c r="N1045" t="s">
        <v>53</v>
      </c>
      <c r="Q1045">
        <v>230</v>
      </c>
      <c r="R1045">
        <v>0</v>
      </c>
      <c r="S1045">
        <v>0.75</v>
      </c>
      <c r="T1045">
        <v>0</v>
      </c>
      <c r="U1045">
        <v>0</v>
      </c>
      <c r="W1045" s="1">
        <v>46675</v>
      </c>
      <c r="X1045" s="1">
        <v>46357</v>
      </c>
      <c r="Y1045" t="s">
        <v>54</v>
      </c>
      <c r="Z1045" t="s">
        <v>52</v>
      </c>
      <c r="AB1045" t="s">
        <v>52</v>
      </c>
      <c r="AC1045">
        <v>27</v>
      </c>
      <c r="AD1045">
        <v>1</v>
      </c>
      <c r="AE1045">
        <v>0.97</v>
      </c>
      <c r="AG1045">
        <v>0.97</v>
      </c>
      <c r="AK1045" t="s">
        <v>52</v>
      </c>
      <c r="AN1045" t="s">
        <v>52</v>
      </c>
      <c r="AO1045" t="s">
        <v>52</v>
      </c>
      <c r="AP1045" t="s">
        <v>52</v>
      </c>
      <c r="AQ1045" t="s">
        <v>52</v>
      </c>
      <c r="AR1045" t="s">
        <v>55</v>
      </c>
      <c r="AS1045" t="s">
        <v>57</v>
      </c>
    </row>
    <row r="1046" spans="1:45" x14ac:dyDescent="0.25">
      <c r="A1046" t="s">
        <v>47</v>
      </c>
      <c r="B1046">
        <v>8</v>
      </c>
      <c r="C1046" t="s">
        <v>188</v>
      </c>
      <c r="D1046">
        <v>95</v>
      </c>
      <c r="E1046" t="s">
        <v>87</v>
      </c>
      <c r="F1046">
        <v>91</v>
      </c>
      <c r="G1046" t="s">
        <v>76</v>
      </c>
      <c r="H1046" t="s">
        <v>50</v>
      </c>
      <c r="K1046" t="s">
        <v>51</v>
      </c>
      <c r="L1046">
        <v>1</v>
      </c>
      <c r="M1046" t="s">
        <v>52</v>
      </c>
      <c r="N1046" t="s">
        <v>53</v>
      </c>
      <c r="R1046">
        <v>0.77</v>
      </c>
      <c r="S1046">
        <v>0.93</v>
      </c>
      <c r="T1046">
        <v>0</v>
      </c>
      <c r="U1046">
        <v>0</v>
      </c>
      <c r="V1046" s="1">
        <v>46548</v>
      </c>
      <c r="W1046" s="1">
        <v>46691</v>
      </c>
      <c r="X1046" s="1">
        <v>46295</v>
      </c>
      <c r="Z1046" t="s">
        <v>52</v>
      </c>
      <c r="AB1046" t="s">
        <v>52</v>
      </c>
      <c r="AC1046">
        <v>91</v>
      </c>
      <c r="AD1046">
        <v>2</v>
      </c>
      <c r="AK1046" t="s">
        <v>52</v>
      </c>
      <c r="AN1046" t="s">
        <v>52</v>
      </c>
      <c r="AO1046" t="s">
        <v>52</v>
      </c>
      <c r="AP1046" t="s">
        <v>52</v>
      </c>
      <c r="AQ1046" t="s">
        <v>52</v>
      </c>
      <c r="AR1046" t="s">
        <v>55</v>
      </c>
      <c r="AS1046" t="s">
        <v>60</v>
      </c>
    </row>
    <row r="1047" spans="1:45" x14ac:dyDescent="0.25">
      <c r="A1047" t="s">
        <v>47</v>
      </c>
      <c r="B1047">
        <v>8</v>
      </c>
      <c r="C1047" t="s">
        <v>188</v>
      </c>
      <c r="D1047">
        <v>95</v>
      </c>
      <c r="E1047" t="s">
        <v>87</v>
      </c>
      <c r="F1047">
        <v>91</v>
      </c>
      <c r="G1047" t="s">
        <v>76</v>
      </c>
      <c r="H1047" t="s">
        <v>50</v>
      </c>
      <c r="K1047" t="s">
        <v>52</v>
      </c>
      <c r="L1047">
        <v>1</v>
      </c>
      <c r="M1047" t="s">
        <v>52</v>
      </c>
      <c r="N1047" t="s">
        <v>53</v>
      </c>
      <c r="R1047">
        <v>0.77</v>
      </c>
      <c r="S1047">
        <v>0.93</v>
      </c>
      <c r="T1047">
        <v>0</v>
      </c>
      <c r="U1047">
        <v>0</v>
      </c>
      <c r="V1047" s="1">
        <v>46548</v>
      </c>
      <c r="W1047" s="1">
        <v>46691</v>
      </c>
      <c r="X1047" s="1">
        <v>46295</v>
      </c>
      <c r="Z1047" t="s">
        <v>52</v>
      </c>
      <c r="AB1047" t="s">
        <v>52</v>
      </c>
      <c r="AC1047">
        <v>91</v>
      </c>
      <c r="AD1047">
        <v>2</v>
      </c>
      <c r="AK1047" t="s">
        <v>52</v>
      </c>
      <c r="AN1047" t="s">
        <v>52</v>
      </c>
      <c r="AO1047" t="s">
        <v>52</v>
      </c>
      <c r="AP1047" t="s">
        <v>52</v>
      </c>
      <c r="AQ1047" t="s">
        <v>52</v>
      </c>
      <c r="AR1047" t="s">
        <v>55</v>
      </c>
      <c r="AS1047" t="s">
        <v>60</v>
      </c>
    </row>
    <row r="1048" spans="1:45" x14ac:dyDescent="0.25">
      <c r="A1048" t="s">
        <v>47</v>
      </c>
      <c r="B1048">
        <v>8</v>
      </c>
      <c r="C1048" t="s">
        <v>188</v>
      </c>
      <c r="D1048">
        <v>95</v>
      </c>
      <c r="E1048" t="s">
        <v>58</v>
      </c>
      <c r="F1048">
        <v>102</v>
      </c>
      <c r="G1048" t="s">
        <v>61</v>
      </c>
      <c r="H1048" t="s">
        <v>50</v>
      </c>
      <c r="K1048" t="s">
        <v>51</v>
      </c>
      <c r="L1048">
        <v>1</v>
      </c>
      <c r="M1048" t="s">
        <v>52</v>
      </c>
      <c r="N1048" t="s">
        <v>53</v>
      </c>
      <c r="R1048">
        <v>0</v>
      </c>
      <c r="S1048">
        <v>0.92</v>
      </c>
      <c r="U1048">
        <v>0</v>
      </c>
      <c r="W1048" s="1">
        <v>46731</v>
      </c>
      <c r="X1048" s="1">
        <v>46357</v>
      </c>
      <c r="Z1048" t="s">
        <v>52</v>
      </c>
      <c r="AB1048" t="s">
        <v>52</v>
      </c>
      <c r="AC1048">
        <v>102</v>
      </c>
      <c r="AD1048">
        <v>1</v>
      </c>
      <c r="AK1048" t="s">
        <v>52</v>
      </c>
      <c r="AN1048" t="s">
        <v>52</v>
      </c>
      <c r="AO1048" t="s">
        <v>52</v>
      </c>
      <c r="AP1048" t="s">
        <v>52</v>
      </c>
      <c r="AQ1048" t="s">
        <v>52</v>
      </c>
      <c r="AR1048" t="s">
        <v>55</v>
      </c>
    </row>
    <row r="1049" spans="1:45" x14ac:dyDescent="0.25">
      <c r="A1049" t="s">
        <v>47</v>
      </c>
      <c r="B1049">
        <v>8</v>
      </c>
      <c r="C1049" t="s">
        <v>188</v>
      </c>
      <c r="D1049">
        <v>95</v>
      </c>
      <c r="E1049" t="s">
        <v>58</v>
      </c>
      <c r="F1049">
        <v>102</v>
      </c>
      <c r="G1049" t="s">
        <v>61</v>
      </c>
      <c r="H1049" t="s">
        <v>50</v>
      </c>
      <c r="K1049" t="s">
        <v>52</v>
      </c>
      <c r="L1049">
        <v>1</v>
      </c>
      <c r="M1049" t="s">
        <v>52</v>
      </c>
      <c r="N1049" t="s">
        <v>53</v>
      </c>
      <c r="R1049">
        <v>0</v>
      </c>
      <c r="S1049">
        <v>0.92</v>
      </c>
      <c r="U1049">
        <v>0</v>
      </c>
      <c r="W1049" s="1">
        <v>46731</v>
      </c>
      <c r="X1049" s="1">
        <v>46357</v>
      </c>
      <c r="Z1049" t="s">
        <v>52</v>
      </c>
      <c r="AB1049" t="s">
        <v>52</v>
      </c>
      <c r="AC1049">
        <v>102</v>
      </c>
      <c r="AD1049">
        <v>1</v>
      </c>
      <c r="AK1049" t="s">
        <v>52</v>
      </c>
      <c r="AN1049" t="s">
        <v>52</v>
      </c>
      <c r="AO1049" t="s">
        <v>52</v>
      </c>
      <c r="AP1049" t="s">
        <v>52</v>
      </c>
      <c r="AQ1049" t="s">
        <v>52</v>
      </c>
      <c r="AR1049" t="s">
        <v>55</v>
      </c>
      <c r="AS1049" t="s">
        <v>60</v>
      </c>
    </row>
    <row r="1050" spans="1:45" x14ac:dyDescent="0.25">
      <c r="A1050" t="s">
        <v>47</v>
      </c>
      <c r="B1050">
        <v>8</v>
      </c>
      <c r="C1050" t="s">
        <v>188</v>
      </c>
      <c r="D1050">
        <v>95</v>
      </c>
      <c r="E1050" t="s">
        <v>58</v>
      </c>
      <c r="F1050">
        <v>102</v>
      </c>
      <c r="G1050" t="s">
        <v>62</v>
      </c>
      <c r="H1050" t="s">
        <v>50</v>
      </c>
      <c r="K1050" t="s">
        <v>52</v>
      </c>
      <c r="L1050">
        <v>1</v>
      </c>
      <c r="M1050" t="s">
        <v>52</v>
      </c>
      <c r="N1050" t="s">
        <v>53</v>
      </c>
      <c r="R1050">
        <v>0</v>
      </c>
      <c r="S1050">
        <v>0.92</v>
      </c>
      <c r="T1050">
        <v>0</v>
      </c>
      <c r="U1050">
        <v>0</v>
      </c>
      <c r="W1050" s="1">
        <v>46731</v>
      </c>
      <c r="X1050" s="1">
        <v>46357</v>
      </c>
      <c r="Z1050" t="s">
        <v>52</v>
      </c>
      <c r="AB1050" t="s">
        <v>52</v>
      </c>
      <c r="AC1050">
        <v>102</v>
      </c>
      <c r="AD1050">
        <v>1</v>
      </c>
      <c r="AK1050" t="s">
        <v>52</v>
      </c>
      <c r="AN1050" t="s">
        <v>52</v>
      </c>
      <c r="AO1050" t="s">
        <v>52</v>
      </c>
      <c r="AP1050" t="s">
        <v>52</v>
      </c>
      <c r="AQ1050" t="s">
        <v>52</v>
      </c>
      <c r="AR1050" t="s">
        <v>55</v>
      </c>
    </row>
    <row r="1051" spans="1:45" x14ac:dyDescent="0.25">
      <c r="A1051" t="s">
        <v>47</v>
      </c>
      <c r="B1051">
        <v>8</v>
      </c>
      <c r="C1051" t="s">
        <v>188</v>
      </c>
      <c r="D1051">
        <v>95</v>
      </c>
      <c r="E1051" t="s">
        <v>58</v>
      </c>
      <c r="F1051">
        <v>102</v>
      </c>
      <c r="G1051" t="s">
        <v>127</v>
      </c>
      <c r="H1051" t="s">
        <v>50</v>
      </c>
      <c r="K1051" t="s">
        <v>51</v>
      </c>
      <c r="L1051">
        <v>1</v>
      </c>
      <c r="M1051" t="s">
        <v>52</v>
      </c>
      <c r="N1051" t="s">
        <v>53</v>
      </c>
      <c r="R1051">
        <v>0</v>
      </c>
      <c r="S1051">
        <v>0.92</v>
      </c>
      <c r="U1051">
        <v>0</v>
      </c>
      <c r="W1051" s="1">
        <v>46731</v>
      </c>
      <c r="X1051" s="1">
        <v>46357</v>
      </c>
      <c r="Z1051" t="s">
        <v>52</v>
      </c>
      <c r="AB1051" t="s">
        <v>52</v>
      </c>
      <c r="AC1051">
        <v>102</v>
      </c>
      <c r="AD1051">
        <v>1</v>
      </c>
      <c r="AK1051" t="s">
        <v>52</v>
      </c>
      <c r="AN1051" t="s">
        <v>52</v>
      </c>
      <c r="AO1051" t="s">
        <v>52</v>
      </c>
      <c r="AP1051" t="s">
        <v>52</v>
      </c>
      <c r="AQ1051" t="s">
        <v>52</v>
      </c>
      <c r="AR1051" t="s">
        <v>55</v>
      </c>
    </row>
    <row r="1052" spans="1:45" x14ac:dyDescent="0.25">
      <c r="A1052" t="s">
        <v>47</v>
      </c>
      <c r="B1052">
        <v>8</v>
      </c>
      <c r="C1052" t="s">
        <v>188</v>
      </c>
      <c r="D1052">
        <v>95</v>
      </c>
      <c r="E1052" t="s">
        <v>58</v>
      </c>
      <c r="F1052">
        <v>102</v>
      </c>
      <c r="G1052" t="s">
        <v>128</v>
      </c>
      <c r="H1052" t="s">
        <v>50</v>
      </c>
      <c r="K1052" t="s">
        <v>51</v>
      </c>
      <c r="L1052">
        <v>1</v>
      </c>
      <c r="M1052" t="s">
        <v>52</v>
      </c>
      <c r="N1052" t="s">
        <v>53</v>
      </c>
      <c r="R1052">
        <v>0</v>
      </c>
      <c r="S1052">
        <v>0.92</v>
      </c>
      <c r="U1052">
        <v>0</v>
      </c>
      <c r="W1052" s="1">
        <v>46731</v>
      </c>
      <c r="X1052" s="1">
        <v>46357</v>
      </c>
      <c r="Z1052" t="s">
        <v>52</v>
      </c>
      <c r="AB1052" t="s">
        <v>52</v>
      </c>
      <c r="AC1052">
        <v>102</v>
      </c>
      <c r="AD1052">
        <v>1</v>
      </c>
      <c r="AK1052" t="s">
        <v>52</v>
      </c>
      <c r="AN1052" t="s">
        <v>52</v>
      </c>
      <c r="AO1052" t="s">
        <v>52</v>
      </c>
      <c r="AP1052" t="s">
        <v>52</v>
      </c>
      <c r="AQ1052" t="s">
        <v>52</v>
      </c>
      <c r="AR1052" t="s">
        <v>55</v>
      </c>
    </row>
    <row r="1053" spans="1:45" x14ac:dyDescent="0.25">
      <c r="A1053" t="s">
        <v>47</v>
      </c>
      <c r="B1053">
        <v>8</v>
      </c>
      <c r="C1053" t="s">
        <v>188</v>
      </c>
      <c r="D1053">
        <v>95</v>
      </c>
      <c r="E1053" t="s">
        <v>58</v>
      </c>
      <c r="F1053">
        <v>102</v>
      </c>
      <c r="G1053" t="s">
        <v>128</v>
      </c>
      <c r="H1053" t="s">
        <v>50</v>
      </c>
      <c r="K1053" t="s">
        <v>52</v>
      </c>
      <c r="L1053">
        <v>1</v>
      </c>
      <c r="M1053" t="s">
        <v>52</v>
      </c>
      <c r="N1053" t="s">
        <v>53</v>
      </c>
      <c r="R1053">
        <v>0</v>
      </c>
      <c r="S1053">
        <v>0.92</v>
      </c>
      <c r="U1053">
        <v>0</v>
      </c>
      <c r="W1053" s="1">
        <v>46731</v>
      </c>
      <c r="X1053" s="1">
        <v>46357</v>
      </c>
      <c r="Z1053" t="s">
        <v>52</v>
      </c>
      <c r="AB1053" t="s">
        <v>52</v>
      </c>
      <c r="AC1053">
        <v>102</v>
      </c>
      <c r="AD1053">
        <v>1</v>
      </c>
      <c r="AK1053" t="s">
        <v>52</v>
      </c>
      <c r="AN1053" t="s">
        <v>52</v>
      </c>
      <c r="AO1053" t="s">
        <v>52</v>
      </c>
      <c r="AP1053" t="s">
        <v>52</v>
      </c>
      <c r="AQ1053" t="s">
        <v>52</v>
      </c>
      <c r="AR1053" t="s">
        <v>55</v>
      </c>
      <c r="AS1053" t="s">
        <v>60</v>
      </c>
    </row>
    <row r="1054" spans="1:45" x14ac:dyDescent="0.25">
      <c r="A1054" t="s">
        <v>47</v>
      </c>
      <c r="B1054">
        <v>8</v>
      </c>
      <c r="C1054" t="s">
        <v>188</v>
      </c>
      <c r="D1054">
        <v>95</v>
      </c>
      <c r="E1054" t="s">
        <v>58</v>
      </c>
      <c r="F1054">
        <v>102</v>
      </c>
      <c r="G1054" t="s">
        <v>65</v>
      </c>
      <c r="H1054" t="s">
        <v>50</v>
      </c>
      <c r="K1054" t="s">
        <v>51</v>
      </c>
      <c r="L1054">
        <v>1</v>
      </c>
      <c r="M1054" t="s">
        <v>52</v>
      </c>
      <c r="N1054" t="s">
        <v>53</v>
      </c>
      <c r="R1054">
        <v>0</v>
      </c>
      <c r="S1054">
        <v>0.92</v>
      </c>
      <c r="U1054">
        <v>0</v>
      </c>
      <c r="W1054" s="1">
        <v>46731</v>
      </c>
      <c r="X1054" s="1">
        <v>46357</v>
      </c>
      <c r="Z1054" t="s">
        <v>52</v>
      </c>
      <c r="AB1054" t="s">
        <v>52</v>
      </c>
      <c r="AC1054">
        <v>102</v>
      </c>
      <c r="AD1054">
        <v>1</v>
      </c>
      <c r="AK1054" t="s">
        <v>52</v>
      </c>
      <c r="AN1054" t="s">
        <v>52</v>
      </c>
      <c r="AO1054" t="s">
        <v>52</v>
      </c>
      <c r="AP1054" t="s">
        <v>52</v>
      </c>
      <c r="AQ1054" t="s">
        <v>52</v>
      </c>
      <c r="AR1054" t="s">
        <v>55</v>
      </c>
    </row>
    <row r="1055" spans="1:45" x14ac:dyDescent="0.25">
      <c r="A1055" t="s">
        <v>47</v>
      </c>
      <c r="B1055">
        <v>8</v>
      </c>
      <c r="C1055" t="s">
        <v>188</v>
      </c>
      <c r="D1055">
        <v>95</v>
      </c>
      <c r="E1055" t="s">
        <v>58</v>
      </c>
      <c r="F1055">
        <v>102</v>
      </c>
      <c r="G1055" t="s">
        <v>65</v>
      </c>
      <c r="H1055" t="s">
        <v>50</v>
      </c>
      <c r="K1055" t="s">
        <v>52</v>
      </c>
      <c r="L1055">
        <v>1</v>
      </c>
      <c r="M1055" t="s">
        <v>52</v>
      </c>
      <c r="N1055" t="s">
        <v>53</v>
      </c>
      <c r="R1055">
        <v>0</v>
      </c>
      <c r="S1055">
        <v>0.92</v>
      </c>
      <c r="U1055">
        <v>0</v>
      </c>
      <c r="W1055" s="1">
        <v>46731</v>
      </c>
      <c r="X1055" s="1">
        <v>46357</v>
      </c>
      <c r="Z1055" t="s">
        <v>52</v>
      </c>
      <c r="AB1055" t="s">
        <v>52</v>
      </c>
      <c r="AC1055">
        <v>102</v>
      </c>
      <c r="AD1055">
        <v>1</v>
      </c>
      <c r="AK1055" t="s">
        <v>52</v>
      </c>
      <c r="AN1055" t="s">
        <v>52</v>
      </c>
      <c r="AO1055" t="s">
        <v>52</v>
      </c>
      <c r="AP1055" t="s">
        <v>52</v>
      </c>
      <c r="AQ1055" t="s">
        <v>52</v>
      </c>
      <c r="AR1055" t="s">
        <v>55</v>
      </c>
    </row>
    <row r="1056" spans="1:45" x14ac:dyDescent="0.25">
      <c r="A1056" t="s">
        <v>47</v>
      </c>
      <c r="B1056">
        <v>8</v>
      </c>
      <c r="C1056" t="s">
        <v>188</v>
      </c>
      <c r="D1056">
        <v>95</v>
      </c>
      <c r="E1056" t="s">
        <v>58</v>
      </c>
      <c r="F1056">
        <v>102</v>
      </c>
      <c r="G1056" t="s">
        <v>66</v>
      </c>
      <c r="H1056" t="s">
        <v>50</v>
      </c>
      <c r="K1056" t="s">
        <v>51</v>
      </c>
      <c r="L1056">
        <v>1</v>
      </c>
      <c r="M1056" t="s">
        <v>52</v>
      </c>
      <c r="N1056" t="s">
        <v>53</v>
      </c>
      <c r="R1056">
        <v>0</v>
      </c>
      <c r="S1056">
        <v>0.92</v>
      </c>
      <c r="U1056">
        <v>0</v>
      </c>
      <c r="W1056" s="1">
        <v>46731</v>
      </c>
      <c r="X1056" s="1">
        <v>46357</v>
      </c>
      <c r="Z1056" t="s">
        <v>52</v>
      </c>
      <c r="AB1056" t="s">
        <v>52</v>
      </c>
      <c r="AC1056">
        <v>102</v>
      </c>
      <c r="AD1056">
        <v>1</v>
      </c>
      <c r="AK1056" t="s">
        <v>52</v>
      </c>
      <c r="AN1056" t="s">
        <v>52</v>
      </c>
      <c r="AO1056" t="s">
        <v>52</v>
      </c>
      <c r="AP1056" t="s">
        <v>52</v>
      </c>
      <c r="AQ1056" t="s">
        <v>52</v>
      </c>
      <c r="AR1056" t="s">
        <v>55</v>
      </c>
    </row>
    <row r="1057" spans="1:45" x14ac:dyDescent="0.25">
      <c r="A1057" t="s">
        <v>47</v>
      </c>
      <c r="B1057">
        <v>8</v>
      </c>
      <c r="C1057" t="s">
        <v>188</v>
      </c>
      <c r="D1057">
        <v>95</v>
      </c>
      <c r="E1057" t="s">
        <v>68</v>
      </c>
      <c r="F1057">
        <v>80</v>
      </c>
      <c r="G1057" t="s">
        <v>69</v>
      </c>
      <c r="H1057" t="s">
        <v>50</v>
      </c>
      <c r="K1057" t="s">
        <v>51</v>
      </c>
      <c r="L1057">
        <v>1</v>
      </c>
      <c r="M1057" t="s">
        <v>52</v>
      </c>
      <c r="N1057" t="s">
        <v>53</v>
      </c>
      <c r="R1057">
        <v>0.5</v>
      </c>
      <c r="S1057">
        <v>0.75</v>
      </c>
      <c r="T1057">
        <v>0</v>
      </c>
      <c r="U1057">
        <v>0</v>
      </c>
      <c r="V1057" s="1">
        <v>46583</v>
      </c>
      <c r="W1057" s="1">
        <v>46675</v>
      </c>
      <c r="X1057" s="1">
        <v>46461</v>
      </c>
      <c r="Z1057" t="s">
        <v>52</v>
      </c>
      <c r="AB1057" t="s">
        <v>52</v>
      </c>
      <c r="AC1057">
        <v>80</v>
      </c>
      <c r="AD1057">
        <v>1</v>
      </c>
      <c r="AK1057" t="s">
        <v>52</v>
      </c>
      <c r="AN1057" t="s">
        <v>52</v>
      </c>
      <c r="AO1057" t="s">
        <v>52</v>
      </c>
      <c r="AP1057" t="s">
        <v>52</v>
      </c>
      <c r="AQ1057" t="s">
        <v>52</v>
      </c>
      <c r="AR1057" t="s">
        <v>55</v>
      </c>
    </row>
    <row r="1058" spans="1:45" x14ac:dyDescent="0.25">
      <c r="A1058" t="s">
        <v>47</v>
      </c>
      <c r="B1058">
        <v>8</v>
      </c>
      <c r="C1058" t="s">
        <v>188</v>
      </c>
      <c r="D1058">
        <v>95</v>
      </c>
      <c r="E1058" t="s">
        <v>68</v>
      </c>
      <c r="F1058">
        <v>80</v>
      </c>
      <c r="G1058" t="s">
        <v>69</v>
      </c>
      <c r="H1058" t="s">
        <v>50</v>
      </c>
      <c r="K1058" t="s">
        <v>52</v>
      </c>
      <c r="L1058">
        <v>1</v>
      </c>
      <c r="M1058" t="s">
        <v>52</v>
      </c>
      <c r="N1058" t="s">
        <v>53</v>
      </c>
      <c r="R1058">
        <v>0.5</v>
      </c>
      <c r="S1058">
        <v>0.75</v>
      </c>
      <c r="T1058">
        <v>0</v>
      </c>
      <c r="U1058">
        <v>0</v>
      </c>
      <c r="V1058" s="1">
        <v>46583</v>
      </c>
      <c r="W1058" s="1">
        <v>46675</v>
      </c>
      <c r="X1058" s="1">
        <v>46461</v>
      </c>
      <c r="Z1058" t="s">
        <v>52</v>
      </c>
      <c r="AB1058" t="s">
        <v>52</v>
      </c>
      <c r="AC1058">
        <v>80</v>
      </c>
      <c r="AD1058">
        <v>1</v>
      </c>
      <c r="AK1058" t="s">
        <v>52</v>
      </c>
      <c r="AN1058" t="s">
        <v>52</v>
      </c>
      <c r="AO1058" t="s">
        <v>52</v>
      </c>
      <c r="AP1058" t="s">
        <v>52</v>
      </c>
      <c r="AQ1058" t="s">
        <v>52</v>
      </c>
      <c r="AR1058" t="s">
        <v>55</v>
      </c>
    </row>
    <row r="1059" spans="1:45" x14ac:dyDescent="0.25">
      <c r="A1059" t="s">
        <v>47</v>
      </c>
      <c r="B1059">
        <v>8</v>
      </c>
      <c r="C1059" t="s">
        <v>188</v>
      </c>
      <c r="D1059">
        <v>95</v>
      </c>
      <c r="E1059" t="s">
        <v>70</v>
      </c>
      <c r="F1059">
        <v>296</v>
      </c>
      <c r="G1059" t="s">
        <v>91</v>
      </c>
      <c r="H1059" t="s">
        <v>50</v>
      </c>
      <c r="K1059" t="s">
        <v>52</v>
      </c>
      <c r="L1059">
        <v>1</v>
      </c>
      <c r="M1059" t="s">
        <v>52</v>
      </c>
      <c r="N1059" t="s">
        <v>53</v>
      </c>
      <c r="R1059">
        <v>0.5</v>
      </c>
      <c r="S1059">
        <v>0.75</v>
      </c>
      <c r="U1059">
        <v>0</v>
      </c>
      <c r="W1059" s="1">
        <v>46675</v>
      </c>
      <c r="X1059" s="1">
        <v>46357</v>
      </c>
      <c r="Z1059" t="s">
        <v>52</v>
      </c>
      <c r="AB1059" t="s">
        <v>52</v>
      </c>
      <c r="AC1059">
        <v>102</v>
      </c>
      <c r="AD1059">
        <v>1</v>
      </c>
      <c r="AK1059" t="s">
        <v>52</v>
      </c>
      <c r="AN1059" t="s">
        <v>52</v>
      </c>
      <c r="AO1059" t="s">
        <v>52</v>
      </c>
      <c r="AP1059" t="s">
        <v>52</v>
      </c>
      <c r="AQ1059" t="s">
        <v>52</v>
      </c>
      <c r="AR1059" t="s">
        <v>55</v>
      </c>
      <c r="AS1059" t="s">
        <v>60</v>
      </c>
    </row>
    <row r="1060" spans="1:45" x14ac:dyDescent="0.25">
      <c r="A1060" t="s">
        <v>47</v>
      </c>
      <c r="B1060">
        <v>8</v>
      </c>
      <c r="C1060" t="s">
        <v>188</v>
      </c>
      <c r="D1060">
        <v>95</v>
      </c>
      <c r="E1060" t="s">
        <v>75</v>
      </c>
      <c r="F1060">
        <v>16</v>
      </c>
      <c r="G1060" t="s">
        <v>76</v>
      </c>
      <c r="H1060" t="s">
        <v>50</v>
      </c>
      <c r="K1060" t="s">
        <v>51</v>
      </c>
      <c r="L1060">
        <v>1</v>
      </c>
      <c r="M1060" t="s">
        <v>52</v>
      </c>
      <c r="N1060" t="s">
        <v>53</v>
      </c>
      <c r="R1060">
        <v>0.5</v>
      </c>
      <c r="S1060">
        <v>0.75</v>
      </c>
      <c r="T1060">
        <v>0</v>
      </c>
      <c r="U1060">
        <v>0</v>
      </c>
      <c r="V1060" s="1">
        <v>46507</v>
      </c>
      <c r="W1060" s="1">
        <v>46691</v>
      </c>
      <c r="X1060" s="1">
        <v>46461</v>
      </c>
      <c r="Z1060" t="s">
        <v>52</v>
      </c>
      <c r="AB1060" t="s">
        <v>52</v>
      </c>
      <c r="AC1060">
        <v>16</v>
      </c>
      <c r="AD1060">
        <v>2</v>
      </c>
      <c r="AK1060" t="s">
        <v>52</v>
      </c>
      <c r="AN1060" t="s">
        <v>52</v>
      </c>
      <c r="AO1060" t="s">
        <v>52</v>
      </c>
      <c r="AP1060" t="s">
        <v>52</v>
      </c>
      <c r="AQ1060" t="s">
        <v>52</v>
      </c>
      <c r="AR1060" t="s">
        <v>55</v>
      </c>
      <c r="AS1060" t="s">
        <v>60</v>
      </c>
    </row>
    <row r="1061" spans="1:45" x14ac:dyDescent="0.25">
      <c r="A1061" t="s">
        <v>47</v>
      </c>
      <c r="B1061">
        <v>8</v>
      </c>
      <c r="C1061" t="s">
        <v>188</v>
      </c>
      <c r="D1061">
        <v>95</v>
      </c>
      <c r="E1061" t="s">
        <v>75</v>
      </c>
      <c r="F1061">
        <v>16</v>
      </c>
      <c r="G1061" t="s">
        <v>76</v>
      </c>
      <c r="H1061" t="s">
        <v>50</v>
      </c>
      <c r="K1061" t="s">
        <v>52</v>
      </c>
      <c r="L1061">
        <v>1</v>
      </c>
      <c r="M1061" t="s">
        <v>52</v>
      </c>
      <c r="N1061" t="s">
        <v>53</v>
      </c>
      <c r="R1061">
        <v>0.5</v>
      </c>
      <c r="S1061">
        <v>0.75</v>
      </c>
      <c r="T1061">
        <v>0</v>
      </c>
      <c r="U1061">
        <v>0</v>
      </c>
      <c r="V1061" s="1">
        <v>46507</v>
      </c>
      <c r="W1061" s="1">
        <v>46691</v>
      </c>
      <c r="X1061" s="1">
        <v>46461</v>
      </c>
      <c r="Z1061" t="s">
        <v>52</v>
      </c>
      <c r="AB1061" t="s">
        <v>52</v>
      </c>
      <c r="AC1061">
        <v>16</v>
      </c>
      <c r="AD1061">
        <v>2</v>
      </c>
      <c r="AK1061" t="s">
        <v>52</v>
      </c>
      <c r="AN1061" t="s">
        <v>52</v>
      </c>
      <c r="AO1061" t="s">
        <v>52</v>
      </c>
      <c r="AP1061" t="s">
        <v>52</v>
      </c>
      <c r="AQ1061" t="s">
        <v>52</v>
      </c>
      <c r="AR1061" t="s">
        <v>55</v>
      </c>
      <c r="AS1061" t="s">
        <v>60</v>
      </c>
    </row>
    <row r="1062" spans="1:45" x14ac:dyDescent="0.25">
      <c r="A1062" t="s">
        <v>47</v>
      </c>
      <c r="B1062">
        <v>8</v>
      </c>
      <c r="C1062" t="s">
        <v>188</v>
      </c>
      <c r="D1062">
        <v>95</v>
      </c>
      <c r="E1062" t="s">
        <v>125</v>
      </c>
      <c r="F1062">
        <v>67</v>
      </c>
      <c r="G1062" t="s">
        <v>111</v>
      </c>
      <c r="H1062" t="s">
        <v>50</v>
      </c>
      <c r="K1062" t="s">
        <v>52</v>
      </c>
      <c r="L1062">
        <v>1</v>
      </c>
      <c r="M1062" t="s">
        <v>52</v>
      </c>
      <c r="N1062" t="s">
        <v>53</v>
      </c>
      <c r="R1062">
        <v>0.5</v>
      </c>
      <c r="S1062">
        <v>0.87</v>
      </c>
      <c r="U1062">
        <v>0</v>
      </c>
      <c r="V1062" s="1">
        <v>46583</v>
      </c>
      <c r="W1062" s="1">
        <v>46691</v>
      </c>
      <c r="X1062" s="1">
        <v>46461</v>
      </c>
      <c r="Z1062" t="s">
        <v>52</v>
      </c>
      <c r="AB1062" t="s">
        <v>52</v>
      </c>
      <c r="AC1062">
        <v>67</v>
      </c>
      <c r="AD1062">
        <v>1</v>
      </c>
      <c r="AK1062" t="s">
        <v>52</v>
      </c>
      <c r="AN1062" t="s">
        <v>52</v>
      </c>
      <c r="AO1062" t="s">
        <v>52</v>
      </c>
      <c r="AP1062" t="s">
        <v>52</v>
      </c>
      <c r="AQ1062" t="s">
        <v>52</v>
      </c>
      <c r="AR1062" t="s">
        <v>55</v>
      </c>
      <c r="AS1062" t="s">
        <v>60</v>
      </c>
    </row>
    <row r="1063" spans="1:45" x14ac:dyDescent="0.25">
      <c r="A1063" t="s">
        <v>47</v>
      </c>
      <c r="B1063">
        <v>8</v>
      </c>
      <c r="C1063" t="s">
        <v>188</v>
      </c>
      <c r="D1063">
        <v>95</v>
      </c>
      <c r="E1063" t="s">
        <v>93</v>
      </c>
      <c r="F1063">
        <v>94</v>
      </c>
      <c r="H1063" t="s">
        <v>50</v>
      </c>
      <c r="K1063" t="s">
        <v>51</v>
      </c>
      <c r="L1063">
        <v>1</v>
      </c>
      <c r="M1063" t="s">
        <v>52</v>
      </c>
      <c r="N1063" t="s">
        <v>53</v>
      </c>
      <c r="R1063">
        <v>0.77</v>
      </c>
      <c r="S1063">
        <v>0.93</v>
      </c>
      <c r="T1063">
        <v>0</v>
      </c>
      <c r="U1063">
        <v>0</v>
      </c>
      <c r="V1063" s="1">
        <v>46326</v>
      </c>
      <c r="W1063" s="1">
        <v>46691</v>
      </c>
      <c r="X1063" s="1">
        <v>46266</v>
      </c>
      <c r="Z1063" t="s">
        <v>52</v>
      </c>
      <c r="AB1063" t="s">
        <v>52</v>
      </c>
      <c r="AC1063">
        <v>94</v>
      </c>
      <c r="AD1063">
        <v>2</v>
      </c>
      <c r="AK1063" t="s">
        <v>52</v>
      </c>
      <c r="AN1063" t="s">
        <v>52</v>
      </c>
      <c r="AO1063" t="s">
        <v>52</v>
      </c>
      <c r="AP1063" t="s">
        <v>52</v>
      </c>
      <c r="AQ1063" t="s">
        <v>52</v>
      </c>
      <c r="AR1063" t="s">
        <v>55</v>
      </c>
      <c r="AS1063" t="s">
        <v>60</v>
      </c>
    </row>
    <row r="1064" spans="1:45" x14ac:dyDescent="0.25">
      <c r="A1064" t="s">
        <v>47</v>
      </c>
      <c r="B1064">
        <v>8</v>
      </c>
      <c r="C1064" t="s">
        <v>188</v>
      </c>
      <c r="D1064">
        <v>95</v>
      </c>
      <c r="E1064" t="s">
        <v>93</v>
      </c>
      <c r="F1064">
        <v>94</v>
      </c>
      <c r="H1064" t="s">
        <v>50</v>
      </c>
      <c r="K1064" t="s">
        <v>52</v>
      </c>
      <c r="L1064">
        <v>1</v>
      </c>
      <c r="M1064" t="s">
        <v>52</v>
      </c>
      <c r="N1064" t="s">
        <v>53</v>
      </c>
      <c r="R1064">
        <v>0.77</v>
      </c>
      <c r="S1064">
        <v>0.93</v>
      </c>
      <c r="T1064">
        <v>0</v>
      </c>
      <c r="U1064">
        <v>0</v>
      </c>
      <c r="V1064" s="1">
        <v>46326</v>
      </c>
      <c r="W1064" s="1">
        <v>46691</v>
      </c>
      <c r="X1064" s="1">
        <v>46266</v>
      </c>
      <c r="Z1064" t="s">
        <v>52</v>
      </c>
      <c r="AB1064" t="s">
        <v>52</v>
      </c>
      <c r="AC1064">
        <v>94</v>
      </c>
      <c r="AD1064">
        <v>2</v>
      </c>
      <c r="AK1064" t="s">
        <v>52</v>
      </c>
      <c r="AN1064" t="s">
        <v>52</v>
      </c>
      <c r="AO1064" t="s">
        <v>52</v>
      </c>
      <c r="AP1064" t="s">
        <v>52</v>
      </c>
      <c r="AQ1064" t="s">
        <v>52</v>
      </c>
      <c r="AR1064" t="s">
        <v>55</v>
      </c>
    </row>
    <row r="1065" spans="1:45" x14ac:dyDescent="0.25">
      <c r="A1065" t="s">
        <v>47</v>
      </c>
      <c r="B1065">
        <v>8</v>
      </c>
      <c r="C1065" t="s">
        <v>188</v>
      </c>
      <c r="D1065">
        <v>95</v>
      </c>
      <c r="E1065" t="s">
        <v>79</v>
      </c>
      <c r="F1065">
        <v>50</v>
      </c>
      <c r="G1065" t="s">
        <v>65</v>
      </c>
      <c r="H1065" t="s">
        <v>50</v>
      </c>
      <c r="K1065" t="s">
        <v>51</v>
      </c>
      <c r="L1065">
        <v>1</v>
      </c>
      <c r="M1065" t="s">
        <v>52</v>
      </c>
      <c r="N1065" t="s">
        <v>53</v>
      </c>
      <c r="R1065">
        <v>0.5</v>
      </c>
      <c r="S1065">
        <v>0.75</v>
      </c>
      <c r="T1065">
        <v>0</v>
      </c>
      <c r="U1065">
        <v>0</v>
      </c>
      <c r="V1065" s="1">
        <v>46583</v>
      </c>
      <c r="W1065" s="1">
        <v>46675</v>
      </c>
      <c r="X1065" s="1">
        <v>46461</v>
      </c>
      <c r="Z1065" t="s">
        <v>52</v>
      </c>
      <c r="AB1065" t="s">
        <v>52</v>
      </c>
      <c r="AC1065">
        <v>50</v>
      </c>
      <c r="AD1065">
        <v>1</v>
      </c>
      <c r="AK1065" t="s">
        <v>52</v>
      </c>
      <c r="AN1065" t="s">
        <v>52</v>
      </c>
      <c r="AO1065" t="s">
        <v>52</v>
      </c>
      <c r="AP1065" t="s">
        <v>52</v>
      </c>
      <c r="AQ1065" t="s">
        <v>52</v>
      </c>
      <c r="AR1065" t="s">
        <v>55</v>
      </c>
      <c r="AS1065" t="s">
        <v>88</v>
      </c>
    </row>
    <row r="1066" spans="1:45" x14ac:dyDescent="0.25">
      <c r="A1066" t="s">
        <v>47</v>
      </c>
      <c r="B1066">
        <v>8</v>
      </c>
      <c r="C1066" t="s">
        <v>188</v>
      </c>
      <c r="D1066">
        <v>95</v>
      </c>
      <c r="E1066" t="s">
        <v>79</v>
      </c>
      <c r="F1066">
        <v>50</v>
      </c>
      <c r="G1066" t="s">
        <v>65</v>
      </c>
      <c r="H1066" t="s">
        <v>50</v>
      </c>
      <c r="K1066" t="s">
        <v>52</v>
      </c>
      <c r="L1066">
        <v>1</v>
      </c>
      <c r="M1066" t="s">
        <v>52</v>
      </c>
      <c r="N1066" t="s">
        <v>53</v>
      </c>
      <c r="R1066">
        <v>0.5</v>
      </c>
      <c r="S1066">
        <v>0.75</v>
      </c>
      <c r="T1066">
        <v>0</v>
      </c>
      <c r="U1066">
        <v>0</v>
      </c>
      <c r="V1066" s="1">
        <v>46583</v>
      </c>
      <c r="W1066" s="1">
        <v>46675</v>
      </c>
      <c r="X1066" s="1">
        <v>46461</v>
      </c>
      <c r="Z1066" t="s">
        <v>52</v>
      </c>
      <c r="AB1066" t="s">
        <v>52</v>
      </c>
      <c r="AC1066">
        <v>50</v>
      </c>
      <c r="AD1066">
        <v>1</v>
      </c>
      <c r="AK1066" t="s">
        <v>52</v>
      </c>
      <c r="AN1066" t="s">
        <v>52</v>
      </c>
      <c r="AO1066" t="s">
        <v>52</v>
      </c>
      <c r="AP1066" t="s">
        <v>52</v>
      </c>
      <c r="AQ1066" t="s">
        <v>52</v>
      </c>
      <c r="AR1066" t="s">
        <v>55</v>
      </c>
    </row>
    <row r="1067" spans="1:45" x14ac:dyDescent="0.25">
      <c r="A1067" t="s">
        <v>47</v>
      </c>
      <c r="B1067">
        <v>8</v>
      </c>
      <c r="C1067" t="s">
        <v>188</v>
      </c>
      <c r="D1067">
        <v>95</v>
      </c>
      <c r="E1067" t="s">
        <v>83</v>
      </c>
      <c r="F1067">
        <v>158</v>
      </c>
      <c r="H1067" t="s">
        <v>50</v>
      </c>
      <c r="K1067" t="s">
        <v>51</v>
      </c>
      <c r="L1067">
        <v>1</v>
      </c>
      <c r="M1067" t="s">
        <v>52</v>
      </c>
      <c r="N1067" t="s">
        <v>53</v>
      </c>
      <c r="R1067">
        <v>0.77</v>
      </c>
      <c r="S1067">
        <v>0.93</v>
      </c>
      <c r="T1067">
        <v>0</v>
      </c>
      <c r="U1067">
        <v>0</v>
      </c>
      <c r="V1067" s="1">
        <v>46326</v>
      </c>
      <c r="W1067" s="1">
        <v>46691</v>
      </c>
      <c r="X1067" s="1">
        <v>46266</v>
      </c>
      <c r="Z1067" t="s">
        <v>52</v>
      </c>
      <c r="AB1067" t="s">
        <v>52</v>
      </c>
      <c r="AC1067">
        <v>158</v>
      </c>
      <c r="AD1067">
        <v>2</v>
      </c>
      <c r="AK1067" t="s">
        <v>52</v>
      </c>
      <c r="AN1067" t="s">
        <v>52</v>
      </c>
      <c r="AO1067" t="s">
        <v>52</v>
      </c>
      <c r="AP1067" t="s">
        <v>52</v>
      </c>
      <c r="AQ1067" t="s">
        <v>52</v>
      </c>
      <c r="AR1067" t="s">
        <v>55</v>
      </c>
      <c r="AS1067" t="s">
        <v>60</v>
      </c>
    </row>
    <row r="1068" spans="1:45" x14ac:dyDescent="0.25">
      <c r="A1068" t="s">
        <v>47</v>
      </c>
      <c r="B1068">
        <v>8</v>
      </c>
      <c r="C1068" t="s">
        <v>188</v>
      </c>
      <c r="D1068">
        <v>95</v>
      </c>
      <c r="E1068" t="s">
        <v>83</v>
      </c>
      <c r="F1068">
        <v>158</v>
      </c>
      <c r="H1068" t="s">
        <v>50</v>
      </c>
      <c r="K1068" t="s">
        <v>52</v>
      </c>
      <c r="L1068">
        <v>1</v>
      </c>
      <c r="M1068" t="s">
        <v>52</v>
      </c>
      <c r="N1068" t="s">
        <v>53</v>
      </c>
      <c r="R1068">
        <v>0.77</v>
      </c>
      <c r="S1068">
        <v>0.93</v>
      </c>
      <c r="T1068">
        <v>0</v>
      </c>
      <c r="U1068">
        <v>0</v>
      </c>
      <c r="V1068" s="1">
        <v>46326</v>
      </c>
      <c r="W1068" s="1">
        <v>46691</v>
      </c>
      <c r="X1068" s="1">
        <v>46266</v>
      </c>
      <c r="Z1068" t="s">
        <v>52</v>
      </c>
      <c r="AB1068" t="s">
        <v>52</v>
      </c>
      <c r="AC1068">
        <v>158</v>
      </c>
      <c r="AD1068">
        <v>2</v>
      </c>
      <c r="AK1068" t="s">
        <v>52</v>
      </c>
      <c r="AN1068" t="s">
        <v>52</v>
      </c>
      <c r="AO1068" t="s">
        <v>52</v>
      </c>
      <c r="AP1068" t="s">
        <v>52</v>
      </c>
      <c r="AQ1068" t="s">
        <v>52</v>
      </c>
      <c r="AR1068" t="s">
        <v>55</v>
      </c>
      <c r="AS1068" t="s">
        <v>60</v>
      </c>
    </row>
    <row r="1069" spans="1:45" x14ac:dyDescent="0.25">
      <c r="A1069" t="s">
        <v>47</v>
      </c>
      <c r="B1069">
        <v>8</v>
      </c>
      <c r="C1069" t="s">
        <v>188</v>
      </c>
      <c r="D1069">
        <v>95</v>
      </c>
      <c r="E1069" t="s">
        <v>84</v>
      </c>
      <c r="F1069">
        <v>11</v>
      </c>
      <c r="G1069" t="s">
        <v>96</v>
      </c>
      <c r="H1069" t="s">
        <v>50</v>
      </c>
      <c r="K1069" t="s">
        <v>51</v>
      </c>
      <c r="L1069">
        <v>1</v>
      </c>
      <c r="M1069" t="s">
        <v>52</v>
      </c>
      <c r="N1069" t="s">
        <v>53</v>
      </c>
      <c r="R1069">
        <v>0.5</v>
      </c>
      <c r="S1069">
        <v>0.75</v>
      </c>
      <c r="T1069">
        <v>0</v>
      </c>
      <c r="U1069">
        <v>0</v>
      </c>
      <c r="V1069" s="1">
        <v>46310</v>
      </c>
      <c r="W1069" s="1">
        <v>46691</v>
      </c>
      <c r="X1069" s="1">
        <v>46295</v>
      </c>
      <c r="Z1069" t="s">
        <v>52</v>
      </c>
      <c r="AB1069" t="s">
        <v>52</v>
      </c>
      <c r="AC1069">
        <v>11</v>
      </c>
      <c r="AD1069">
        <v>2</v>
      </c>
      <c r="AK1069" t="s">
        <v>52</v>
      </c>
      <c r="AN1069" t="s">
        <v>52</v>
      </c>
      <c r="AO1069" t="s">
        <v>52</v>
      </c>
      <c r="AP1069" t="s">
        <v>52</v>
      </c>
      <c r="AQ1069" t="s">
        <v>52</v>
      </c>
      <c r="AR1069" t="s">
        <v>55</v>
      </c>
      <c r="AS1069" t="s">
        <v>60</v>
      </c>
    </row>
    <row r="1070" spans="1:45" x14ac:dyDescent="0.25">
      <c r="A1070" t="s">
        <v>47</v>
      </c>
      <c r="B1070">
        <v>8</v>
      </c>
      <c r="C1070" t="s">
        <v>188</v>
      </c>
      <c r="D1070">
        <v>95</v>
      </c>
      <c r="E1070" t="s">
        <v>84</v>
      </c>
      <c r="F1070">
        <v>11</v>
      </c>
      <c r="G1070" t="s">
        <v>96</v>
      </c>
      <c r="H1070" t="s">
        <v>50</v>
      </c>
      <c r="K1070" t="s">
        <v>52</v>
      </c>
      <c r="L1070">
        <v>1</v>
      </c>
      <c r="M1070" t="s">
        <v>52</v>
      </c>
      <c r="N1070" t="s">
        <v>53</v>
      </c>
      <c r="R1070">
        <v>0.5</v>
      </c>
      <c r="S1070">
        <v>0.75</v>
      </c>
      <c r="T1070">
        <v>0</v>
      </c>
      <c r="U1070">
        <v>0</v>
      </c>
      <c r="V1070" s="1">
        <v>46310</v>
      </c>
      <c r="W1070" s="1">
        <v>46691</v>
      </c>
      <c r="X1070" s="1">
        <v>46295</v>
      </c>
      <c r="Z1070" t="s">
        <v>52</v>
      </c>
      <c r="AB1070" t="s">
        <v>52</v>
      </c>
      <c r="AC1070">
        <v>11</v>
      </c>
      <c r="AD1070">
        <v>2</v>
      </c>
      <c r="AK1070" t="s">
        <v>52</v>
      </c>
      <c r="AN1070" t="s">
        <v>52</v>
      </c>
      <c r="AO1070" t="s">
        <v>52</v>
      </c>
      <c r="AP1070" t="s">
        <v>52</v>
      </c>
      <c r="AQ1070" t="s">
        <v>52</v>
      </c>
      <c r="AR1070" t="s">
        <v>55</v>
      </c>
      <c r="AS1070" t="s">
        <v>60</v>
      </c>
    </row>
    <row r="1071" spans="1:45" x14ac:dyDescent="0.25">
      <c r="A1071" t="s">
        <v>47</v>
      </c>
      <c r="B1071">
        <v>8</v>
      </c>
      <c r="C1071" t="s">
        <v>189</v>
      </c>
      <c r="D1071">
        <v>97</v>
      </c>
      <c r="E1071" t="s">
        <v>49</v>
      </c>
      <c r="F1071">
        <v>27</v>
      </c>
      <c r="H1071" t="s">
        <v>50</v>
      </c>
      <c r="K1071" t="s">
        <v>51</v>
      </c>
      <c r="L1071">
        <v>1</v>
      </c>
      <c r="M1071" t="s">
        <v>52</v>
      </c>
      <c r="N1071" t="s">
        <v>53</v>
      </c>
      <c r="Q1071">
        <v>230</v>
      </c>
      <c r="R1071">
        <v>0</v>
      </c>
      <c r="S1071">
        <v>0.75</v>
      </c>
      <c r="T1071">
        <v>0</v>
      </c>
      <c r="U1071">
        <v>0</v>
      </c>
      <c r="W1071" s="1">
        <v>46675</v>
      </c>
      <c r="X1071" s="1">
        <v>46357</v>
      </c>
      <c r="Y1071" t="s">
        <v>54</v>
      </c>
      <c r="Z1071" t="s">
        <v>52</v>
      </c>
      <c r="AB1071" t="s">
        <v>52</v>
      </c>
      <c r="AC1071">
        <v>27</v>
      </c>
      <c r="AD1071">
        <v>1</v>
      </c>
      <c r="AE1071">
        <v>0.97</v>
      </c>
      <c r="AG1071">
        <v>0.97</v>
      </c>
      <c r="AK1071" t="s">
        <v>52</v>
      </c>
      <c r="AN1071" t="s">
        <v>52</v>
      </c>
      <c r="AO1071" t="s">
        <v>52</v>
      </c>
      <c r="AP1071" t="s">
        <v>52</v>
      </c>
      <c r="AQ1071" t="s">
        <v>52</v>
      </c>
      <c r="AR1071" t="s">
        <v>55</v>
      </c>
      <c r="AS1071" t="s">
        <v>56</v>
      </c>
    </row>
    <row r="1072" spans="1:45" x14ac:dyDescent="0.25">
      <c r="A1072" t="s">
        <v>47</v>
      </c>
      <c r="B1072">
        <v>8</v>
      </c>
      <c r="C1072" t="s">
        <v>189</v>
      </c>
      <c r="D1072">
        <v>97</v>
      </c>
      <c r="E1072" t="s">
        <v>58</v>
      </c>
      <c r="F1072">
        <v>102</v>
      </c>
      <c r="G1072" t="s">
        <v>62</v>
      </c>
      <c r="H1072" t="s">
        <v>50</v>
      </c>
      <c r="K1072" t="s">
        <v>51</v>
      </c>
      <c r="L1072">
        <v>1</v>
      </c>
      <c r="M1072" t="s">
        <v>52</v>
      </c>
      <c r="N1072" t="s">
        <v>53</v>
      </c>
      <c r="R1072">
        <v>0</v>
      </c>
      <c r="S1072">
        <v>0.92</v>
      </c>
      <c r="U1072">
        <v>0</v>
      </c>
      <c r="W1072" s="1">
        <v>46731</v>
      </c>
      <c r="X1072" s="1">
        <v>46357</v>
      </c>
      <c r="Z1072" t="s">
        <v>52</v>
      </c>
      <c r="AB1072" t="s">
        <v>52</v>
      </c>
      <c r="AC1072">
        <v>102</v>
      </c>
      <c r="AD1072">
        <v>1</v>
      </c>
      <c r="AK1072" t="s">
        <v>52</v>
      </c>
      <c r="AN1072" t="s">
        <v>52</v>
      </c>
      <c r="AO1072" t="s">
        <v>52</v>
      </c>
      <c r="AP1072" t="s">
        <v>52</v>
      </c>
      <c r="AQ1072" t="s">
        <v>52</v>
      </c>
      <c r="AR1072" t="s">
        <v>55</v>
      </c>
    </row>
    <row r="1073" spans="1:45" x14ac:dyDescent="0.25">
      <c r="A1073" t="s">
        <v>47</v>
      </c>
      <c r="B1073">
        <v>8</v>
      </c>
      <c r="C1073" t="s">
        <v>189</v>
      </c>
      <c r="D1073">
        <v>97</v>
      </c>
      <c r="E1073" t="s">
        <v>58</v>
      </c>
      <c r="F1073">
        <v>102</v>
      </c>
      <c r="G1073" t="s">
        <v>62</v>
      </c>
      <c r="H1073" t="s">
        <v>50</v>
      </c>
      <c r="K1073" t="s">
        <v>52</v>
      </c>
      <c r="L1073">
        <v>1</v>
      </c>
      <c r="M1073" t="s">
        <v>52</v>
      </c>
      <c r="N1073" t="s">
        <v>53</v>
      </c>
      <c r="R1073">
        <v>0</v>
      </c>
      <c r="S1073">
        <v>0.92</v>
      </c>
      <c r="T1073">
        <v>0</v>
      </c>
      <c r="U1073">
        <v>0</v>
      </c>
      <c r="W1073" s="1">
        <v>46731</v>
      </c>
      <c r="X1073" s="1">
        <v>46357</v>
      </c>
      <c r="Z1073" t="s">
        <v>52</v>
      </c>
      <c r="AB1073" t="s">
        <v>52</v>
      </c>
      <c r="AC1073">
        <v>102</v>
      </c>
      <c r="AD1073">
        <v>1</v>
      </c>
      <c r="AK1073" t="s">
        <v>52</v>
      </c>
      <c r="AN1073" t="s">
        <v>52</v>
      </c>
      <c r="AO1073" t="s">
        <v>52</v>
      </c>
      <c r="AP1073" t="s">
        <v>52</v>
      </c>
      <c r="AQ1073" t="s">
        <v>52</v>
      </c>
      <c r="AR1073" t="s">
        <v>55</v>
      </c>
    </row>
    <row r="1074" spans="1:45" x14ac:dyDescent="0.25">
      <c r="A1074" t="s">
        <v>47</v>
      </c>
      <c r="B1074">
        <v>8</v>
      </c>
      <c r="C1074" t="s">
        <v>189</v>
      </c>
      <c r="D1074">
        <v>97</v>
      </c>
      <c r="E1074" t="s">
        <v>70</v>
      </c>
      <c r="F1074">
        <v>296</v>
      </c>
      <c r="G1074" t="s">
        <v>71</v>
      </c>
      <c r="H1074" t="s">
        <v>50</v>
      </c>
      <c r="K1074" t="s">
        <v>51</v>
      </c>
      <c r="L1074">
        <v>1</v>
      </c>
      <c r="M1074" t="s">
        <v>52</v>
      </c>
      <c r="N1074" t="s">
        <v>53</v>
      </c>
      <c r="Q1074">
        <v>224.33330000000001</v>
      </c>
      <c r="R1074">
        <v>0</v>
      </c>
      <c r="S1074">
        <v>0.75</v>
      </c>
      <c r="T1074">
        <v>0</v>
      </c>
      <c r="U1074">
        <v>0</v>
      </c>
      <c r="W1074" s="1">
        <v>46675</v>
      </c>
      <c r="X1074" s="1">
        <v>46357</v>
      </c>
      <c r="Y1074" t="s">
        <v>54</v>
      </c>
      <c r="Z1074" t="s">
        <v>52</v>
      </c>
      <c r="AB1074" t="s">
        <v>52</v>
      </c>
      <c r="AC1074">
        <v>296</v>
      </c>
      <c r="AD1074">
        <v>1</v>
      </c>
      <c r="AK1074" t="s">
        <v>52</v>
      </c>
      <c r="AN1074" t="s">
        <v>52</v>
      </c>
      <c r="AO1074" t="s">
        <v>52</v>
      </c>
      <c r="AP1074" t="s">
        <v>52</v>
      </c>
      <c r="AQ1074" t="s">
        <v>52</v>
      </c>
      <c r="AR1074" t="s">
        <v>55</v>
      </c>
    </row>
    <row r="1075" spans="1:45" x14ac:dyDescent="0.25">
      <c r="A1075" t="s">
        <v>47</v>
      </c>
      <c r="B1075">
        <v>8</v>
      </c>
      <c r="C1075" t="s">
        <v>189</v>
      </c>
      <c r="D1075">
        <v>97</v>
      </c>
      <c r="E1075" t="s">
        <v>75</v>
      </c>
      <c r="F1075">
        <v>16</v>
      </c>
      <c r="G1075" t="s">
        <v>76</v>
      </c>
      <c r="H1075" t="s">
        <v>50</v>
      </c>
      <c r="K1075" t="s">
        <v>51</v>
      </c>
      <c r="L1075">
        <v>1</v>
      </c>
      <c r="M1075" t="s">
        <v>52</v>
      </c>
      <c r="N1075" t="s">
        <v>53</v>
      </c>
      <c r="R1075">
        <v>0.5</v>
      </c>
      <c r="S1075">
        <v>0.75</v>
      </c>
      <c r="T1075">
        <v>0</v>
      </c>
      <c r="U1075">
        <v>0</v>
      </c>
      <c r="V1075" s="1">
        <v>46583</v>
      </c>
      <c r="W1075" s="1">
        <v>46691</v>
      </c>
      <c r="X1075" s="1">
        <v>46461</v>
      </c>
      <c r="Z1075" t="s">
        <v>52</v>
      </c>
      <c r="AB1075" t="s">
        <v>52</v>
      </c>
      <c r="AC1075">
        <v>16</v>
      </c>
      <c r="AD1075">
        <v>2</v>
      </c>
      <c r="AK1075" t="s">
        <v>52</v>
      </c>
      <c r="AN1075" t="s">
        <v>52</v>
      </c>
      <c r="AO1075" t="s">
        <v>52</v>
      </c>
      <c r="AP1075" t="s">
        <v>52</v>
      </c>
      <c r="AQ1075" t="s">
        <v>52</v>
      </c>
      <c r="AR1075" t="s">
        <v>55</v>
      </c>
    </row>
    <row r="1076" spans="1:45" x14ac:dyDescent="0.25">
      <c r="A1076" t="s">
        <v>47</v>
      </c>
      <c r="B1076">
        <v>8</v>
      </c>
      <c r="C1076" t="s">
        <v>190</v>
      </c>
      <c r="D1076">
        <v>99</v>
      </c>
      <c r="E1076" t="s">
        <v>49</v>
      </c>
      <c r="F1076">
        <v>27</v>
      </c>
      <c r="H1076" t="s">
        <v>50</v>
      </c>
      <c r="K1076" t="s">
        <v>51</v>
      </c>
      <c r="L1076">
        <v>1</v>
      </c>
      <c r="M1076" t="s">
        <v>52</v>
      </c>
      <c r="N1076" t="s">
        <v>53</v>
      </c>
      <c r="Q1076">
        <v>230</v>
      </c>
      <c r="R1076">
        <v>0</v>
      </c>
      <c r="S1076">
        <v>0.75</v>
      </c>
      <c r="T1076">
        <v>0</v>
      </c>
      <c r="U1076">
        <v>0</v>
      </c>
      <c r="W1076" s="1">
        <v>46675</v>
      </c>
      <c r="X1076" s="1">
        <v>46357</v>
      </c>
      <c r="Y1076" t="s">
        <v>54</v>
      </c>
      <c r="Z1076" t="s">
        <v>52</v>
      </c>
      <c r="AB1076" t="s">
        <v>52</v>
      </c>
      <c r="AC1076">
        <v>27</v>
      </c>
      <c r="AD1076">
        <v>1</v>
      </c>
      <c r="AE1076">
        <v>0.97</v>
      </c>
      <c r="AG1076">
        <v>0.97</v>
      </c>
      <c r="AK1076" t="s">
        <v>52</v>
      </c>
      <c r="AN1076" t="s">
        <v>52</v>
      </c>
      <c r="AO1076" t="s">
        <v>52</v>
      </c>
      <c r="AP1076" t="s">
        <v>52</v>
      </c>
      <c r="AQ1076" t="s">
        <v>52</v>
      </c>
      <c r="AR1076" t="s">
        <v>55</v>
      </c>
      <c r="AS1076" t="s">
        <v>56</v>
      </c>
    </row>
    <row r="1077" spans="1:45" x14ac:dyDescent="0.25">
      <c r="A1077" t="s">
        <v>47</v>
      </c>
      <c r="B1077">
        <v>8</v>
      </c>
      <c r="C1077" t="s">
        <v>190</v>
      </c>
      <c r="D1077">
        <v>99</v>
      </c>
      <c r="E1077" t="s">
        <v>49</v>
      </c>
      <c r="F1077">
        <v>27</v>
      </c>
      <c r="H1077" t="s">
        <v>50</v>
      </c>
      <c r="K1077" t="s">
        <v>52</v>
      </c>
      <c r="L1077">
        <v>1</v>
      </c>
      <c r="M1077" t="s">
        <v>52</v>
      </c>
      <c r="N1077" t="s">
        <v>53</v>
      </c>
      <c r="Q1077">
        <v>230</v>
      </c>
      <c r="R1077">
        <v>0</v>
      </c>
      <c r="S1077">
        <v>0.75</v>
      </c>
      <c r="T1077">
        <v>0</v>
      </c>
      <c r="U1077">
        <v>0</v>
      </c>
      <c r="W1077" s="1">
        <v>46675</v>
      </c>
      <c r="X1077" s="1">
        <v>46357</v>
      </c>
      <c r="Y1077" t="s">
        <v>54</v>
      </c>
      <c r="Z1077" t="s">
        <v>52</v>
      </c>
      <c r="AB1077" t="s">
        <v>52</v>
      </c>
      <c r="AC1077">
        <v>27</v>
      </c>
      <c r="AD1077">
        <v>1</v>
      </c>
      <c r="AE1077">
        <v>0.97</v>
      </c>
      <c r="AG1077">
        <v>0.97</v>
      </c>
      <c r="AK1077" t="s">
        <v>52</v>
      </c>
      <c r="AN1077" t="s">
        <v>52</v>
      </c>
      <c r="AO1077" t="s">
        <v>52</v>
      </c>
      <c r="AP1077" t="s">
        <v>52</v>
      </c>
      <c r="AQ1077" t="s">
        <v>52</v>
      </c>
      <c r="AR1077" t="s">
        <v>55</v>
      </c>
      <c r="AS1077" t="s">
        <v>57</v>
      </c>
    </row>
    <row r="1078" spans="1:45" x14ac:dyDescent="0.25">
      <c r="A1078" t="s">
        <v>47</v>
      </c>
      <c r="B1078">
        <v>8</v>
      </c>
      <c r="C1078" t="s">
        <v>190</v>
      </c>
      <c r="D1078">
        <v>99</v>
      </c>
      <c r="E1078" t="s">
        <v>58</v>
      </c>
      <c r="F1078">
        <v>102</v>
      </c>
      <c r="G1078" t="s">
        <v>191</v>
      </c>
      <c r="H1078" t="s">
        <v>50</v>
      </c>
      <c r="K1078" t="s">
        <v>51</v>
      </c>
      <c r="L1078">
        <v>1</v>
      </c>
      <c r="M1078" t="s">
        <v>52</v>
      </c>
      <c r="N1078" t="s">
        <v>53</v>
      </c>
      <c r="R1078">
        <v>0</v>
      </c>
      <c r="S1078">
        <v>0.92</v>
      </c>
      <c r="T1078">
        <v>0</v>
      </c>
      <c r="U1078">
        <v>0</v>
      </c>
      <c r="W1078" s="1">
        <v>46731</v>
      </c>
      <c r="X1078" s="1">
        <v>46357</v>
      </c>
      <c r="Z1078" t="s">
        <v>52</v>
      </c>
      <c r="AB1078" t="s">
        <v>52</v>
      </c>
      <c r="AC1078">
        <v>102</v>
      </c>
      <c r="AD1078">
        <v>1</v>
      </c>
      <c r="AK1078" t="s">
        <v>52</v>
      </c>
      <c r="AN1078" t="s">
        <v>52</v>
      </c>
      <c r="AO1078" t="s">
        <v>52</v>
      </c>
      <c r="AP1078" t="s">
        <v>52</v>
      </c>
      <c r="AQ1078" t="s">
        <v>52</v>
      </c>
      <c r="AR1078" t="s">
        <v>55</v>
      </c>
    </row>
    <row r="1079" spans="1:45" x14ac:dyDescent="0.25">
      <c r="A1079" t="s">
        <v>47</v>
      </c>
      <c r="B1079">
        <v>8</v>
      </c>
      <c r="C1079" t="s">
        <v>190</v>
      </c>
      <c r="D1079">
        <v>99</v>
      </c>
      <c r="E1079" t="s">
        <v>58</v>
      </c>
      <c r="F1079">
        <v>102</v>
      </c>
      <c r="G1079" t="s">
        <v>61</v>
      </c>
      <c r="H1079" t="s">
        <v>50</v>
      </c>
      <c r="K1079" t="s">
        <v>51</v>
      </c>
      <c r="L1079">
        <v>1</v>
      </c>
      <c r="M1079" t="s">
        <v>52</v>
      </c>
      <c r="N1079" t="s">
        <v>53</v>
      </c>
      <c r="R1079">
        <v>0</v>
      </c>
      <c r="S1079">
        <v>0.92</v>
      </c>
      <c r="T1079">
        <v>0</v>
      </c>
      <c r="U1079">
        <v>0</v>
      </c>
      <c r="W1079" s="1">
        <v>46731</v>
      </c>
      <c r="X1079" s="1">
        <v>46357</v>
      </c>
      <c r="Z1079" t="s">
        <v>52</v>
      </c>
      <c r="AB1079" t="s">
        <v>52</v>
      </c>
      <c r="AC1079">
        <v>102</v>
      </c>
      <c r="AD1079">
        <v>1</v>
      </c>
      <c r="AK1079" t="s">
        <v>52</v>
      </c>
      <c r="AN1079" t="s">
        <v>52</v>
      </c>
      <c r="AO1079" t="s">
        <v>52</v>
      </c>
      <c r="AP1079" t="s">
        <v>52</v>
      </c>
      <c r="AQ1079" t="s">
        <v>52</v>
      </c>
      <c r="AR1079" t="s">
        <v>55</v>
      </c>
    </row>
    <row r="1080" spans="1:45" x14ac:dyDescent="0.25">
      <c r="A1080" t="s">
        <v>47</v>
      </c>
      <c r="B1080">
        <v>8</v>
      </c>
      <c r="C1080" t="s">
        <v>190</v>
      </c>
      <c r="D1080">
        <v>99</v>
      </c>
      <c r="E1080" t="s">
        <v>58</v>
      </c>
      <c r="F1080">
        <v>102</v>
      </c>
      <c r="G1080" t="s">
        <v>62</v>
      </c>
      <c r="H1080" t="s">
        <v>50</v>
      </c>
      <c r="K1080" t="s">
        <v>52</v>
      </c>
      <c r="L1080">
        <v>1</v>
      </c>
      <c r="M1080" t="s">
        <v>52</v>
      </c>
      <c r="N1080" t="s">
        <v>53</v>
      </c>
      <c r="R1080">
        <v>0</v>
      </c>
      <c r="S1080">
        <v>0.92</v>
      </c>
      <c r="T1080">
        <v>0</v>
      </c>
      <c r="U1080">
        <v>0</v>
      </c>
      <c r="W1080" s="1">
        <v>46731</v>
      </c>
      <c r="X1080" s="1">
        <v>46357</v>
      </c>
      <c r="Z1080" t="s">
        <v>52</v>
      </c>
      <c r="AB1080" t="s">
        <v>52</v>
      </c>
      <c r="AC1080">
        <v>102</v>
      </c>
      <c r="AD1080">
        <v>1</v>
      </c>
      <c r="AK1080" t="s">
        <v>52</v>
      </c>
      <c r="AN1080" t="s">
        <v>52</v>
      </c>
      <c r="AO1080" t="s">
        <v>52</v>
      </c>
      <c r="AP1080" t="s">
        <v>52</v>
      </c>
      <c r="AQ1080" t="s">
        <v>52</v>
      </c>
      <c r="AR1080" t="s">
        <v>55</v>
      </c>
    </row>
    <row r="1081" spans="1:45" x14ac:dyDescent="0.25">
      <c r="A1081" t="s">
        <v>47</v>
      </c>
      <c r="B1081">
        <v>8</v>
      </c>
      <c r="C1081" t="s">
        <v>190</v>
      </c>
      <c r="D1081">
        <v>99</v>
      </c>
      <c r="E1081" t="s">
        <v>68</v>
      </c>
      <c r="F1081">
        <v>80</v>
      </c>
      <c r="G1081" t="s">
        <v>69</v>
      </c>
      <c r="H1081" t="s">
        <v>50</v>
      </c>
      <c r="K1081" t="s">
        <v>51</v>
      </c>
      <c r="L1081">
        <v>1</v>
      </c>
      <c r="M1081" t="s">
        <v>52</v>
      </c>
      <c r="N1081" t="s">
        <v>53</v>
      </c>
      <c r="R1081">
        <v>0.5</v>
      </c>
      <c r="S1081">
        <v>0.75</v>
      </c>
      <c r="T1081">
        <v>0</v>
      </c>
      <c r="U1081">
        <v>0</v>
      </c>
      <c r="V1081" s="1">
        <v>46600</v>
      </c>
      <c r="W1081" s="1">
        <v>46675</v>
      </c>
      <c r="X1081" s="1">
        <v>46461</v>
      </c>
      <c r="Z1081" t="s">
        <v>52</v>
      </c>
      <c r="AB1081" t="s">
        <v>52</v>
      </c>
      <c r="AC1081">
        <v>80</v>
      </c>
      <c r="AD1081">
        <v>1</v>
      </c>
      <c r="AK1081" t="s">
        <v>52</v>
      </c>
      <c r="AN1081" t="s">
        <v>52</v>
      </c>
      <c r="AO1081" t="s">
        <v>52</v>
      </c>
      <c r="AP1081" t="s">
        <v>52</v>
      </c>
      <c r="AQ1081" t="s">
        <v>52</v>
      </c>
      <c r="AR1081" t="s">
        <v>55</v>
      </c>
    </row>
    <row r="1082" spans="1:45" x14ac:dyDescent="0.25">
      <c r="A1082" t="s">
        <v>47</v>
      </c>
      <c r="B1082">
        <v>8</v>
      </c>
      <c r="C1082" t="s">
        <v>190</v>
      </c>
      <c r="D1082">
        <v>99</v>
      </c>
      <c r="E1082" t="s">
        <v>68</v>
      </c>
      <c r="F1082">
        <v>80</v>
      </c>
      <c r="G1082" t="s">
        <v>69</v>
      </c>
      <c r="H1082" t="s">
        <v>50</v>
      </c>
      <c r="K1082" t="s">
        <v>52</v>
      </c>
      <c r="L1082">
        <v>1</v>
      </c>
      <c r="M1082" t="s">
        <v>52</v>
      </c>
      <c r="N1082" t="s">
        <v>53</v>
      </c>
      <c r="R1082">
        <v>0.5</v>
      </c>
      <c r="S1082">
        <v>0.75</v>
      </c>
      <c r="T1082">
        <v>0</v>
      </c>
      <c r="U1082">
        <v>0</v>
      </c>
      <c r="V1082" s="1">
        <v>46600</v>
      </c>
      <c r="W1082" s="1">
        <v>46675</v>
      </c>
      <c r="X1082" s="1">
        <v>46461</v>
      </c>
      <c r="Z1082" t="s">
        <v>52</v>
      </c>
      <c r="AB1082" t="s">
        <v>52</v>
      </c>
      <c r="AC1082">
        <v>80</v>
      </c>
      <c r="AD1082">
        <v>1</v>
      </c>
      <c r="AK1082" t="s">
        <v>52</v>
      </c>
      <c r="AN1082" t="s">
        <v>52</v>
      </c>
      <c r="AO1082" t="s">
        <v>52</v>
      </c>
      <c r="AP1082" t="s">
        <v>52</v>
      </c>
      <c r="AQ1082" t="s">
        <v>52</v>
      </c>
      <c r="AR1082" t="s">
        <v>55</v>
      </c>
    </row>
    <row r="1083" spans="1:45" x14ac:dyDescent="0.25">
      <c r="A1083" t="s">
        <v>47</v>
      </c>
      <c r="B1083">
        <v>8</v>
      </c>
      <c r="C1083" t="s">
        <v>190</v>
      </c>
      <c r="D1083">
        <v>99</v>
      </c>
      <c r="E1083" t="s">
        <v>70</v>
      </c>
      <c r="F1083">
        <v>296</v>
      </c>
      <c r="G1083" t="s">
        <v>71</v>
      </c>
      <c r="H1083" t="s">
        <v>50</v>
      </c>
      <c r="K1083" t="s">
        <v>51</v>
      </c>
      <c r="L1083">
        <v>1</v>
      </c>
      <c r="M1083" t="s">
        <v>52</v>
      </c>
      <c r="N1083" t="s">
        <v>53</v>
      </c>
      <c r="Q1083">
        <v>224.33330000000001</v>
      </c>
      <c r="R1083">
        <v>0</v>
      </c>
      <c r="S1083">
        <v>0.75</v>
      </c>
      <c r="T1083">
        <v>0</v>
      </c>
      <c r="U1083">
        <v>0</v>
      </c>
      <c r="W1083" s="1">
        <v>46675</v>
      </c>
      <c r="X1083" s="1">
        <v>46357</v>
      </c>
      <c r="Y1083" t="s">
        <v>54</v>
      </c>
      <c r="Z1083" t="s">
        <v>52</v>
      </c>
      <c r="AB1083" t="s">
        <v>52</v>
      </c>
      <c r="AC1083">
        <v>296</v>
      </c>
      <c r="AD1083">
        <v>1</v>
      </c>
      <c r="AK1083" t="s">
        <v>52</v>
      </c>
      <c r="AN1083" t="s">
        <v>52</v>
      </c>
      <c r="AO1083" t="s">
        <v>52</v>
      </c>
      <c r="AP1083" t="s">
        <v>52</v>
      </c>
      <c r="AQ1083" t="s">
        <v>52</v>
      </c>
      <c r="AR1083" t="s">
        <v>55</v>
      </c>
      <c r="AS1083" t="s">
        <v>60</v>
      </c>
    </row>
    <row r="1084" spans="1:45" x14ac:dyDescent="0.25">
      <c r="A1084" t="s">
        <v>47</v>
      </c>
      <c r="B1084">
        <v>8</v>
      </c>
      <c r="C1084" t="s">
        <v>190</v>
      </c>
      <c r="D1084">
        <v>99</v>
      </c>
      <c r="E1084" t="s">
        <v>70</v>
      </c>
      <c r="F1084">
        <v>296</v>
      </c>
      <c r="G1084" t="s">
        <v>71</v>
      </c>
      <c r="H1084" t="s">
        <v>50</v>
      </c>
      <c r="K1084" t="s">
        <v>52</v>
      </c>
      <c r="L1084">
        <v>1</v>
      </c>
      <c r="M1084" t="s">
        <v>52</v>
      </c>
      <c r="N1084" t="s">
        <v>53</v>
      </c>
      <c r="Q1084">
        <v>224.33330000000001</v>
      </c>
      <c r="R1084">
        <v>0</v>
      </c>
      <c r="S1084">
        <v>0.75</v>
      </c>
      <c r="T1084">
        <v>0</v>
      </c>
      <c r="U1084">
        <v>0</v>
      </c>
      <c r="W1084" s="1">
        <v>46675</v>
      </c>
      <c r="X1084" s="1">
        <v>46357</v>
      </c>
      <c r="Y1084" t="s">
        <v>54</v>
      </c>
      <c r="Z1084" t="s">
        <v>52</v>
      </c>
      <c r="AB1084" t="s">
        <v>52</v>
      </c>
      <c r="AC1084">
        <v>296</v>
      </c>
      <c r="AD1084">
        <v>1</v>
      </c>
      <c r="AK1084" t="s">
        <v>52</v>
      </c>
      <c r="AN1084" t="s">
        <v>52</v>
      </c>
      <c r="AO1084" t="s">
        <v>52</v>
      </c>
      <c r="AP1084" t="s">
        <v>52</v>
      </c>
      <c r="AQ1084" t="s">
        <v>52</v>
      </c>
      <c r="AR1084" t="s">
        <v>55</v>
      </c>
      <c r="AS1084" t="s">
        <v>60</v>
      </c>
    </row>
    <row r="1085" spans="1:45" x14ac:dyDescent="0.25">
      <c r="A1085" t="s">
        <v>47</v>
      </c>
      <c r="B1085">
        <v>8</v>
      </c>
      <c r="C1085" t="s">
        <v>190</v>
      </c>
      <c r="D1085">
        <v>99</v>
      </c>
      <c r="E1085" t="s">
        <v>75</v>
      </c>
      <c r="F1085">
        <v>16</v>
      </c>
      <c r="G1085" t="s">
        <v>76</v>
      </c>
      <c r="H1085" t="s">
        <v>50</v>
      </c>
      <c r="K1085" t="s">
        <v>51</v>
      </c>
      <c r="L1085">
        <v>1</v>
      </c>
      <c r="M1085" t="s">
        <v>52</v>
      </c>
      <c r="N1085" t="s">
        <v>53</v>
      </c>
      <c r="R1085">
        <v>0.5</v>
      </c>
      <c r="S1085">
        <v>0.75</v>
      </c>
      <c r="T1085">
        <v>0</v>
      </c>
      <c r="U1085">
        <v>0</v>
      </c>
      <c r="V1085" s="1">
        <v>46507</v>
      </c>
      <c r="W1085" s="1">
        <v>46691</v>
      </c>
      <c r="X1085" s="1">
        <v>46461</v>
      </c>
      <c r="Z1085" t="s">
        <v>52</v>
      </c>
      <c r="AB1085" t="s">
        <v>52</v>
      </c>
      <c r="AC1085">
        <v>16</v>
      </c>
      <c r="AD1085">
        <v>2</v>
      </c>
      <c r="AK1085" t="s">
        <v>52</v>
      </c>
      <c r="AN1085" t="s">
        <v>52</v>
      </c>
      <c r="AO1085" t="s">
        <v>52</v>
      </c>
      <c r="AP1085" t="s">
        <v>52</v>
      </c>
      <c r="AQ1085" t="s">
        <v>52</v>
      </c>
      <c r="AR1085" t="s">
        <v>55</v>
      </c>
    </row>
    <row r="1086" spans="1:45" x14ac:dyDescent="0.25">
      <c r="A1086" t="s">
        <v>47</v>
      </c>
      <c r="B1086">
        <v>8</v>
      </c>
      <c r="C1086" t="s">
        <v>190</v>
      </c>
      <c r="D1086">
        <v>99</v>
      </c>
      <c r="E1086" t="s">
        <v>75</v>
      </c>
      <c r="F1086">
        <v>16</v>
      </c>
      <c r="G1086" t="s">
        <v>76</v>
      </c>
      <c r="H1086" t="s">
        <v>50</v>
      </c>
      <c r="K1086" t="s">
        <v>52</v>
      </c>
      <c r="L1086">
        <v>1</v>
      </c>
      <c r="M1086" t="s">
        <v>52</v>
      </c>
      <c r="N1086" t="s">
        <v>53</v>
      </c>
      <c r="R1086">
        <v>0.5</v>
      </c>
      <c r="S1086">
        <v>0.75</v>
      </c>
      <c r="T1086">
        <v>0</v>
      </c>
      <c r="U1086">
        <v>0</v>
      </c>
      <c r="V1086" s="1">
        <v>46507</v>
      </c>
      <c r="W1086" s="1">
        <v>46691</v>
      </c>
      <c r="X1086" s="1">
        <v>46461</v>
      </c>
      <c r="Z1086" t="s">
        <v>52</v>
      </c>
      <c r="AB1086" t="s">
        <v>52</v>
      </c>
      <c r="AC1086">
        <v>16</v>
      </c>
      <c r="AD1086">
        <v>2</v>
      </c>
      <c r="AK1086" t="s">
        <v>52</v>
      </c>
      <c r="AN1086" t="s">
        <v>52</v>
      </c>
      <c r="AO1086" t="s">
        <v>52</v>
      </c>
      <c r="AP1086" t="s">
        <v>52</v>
      </c>
      <c r="AQ1086" t="s">
        <v>52</v>
      </c>
      <c r="AR1086" t="s">
        <v>55</v>
      </c>
    </row>
    <row r="1087" spans="1:45" x14ac:dyDescent="0.25">
      <c r="A1087" t="s">
        <v>47</v>
      </c>
      <c r="B1087">
        <v>8</v>
      </c>
      <c r="C1087" t="s">
        <v>190</v>
      </c>
      <c r="D1087">
        <v>99</v>
      </c>
      <c r="E1087" t="s">
        <v>77</v>
      </c>
      <c r="F1087">
        <v>51</v>
      </c>
      <c r="G1087" t="s">
        <v>78</v>
      </c>
      <c r="H1087" t="s">
        <v>50</v>
      </c>
      <c r="K1087" t="s">
        <v>51</v>
      </c>
      <c r="L1087">
        <v>1</v>
      </c>
      <c r="M1087" t="s">
        <v>52</v>
      </c>
      <c r="N1087" t="s">
        <v>53</v>
      </c>
      <c r="R1087">
        <v>0.5</v>
      </c>
      <c r="S1087">
        <v>0.73</v>
      </c>
      <c r="T1087">
        <v>0</v>
      </c>
      <c r="U1087">
        <v>0</v>
      </c>
      <c r="V1087" s="1">
        <v>46569</v>
      </c>
      <c r="W1087" s="1">
        <v>46675</v>
      </c>
      <c r="X1087" s="1">
        <v>46461</v>
      </c>
      <c r="Z1087" t="s">
        <v>52</v>
      </c>
      <c r="AB1087" t="s">
        <v>52</v>
      </c>
      <c r="AC1087">
        <v>51</v>
      </c>
      <c r="AD1087">
        <v>2</v>
      </c>
      <c r="AK1087" t="s">
        <v>52</v>
      </c>
      <c r="AN1087" t="s">
        <v>52</v>
      </c>
      <c r="AO1087" t="s">
        <v>52</v>
      </c>
      <c r="AP1087" t="s">
        <v>52</v>
      </c>
      <c r="AQ1087" t="s">
        <v>52</v>
      </c>
      <c r="AR1087" t="s">
        <v>55</v>
      </c>
      <c r="AS1087" t="s">
        <v>60</v>
      </c>
    </row>
    <row r="1088" spans="1:45" x14ac:dyDescent="0.25">
      <c r="A1088" t="s">
        <v>47</v>
      </c>
      <c r="B1088">
        <v>8</v>
      </c>
      <c r="C1088" t="s">
        <v>190</v>
      </c>
      <c r="D1088">
        <v>99</v>
      </c>
      <c r="E1088" t="s">
        <v>77</v>
      </c>
      <c r="F1088">
        <v>51</v>
      </c>
      <c r="G1088" t="s">
        <v>78</v>
      </c>
      <c r="H1088" t="s">
        <v>50</v>
      </c>
      <c r="K1088" t="s">
        <v>52</v>
      </c>
      <c r="L1088">
        <v>1</v>
      </c>
      <c r="M1088" t="s">
        <v>52</v>
      </c>
      <c r="N1088" t="s">
        <v>53</v>
      </c>
      <c r="R1088">
        <v>0.5</v>
      </c>
      <c r="S1088">
        <v>0.73</v>
      </c>
      <c r="T1088">
        <v>0</v>
      </c>
      <c r="U1088">
        <v>0</v>
      </c>
      <c r="V1088" s="1">
        <v>46569</v>
      </c>
      <c r="W1088" s="1">
        <v>46675</v>
      </c>
      <c r="X1088" s="1">
        <v>46461</v>
      </c>
      <c r="Z1088" t="s">
        <v>52</v>
      </c>
      <c r="AB1088" t="s">
        <v>52</v>
      </c>
      <c r="AC1088">
        <v>51</v>
      </c>
      <c r="AD1088">
        <v>2</v>
      </c>
      <c r="AK1088" t="s">
        <v>52</v>
      </c>
      <c r="AN1088" t="s">
        <v>52</v>
      </c>
      <c r="AO1088" t="s">
        <v>52</v>
      </c>
      <c r="AP1088" t="s">
        <v>52</v>
      </c>
      <c r="AQ1088" t="s">
        <v>52</v>
      </c>
      <c r="AR1088" t="s">
        <v>55</v>
      </c>
      <c r="AS1088" t="s">
        <v>60</v>
      </c>
    </row>
    <row r="1089" spans="1:45" x14ac:dyDescent="0.25">
      <c r="A1089" t="s">
        <v>47</v>
      </c>
      <c r="B1089">
        <v>8</v>
      </c>
      <c r="C1089" t="s">
        <v>190</v>
      </c>
      <c r="D1089">
        <v>99</v>
      </c>
      <c r="E1089" t="s">
        <v>79</v>
      </c>
      <c r="F1089">
        <v>50</v>
      </c>
      <c r="G1089" t="s">
        <v>80</v>
      </c>
      <c r="H1089" t="s">
        <v>50</v>
      </c>
      <c r="K1089" t="s">
        <v>51</v>
      </c>
      <c r="L1089">
        <v>1</v>
      </c>
      <c r="M1089" t="s">
        <v>52</v>
      </c>
      <c r="N1089" t="s">
        <v>53</v>
      </c>
      <c r="R1089">
        <v>0.5</v>
      </c>
      <c r="S1089">
        <v>0.75</v>
      </c>
      <c r="T1089">
        <v>0</v>
      </c>
      <c r="U1089">
        <v>0</v>
      </c>
      <c r="V1089" s="1">
        <v>46583</v>
      </c>
      <c r="W1089" s="1">
        <v>46675</v>
      </c>
      <c r="X1089" s="1">
        <v>46461</v>
      </c>
      <c r="Z1089" t="s">
        <v>52</v>
      </c>
      <c r="AB1089" t="s">
        <v>52</v>
      </c>
      <c r="AC1089">
        <v>50</v>
      </c>
      <c r="AD1089">
        <v>1</v>
      </c>
      <c r="AK1089" t="s">
        <v>52</v>
      </c>
      <c r="AN1089" t="s">
        <v>52</v>
      </c>
      <c r="AO1089" t="s">
        <v>52</v>
      </c>
      <c r="AP1089" t="s">
        <v>52</v>
      </c>
      <c r="AQ1089" t="s">
        <v>52</v>
      </c>
      <c r="AR1089" t="s">
        <v>55</v>
      </c>
    </row>
    <row r="1090" spans="1:45" x14ac:dyDescent="0.25">
      <c r="A1090" t="s">
        <v>47</v>
      </c>
      <c r="B1090">
        <v>8</v>
      </c>
      <c r="C1090" t="s">
        <v>190</v>
      </c>
      <c r="D1090">
        <v>99</v>
      </c>
      <c r="E1090" t="s">
        <v>79</v>
      </c>
      <c r="F1090">
        <v>50</v>
      </c>
      <c r="G1090" t="s">
        <v>80</v>
      </c>
      <c r="H1090" t="s">
        <v>50</v>
      </c>
      <c r="K1090" t="s">
        <v>52</v>
      </c>
      <c r="L1090">
        <v>1</v>
      </c>
      <c r="M1090" t="s">
        <v>52</v>
      </c>
      <c r="N1090" t="s">
        <v>53</v>
      </c>
      <c r="R1090">
        <v>0.5</v>
      </c>
      <c r="S1090">
        <v>0.75</v>
      </c>
      <c r="T1090">
        <v>0</v>
      </c>
      <c r="U1090">
        <v>0</v>
      </c>
      <c r="V1090" s="1">
        <v>46583</v>
      </c>
      <c r="W1090" s="1">
        <v>46675</v>
      </c>
      <c r="X1090" s="1">
        <v>46461</v>
      </c>
      <c r="Z1090" t="s">
        <v>52</v>
      </c>
      <c r="AB1090" t="s">
        <v>52</v>
      </c>
      <c r="AC1090">
        <v>50</v>
      </c>
      <c r="AD1090">
        <v>1</v>
      </c>
      <c r="AK1090" t="s">
        <v>52</v>
      </c>
      <c r="AN1090" t="s">
        <v>52</v>
      </c>
      <c r="AO1090" t="s">
        <v>52</v>
      </c>
      <c r="AP1090" t="s">
        <v>52</v>
      </c>
      <c r="AQ1090" t="s">
        <v>52</v>
      </c>
      <c r="AR1090" t="s">
        <v>55</v>
      </c>
    </row>
    <row r="1091" spans="1:45" x14ac:dyDescent="0.25">
      <c r="A1091" t="s">
        <v>47</v>
      </c>
      <c r="B1091">
        <v>8</v>
      </c>
      <c r="C1091" t="s">
        <v>190</v>
      </c>
      <c r="D1091">
        <v>99</v>
      </c>
      <c r="E1091" t="s">
        <v>79</v>
      </c>
      <c r="F1091">
        <v>50</v>
      </c>
      <c r="G1091" t="s">
        <v>81</v>
      </c>
      <c r="H1091" t="s">
        <v>50</v>
      </c>
      <c r="K1091" t="s">
        <v>51</v>
      </c>
      <c r="L1091">
        <v>1</v>
      </c>
      <c r="M1091" t="s">
        <v>52</v>
      </c>
      <c r="N1091" t="s">
        <v>53</v>
      </c>
      <c r="R1091">
        <v>0.5</v>
      </c>
      <c r="S1091">
        <v>0.75</v>
      </c>
      <c r="T1091">
        <v>0</v>
      </c>
      <c r="U1091">
        <v>0</v>
      </c>
      <c r="V1091" s="1">
        <v>46583</v>
      </c>
      <c r="W1091" s="1">
        <v>46675</v>
      </c>
      <c r="X1091" s="1">
        <v>46461</v>
      </c>
      <c r="Z1091" t="s">
        <v>52</v>
      </c>
      <c r="AB1091" t="s">
        <v>52</v>
      </c>
      <c r="AC1091">
        <v>50</v>
      </c>
      <c r="AD1091">
        <v>1</v>
      </c>
      <c r="AK1091" t="s">
        <v>52</v>
      </c>
      <c r="AN1091" t="s">
        <v>52</v>
      </c>
      <c r="AO1091" t="s">
        <v>52</v>
      </c>
      <c r="AP1091" t="s">
        <v>52</v>
      </c>
      <c r="AQ1091" t="s">
        <v>52</v>
      </c>
      <c r="AR1091" t="s">
        <v>55</v>
      </c>
    </row>
    <row r="1092" spans="1:45" x14ac:dyDescent="0.25">
      <c r="A1092" t="s">
        <v>47</v>
      </c>
      <c r="B1092">
        <v>8</v>
      </c>
      <c r="C1092" t="s">
        <v>190</v>
      </c>
      <c r="D1092">
        <v>99</v>
      </c>
      <c r="E1092" t="s">
        <v>79</v>
      </c>
      <c r="F1092">
        <v>50</v>
      </c>
      <c r="G1092" t="s">
        <v>81</v>
      </c>
      <c r="H1092" t="s">
        <v>50</v>
      </c>
      <c r="K1092" t="s">
        <v>52</v>
      </c>
      <c r="L1092">
        <v>1</v>
      </c>
      <c r="M1092" t="s">
        <v>52</v>
      </c>
      <c r="N1092" t="s">
        <v>53</v>
      </c>
      <c r="R1092">
        <v>0.5</v>
      </c>
      <c r="S1092">
        <v>0.75</v>
      </c>
      <c r="T1092">
        <v>0</v>
      </c>
      <c r="U1092">
        <v>0</v>
      </c>
      <c r="V1092" s="1">
        <v>46583</v>
      </c>
      <c r="W1092" s="1">
        <v>46675</v>
      </c>
      <c r="X1092" s="1">
        <v>46461</v>
      </c>
      <c r="Z1092" t="s">
        <v>52</v>
      </c>
      <c r="AB1092" t="s">
        <v>52</v>
      </c>
      <c r="AC1092">
        <v>50</v>
      </c>
      <c r="AD1092">
        <v>1</v>
      </c>
      <c r="AK1092" t="s">
        <v>52</v>
      </c>
      <c r="AN1092" t="s">
        <v>52</v>
      </c>
      <c r="AO1092" t="s">
        <v>52</v>
      </c>
      <c r="AP1092" t="s">
        <v>52</v>
      </c>
      <c r="AQ1092" t="s">
        <v>52</v>
      </c>
      <c r="AR1092" t="s">
        <v>55</v>
      </c>
    </row>
    <row r="1093" spans="1:45" x14ac:dyDescent="0.25">
      <c r="A1093" t="s">
        <v>47</v>
      </c>
      <c r="B1093">
        <v>8</v>
      </c>
      <c r="C1093" t="s">
        <v>190</v>
      </c>
      <c r="D1093">
        <v>99</v>
      </c>
      <c r="E1093" t="s">
        <v>82</v>
      </c>
      <c r="F1093">
        <v>52</v>
      </c>
      <c r="H1093" t="s">
        <v>50</v>
      </c>
      <c r="K1093" t="s">
        <v>51</v>
      </c>
      <c r="L1093">
        <v>1</v>
      </c>
      <c r="M1093" t="s">
        <v>52</v>
      </c>
      <c r="N1093" t="s">
        <v>53</v>
      </c>
      <c r="R1093">
        <v>0.5</v>
      </c>
      <c r="S1093">
        <v>0.75</v>
      </c>
      <c r="T1093">
        <v>0</v>
      </c>
      <c r="U1093">
        <v>0</v>
      </c>
      <c r="V1093" s="1">
        <v>46569</v>
      </c>
      <c r="W1093" s="1">
        <v>46675</v>
      </c>
      <c r="X1093" s="1">
        <v>46461</v>
      </c>
      <c r="Z1093" t="s">
        <v>52</v>
      </c>
      <c r="AB1093" t="s">
        <v>52</v>
      </c>
      <c r="AC1093">
        <v>50</v>
      </c>
      <c r="AD1093">
        <v>1</v>
      </c>
      <c r="AK1093" t="s">
        <v>52</v>
      </c>
      <c r="AN1093" t="s">
        <v>52</v>
      </c>
      <c r="AO1093" t="s">
        <v>52</v>
      </c>
      <c r="AP1093" t="s">
        <v>52</v>
      </c>
      <c r="AQ1093" t="s">
        <v>52</v>
      </c>
      <c r="AR1093" t="s">
        <v>55</v>
      </c>
    </row>
    <row r="1094" spans="1:45" x14ac:dyDescent="0.25">
      <c r="A1094" t="s">
        <v>47</v>
      </c>
      <c r="B1094">
        <v>8</v>
      </c>
      <c r="C1094" t="s">
        <v>190</v>
      </c>
      <c r="D1094">
        <v>99</v>
      </c>
      <c r="E1094" t="s">
        <v>82</v>
      </c>
      <c r="F1094">
        <v>52</v>
      </c>
      <c r="H1094" t="s">
        <v>50</v>
      </c>
      <c r="K1094" t="s">
        <v>52</v>
      </c>
      <c r="L1094">
        <v>1</v>
      </c>
      <c r="M1094" t="s">
        <v>52</v>
      </c>
      <c r="N1094" t="s">
        <v>53</v>
      </c>
      <c r="R1094">
        <v>0.5</v>
      </c>
      <c r="S1094">
        <v>0.75</v>
      </c>
      <c r="U1094">
        <v>0</v>
      </c>
      <c r="V1094" s="1">
        <v>46569</v>
      </c>
      <c r="W1094" s="1">
        <v>46675</v>
      </c>
      <c r="X1094" s="1">
        <v>46461</v>
      </c>
      <c r="Z1094" t="s">
        <v>52</v>
      </c>
      <c r="AB1094" t="s">
        <v>52</v>
      </c>
      <c r="AC1094">
        <v>50</v>
      </c>
      <c r="AD1094">
        <v>1</v>
      </c>
      <c r="AK1094" t="s">
        <v>52</v>
      </c>
      <c r="AN1094" t="s">
        <v>52</v>
      </c>
      <c r="AO1094" t="s">
        <v>52</v>
      </c>
      <c r="AP1094" t="s">
        <v>52</v>
      </c>
      <c r="AQ1094" t="s">
        <v>52</v>
      </c>
      <c r="AR1094" t="s">
        <v>55</v>
      </c>
    </row>
    <row r="1095" spans="1:45" x14ac:dyDescent="0.25">
      <c r="A1095" t="s">
        <v>47</v>
      </c>
      <c r="B1095">
        <v>8</v>
      </c>
      <c r="C1095" t="s">
        <v>190</v>
      </c>
      <c r="D1095">
        <v>99</v>
      </c>
      <c r="E1095" t="s">
        <v>83</v>
      </c>
      <c r="F1095">
        <v>158</v>
      </c>
      <c r="H1095" t="s">
        <v>50</v>
      </c>
      <c r="K1095" t="s">
        <v>51</v>
      </c>
      <c r="L1095">
        <v>1</v>
      </c>
      <c r="M1095" t="s">
        <v>52</v>
      </c>
      <c r="N1095" t="s">
        <v>53</v>
      </c>
      <c r="P1095">
        <v>1.2</v>
      </c>
      <c r="R1095">
        <v>0.77</v>
      </c>
      <c r="S1095">
        <v>0.93</v>
      </c>
      <c r="T1095">
        <v>0</v>
      </c>
      <c r="U1095">
        <v>0</v>
      </c>
      <c r="V1095" s="1">
        <v>46522</v>
      </c>
      <c r="W1095" s="1">
        <v>46691</v>
      </c>
      <c r="X1095" s="1">
        <v>46266</v>
      </c>
      <c r="Z1095" t="s">
        <v>52</v>
      </c>
      <c r="AA1095" t="s">
        <v>54</v>
      </c>
      <c r="AB1095" t="s">
        <v>52</v>
      </c>
      <c r="AC1095">
        <v>158</v>
      </c>
      <c r="AD1095">
        <v>2</v>
      </c>
      <c r="AK1095" t="s">
        <v>52</v>
      </c>
      <c r="AN1095" t="s">
        <v>52</v>
      </c>
      <c r="AO1095" t="s">
        <v>52</v>
      </c>
      <c r="AP1095" t="s">
        <v>52</v>
      </c>
      <c r="AQ1095" t="s">
        <v>52</v>
      </c>
      <c r="AR1095" t="s">
        <v>95</v>
      </c>
      <c r="AS1095" t="s">
        <v>140</v>
      </c>
    </row>
    <row r="1096" spans="1:45" x14ac:dyDescent="0.25">
      <c r="A1096" t="s">
        <v>47</v>
      </c>
      <c r="B1096">
        <v>8</v>
      </c>
      <c r="C1096" t="s">
        <v>190</v>
      </c>
      <c r="D1096">
        <v>99</v>
      </c>
      <c r="E1096" t="s">
        <v>83</v>
      </c>
      <c r="F1096">
        <v>158</v>
      </c>
      <c r="H1096" t="s">
        <v>50</v>
      </c>
      <c r="K1096" t="s">
        <v>52</v>
      </c>
      <c r="L1096">
        <v>1</v>
      </c>
      <c r="M1096" t="s">
        <v>52</v>
      </c>
      <c r="N1096" t="s">
        <v>53</v>
      </c>
      <c r="R1096">
        <v>0.77</v>
      </c>
      <c r="S1096">
        <v>0.93</v>
      </c>
      <c r="T1096">
        <v>0</v>
      </c>
      <c r="U1096">
        <v>0</v>
      </c>
      <c r="V1096" s="1">
        <v>46326</v>
      </c>
      <c r="W1096" s="1">
        <v>46691</v>
      </c>
      <c r="X1096" s="1">
        <v>46266</v>
      </c>
      <c r="Z1096" t="s">
        <v>52</v>
      </c>
      <c r="AB1096" t="s">
        <v>52</v>
      </c>
      <c r="AC1096">
        <v>158</v>
      </c>
      <c r="AD1096">
        <v>2</v>
      </c>
      <c r="AK1096" t="s">
        <v>52</v>
      </c>
      <c r="AN1096" t="s">
        <v>52</v>
      </c>
      <c r="AO1096" t="s">
        <v>52</v>
      </c>
      <c r="AP1096" t="s">
        <v>52</v>
      </c>
      <c r="AQ1096" t="s">
        <v>52</v>
      </c>
      <c r="AR1096" t="s">
        <v>55</v>
      </c>
    </row>
    <row r="1097" spans="1:45" x14ac:dyDescent="0.25">
      <c r="A1097" t="s">
        <v>47</v>
      </c>
      <c r="B1097">
        <v>8</v>
      </c>
      <c r="C1097" t="s">
        <v>190</v>
      </c>
      <c r="D1097">
        <v>99</v>
      </c>
      <c r="E1097" t="s">
        <v>84</v>
      </c>
      <c r="F1097">
        <v>11</v>
      </c>
      <c r="G1097" t="s">
        <v>96</v>
      </c>
      <c r="H1097" t="s">
        <v>50</v>
      </c>
      <c r="K1097" t="s">
        <v>51</v>
      </c>
      <c r="L1097">
        <v>1</v>
      </c>
      <c r="M1097" t="s">
        <v>52</v>
      </c>
      <c r="N1097" t="s">
        <v>53</v>
      </c>
      <c r="R1097">
        <v>0.5</v>
      </c>
      <c r="S1097">
        <v>0.75</v>
      </c>
      <c r="T1097">
        <v>0</v>
      </c>
      <c r="U1097">
        <v>0</v>
      </c>
      <c r="V1097" s="1">
        <v>46300</v>
      </c>
      <c r="W1097" s="1">
        <v>46691</v>
      </c>
      <c r="X1097" s="1">
        <v>46295</v>
      </c>
      <c r="Z1097" t="s">
        <v>52</v>
      </c>
      <c r="AB1097" t="s">
        <v>52</v>
      </c>
      <c r="AC1097">
        <v>11</v>
      </c>
      <c r="AD1097">
        <v>2</v>
      </c>
      <c r="AK1097" t="s">
        <v>52</v>
      </c>
      <c r="AN1097" t="s">
        <v>52</v>
      </c>
      <c r="AO1097" t="s">
        <v>52</v>
      </c>
      <c r="AP1097" t="s">
        <v>52</v>
      </c>
      <c r="AQ1097" t="s">
        <v>52</v>
      </c>
      <c r="AR1097" t="s">
        <v>55</v>
      </c>
      <c r="AS1097" t="s">
        <v>60</v>
      </c>
    </row>
    <row r="1098" spans="1:45" x14ac:dyDescent="0.25">
      <c r="A1098" t="s">
        <v>47</v>
      </c>
      <c r="B1098">
        <v>8</v>
      </c>
      <c r="C1098" t="s">
        <v>190</v>
      </c>
      <c r="D1098">
        <v>99</v>
      </c>
      <c r="E1098" t="s">
        <v>84</v>
      </c>
      <c r="F1098">
        <v>11</v>
      </c>
      <c r="G1098" t="s">
        <v>96</v>
      </c>
      <c r="H1098" t="s">
        <v>50</v>
      </c>
      <c r="K1098" t="s">
        <v>52</v>
      </c>
      <c r="L1098">
        <v>1</v>
      </c>
      <c r="M1098" t="s">
        <v>52</v>
      </c>
      <c r="N1098" t="s">
        <v>53</v>
      </c>
      <c r="R1098">
        <v>0.5</v>
      </c>
      <c r="S1098">
        <v>0.75</v>
      </c>
      <c r="T1098">
        <v>0</v>
      </c>
      <c r="U1098">
        <v>0</v>
      </c>
      <c r="V1098" s="1">
        <v>46300</v>
      </c>
      <c r="W1098" s="1">
        <v>46691</v>
      </c>
      <c r="X1098" s="1">
        <v>46295</v>
      </c>
      <c r="Z1098" t="s">
        <v>52</v>
      </c>
      <c r="AB1098" t="s">
        <v>52</v>
      </c>
      <c r="AC1098">
        <v>11</v>
      </c>
      <c r="AD1098">
        <v>2</v>
      </c>
      <c r="AK1098" t="s">
        <v>52</v>
      </c>
      <c r="AN1098" t="s">
        <v>52</v>
      </c>
      <c r="AO1098" t="s">
        <v>52</v>
      </c>
      <c r="AP1098" t="s">
        <v>52</v>
      </c>
      <c r="AQ1098" t="s">
        <v>52</v>
      </c>
      <c r="AR1098" t="s">
        <v>55</v>
      </c>
      <c r="AS1098" t="s">
        <v>60</v>
      </c>
    </row>
    <row r="1099" spans="1:45" x14ac:dyDescent="0.25">
      <c r="A1099" t="s">
        <v>47</v>
      </c>
      <c r="B1099">
        <v>8</v>
      </c>
      <c r="C1099" t="s">
        <v>192</v>
      </c>
      <c r="D1099">
        <v>101</v>
      </c>
      <c r="E1099" t="s">
        <v>49</v>
      </c>
      <c r="F1099">
        <v>27</v>
      </c>
      <c r="H1099" t="s">
        <v>50</v>
      </c>
      <c r="K1099" t="s">
        <v>51</v>
      </c>
      <c r="L1099">
        <v>1</v>
      </c>
      <c r="M1099" t="s">
        <v>52</v>
      </c>
      <c r="N1099" t="s">
        <v>53</v>
      </c>
      <c r="Q1099">
        <v>230</v>
      </c>
      <c r="R1099">
        <v>0</v>
      </c>
      <c r="S1099">
        <v>0.75</v>
      </c>
      <c r="T1099">
        <v>0</v>
      </c>
      <c r="U1099">
        <v>0</v>
      </c>
      <c r="W1099" s="1">
        <v>46675</v>
      </c>
      <c r="X1099" s="1">
        <v>46357</v>
      </c>
      <c r="Y1099" t="s">
        <v>54</v>
      </c>
      <c r="Z1099" t="s">
        <v>52</v>
      </c>
      <c r="AB1099" t="s">
        <v>52</v>
      </c>
      <c r="AC1099">
        <v>27</v>
      </c>
      <c r="AD1099">
        <v>1</v>
      </c>
      <c r="AE1099">
        <v>0.97</v>
      </c>
      <c r="AG1099">
        <v>0.97</v>
      </c>
      <c r="AK1099" t="s">
        <v>52</v>
      </c>
      <c r="AN1099" t="s">
        <v>52</v>
      </c>
      <c r="AO1099" t="s">
        <v>52</v>
      </c>
      <c r="AP1099" t="s">
        <v>52</v>
      </c>
      <c r="AQ1099" t="s">
        <v>52</v>
      </c>
      <c r="AR1099" t="s">
        <v>55</v>
      </c>
      <c r="AS1099" t="s">
        <v>56</v>
      </c>
    </row>
    <row r="1100" spans="1:45" x14ac:dyDescent="0.25">
      <c r="A1100" t="s">
        <v>47</v>
      </c>
      <c r="B1100">
        <v>8</v>
      </c>
      <c r="C1100" t="s">
        <v>192</v>
      </c>
      <c r="D1100">
        <v>101</v>
      </c>
      <c r="E1100" t="s">
        <v>49</v>
      </c>
      <c r="F1100">
        <v>27</v>
      </c>
      <c r="H1100" t="s">
        <v>50</v>
      </c>
      <c r="K1100" t="s">
        <v>52</v>
      </c>
      <c r="L1100">
        <v>1</v>
      </c>
      <c r="M1100" t="s">
        <v>52</v>
      </c>
      <c r="N1100" t="s">
        <v>53</v>
      </c>
      <c r="Q1100">
        <v>230</v>
      </c>
      <c r="R1100">
        <v>0</v>
      </c>
      <c r="S1100">
        <v>0.75</v>
      </c>
      <c r="T1100">
        <v>0</v>
      </c>
      <c r="U1100">
        <v>0</v>
      </c>
      <c r="W1100" s="1">
        <v>46675</v>
      </c>
      <c r="X1100" s="1">
        <v>46357</v>
      </c>
      <c r="Y1100" t="s">
        <v>54</v>
      </c>
      <c r="Z1100" t="s">
        <v>52</v>
      </c>
      <c r="AB1100" t="s">
        <v>52</v>
      </c>
      <c r="AC1100">
        <v>27</v>
      </c>
      <c r="AD1100">
        <v>1</v>
      </c>
      <c r="AE1100">
        <v>0.97</v>
      </c>
      <c r="AG1100">
        <v>0.97</v>
      </c>
      <c r="AK1100" t="s">
        <v>52</v>
      </c>
      <c r="AN1100" t="s">
        <v>52</v>
      </c>
      <c r="AO1100" t="s">
        <v>52</v>
      </c>
      <c r="AP1100" t="s">
        <v>52</v>
      </c>
      <c r="AQ1100" t="s">
        <v>52</v>
      </c>
      <c r="AR1100" t="s">
        <v>55</v>
      </c>
      <c r="AS1100" t="s">
        <v>57</v>
      </c>
    </row>
    <row r="1101" spans="1:45" x14ac:dyDescent="0.25">
      <c r="A1101" t="s">
        <v>47</v>
      </c>
      <c r="B1101">
        <v>8</v>
      </c>
      <c r="C1101" t="s">
        <v>192</v>
      </c>
      <c r="D1101">
        <v>101</v>
      </c>
      <c r="E1101" t="s">
        <v>87</v>
      </c>
      <c r="F1101">
        <v>91</v>
      </c>
      <c r="G1101" t="s">
        <v>76</v>
      </c>
      <c r="H1101" t="s">
        <v>50</v>
      </c>
      <c r="K1101" t="s">
        <v>51</v>
      </c>
      <c r="L1101">
        <v>1</v>
      </c>
      <c r="M1101" t="s">
        <v>52</v>
      </c>
      <c r="N1101" t="s">
        <v>53</v>
      </c>
      <c r="R1101">
        <v>0.77</v>
      </c>
      <c r="S1101">
        <v>0.93</v>
      </c>
      <c r="U1101">
        <v>0</v>
      </c>
      <c r="V1101" s="1">
        <v>46548</v>
      </c>
      <c r="W1101" s="1">
        <v>46691</v>
      </c>
      <c r="X1101" s="1">
        <v>46295</v>
      </c>
      <c r="Z1101" t="s">
        <v>52</v>
      </c>
      <c r="AB1101" t="s">
        <v>52</v>
      </c>
      <c r="AC1101">
        <v>91</v>
      </c>
      <c r="AD1101">
        <v>2</v>
      </c>
      <c r="AK1101" t="s">
        <v>52</v>
      </c>
      <c r="AN1101" t="s">
        <v>52</v>
      </c>
      <c r="AO1101" t="s">
        <v>52</v>
      </c>
      <c r="AP1101" t="s">
        <v>52</v>
      </c>
      <c r="AQ1101" t="s">
        <v>52</v>
      </c>
      <c r="AR1101" t="s">
        <v>55</v>
      </c>
    </row>
    <row r="1102" spans="1:45" x14ac:dyDescent="0.25">
      <c r="A1102" t="s">
        <v>47</v>
      </c>
      <c r="B1102">
        <v>8</v>
      </c>
      <c r="C1102" t="s">
        <v>192</v>
      </c>
      <c r="D1102">
        <v>101</v>
      </c>
      <c r="E1102" t="s">
        <v>87</v>
      </c>
      <c r="F1102">
        <v>91</v>
      </c>
      <c r="G1102" t="s">
        <v>103</v>
      </c>
      <c r="H1102" t="s">
        <v>50</v>
      </c>
      <c r="K1102" t="s">
        <v>51</v>
      </c>
      <c r="L1102">
        <v>1</v>
      </c>
      <c r="M1102" t="s">
        <v>52</v>
      </c>
      <c r="N1102" t="s">
        <v>53</v>
      </c>
      <c r="R1102">
        <v>0.77</v>
      </c>
      <c r="S1102">
        <v>0.93</v>
      </c>
      <c r="T1102">
        <v>0</v>
      </c>
      <c r="U1102">
        <v>0</v>
      </c>
      <c r="V1102" s="1">
        <v>46326</v>
      </c>
      <c r="W1102" s="1">
        <v>46691</v>
      </c>
      <c r="X1102" s="1">
        <v>46295</v>
      </c>
      <c r="Z1102" t="s">
        <v>52</v>
      </c>
      <c r="AB1102" t="s">
        <v>52</v>
      </c>
      <c r="AC1102">
        <v>91</v>
      </c>
      <c r="AD1102">
        <v>2</v>
      </c>
      <c r="AK1102" t="s">
        <v>52</v>
      </c>
      <c r="AN1102" t="s">
        <v>52</v>
      </c>
      <c r="AO1102" t="s">
        <v>52</v>
      </c>
      <c r="AP1102" t="s">
        <v>52</v>
      </c>
      <c r="AQ1102" t="s">
        <v>52</v>
      </c>
      <c r="AR1102" t="s">
        <v>55</v>
      </c>
      <c r="AS1102" t="s">
        <v>60</v>
      </c>
    </row>
    <row r="1103" spans="1:45" x14ac:dyDescent="0.25">
      <c r="A1103" t="s">
        <v>47</v>
      </c>
      <c r="B1103">
        <v>8</v>
      </c>
      <c r="C1103" t="s">
        <v>192</v>
      </c>
      <c r="D1103">
        <v>101</v>
      </c>
      <c r="E1103" t="s">
        <v>58</v>
      </c>
      <c r="F1103">
        <v>102</v>
      </c>
      <c r="G1103" t="s">
        <v>62</v>
      </c>
      <c r="H1103" t="s">
        <v>50</v>
      </c>
      <c r="K1103" t="s">
        <v>51</v>
      </c>
      <c r="L1103">
        <v>1</v>
      </c>
      <c r="M1103" t="s">
        <v>52</v>
      </c>
      <c r="N1103" t="s">
        <v>53</v>
      </c>
      <c r="R1103">
        <v>0</v>
      </c>
      <c r="S1103">
        <v>0.92</v>
      </c>
      <c r="T1103">
        <v>0</v>
      </c>
      <c r="U1103">
        <v>0</v>
      </c>
      <c r="W1103" s="1">
        <v>46731</v>
      </c>
      <c r="X1103" s="1">
        <v>46357</v>
      </c>
      <c r="Z1103" t="s">
        <v>52</v>
      </c>
      <c r="AB1103" t="s">
        <v>52</v>
      </c>
      <c r="AC1103">
        <v>102</v>
      </c>
      <c r="AD1103">
        <v>1</v>
      </c>
      <c r="AK1103" t="s">
        <v>52</v>
      </c>
      <c r="AN1103" t="s">
        <v>52</v>
      </c>
      <c r="AO1103" t="s">
        <v>52</v>
      </c>
      <c r="AP1103" t="s">
        <v>52</v>
      </c>
      <c r="AQ1103" t="s">
        <v>52</v>
      </c>
      <c r="AR1103" t="s">
        <v>55</v>
      </c>
    </row>
    <row r="1104" spans="1:45" x14ac:dyDescent="0.25">
      <c r="A1104" t="s">
        <v>47</v>
      </c>
      <c r="B1104">
        <v>8</v>
      </c>
      <c r="C1104" t="s">
        <v>192</v>
      </c>
      <c r="D1104">
        <v>101</v>
      </c>
      <c r="E1104" t="s">
        <v>58</v>
      </c>
      <c r="F1104">
        <v>102</v>
      </c>
      <c r="G1104" t="s">
        <v>62</v>
      </c>
      <c r="H1104" t="s">
        <v>50</v>
      </c>
      <c r="K1104" t="s">
        <v>52</v>
      </c>
      <c r="L1104">
        <v>1</v>
      </c>
      <c r="M1104" t="s">
        <v>52</v>
      </c>
      <c r="N1104" t="s">
        <v>53</v>
      </c>
      <c r="R1104">
        <v>0</v>
      </c>
      <c r="S1104">
        <v>0.92</v>
      </c>
      <c r="T1104">
        <v>0</v>
      </c>
      <c r="U1104">
        <v>0</v>
      </c>
      <c r="W1104" s="1">
        <v>46731</v>
      </c>
      <c r="X1104" s="1">
        <v>46357</v>
      </c>
      <c r="Z1104" t="s">
        <v>52</v>
      </c>
      <c r="AB1104" t="s">
        <v>52</v>
      </c>
      <c r="AC1104">
        <v>102</v>
      </c>
      <c r="AD1104">
        <v>1</v>
      </c>
      <c r="AK1104" t="s">
        <v>52</v>
      </c>
      <c r="AN1104" t="s">
        <v>52</v>
      </c>
      <c r="AO1104" t="s">
        <v>52</v>
      </c>
      <c r="AP1104" t="s">
        <v>52</v>
      </c>
      <c r="AQ1104" t="s">
        <v>52</v>
      </c>
      <c r="AR1104" t="s">
        <v>55</v>
      </c>
    </row>
    <row r="1105" spans="1:45" x14ac:dyDescent="0.25">
      <c r="A1105" t="s">
        <v>47</v>
      </c>
      <c r="B1105">
        <v>8</v>
      </c>
      <c r="C1105" t="s">
        <v>192</v>
      </c>
      <c r="D1105">
        <v>101</v>
      </c>
      <c r="E1105" t="s">
        <v>68</v>
      </c>
      <c r="F1105">
        <v>80</v>
      </c>
      <c r="G1105" t="s">
        <v>69</v>
      </c>
      <c r="H1105" t="s">
        <v>50</v>
      </c>
      <c r="K1105" t="s">
        <v>51</v>
      </c>
      <c r="L1105">
        <v>1</v>
      </c>
      <c r="M1105" t="s">
        <v>52</v>
      </c>
      <c r="N1105" t="s">
        <v>53</v>
      </c>
      <c r="R1105">
        <v>0.5</v>
      </c>
      <c r="S1105">
        <v>0.75</v>
      </c>
      <c r="T1105">
        <v>0</v>
      </c>
      <c r="U1105">
        <v>0</v>
      </c>
      <c r="V1105" s="1">
        <v>46600</v>
      </c>
      <c r="W1105" s="1">
        <v>46675</v>
      </c>
      <c r="X1105" s="1">
        <v>46461</v>
      </c>
      <c r="Z1105" t="s">
        <v>52</v>
      </c>
      <c r="AB1105" t="s">
        <v>52</v>
      </c>
      <c r="AC1105">
        <v>80</v>
      </c>
      <c r="AD1105">
        <v>1</v>
      </c>
      <c r="AK1105" t="s">
        <v>52</v>
      </c>
      <c r="AN1105" t="s">
        <v>52</v>
      </c>
      <c r="AO1105" t="s">
        <v>52</v>
      </c>
      <c r="AP1105" t="s">
        <v>52</v>
      </c>
      <c r="AQ1105" t="s">
        <v>52</v>
      </c>
      <c r="AR1105" t="s">
        <v>55</v>
      </c>
    </row>
    <row r="1106" spans="1:45" x14ac:dyDescent="0.25">
      <c r="A1106" t="s">
        <v>47</v>
      </c>
      <c r="B1106">
        <v>8</v>
      </c>
      <c r="C1106" t="s">
        <v>192</v>
      </c>
      <c r="D1106">
        <v>101</v>
      </c>
      <c r="E1106" t="s">
        <v>68</v>
      </c>
      <c r="F1106">
        <v>80</v>
      </c>
      <c r="G1106" t="s">
        <v>69</v>
      </c>
      <c r="H1106" t="s">
        <v>50</v>
      </c>
      <c r="K1106" t="s">
        <v>52</v>
      </c>
      <c r="L1106">
        <v>1</v>
      </c>
      <c r="M1106" t="s">
        <v>52</v>
      </c>
      <c r="N1106" t="s">
        <v>53</v>
      </c>
      <c r="R1106">
        <v>0.5</v>
      </c>
      <c r="S1106">
        <v>0.75</v>
      </c>
      <c r="T1106">
        <v>0</v>
      </c>
      <c r="U1106">
        <v>0</v>
      </c>
      <c r="V1106" s="1">
        <v>46600</v>
      </c>
      <c r="W1106" s="1">
        <v>46675</v>
      </c>
      <c r="X1106" s="1">
        <v>46461</v>
      </c>
      <c r="Z1106" t="s">
        <v>52</v>
      </c>
      <c r="AB1106" t="s">
        <v>52</v>
      </c>
      <c r="AC1106">
        <v>80</v>
      </c>
      <c r="AD1106">
        <v>1</v>
      </c>
      <c r="AK1106" t="s">
        <v>52</v>
      </c>
      <c r="AN1106" t="s">
        <v>52</v>
      </c>
      <c r="AO1106" t="s">
        <v>52</v>
      </c>
      <c r="AP1106" t="s">
        <v>52</v>
      </c>
      <c r="AQ1106" t="s">
        <v>52</v>
      </c>
      <c r="AR1106" t="s">
        <v>55</v>
      </c>
    </row>
    <row r="1107" spans="1:45" x14ac:dyDescent="0.25">
      <c r="A1107" t="s">
        <v>47</v>
      </c>
      <c r="B1107">
        <v>8</v>
      </c>
      <c r="C1107" t="s">
        <v>192</v>
      </c>
      <c r="D1107">
        <v>101</v>
      </c>
      <c r="E1107" t="s">
        <v>70</v>
      </c>
      <c r="F1107">
        <v>296</v>
      </c>
      <c r="G1107" t="s">
        <v>71</v>
      </c>
      <c r="H1107" t="s">
        <v>50</v>
      </c>
      <c r="K1107" t="s">
        <v>51</v>
      </c>
      <c r="L1107">
        <v>1</v>
      </c>
      <c r="M1107" t="s">
        <v>52</v>
      </c>
      <c r="N1107" t="s">
        <v>53</v>
      </c>
      <c r="Q1107">
        <v>224.33330000000001</v>
      </c>
      <c r="R1107">
        <v>0</v>
      </c>
      <c r="S1107">
        <v>0.75</v>
      </c>
      <c r="T1107">
        <v>0</v>
      </c>
      <c r="U1107">
        <v>0</v>
      </c>
      <c r="W1107" s="1">
        <v>46675</v>
      </c>
      <c r="X1107" s="1">
        <v>46357</v>
      </c>
      <c r="Y1107" t="s">
        <v>54</v>
      </c>
      <c r="Z1107" t="s">
        <v>52</v>
      </c>
      <c r="AB1107" t="s">
        <v>52</v>
      </c>
      <c r="AC1107">
        <v>296</v>
      </c>
      <c r="AD1107">
        <v>1</v>
      </c>
      <c r="AK1107" t="s">
        <v>52</v>
      </c>
      <c r="AN1107" t="s">
        <v>52</v>
      </c>
      <c r="AO1107" t="s">
        <v>52</v>
      </c>
      <c r="AP1107" t="s">
        <v>52</v>
      </c>
      <c r="AQ1107" t="s">
        <v>52</v>
      </c>
      <c r="AR1107" t="s">
        <v>55</v>
      </c>
    </row>
    <row r="1108" spans="1:45" x14ac:dyDescent="0.25">
      <c r="A1108" t="s">
        <v>47</v>
      </c>
      <c r="B1108">
        <v>8</v>
      </c>
      <c r="C1108" t="s">
        <v>192</v>
      </c>
      <c r="D1108">
        <v>101</v>
      </c>
      <c r="E1108" t="s">
        <v>70</v>
      </c>
      <c r="F1108">
        <v>296</v>
      </c>
      <c r="G1108" t="s">
        <v>71</v>
      </c>
      <c r="H1108" t="s">
        <v>50</v>
      </c>
      <c r="K1108" t="s">
        <v>52</v>
      </c>
      <c r="L1108">
        <v>1</v>
      </c>
      <c r="M1108" t="s">
        <v>52</v>
      </c>
      <c r="N1108" t="s">
        <v>53</v>
      </c>
      <c r="Q1108">
        <v>224.33330000000001</v>
      </c>
      <c r="R1108">
        <v>0</v>
      </c>
      <c r="S1108">
        <v>0.75</v>
      </c>
      <c r="T1108">
        <v>0</v>
      </c>
      <c r="U1108">
        <v>0</v>
      </c>
      <c r="W1108" s="1">
        <v>46675</v>
      </c>
      <c r="X1108" s="1">
        <v>46357</v>
      </c>
      <c r="Y1108" t="s">
        <v>54</v>
      </c>
      <c r="Z1108" t="s">
        <v>52</v>
      </c>
      <c r="AB1108" t="s">
        <v>52</v>
      </c>
      <c r="AC1108">
        <v>296</v>
      </c>
      <c r="AD1108">
        <v>1</v>
      </c>
      <c r="AK1108" t="s">
        <v>52</v>
      </c>
      <c r="AN1108" t="s">
        <v>52</v>
      </c>
      <c r="AO1108" t="s">
        <v>52</v>
      </c>
      <c r="AP1108" t="s">
        <v>52</v>
      </c>
      <c r="AQ1108" t="s">
        <v>52</v>
      </c>
      <c r="AR1108" t="s">
        <v>55</v>
      </c>
    </row>
    <row r="1109" spans="1:45" x14ac:dyDescent="0.25">
      <c r="A1109" t="s">
        <v>47</v>
      </c>
      <c r="B1109">
        <v>8</v>
      </c>
      <c r="C1109" t="s">
        <v>192</v>
      </c>
      <c r="D1109">
        <v>101</v>
      </c>
      <c r="E1109" t="s">
        <v>70</v>
      </c>
      <c r="F1109">
        <v>296</v>
      </c>
      <c r="G1109" t="s">
        <v>72</v>
      </c>
      <c r="H1109" t="s">
        <v>50</v>
      </c>
      <c r="K1109" t="s">
        <v>51</v>
      </c>
      <c r="L1109">
        <v>1</v>
      </c>
      <c r="M1109" t="s">
        <v>52</v>
      </c>
      <c r="N1109" t="s">
        <v>53</v>
      </c>
      <c r="R1109">
        <v>0.5</v>
      </c>
      <c r="S1109">
        <v>0.75</v>
      </c>
      <c r="T1109">
        <v>0</v>
      </c>
      <c r="U1109">
        <v>0</v>
      </c>
      <c r="V1109" s="1">
        <v>46522</v>
      </c>
      <c r="W1109" s="1">
        <v>46675</v>
      </c>
      <c r="X1109" s="1">
        <v>46357</v>
      </c>
      <c r="Z1109" t="s">
        <v>52</v>
      </c>
      <c r="AB1109" t="s">
        <v>52</v>
      </c>
      <c r="AC1109">
        <v>296</v>
      </c>
      <c r="AD1109">
        <v>1</v>
      </c>
      <c r="AK1109" t="s">
        <v>52</v>
      </c>
      <c r="AN1109" t="s">
        <v>52</v>
      </c>
      <c r="AO1109" t="s">
        <v>52</v>
      </c>
      <c r="AP1109" t="s">
        <v>52</v>
      </c>
      <c r="AQ1109" t="s">
        <v>52</v>
      </c>
      <c r="AR1109" t="s">
        <v>55</v>
      </c>
    </row>
    <row r="1110" spans="1:45" x14ac:dyDescent="0.25">
      <c r="A1110" t="s">
        <v>47</v>
      </c>
      <c r="B1110">
        <v>8</v>
      </c>
      <c r="C1110" t="s">
        <v>192</v>
      </c>
      <c r="D1110">
        <v>101</v>
      </c>
      <c r="E1110" t="s">
        <v>70</v>
      </c>
      <c r="F1110">
        <v>296</v>
      </c>
      <c r="G1110" t="s">
        <v>74</v>
      </c>
      <c r="H1110" t="s">
        <v>50</v>
      </c>
      <c r="K1110" t="s">
        <v>51</v>
      </c>
      <c r="L1110">
        <v>1</v>
      </c>
      <c r="M1110" t="s">
        <v>52</v>
      </c>
      <c r="N1110" t="s">
        <v>53</v>
      </c>
      <c r="R1110">
        <v>0</v>
      </c>
      <c r="S1110">
        <v>0.75</v>
      </c>
      <c r="T1110">
        <v>0</v>
      </c>
      <c r="U1110">
        <v>0</v>
      </c>
      <c r="W1110" s="1">
        <v>46675</v>
      </c>
      <c r="X1110" s="1">
        <v>46357</v>
      </c>
      <c r="Z1110" t="s">
        <v>52</v>
      </c>
      <c r="AB1110" t="s">
        <v>52</v>
      </c>
      <c r="AC1110">
        <v>102</v>
      </c>
      <c r="AD1110">
        <v>1</v>
      </c>
      <c r="AK1110" t="s">
        <v>52</v>
      </c>
      <c r="AN1110" t="s">
        <v>52</v>
      </c>
      <c r="AO1110" t="s">
        <v>52</v>
      </c>
      <c r="AP1110" t="s">
        <v>52</v>
      </c>
      <c r="AQ1110" t="s">
        <v>52</v>
      </c>
      <c r="AR1110" t="s">
        <v>55</v>
      </c>
    </row>
    <row r="1111" spans="1:45" x14ac:dyDescent="0.25">
      <c r="A1111" t="s">
        <v>47</v>
      </c>
      <c r="B1111">
        <v>8</v>
      </c>
      <c r="C1111" t="s">
        <v>192</v>
      </c>
      <c r="D1111">
        <v>101</v>
      </c>
      <c r="E1111" t="s">
        <v>70</v>
      </c>
      <c r="F1111">
        <v>296</v>
      </c>
      <c r="G1111" t="s">
        <v>74</v>
      </c>
      <c r="H1111" t="s">
        <v>50</v>
      </c>
      <c r="K1111" t="s">
        <v>52</v>
      </c>
      <c r="L1111">
        <v>1</v>
      </c>
      <c r="M1111" t="s">
        <v>52</v>
      </c>
      <c r="N1111" t="s">
        <v>53</v>
      </c>
      <c r="R1111">
        <v>0</v>
      </c>
      <c r="S1111">
        <v>0.75</v>
      </c>
      <c r="T1111">
        <v>0</v>
      </c>
      <c r="U1111">
        <v>0</v>
      </c>
      <c r="W1111" s="1">
        <v>46675</v>
      </c>
      <c r="X1111" s="1">
        <v>46357</v>
      </c>
      <c r="Z1111" t="s">
        <v>52</v>
      </c>
      <c r="AB1111" t="s">
        <v>52</v>
      </c>
      <c r="AC1111">
        <v>102</v>
      </c>
      <c r="AD1111">
        <v>1</v>
      </c>
      <c r="AK1111" t="s">
        <v>52</v>
      </c>
      <c r="AN1111" t="s">
        <v>52</v>
      </c>
      <c r="AO1111" t="s">
        <v>52</v>
      </c>
      <c r="AP1111" t="s">
        <v>52</v>
      </c>
      <c r="AQ1111" t="s">
        <v>52</v>
      </c>
      <c r="AR1111" t="s">
        <v>55</v>
      </c>
    </row>
    <row r="1112" spans="1:45" x14ac:dyDescent="0.25">
      <c r="A1112" t="s">
        <v>47</v>
      </c>
      <c r="B1112">
        <v>8</v>
      </c>
      <c r="C1112" t="s">
        <v>192</v>
      </c>
      <c r="D1112">
        <v>101</v>
      </c>
      <c r="E1112" t="s">
        <v>70</v>
      </c>
      <c r="F1112">
        <v>296</v>
      </c>
      <c r="G1112" t="s">
        <v>91</v>
      </c>
      <c r="H1112" t="s">
        <v>50</v>
      </c>
      <c r="K1112" t="s">
        <v>51</v>
      </c>
      <c r="L1112">
        <v>1</v>
      </c>
      <c r="M1112" t="s">
        <v>52</v>
      </c>
      <c r="N1112" t="s">
        <v>53</v>
      </c>
      <c r="R1112">
        <v>0.5</v>
      </c>
      <c r="S1112">
        <v>0.75</v>
      </c>
      <c r="T1112">
        <v>0</v>
      </c>
      <c r="U1112">
        <v>0</v>
      </c>
      <c r="V1112" s="1">
        <v>46522</v>
      </c>
      <c r="W1112" s="1">
        <v>46675</v>
      </c>
      <c r="X1112" s="1">
        <v>46357</v>
      </c>
      <c r="Z1112" t="s">
        <v>52</v>
      </c>
      <c r="AB1112" t="s">
        <v>52</v>
      </c>
      <c r="AC1112">
        <v>102</v>
      </c>
      <c r="AD1112">
        <v>1</v>
      </c>
      <c r="AK1112" t="s">
        <v>52</v>
      </c>
      <c r="AN1112" t="s">
        <v>52</v>
      </c>
      <c r="AO1112" t="s">
        <v>52</v>
      </c>
      <c r="AP1112" t="s">
        <v>52</v>
      </c>
      <c r="AQ1112" t="s">
        <v>52</v>
      </c>
      <c r="AR1112" t="s">
        <v>55</v>
      </c>
    </row>
    <row r="1113" spans="1:45" x14ac:dyDescent="0.25">
      <c r="A1113" t="s">
        <v>47</v>
      </c>
      <c r="B1113">
        <v>8</v>
      </c>
      <c r="C1113" t="s">
        <v>192</v>
      </c>
      <c r="D1113">
        <v>101</v>
      </c>
      <c r="E1113" t="s">
        <v>70</v>
      </c>
      <c r="F1113">
        <v>296</v>
      </c>
      <c r="G1113" t="s">
        <v>92</v>
      </c>
      <c r="H1113" t="s">
        <v>50</v>
      </c>
      <c r="K1113" t="s">
        <v>51</v>
      </c>
      <c r="L1113">
        <v>1</v>
      </c>
      <c r="M1113" t="s">
        <v>52</v>
      </c>
      <c r="N1113" t="s">
        <v>53</v>
      </c>
      <c r="R1113">
        <v>0.5</v>
      </c>
      <c r="S1113">
        <v>0.75</v>
      </c>
      <c r="U1113">
        <v>0</v>
      </c>
      <c r="V1113" s="1">
        <v>46583</v>
      </c>
      <c r="W1113" s="1">
        <v>46675</v>
      </c>
      <c r="X1113" s="1">
        <v>46357</v>
      </c>
      <c r="Z1113" t="s">
        <v>52</v>
      </c>
      <c r="AB1113" t="s">
        <v>52</v>
      </c>
      <c r="AC1113">
        <v>102</v>
      </c>
      <c r="AD1113">
        <v>1</v>
      </c>
      <c r="AK1113" t="s">
        <v>52</v>
      </c>
      <c r="AN1113" t="s">
        <v>52</v>
      </c>
      <c r="AO1113" t="s">
        <v>52</v>
      </c>
      <c r="AP1113" t="s">
        <v>52</v>
      </c>
      <c r="AQ1113" t="s">
        <v>52</v>
      </c>
      <c r="AR1113" t="s">
        <v>55</v>
      </c>
      <c r="AS1113" t="s">
        <v>60</v>
      </c>
    </row>
    <row r="1114" spans="1:45" x14ac:dyDescent="0.25">
      <c r="A1114" t="s">
        <v>47</v>
      </c>
      <c r="B1114">
        <v>8</v>
      </c>
      <c r="C1114" t="s">
        <v>192</v>
      </c>
      <c r="D1114">
        <v>101</v>
      </c>
      <c r="E1114" t="s">
        <v>75</v>
      </c>
      <c r="F1114">
        <v>16</v>
      </c>
      <c r="G1114" t="s">
        <v>76</v>
      </c>
      <c r="H1114" t="s">
        <v>50</v>
      </c>
      <c r="K1114" t="s">
        <v>51</v>
      </c>
      <c r="L1114">
        <v>1</v>
      </c>
      <c r="M1114" t="s">
        <v>52</v>
      </c>
      <c r="N1114" t="s">
        <v>53</v>
      </c>
      <c r="R1114">
        <v>0.5</v>
      </c>
      <c r="S1114">
        <v>0.75</v>
      </c>
      <c r="T1114">
        <v>0</v>
      </c>
      <c r="U1114">
        <v>0</v>
      </c>
      <c r="V1114" s="1">
        <v>46522</v>
      </c>
      <c r="W1114" s="1">
        <v>46691</v>
      </c>
      <c r="X1114" s="1">
        <v>46461</v>
      </c>
      <c r="Z1114" t="s">
        <v>52</v>
      </c>
      <c r="AB1114" t="s">
        <v>52</v>
      </c>
      <c r="AC1114">
        <v>16</v>
      </c>
      <c r="AD1114">
        <v>2</v>
      </c>
      <c r="AK1114" t="s">
        <v>52</v>
      </c>
      <c r="AN1114" t="s">
        <v>52</v>
      </c>
      <c r="AO1114" t="s">
        <v>52</v>
      </c>
      <c r="AP1114" t="s">
        <v>52</v>
      </c>
      <c r="AQ1114" t="s">
        <v>52</v>
      </c>
      <c r="AR1114" t="s">
        <v>55</v>
      </c>
    </row>
    <row r="1115" spans="1:45" x14ac:dyDescent="0.25">
      <c r="A1115" t="s">
        <v>47</v>
      </c>
      <c r="B1115">
        <v>8</v>
      </c>
      <c r="C1115" t="s">
        <v>192</v>
      </c>
      <c r="D1115">
        <v>101</v>
      </c>
      <c r="E1115" t="s">
        <v>75</v>
      </c>
      <c r="F1115">
        <v>16</v>
      </c>
      <c r="G1115" t="s">
        <v>76</v>
      </c>
      <c r="H1115" t="s">
        <v>50</v>
      </c>
      <c r="K1115" t="s">
        <v>52</v>
      </c>
      <c r="L1115">
        <v>1</v>
      </c>
      <c r="M1115" t="s">
        <v>52</v>
      </c>
      <c r="N1115" t="s">
        <v>53</v>
      </c>
      <c r="R1115">
        <v>0.5</v>
      </c>
      <c r="S1115">
        <v>0.75</v>
      </c>
      <c r="U1115">
        <v>0</v>
      </c>
      <c r="V1115" s="1">
        <v>46522</v>
      </c>
      <c r="W1115" s="1">
        <v>46691</v>
      </c>
      <c r="X1115" s="1">
        <v>46461</v>
      </c>
      <c r="Z1115" t="s">
        <v>52</v>
      </c>
      <c r="AB1115" t="s">
        <v>52</v>
      </c>
      <c r="AC1115">
        <v>16</v>
      </c>
      <c r="AD1115">
        <v>2</v>
      </c>
      <c r="AK1115" t="s">
        <v>52</v>
      </c>
      <c r="AN1115" t="s">
        <v>52</v>
      </c>
      <c r="AO1115" t="s">
        <v>52</v>
      </c>
      <c r="AP1115" t="s">
        <v>52</v>
      </c>
      <c r="AQ1115" t="s">
        <v>52</v>
      </c>
      <c r="AR1115" t="s">
        <v>55</v>
      </c>
    </row>
    <row r="1116" spans="1:45" x14ac:dyDescent="0.25">
      <c r="A1116" t="s">
        <v>47</v>
      </c>
      <c r="B1116">
        <v>8</v>
      </c>
      <c r="C1116" t="s">
        <v>192</v>
      </c>
      <c r="D1116">
        <v>101</v>
      </c>
      <c r="E1116" t="s">
        <v>79</v>
      </c>
      <c r="F1116">
        <v>50</v>
      </c>
      <c r="G1116" t="s">
        <v>80</v>
      </c>
      <c r="H1116" t="s">
        <v>50</v>
      </c>
      <c r="K1116" t="s">
        <v>51</v>
      </c>
      <c r="L1116">
        <v>1</v>
      </c>
      <c r="M1116" t="s">
        <v>52</v>
      </c>
      <c r="N1116" t="s">
        <v>53</v>
      </c>
      <c r="R1116">
        <v>0.5</v>
      </c>
      <c r="S1116">
        <v>0.75</v>
      </c>
      <c r="T1116">
        <v>0</v>
      </c>
      <c r="U1116">
        <v>0</v>
      </c>
      <c r="V1116" s="1">
        <v>46583</v>
      </c>
      <c r="W1116" s="1">
        <v>46675</v>
      </c>
      <c r="X1116" s="1">
        <v>46461</v>
      </c>
      <c r="Z1116" t="s">
        <v>52</v>
      </c>
      <c r="AB1116" t="s">
        <v>52</v>
      </c>
      <c r="AC1116">
        <v>50</v>
      </c>
      <c r="AD1116">
        <v>1</v>
      </c>
      <c r="AK1116" t="s">
        <v>52</v>
      </c>
      <c r="AN1116" t="s">
        <v>52</v>
      </c>
      <c r="AO1116" t="s">
        <v>52</v>
      </c>
      <c r="AP1116" t="s">
        <v>52</v>
      </c>
      <c r="AQ1116" t="s">
        <v>52</v>
      </c>
      <c r="AR1116" t="s">
        <v>55</v>
      </c>
    </row>
    <row r="1117" spans="1:45" x14ac:dyDescent="0.25">
      <c r="A1117" t="s">
        <v>47</v>
      </c>
      <c r="B1117">
        <v>8</v>
      </c>
      <c r="C1117" t="s">
        <v>192</v>
      </c>
      <c r="D1117">
        <v>101</v>
      </c>
      <c r="E1117" t="s">
        <v>79</v>
      </c>
      <c r="F1117">
        <v>50</v>
      </c>
      <c r="G1117" t="s">
        <v>65</v>
      </c>
      <c r="H1117" t="s">
        <v>50</v>
      </c>
      <c r="K1117" t="s">
        <v>51</v>
      </c>
      <c r="L1117">
        <v>1</v>
      </c>
      <c r="M1117" t="s">
        <v>52</v>
      </c>
      <c r="N1117" t="s">
        <v>53</v>
      </c>
      <c r="R1117">
        <v>0.5</v>
      </c>
      <c r="S1117">
        <v>0.75</v>
      </c>
      <c r="T1117">
        <v>0</v>
      </c>
      <c r="U1117">
        <v>0</v>
      </c>
      <c r="V1117" s="1">
        <v>46583</v>
      </c>
      <c r="W1117" s="1">
        <v>46675</v>
      </c>
      <c r="X1117" s="1">
        <v>46461</v>
      </c>
      <c r="Z1117" t="s">
        <v>52</v>
      </c>
      <c r="AB1117" t="s">
        <v>52</v>
      </c>
      <c r="AC1117">
        <v>50</v>
      </c>
      <c r="AD1117">
        <v>1</v>
      </c>
      <c r="AK1117" t="s">
        <v>52</v>
      </c>
      <c r="AN1117" t="s">
        <v>52</v>
      </c>
      <c r="AO1117" t="s">
        <v>52</v>
      </c>
      <c r="AP1117" t="s">
        <v>52</v>
      </c>
      <c r="AQ1117" t="s">
        <v>52</v>
      </c>
      <c r="AR1117" t="s">
        <v>55</v>
      </c>
    </row>
    <row r="1118" spans="1:45" x14ac:dyDescent="0.25">
      <c r="A1118" t="s">
        <v>47</v>
      </c>
      <c r="B1118">
        <v>8</v>
      </c>
      <c r="C1118" t="s">
        <v>192</v>
      </c>
      <c r="D1118">
        <v>101</v>
      </c>
      <c r="E1118" t="s">
        <v>79</v>
      </c>
      <c r="F1118">
        <v>50</v>
      </c>
      <c r="G1118" t="s">
        <v>81</v>
      </c>
      <c r="H1118" t="s">
        <v>50</v>
      </c>
      <c r="K1118" t="s">
        <v>51</v>
      </c>
      <c r="L1118">
        <v>1</v>
      </c>
      <c r="M1118" t="s">
        <v>52</v>
      </c>
      <c r="N1118" t="s">
        <v>53</v>
      </c>
      <c r="R1118">
        <v>0.5</v>
      </c>
      <c r="S1118">
        <v>0.75</v>
      </c>
      <c r="T1118">
        <v>0</v>
      </c>
      <c r="U1118">
        <v>0</v>
      </c>
      <c r="V1118" s="1">
        <v>46583</v>
      </c>
      <c r="W1118" s="1">
        <v>46675</v>
      </c>
      <c r="X1118" s="1">
        <v>46461</v>
      </c>
      <c r="Z1118" t="s">
        <v>52</v>
      </c>
      <c r="AB1118" t="s">
        <v>52</v>
      </c>
      <c r="AC1118">
        <v>50</v>
      </c>
      <c r="AD1118">
        <v>1</v>
      </c>
      <c r="AK1118" t="s">
        <v>52</v>
      </c>
      <c r="AN1118" t="s">
        <v>52</v>
      </c>
      <c r="AO1118" t="s">
        <v>52</v>
      </c>
      <c r="AP1118" t="s">
        <v>52</v>
      </c>
      <c r="AQ1118" t="s">
        <v>52</v>
      </c>
      <c r="AR1118" t="s">
        <v>55</v>
      </c>
    </row>
    <row r="1119" spans="1:45" x14ac:dyDescent="0.25">
      <c r="A1119" t="s">
        <v>47</v>
      </c>
      <c r="B1119">
        <v>8</v>
      </c>
      <c r="C1119" t="s">
        <v>192</v>
      </c>
      <c r="D1119">
        <v>101</v>
      </c>
      <c r="E1119" t="s">
        <v>79</v>
      </c>
      <c r="F1119">
        <v>50</v>
      </c>
      <c r="G1119" t="s">
        <v>81</v>
      </c>
      <c r="H1119" t="s">
        <v>50</v>
      </c>
      <c r="K1119" t="s">
        <v>52</v>
      </c>
      <c r="L1119">
        <v>1</v>
      </c>
      <c r="M1119" t="s">
        <v>52</v>
      </c>
      <c r="N1119" t="s">
        <v>53</v>
      </c>
      <c r="R1119">
        <v>0.5</v>
      </c>
      <c r="S1119">
        <v>0.75</v>
      </c>
      <c r="T1119">
        <v>0</v>
      </c>
      <c r="U1119">
        <v>0</v>
      </c>
      <c r="V1119" s="1">
        <v>46583</v>
      </c>
      <c r="W1119" s="1">
        <v>46675</v>
      </c>
      <c r="X1119" s="1">
        <v>46461</v>
      </c>
      <c r="Z1119" t="s">
        <v>52</v>
      </c>
      <c r="AB1119" t="s">
        <v>52</v>
      </c>
      <c r="AC1119">
        <v>50</v>
      </c>
      <c r="AD1119">
        <v>1</v>
      </c>
      <c r="AK1119" t="s">
        <v>52</v>
      </c>
      <c r="AN1119" t="s">
        <v>52</v>
      </c>
      <c r="AO1119" t="s">
        <v>52</v>
      </c>
      <c r="AP1119" t="s">
        <v>52</v>
      </c>
      <c r="AQ1119" t="s">
        <v>52</v>
      </c>
      <c r="AR1119" t="s">
        <v>55</v>
      </c>
    </row>
    <row r="1120" spans="1:45" x14ac:dyDescent="0.25">
      <c r="A1120" t="s">
        <v>47</v>
      </c>
      <c r="B1120">
        <v>8</v>
      </c>
      <c r="C1120" t="s">
        <v>192</v>
      </c>
      <c r="D1120">
        <v>101</v>
      </c>
      <c r="E1120" t="s">
        <v>83</v>
      </c>
      <c r="F1120">
        <v>158</v>
      </c>
      <c r="H1120" t="s">
        <v>50</v>
      </c>
      <c r="K1120" t="s">
        <v>51</v>
      </c>
      <c r="L1120">
        <v>1</v>
      </c>
      <c r="M1120" t="s">
        <v>52</v>
      </c>
      <c r="N1120" t="s">
        <v>53</v>
      </c>
      <c r="P1120">
        <v>1.34</v>
      </c>
      <c r="R1120">
        <v>0.77</v>
      </c>
      <c r="S1120">
        <v>0.93</v>
      </c>
      <c r="T1120">
        <v>0</v>
      </c>
      <c r="U1120">
        <v>0</v>
      </c>
      <c r="V1120" s="1">
        <v>46326</v>
      </c>
      <c r="W1120" s="1">
        <v>46691</v>
      </c>
      <c r="X1120" s="1">
        <v>46266</v>
      </c>
      <c r="Z1120" t="s">
        <v>52</v>
      </c>
      <c r="AA1120" t="s">
        <v>54</v>
      </c>
      <c r="AB1120" t="s">
        <v>52</v>
      </c>
      <c r="AC1120">
        <v>158</v>
      </c>
      <c r="AD1120">
        <v>2</v>
      </c>
      <c r="AK1120" t="s">
        <v>52</v>
      </c>
      <c r="AN1120" t="s">
        <v>52</v>
      </c>
      <c r="AO1120" t="s">
        <v>52</v>
      </c>
      <c r="AP1120" t="s">
        <v>52</v>
      </c>
      <c r="AQ1120" t="s">
        <v>52</v>
      </c>
      <c r="AR1120" t="s">
        <v>95</v>
      </c>
      <c r="AS1120" t="s">
        <v>140</v>
      </c>
    </row>
    <row r="1121" spans="1:45" x14ac:dyDescent="0.25">
      <c r="A1121" t="s">
        <v>47</v>
      </c>
      <c r="B1121">
        <v>8</v>
      </c>
      <c r="C1121" t="s">
        <v>192</v>
      </c>
      <c r="D1121">
        <v>101</v>
      </c>
      <c r="E1121" t="s">
        <v>83</v>
      </c>
      <c r="F1121">
        <v>158</v>
      </c>
      <c r="H1121" t="s">
        <v>50</v>
      </c>
      <c r="K1121" t="s">
        <v>52</v>
      </c>
      <c r="L1121">
        <v>1</v>
      </c>
      <c r="M1121" t="s">
        <v>52</v>
      </c>
      <c r="N1121" t="s">
        <v>53</v>
      </c>
      <c r="R1121">
        <v>0.77</v>
      </c>
      <c r="S1121">
        <v>0.93</v>
      </c>
      <c r="T1121">
        <v>0</v>
      </c>
      <c r="U1121">
        <v>0</v>
      </c>
      <c r="V1121" s="1">
        <v>46326</v>
      </c>
      <c r="W1121" s="1">
        <v>46691</v>
      </c>
      <c r="X1121" s="1">
        <v>46266</v>
      </c>
      <c r="Z1121" t="s">
        <v>52</v>
      </c>
      <c r="AB1121" t="s">
        <v>52</v>
      </c>
      <c r="AC1121">
        <v>158</v>
      </c>
      <c r="AD1121">
        <v>2</v>
      </c>
      <c r="AK1121" t="s">
        <v>52</v>
      </c>
      <c r="AN1121" t="s">
        <v>52</v>
      </c>
      <c r="AO1121" t="s">
        <v>52</v>
      </c>
      <c r="AP1121" t="s">
        <v>52</v>
      </c>
      <c r="AQ1121" t="s">
        <v>52</v>
      </c>
      <c r="AR1121" t="s">
        <v>55</v>
      </c>
    </row>
    <row r="1122" spans="1:45" x14ac:dyDescent="0.25">
      <c r="A1122" t="s">
        <v>47</v>
      </c>
      <c r="B1122">
        <v>8</v>
      </c>
      <c r="C1122" t="s">
        <v>193</v>
      </c>
      <c r="D1122">
        <v>103</v>
      </c>
      <c r="E1122" t="s">
        <v>49</v>
      </c>
      <c r="F1122">
        <v>27</v>
      </c>
      <c r="H1122" t="s">
        <v>50</v>
      </c>
      <c r="K1122" t="s">
        <v>51</v>
      </c>
      <c r="L1122">
        <v>1</v>
      </c>
      <c r="M1122" t="s">
        <v>52</v>
      </c>
      <c r="N1122" t="s">
        <v>53</v>
      </c>
      <c r="Q1122">
        <v>230</v>
      </c>
      <c r="R1122">
        <v>0</v>
      </c>
      <c r="S1122">
        <v>0.75</v>
      </c>
      <c r="T1122">
        <v>0</v>
      </c>
      <c r="U1122">
        <v>0</v>
      </c>
      <c r="W1122" s="1">
        <v>46675</v>
      </c>
      <c r="X1122" s="1">
        <v>46357</v>
      </c>
      <c r="Y1122" t="s">
        <v>54</v>
      </c>
      <c r="Z1122" t="s">
        <v>52</v>
      </c>
      <c r="AB1122" t="s">
        <v>52</v>
      </c>
      <c r="AC1122">
        <v>27</v>
      </c>
      <c r="AD1122">
        <v>1</v>
      </c>
      <c r="AE1122">
        <v>0.97</v>
      </c>
      <c r="AG1122">
        <v>0.97</v>
      </c>
      <c r="AK1122" t="s">
        <v>52</v>
      </c>
      <c r="AN1122" t="s">
        <v>52</v>
      </c>
      <c r="AO1122" t="s">
        <v>52</v>
      </c>
      <c r="AP1122" t="s">
        <v>52</v>
      </c>
      <c r="AQ1122" t="s">
        <v>52</v>
      </c>
      <c r="AR1122" t="s">
        <v>55</v>
      </c>
      <c r="AS1122" t="s">
        <v>56</v>
      </c>
    </row>
    <row r="1123" spans="1:45" x14ac:dyDescent="0.25">
      <c r="A1123" t="s">
        <v>47</v>
      </c>
      <c r="B1123">
        <v>8</v>
      </c>
      <c r="C1123" t="s">
        <v>193</v>
      </c>
      <c r="D1123">
        <v>103</v>
      </c>
      <c r="E1123" t="s">
        <v>49</v>
      </c>
      <c r="F1123">
        <v>27</v>
      </c>
      <c r="H1123" t="s">
        <v>50</v>
      </c>
      <c r="K1123" t="s">
        <v>52</v>
      </c>
      <c r="L1123">
        <v>1</v>
      </c>
      <c r="M1123" t="s">
        <v>52</v>
      </c>
      <c r="N1123" t="s">
        <v>53</v>
      </c>
      <c r="Q1123">
        <v>230</v>
      </c>
      <c r="R1123">
        <v>0</v>
      </c>
      <c r="S1123">
        <v>0.75</v>
      </c>
      <c r="T1123">
        <v>0</v>
      </c>
      <c r="U1123">
        <v>0</v>
      </c>
      <c r="W1123" s="1">
        <v>46675</v>
      </c>
      <c r="X1123" s="1">
        <v>46357</v>
      </c>
      <c r="Y1123" t="s">
        <v>54</v>
      </c>
      <c r="Z1123" t="s">
        <v>52</v>
      </c>
      <c r="AB1123" t="s">
        <v>52</v>
      </c>
      <c r="AC1123">
        <v>27</v>
      </c>
      <c r="AD1123">
        <v>1</v>
      </c>
      <c r="AE1123">
        <v>0.97</v>
      </c>
      <c r="AG1123">
        <v>0.97</v>
      </c>
      <c r="AK1123" t="s">
        <v>52</v>
      </c>
      <c r="AN1123" t="s">
        <v>52</v>
      </c>
      <c r="AO1123" t="s">
        <v>52</v>
      </c>
      <c r="AP1123" t="s">
        <v>52</v>
      </c>
      <c r="AQ1123" t="s">
        <v>52</v>
      </c>
      <c r="AR1123" t="s">
        <v>55</v>
      </c>
      <c r="AS1123" t="s">
        <v>57</v>
      </c>
    </row>
    <row r="1124" spans="1:45" x14ac:dyDescent="0.25">
      <c r="A1124" t="s">
        <v>47</v>
      </c>
      <c r="B1124">
        <v>8</v>
      </c>
      <c r="C1124" t="s">
        <v>193</v>
      </c>
      <c r="D1124">
        <v>103</v>
      </c>
      <c r="E1124" t="s">
        <v>58</v>
      </c>
      <c r="F1124">
        <v>102</v>
      </c>
      <c r="G1124" t="s">
        <v>62</v>
      </c>
      <c r="H1124" t="s">
        <v>50</v>
      </c>
      <c r="K1124" t="s">
        <v>51</v>
      </c>
      <c r="L1124">
        <v>1</v>
      </c>
      <c r="M1124" t="s">
        <v>52</v>
      </c>
      <c r="N1124" t="s">
        <v>53</v>
      </c>
      <c r="R1124">
        <v>0</v>
      </c>
      <c r="S1124">
        <v>0.92</v>
      </c>
      <c r="T1124">
        <v>0</v>
      </c>
      <c r="U1124">
        <v>0</v>
      </c>
      <c r="W1124" s="1">
        <v>46731</v>
      </c>
      <c r="X1124" s="1">
        <v>46357</v>
      </c>
      <c r="Z1124" t="s">
        <v>52</v>
      </c>
      <c r="AB1124" t="s">
        <v>52</v>
      </c>
      <c r="AC1124">
        <v>102</v>
      </c>
      <c r="AD1124">
        <v>1</v>
      </c>
      <c r="AK1124" t="s">
        <v>52</v>
      </c>
      <c r="AN1124" t="s">
        <v>52</v>
      </c>
      <c r="AO1124" t="s">
        <v>52</v>
      </c>
      <c r="AP1124" t="s">
        <v>52</v>
      </c>
      <c r="AQ1124" t="s">
        <v>52</v>
      </c>
      <c r="AR1124" t="s">
        <v>55</v>
      </c>
    </row>
    <row r="1125" spans="1:45" x14ac:dyDescent="0.25">
      <c r="A1125" t="s">
        <v>47</v>
      </c>
      <c r="B1125">
        <v>8</v>
      </c>
      <c r="C1125" t="s">
        <v>193</v>
      </c>
      <c r="D1125">
        <v>103</v>
      </c>
      <c r="E1125" t="s">
        <v>58</v>
      </c>
      <c r="F1125">
        <v>102</v>
      </c>
      <c r="G1125" t="s">
        <v>62</v>
      </c>
      <c r="H1125" t="s">
        <v>50</v>
      </c>
      <c r="K1125" t="s">
        <v>52</v>
      </c>
      <c r="L1125">
        <v>1</v>
      </c>
      <c r="M1125" t="s">
        <v>52</v>
      </c>
      <c r="N1125" t="s">
        <v>53</v>
      </c>
      <c r="R1125">
        <v>0</v>
      </c>
      <c r="S1125">
        <v>0.92</v>
      </c>
      <c r="T1125">
        <v>0</v>
      </c>
      <c r="U1125">
        <v>0</v>
      </c>
      <c r="W1125" s="1">
        <v>46731</v>
      </c>
      <c r="X1125" s="1">
        <v>46357</v>
      </c>
      <c r="Z1125" t="s">
        <v>52</v>
      </c>
      <c r="AB1125" t="s">
        <v>52</v>
      </c>
      <c r="AC1125">
        <v>102</v>
      </c>
      <c r="AD1125">
        <v>1</v>
      </c>
      <c r="AK1125" t="s">
        <v>52</v>
      </c>
      <c r="AN1125" t="s">
        <v>52</v>
      </c>
      <c r="AO1125" t="s">
        <v>52</v>
      </c>
      <c r="AP1125" t="s">
        <v>52</v>
      </c>
      <c r="AQ1125" t="s">
        <v>52</v>
      </c>
      <c r="AR1125" t="s">
        <v>55</v>
      </c>
    </row>
    <row r="1126" spans="1:45" x14ac:dyDescent="0.25">
      <c r="A1126" t="s">
        <v>47</v>
      </c>
      <c r="B1126">
        <v>8</v>
      </c>
      <c r="C1126" t="s">
        <v>193</v>
      </c>
      <c r="D1126">
        <v>103</v>
      </c>
      <c r="E1126" t="s">
        <v>58</v>
      </c>
      <c r="F1126">
        <v>102</v>
      </c>
      <c r="G1126" t="s">
        <v>67</v>
      </c>
      <c r="H1126" t="s">
        <v>50</v>
      </c>
      <c r="K1126" t="s">
        <v>51</v>
      </c>
      <c r="L1126">
        <v>1</v>
      </c>
      <c r="M1126" t="s">
        <v>52</v>
      </c>
      <c r="N1126" t="s">
        <v>53</v>
      </c>
      <c r="R1126">
        <v>0</v>
      </c>
      <c r="S1126">
        <v>0.92</v>
      </c>
      <c r="T1126">
        <v>0</v>
      </c>
      <c r="U1126">
        <v>0</v>
      </c>
      <c r="W1126" s="1">
        <v>46731</v>
      </c>
      <c r="X1126" s="1">
        <v>46357</v>
      </c>
      <c r="Z1126" t="s">
        <v>52</v>
      </c>
      <c r="AB1126" t="s">
        <v>52</v>
      </c>
      <c r="AC1126">
        <v>102</v>
      </c>
      <c r="AD1126">
        <v>1</v>
      </c>
      <c r="AK1126" t="s">
        <v>52</v>
      </c>
      <c r="AN1126" t="s">
        <v>52</v>
      </c>
      <c r="AO1126" t="s">
        <v>52</v>
      </c>
      <c r="AP1126" t="s">
        <v>52</v>
      </c>
      <c r="AQ1126" t="s">
        <v>52</v>
      </c>
      <c r="AR1126" t="s">
        <v>55</v>
      </c>
      <c r="AS1126" t="s">
        <v>139</v>
      </c>
    </row>
    <row r="1127" spans="1:45" x14ac:dyDescent="0.25">
      <c r="A1127" t="s">
        <v>47</v>
      </c>
      <c r="B1127">
        <v>8</v>
      </c>
      <c r="C1127" t="s">
        <v>193</v>
      </c>
      <c r="D1127">
        <v>103</v>
      </c>
      <c r="E1127" t="s">
        <v>58</v>
      </c>
      <c r="F1127">
        <v>102</v>
      </c>
      <c r="G1127" t="s">
        <v>67</v>
      </c>
      <c r="H1127" t="s">
        <v>50</v>
      </c>
      <c r="K1127" t="s">
        <v>52</v>
      </c>
      <c r="L1127">
        <v>1</v>
      </c>
      <c r="M1127" t="s">
        <v>52</v>
      </c>
      <c r="N1127" t="s">
        <v>53</v>
      </c>
      <c r="R1127">
        <v>0</v>
      </c>
      <c r="S1127">
        <v>0.92</v>
      </c>
      <c r="T1127">
        <v>0</v>
      </c>
      <c r="U1127">
        <v>0</v>
      </c>
      <c r="W1127" s="1">
        <v>46731</v>
      </c>
      <c r="X1127" s="1">
        <v>46357</v>
      </c>
      <c r="Z1127" t="s">
        <v>52</v>
      </c>
      <c r="AB1127" t="s">
        <v>52</v>
      </c>
      <c r="AC1127">
        <v>102</v>
      </c>
      <c r="AD1127">
        <v>1</v>
      </c>
      <c r="AK1127" t="s">
        <v>52</v>
      </c>
      <c r="AN1127" t="s">
        <v>52</v>
      </c>
      <c r="AO1127" t="s">
        <v>52</v>
      </c>
      <c r="AP1127" t="s">
        <v>52</v>
      </c>
      <c r="AQ1127" t="s">
        <v>52</v>
      </c>
      <c r="AR1127" t="s">
        <v>55</v>
      </c>
    </row>
    <row r="1128" spans="1:45" x14ac:dyDescent="0.25">
      <c r="A1128" t="s">
        <v>47</v>
      </c>
      <c r="B1128">
        <v>8</v>
      </c>
      <c r="C1128" t="s">
        <v>193</v>
      </c>
      <c r="D1128">
        <v>103</v>
      </c>
      <c r="E1128" t="s">
        <v>70</v>
      </c>
      <c r="F1128">
        <v>296</v>
      </c>
      <c r="G1128" t="s">
        <v>71</v>
      </c>
      <c r="H1128" t="s">
        <v>50</v>
      </c>
      <c r="K1128" t="s">
        <v>51</v>
      </c>
      <c r="L1128">
        <v>1</v>
      </c>
      <c r="M1128" t="s">
        <v>52</v>
      </c>
      <c r="N1128" t="s">
        <v>53</v>
      </c>
      <c r="Q1128">
        <v>224.33330000000001</v>
      </c>
      <c r="R1128">
        <v>0</v>
      </c>
      <c r="S1128">
        <v>0.75</v>
      </c>
      <c r="T1128">
        <v>0</v>
      </c>
      <c r="U1128">
        <v>0</v>
      </c>
      <c r="W1128" s="1">
        <v>46675</v>
      </c>
      <c r="X1128" s="1">
        <v>46357</v>
      </c>
      <c r="Y1128" t="s">
        <v>54</v>
      </c>
      <c r="Z1128" t="s">
        <v>52</v>
      </c>
      <c r="AB1128" t="s">
        <v>52</v>
      </c>
      <c r="AC1128">
        <v>296</v>
      </c>
      <c r="AD1128">
        <v>1</v>
      </c>
      <c r="AK1128" t="s">
        <v>52</v>
      </c>
      <c r="AN1128" t="s">
        <v>52</v>
      </c>
      <c r="AO1128" t="s">
        <v>52</v>
      </c>
      <c r="AP1128" t="s">
        <v>52</v>
      </c>
      <c r="AQ1128" t="s">
        <v>52</v>
      </c>
      <c r="AR1128" t="s">
        <v>55</v>
      </c>
    </row>
    <row r="1129" spans="1:45" x14ac:dyDescent="0.25">
      <c r="A1129" t="s">
        <v>47</v>
      </c>
      <c r="B1129">
        <v>8</v>
      </c>
      <c r="C1129" t="s">
        <v>193</v>
      </c>
      <c r="D1129">
        <v>103</v>
      </c>
      <c r="E1129" t="s">
        <v>70</v>
      </c>
      <c r="F1129">
        <v>296</v>
      </c>
      <c r="G1129" t="s">
        <v>71</v>
      </c>
      <c r="H1129" t="s">
        <v>50</v>
      </c>
      <c r="K1129" t="s">
        <v>52</v>
      </c>
      <c r="L1129">
        <v>1</v>
      </c>
      <c r="M1129" t="s">
        <v>52</v>
      </c>
      <c r="N1129" t="s">
        <v>53</v>
      </c>
      <c r="Q1129">
        <v>224.33330000000001</v>
      </c>
      <c r="R1129">
        <v>0</v>
      </c>
      <c r="S1129">
        <v>0.75</v>
      </c>
      <c r="T1129">
        <v>0</v>
      </c>
      <c r="U1129">
        <v>0</v>
      </c>
      <c r="W1129" s="1">
        <v>46675</v>
      </c>
      <c r="X1129" s="1">
        <v>46357</v>
      </c>
      <c r="Y1129" t="s">
        <v>54</v>
      </c>
      <c r="Z1129" t="s">
        <v>52</v>
      </c>
      <c r="AB1129" t="s">
        <v>52</v>
      </c>
      <c r="AC1129">
        <v>296</v>
      </c>
      <c r="AD1129">
        <v>1</v>
      </c>
      <c r="AK1129" t="s">
        <v>52</v>
      </c>
      <c r="AN1129" t="s">
        <v>52</v>
      </c>
      <c r="AO1129" t="s">
        <v>52</v>
      </c>
      <c r="AP1129" t="s">
        <v>52</v>
      </c>
      <c r="AQ1129" t="s">
        <v>52</v>
      </c>
      <c r="AR1129" t="s">
        <v>55</v>
      </c>
    </row>
    <row r="1130" spans="1:45" x14ac:dyDescent="0.25">
      <c r="A1130" t="s">
        <v>47</v>
      </c>
      <c r="B1130">
        <v>8</v>
      </c>
      <c r="C1130" t="s">
        <v>193</v>
      </c>
      <c r="D1130">
        <v>103</v>
      </c>
      <c r="E1130" t="s">
        <v>70</v>
      </c>
      <c r="F1130">
        <v>296</v>
      </c>
      <c r="G1130" t="s">
        <v>72</v>
      </c>
      <c r="H1130" t="s">
        <v>50</v>
      </c>
      <c r="K1130" t="s">
        <v>51</v>
      </c>
      <c r="L1130">
        <v>1</v>
      </c>
      <c r="M1130" t="s">
        <v>52</v>
      </c>
      <c r="N1130" t="s">
        <v>53</v>
      </c>
      <c r="R1130">
        <v>0.5</v>
      </c>
      <c r="S1130">
        <v>0.75</v>
      </c>
      <c r="T1130">
        <v>0</v>
      </c>
      <c r="U1130">
        <v>0</v>
      </c>
      <c r="W1130" s="1">
        <v>46675</v>
      </c>
      <c r="X1130" s="1">
        <v>46357</v>
      </c>
      <c r="Z1130" t="s">
        <v>52</v>
      </c>
      <c r="AB1130" t="s">
        <v>52</v>
      </c>
      <c r="AC1130">
        <v>296</v>
      </c>
      <c r="AD1130">
        <v>1</v>
      </c>
      <c r="AK1130" t="s">
        <v>52</v>
      </c>
      <c r="AN1130" t="s">
        <v>52</v>
      </c>
      <c r="AO1130" t="s">
        <v>52</v>
      </c>
      <c r="AP1130" t="s">
        <v>52</v>
      </c>
      <c r="AQ1130" t="s">
        <v>52</v>
      </c>
      <c r="AR1130" t="s">
        <v>55</v>
      </c>
      <c r="AS1130" t="s">
        <v>60</v>
      </c>
    </row>
    <row r="1131" spans="1:45" x14ac:dyDescent="0.25">
      <c r="A1131" t="s">
        <v>47</v>
      </c>
      <c r="B1131">
        <v>8</v>
      </c>
      <c r="C1131" t="s">
        <v>193</v>
      </c>
      <c r="D1131">
        <v>103</v>
      </c>
      <c r="E1131" t="s">
        <v>70</v>
      </c>
      <c r="F1131">
        <v>296</v>
      </c>
      <c r="G1131" t="s">
        <v>72</v>
      </c>
      <c r="H1131" t="s">
        <v>50</v>
      </c>
      <c r="K1131" t="s">
        <v>52</v>
      </c>
      <c r="L1131">
        <v>1</v>
      </c>
      <c r="M1131" t="s">
        <v>52</v>
      </c>
      <c r="N1131" t="s">
        <v>53</v>
      </c>
      <c r="R1131">
        <v>0.5</v>
      </c>
      <c r="S1131">
        <v>0.75</v>
      </c>
      <c r="T1131">
        <v>0</v>
      </c>
      <c r="U1131">
        <v>0</v>
      </c>
      <c r="W1131" s="1">
        <v>46675</v>
      </c>
      <c r="X1131" s="1">
        <v>46357</v>
      </c>
      <c r="Z1131" t="s">
        <v>52</v>
      </c>
      <c r="AB1131" t="s">
        <v>52</v>
      </c>
      <c r="AC1131">
        <v>296</v>
      </c>
      <c r="AD1131">
        <v>1</v>
      </c>
      <c r="AK1131" t="s">
        <v>52</v>
      </c>
      <c r="AN1131" t="s">
        <v>52</v>
      </c>
      <c r="AO1131" t="s">
        <v>52</v>
      </c>
      <c r="AP1131" t="s">
        <v>52</v>
      </c>
      <c r="AQ1131" t="s">
        <v>52</v>
      </c>
      <c r="AR1131" t="s">
        <v>55</v>
      </c>
      <c r="AS1131" t="s">
        <v>60</v>
      </c>
    </row>
    <row r="1132" spans="1:45" x14ac:dyDescent="0.25">
      <c r="A1132" t="s">
        <v>47</v>
      </c>
      <c r="B1132">
        <v>8</v>
      </c>
      <c r="C1132" t="s">
        <v>193</v>
      </c>
      <c r="D1132">
        <v>103</v>
      </c>
      <c r="E1132" t="s">
        <v>70</v>
      </c>
      <c r="F1132">
        <v>296</v>
      </c>
      <c r="G1132" t="s">
        <v>73</v>
      </c>
      <c r="H1132" t="s">
        <v>50</v>
      </c>
      <c r="K1132" t="s">
        <v>51</v>
      </c>
      <c r="L1132">
        <v>1</v>
      </c>
      <c r="M1132" t="s">
        <v>52</v>
      </c>
      <c r="N1132" t="s">
        <v>53</v>
      </c>
      <c r="R1132">
        <v>0</v>
      </c>
      <c r="S1132">
        <v>0.75</v>
      </c>
      <c r="W1132" s="1">
        <v>46675</v>
      </c>
      <c r="X1132" s="1">
        <v>46357</v>
      </c>
      <c r="Z1132" t="s">
        <v>52</v>
      </c>
      <c r="AB1132" t="s">
        <v>52</v>
      </c>
      <c r="AC1132">
        <v>296</v>
      </c>
      <c r="AD1132">
        <v>1</v>
      </c>
      <c r="AK1132" t="s">
        <v>52</v>
      </c>
      <c r="AN1132" t="s">
        <v>52</v>
      </c>
      <c r="AO1132" t="s">
        <v>52</v>
      </c>
      <c r="AP1132" t="s">
        <v>52</v>
      </c>
      <c r="AQ1132" t="s">
        <v>52</v>
      </c>
      <c r="AR1132" t="s">
        <v>95</v>
      </c>
    </row>
    <row r="1133" spans="1:45" x14ac:dyDescent="0.25">
      <c r="A1133" t="s">
        <v>47</v>
      </c>
      <c r="B1133">
        <v>8</v>
      </c>
      <c r="C1133" t="s">
        <v>193</v>
      </c>
      <c r="D1133">
        <v>103</v>
      </c>
      <c r="E1133" t="s">
        <v>70</v>
      </c>
      <c r="F1133">
        <v>296</v>
      </c>
      <c r="G1133" t="s">
        <v>73</v>
      </c>
      <c r="H1133" t="s">
        <v>50</v>
      </c>
      <c r="K1133" t="s">
        <v>52</v>
      </c>
      <c r="L1133">
        <v>1</v>
      </c>
      <c r="M1133" t="s">
        <v>52</v>
      </c>
      <c r="N1133" t="s">
        <v>53</v>
      </c>
      <c r="R1133">
        <v>0</v>
      </c>
      <c r="S1133">
        <v>0.75</v>
      </c>
      <c r="W1133" s="1">
        <v>46675</v>
      </c>
      <c r="X1133" s="1">
        <v>46357</v>
      </c>
      <c r="Z1133" t="s">
        <v>52</v>
      </c>
      <c r="AB1133" t="s">
        <v>52</v>
      </c>
      <c r="AC1133">
        <v>296</v>
      </c>
      <c r="AD1133">
        <v>1</v>
      </c>
      <c r="AK1133" t="s">
        <v>52</v>
      </c>
      <c r="AN1133" t="s">
        <v>52</v>
      </c>
      <c r="AO1133" t="s">
        <v>52</v>
      </c>
      <c r="AP1133" t="s">
        <v>52</v>
      </c>
      <c r="AQ1133" t="s">
        <v>52</v>
      </c>
      <c r="AR1133" t="s">
        <v>95</v>
      </c>
    </row>
    <row r="1134" spans="1:45" x14ac:dyDescent="0.25">
      <c r="A1134" t="s">
        <v>47</v>
      </c>
      <c r="B1134">
        <v>8</v>
      </c>
      <c r="C1134" t="s">
        <v>193</v>
      </c>
      <c r="D1134">
        <v>103</v>
      </c>
      <c r="E1134" t="s">
        <v>70</v>
      </c>
      <c r="F1134">
        <v>296</v>
      </c>
      <c r="G1134" t="s">
        <v>74</v>
      </c>
      <c r="H1134" t="s">
        <v>50</v>
      </c>
      <c r="K1134" t="s">
        <v>51</v>
      </c>
      <c r="L1134">
        <v>1</v>
      </c>
      <c r="M1134" t="s">
        <v>52</v>
      </c>
      <c r="N1134" t="s">
        <v>53</v>
      </c>
      <c r="R1134">
        <v>0</v>
      </c>
      <c r="S1134">
        <v>0.75</v>
      </c>
      <c r="T1134">
        <v>0</v>
      </c>
      <c r="U1134">
        <v>0</v>
      </c>
      <c r="W1134" s="1">
        <v>46675</v>
      </c>
      <c r="X1134" s="1">
        <v>46357</v>
      </c>
      <c r="Z1134" t="s">
        <v>52</v>
      </c>
      <c r="AB1134" t="s">
        <v>52</v>
      </c>
      <c r="AC1134">
        <v>102</v>
      </c>
      <c r="AD1134">
        <v>1</v>
      </c>
      <c r="AK1134" t="s">
        <v>52</v>
      </c>
      <c r="AN1134" t="s">
        <v>52</v>
      </c>
      <c r="AO1134" t="s">
        <v>52</v>
      </c>
      <c r="AP1134" t="s">
        <v>52</v>
      </c>
      <c r="AQ1134" t="s">
        <v>52</v>
      </c>
      <c r="AR1134" t="s">
        <v>55</v>
      </c>
    </row>
    <row r="1135" spans="1:45" x14ac:dyDescent="0.25">
      <c r="A1135" t="s">
        <v>47</v>
      </c>
      <c r="B1135">
        <v>8</v>
      </c>
      <c r="C1135" t="s">
        <v>193</v>
      </c>
      <c r="D1135">
        <v>103</v>
      </c>
      <c r="E1135" t="s">
        <v>70</v>
      </c>
      <c r="F1135">
        <v>296</v>
      </c>
      <c r="G1135" t="s">
        <v>74</v>
      </c>
      <c r="H1135" t="s">
        <v>50</v>
      </c>
      <c r="K1135" t="s">
        <v>52</v>
      </c>
      <c r="L1135">
        <v>1</v>
      </c>
      <c r="M1135" t="s">
        <v>52</v>
      </c>
      <c r="N1135" t="s">
        <v>53</v>
      </c>
      <c r="R1135">
        <v>0</v>
      </c>
      <c r="S1135">
        <v>0.75</v>
      </c>
      <c r="T1135">
        <v>0</v>
      </c>
      <c r="U1135">
        <v>0</v>
      </c>
      <c r="W1135" s="1">
        <v>46675</v>
      </c>
      <c r="X1135" s="1">
        <v>46357</v>
      </c>
      <c r="Z1135" t="s">
        <v>52</v>
      </c>
      <c r="AB1135" t="s">
        <v>52</v>
      </c>
      <c r="AC1135">
        <v>102</v>
      </c>
      <c r="AD1135">
        <v>1</v>
      </c>
      <c r="AK1135" t="s">
        <v>52</v>
      </c>
      <c r="AN1135" t="s">
        <v>52</v>
      </c>
      <c r="AO1135" t="s">
        <v>52</v>
      </c>
      <c r="AP1135" t="s">
        <v>52</v>
      </c>
      <c r="AQ1135" t="s">
        <v>52</v>
      </c>
      <c r="AR1135" t="s">
        <v>55</v>
      </c>
    </row>
    <row r="1136" spans="1:45" x14ac:dyDescent="0.25">
      <c r="A1136" t="s">
        <v>47</v>
      </c>
      <c r="B1136">
        <v>8</v>
      </c>
      <c r="C1136" t="s">
        <v>193</v>
      </c>
      <c r="D1136">
        <v>103</v>
      </c>
      <c r="E1136" t="s">
        <v>70</v>
      </c>
      <c r="F1136">
        <v>296</v>
      </c>
      <c r="G1136" t="s">
        <v>129</v>
      </c>
      <c r="H1136" t="s">
        <v>50</v>
      </c>
      <c r="K1136" t="s">
        <v>51</v>
      </c>
      <c r="L1136">
        <v>1</v>
      </c>
      <c r="M1136" t="s">
        <v>52</v>
      </c>
      <c r="N1136" t="s">
        <v>53</v>
      </c>
      <c r="R1136">
        <v>0</v>
      </c>
      <c r="S1136">
        <v>0.75</v>
      </c>
      <c r="T1136">
        <v>0</v>
      </c>
      <c r="U1136">
        <v>0</v>
      </c>
      <c r="W1136" s="1">
        <v>46675</v>
      </c>
      <c r="X1136" s="1">
        <v>46357</v>
      </c>
      <c r="Z1136" t="s">
        <v>52</v>
      </c>
      <c r="AB1136" t="s">
        <v>52</v>
      </c>
      <c r="AC1136">
        <v>102</v>
      </c>
      <c r="AD1136">
        <v>1</v>
      </c>
      <c r="AK1136" t="s">
        <v>52</v>
      </c>
      <c r="AN1136" t="s">
        <v>52</v>
      </c>
      <c r="AO1136" t="s">
        <v>52</v>
      </c>
      <c r="AP1136" t="s">
        <v>52</v>
      </c>
      <c r="AQ1136" t="s">
        <v>52</v>
      </c>
      <c r="AR1136" t="s">
        <v>55</v>
      </c>
      <c r="AS1136" t="s">
        <v>60</v>
      </c>
    </row>
    <row r="1137" spans="1:45" x14ac:dyDescent="0.25">
      <c r="A1137" t="s">
        <v>47</v>
      </c>
      <c r="B1137">
        <v>8</v>
      </c>
      <c r="C1137" t="s">
        <v>193</v>
      </c>
      <c r="D1137">
        <v>103</v>
      </c>
      <c r="E1137" t="s">
        <v>70</v>
      </c>
      <c r="F1137">
        <v>296</v>
      </c>
      <c r="G1137" t="s">
        <v>129</v>
      </c>
      <c r="H1137" t="s">
        <v>50</v>
      </c>
      <c r="K1137" t="s">
        <v>52</v>
      </c>
      <c r="L1137">
        <v>1</v>
      </c>
      <c r="M1137" t="s">
        <v>52</v>
      </c>
      <c r="N1137" t="s">
        <v>53</v>
      </c>
      <c r="R1137">
        <v>0</v>
      </c>
      <c r="S1137">
        <v>0.75</v>
      </c>
      <c r="T1137">
        <v>0</v>
      </c>
      <c r="U1137">
        <v>0</v>
      </c>
      <c r="W1137" s="1">
        <v>46675</v>
      </c>
      <c r="X1137" s="1">
        <v>46357</v>
      </c>
      <c r="Z1137" t="s">
        <v>52</v>
      </c>
      <c r="AB1137" t="s">
        <v>52</v>
      </c>
      <c r="AC1137">
        <v>102</v>
      </c>
      <c r="AD1137">
        <v>1</v>
      </c>
      <c r="AK1137" t="s">
        <v>52</v>
      </c>
      <c r="AN1137" t="s">
        <v>52</v>
      </c>
      <c r="AO1137" t="s">
        <v>52</v>
      </c>
      <c r="AP1137" t="s">
        <v>52</v>
      </c>
      <c r="AQ1137" t="s">
        <v>52</v>
      </c>
      <c r="AR1137" t="s">
        <v>55</v>
      </c>
    </row>
    <row r="1138" spans="1:45" x14ac:dyDescent="0.25">
      <c r="A1138" t="s">
        <v>47</v>
      </c>
      <c r="B1138">
        <v>8</v>
      </c>
      <c r="C1138" t="s">
        <v>193</v>
      </c>
      <c r="D1138">
        <v>103</v>
      </c>
      <c r="E1138" t="s">
        <v>70</v>
      </c>
      <c r="F1138">
        <v>296</v>
      </c>
      <c r="G1138" t="s">
        <v>122</v>
      </c>
      <c r="H1138" t="s">
        <v>50</v>
      </c>
      <c r="K1138" t="s">
        <v>51</v>
      </c>
      <c r="L1138">
        <v>1</v>
      </c>
      <c r="M1138" t="s">
        <v>52</v>
      </c>
      <c r="N1138" t="s">
        <v>53</v>
      </c>
      <c r="R1138">
        <v>0</v>
      </c>
      <c r="S1138">
        <v>0.75</v>
      </c>
      <c r="T1138">
        <v>0</v>
      </c>
      <c r="U1138">
        <v>0</v>
      </c>
      <c r="W1138" s="1">
        <v>46675</v>
      </c>
      <c r="X1138" s="1">
        <v>46357</v>
      </c>
      <c r="Z1138" t="s">
        <v>52</v>
      </c>
      <c r="AB1138" t="s">
        <v>52</v>
      </c>
      <c r="AC1138">
        <v>102</v>
      </c>
      <c r="AD1138">
        <v>1</v>
      </c>
      <c r="AK1138" t="s">
        <v>52</v>
      </c>
      <c r="AN1138" t="s">
        <v>52</v>
      </c>
      <c r="AO1138" t="s">
        <v>52</v>
      </c>
      <c r="AP1138" t="s">
        <v>52</v>
      </c>
      <c r="AQ1138" t="s">
        <v>52</v>
      </c>
      <c r="AR1138" t="s">
        <v>55</v>
      </c>
    </row>
    <row r="1139" spans="1:45" x14ac:dyDescent="0.25">
      <c r="A1139" t="s">
        <v>47</v>
      </c>
      <c r="B1139">
        <v>8</v>
      </c>
      <c r="C1139" t="s">
        <v>193</v>
      </c>
      <c r="D1139">
        <v>103</v>
      </c>
      <c r="E1139" t="s">
        <v>70</v>
      </c>
      <c r="F1139">
        <v>296</v>
      </c>
      <c r="G1139" t="s">
        <v>122</v>
      </c>
      <c r="H1139" t="s">
        <v>50</v>
      </c>
      <c r="K1139" t="s">
        <v>52</v>
      </c>
      <c r="L1139">
        <v>1</v>
      </c>
      <c r="M1139" t="s">
        <v>52</v>
      </c>
      <c r="N1139" t="s">
        <v>53</v>
      </c>
      <c r="R1139">
        <v>0</v>
      </c>
      <c r="S1139">
        <v>0.75</v>
      </c>
      <c r="T1139">
        <v>0</v>
      </c>
      <c r="U1139">
        <v>0</v>
      </c>
      <c r="W1139" s="1">
        <v>46675</v>
      </c>
      <c r="X1139" s="1">
        <v>46357</v>
      </c>
      <c r="Z1139" t="s">
        <v>52</v>
      </c>
      <c r="AB1139" t="s">
        <v>52</v>
      </c>
      <c r="AC1139">
        <v>102</v>
      </c>
      <c r="AD1139">
        <v>1</v>
      </c>
      <c r="AK1139" t="s">
        <v>52</v>
      </c>
      <c r="AN1139" t="s">
        <v>52</v>
      </c>
      <c r="AO1139" t="s">
        <v>52</v>
      </c>
      <c r="AP1139" t="s">
        <v>52</v>
      </c>
      <c r="AQ1139" t="s">
        <v>52</v>
      </c>
      <c r="AR1139" t="s">
        <v>55</v>
      </c>
    </row>
    <row r="1140" spans="1:45" x14ac:dyDescent="0.25">
      <c r="A1140" t="s">
        <v>47</v>
      </c>
      <c r="B1140">
        <v>8</v>
      </c>
      <c r="C1140" t="s">
        <v>193</v>
      </c>
      <c r="D1140">
        <v>103</v>
      </c>
      <c r="E1140" t="s">
        <v>75</v>
      </c>
      <c r="F1140">
        <v>16</v>
      </c>
      <c r="G1140" t="s">
        <v>76</v>
      </c>
      <c r="H1140" t="s">
        <v>50</v>
      </c>
      <c r="K1140" t="s">
        <v>52</v>
      </c>
      <c r="L1140">
        <v>1</v>
      </c>
      <c r="M1140" t="s">
        <v>52</v>
      </c>
      <c r="N1140" t="s">
        <v>53</v>
      </c>
      <c r="R1140">
        <v>0.5</v>
      </c>
      <c r="S1140">
        <v>0.75</v>
      </c>
      <c r="T1140">
        <v>0</v>
      </c>
      <c r="U1140">
        <v>0</v>
      </c>
      <c r="V1140" s="1">
        <v>46583</v>
      </c>
      <c r="W1140" s="1">
        <v>46691</v>
      </c>
      <c r="X1140" s="1">
        <v>46461</v>
      </c>
      <c r="Z1140" t="s">
        <v>52</v>
      </c>
      <c r="AB1140" t="s">
        <v>52</v>
      </c>
      <c r="AC1140">
        <v>16</v>
      </c>
      <c r="AD1140">
        <v>2</v>
      </c>
      <c r="AE1140">
        <v>0.95</v>
      </c>
      <c r="AG1140">
        <v>0.95</v>
      </c>
      <c r="AK1140" t="s">
        <v>52</v>
      </c>
      <c r="AN1140" t="s">
        <v>52</v>
      </c>
      <c r="AO1140" t="s">
        <v>52</v>
      </c>
      <c r="AP1140" t="s">
        <v>52</v>
      </c>
      <c r="AQ1140" t="s">
        <v>52</v>
      </c>
      <c r="AR1140" t="s">
        <v>55</v>
      </c>
    </row>
    <row r="1141" spans="1:45" x14ac:dyDescent="0.25">
      <c r="A1141" t="s">
        <v>47</v>
      </c>
      <c r="B1141">
        <v>8</v>
      </c>
      <c r="C1141" t="s">
        <v>193</v>
      </c>
      <c r="D1141">
        <v>103</v>
      </c>
      <c r="E1141" t="s">
        <v>94</v>
      </c>
      <c r="F1141">
        <v>26</v>
      </c>
      <c r="H1141" t="s">
        <v>50</v>
      </c>
      <c r="K1141" t="s">
        <v>51</v>
      </c>
      <c r="L1141">
        <v>1</v>
      </c>
      <c r="M1141" t="s">
        <v>52</v>
      </c>
      <c r="N1141" t="s">
        <v>53</v>
      </c>
      <c r="R1141">
        <v>0</v>
      </c>
      <c r="S1141">
        <v>0.92</v>
      </c>
      <c r="U1141">
        <v>0</v>
      </c>
      <c r="W1141" s="1">
        <v>46731</v>
      </c>
      <c r="X1141" s="1">
        <v>46357</v>
      </c>
      <c r="Z1141" t="s">
        <v>52</v>
      </c>
      <c r="AB1141" t="s">
        <v>52</v>
      </c>
      <c r="AC1141">
        <v>102</v>
      </c>
      <c r="AD1141">
        <v>1</v>
      </c>
      <c r="AK1141" t="s">
        <v>52</v>
      </c>
      <c r="AN1141" t="s">
        <v>52</v>
      </c>
      <c r="AO1141" t="s">
        <v>52</v>
      </c>
      <c r="AP1141" t="s">
        <v>52</v>
      </c>
      <c r="AQ1141" t="s">
        <v>52</v>
      </c>
      <c r="AR1141" t="s">
        <v>55</v>
      </c>
      <c r="AS1141" t="s">
        <v>60</v>
      </c>
    </row>
    <row r="1142" spans="1:45" x14ac:dyDescent="0.25">
      <c r="A1142" t="s">
        <v>47</v>
      </c>
      <c r="B1142">
        <v>8</v>
      </c>
      <c r="C1142" t="s">
        <v>193</v>
      </c>
      <c r="D1142">
        <v>103</v>
      </c>
      <c r="E1142" t="s">
        <v>94</v>
      </c>
      <c r="F1142">
        <v>26</v>
      </c>
      <c r="H1142" t="s">
        <v>50</v>
      </c>
      <c r="K1142" t="s">
        <v>52</v>
      </c>
      <c r="L1142">
        <v>1</v>
      </c>
      <c r="M1142" t="s">
        <v>52</v>
      </c>
      <c r="N1142" t="s">
        <v>53</v>
      </c>
      <c r="R1142">
        <v>0</v>
      </c>
      <c r="S1142">
        <v>0.92</v>
      </c>
      <c r="U1142">
        <v>0</v>
      </c>
      <c r="W1142" s="1">
        <v>46731</v>
      </c>
      <c r="X1142" s="1">
        <v>46357</v>
      </c>
      <c r="Z1142" t="s">
        <v>52</v>
      </c>
      <c r="AB1142" t="s">
        <v>52</v>
      </c>
      <c r="AC1142">
        <v>102</v>
      </c>
      <c r="AD1142">
        <v>1</v>
      </c>
      <c r="AK1142" t="s">
        <v>52</v>
      </c>
      <c r="AN1142" t="s">
        <v>52</v>
      </c>
      <c r="AO1142" t="s">
        <v>52</v>
      </c>
      <c r="AP1142" t="s">
        <v>52</v>
      </c>
      <c r="AQ1142" t="s">
        <v>52</v>
      </c>
      <c r="AR1142" t="s">
        <v>55</v>
      </c>
    </row>
    <row r="1143" spans="1:45" x14ac:dyDescent="0.25">
      <c r="A1143" t="s">
        <v>47</v>
      </c>
      <c r="B1143">
        <v>8</v>
      </c>
      <c r="C1143" t="s">
        <v>193</v>
      </c>
      <c r="D1143">
        <v>103</v>
      </c>
      <c r="E1143" t="s">
        <v>83</v>
      </c>
      <c r="F1143">
        <v>158</v>
      </c>
      <c r="H1143" t="s">
        <v>50</v>
      </c>
      <c r="K1143" t="s">
        <v>52</v>
      </c>
      <c r="L1143">
        <v>1</v>
      </c>
      <c r="M1143" t="s">
        <v>52</v>
      </c>
      <c r="N1143" t="s">
        <v>53</v>
      </c>
      <c r="R1143">
        <v>0.77</v>
      </c>
      <c r="S1143">
        <v>0.93</v>
      </c>
      <c r="U1143">
        <v>0</v>
      </c>
      <c r="V1143" s="1">
        <v>46522</v>
      </c>
      <c r="W1143" s="1">
        <v>46691</v>
      </c>
      <c r="X1143" s="1">
        <v>46266</v>
      </c>
      <c r="Z1143" t="s">
        <v>52</v>
      </c>
      <c r="AB1143" t="s">
        <v>52</v>
      </c>
      <c r="AC1143">
        <v>158</v>
      </c>
      <c r="AD1143">
        <v>2</v>
      </c>
      <c r="AK1143" t="s">
        <v>52</v>
      </c>
      <c r="AN1143" t="s">
        <v>52</v>
      </c>
      <c r="AO1143" t="s">
        <v>52</v>
      </c>
      <c r="AP1143" t="s">
        <v>52</v>
      </c>
      <c r="AQ1143" t="s">
        <v>52</v>
      </c>
      <c r="AR1143" t="s">
        <v>55</v>
      </c>
    </row>
    <row r="1144" spans="1:45" x14ac:dyDescent="0.25">
      <c r="A1144" t="s">
        <v>47</v>
      </c>
      <c r="B1144">
        <v>8</v>
      </c>
      <c r="C1144" t="s">
        <v>194</v>
      </c>
      <c r="D1144">
        <v>105</v>
      </c>
      <c r="E1144" t="s">
        <v>49</v>
      </c>
      <c r="F1144">
        <v>27</v>
      </c>
      <c r="H1144" t="s">
        <v>50</v>
      </c>
      <c r="K1144" t="s">
        <v>51</v>
      </c>
      <c r="L1144">
        <v>1</v>
      </c>
      <c r="M1144" t="s">
        <v>52</v>
      </c>
      <c r="N1144" t="s">
        <v>53</v>
      </c>
      <c r="Q1144">
        <v>230</v>
      </c>
      <c r="R1144">
        <v>0</v>
      </c>
      <c r="S1144">
        <v>0.75</v>
      </c>
      <c r="T1144">
        <v>0</v>
      </c>
      <c r="U1144">
        <v>0</v>
      </c>
      <c r="W1144" s="1">
        <v>46675</v>
      </c>
      <c r="X1144" s="1">
        <v>46357</v>
      </c>
      <c r="Y1144" t="s">
        <v>54</v>
      </c>
      <c r="Z1144" t="s">
        <v>52</v>
      </c>
      <c r="AB1144" t="s">
        <v>52</v>
      </c>
      <c r="AC1144">
        <v>27</v>
      </c>
      <c r="AD1144">
        <v>1</v>
      </c>
      <c r="AE1144">
        <v>0.97</v>
      </c>
      <c r="AG1144">
        <v>0.97</v>
      </c>
      <c r="AK1144" t="s">
        <v>52</v>
      </c>
      <c r="AN1144" t="s">
        <v>52</v>
      </c>
      <c r="AO1144" t="s">
        <v>52</v>
      </c>
      <c r="AP1144" t="s">
        <v>52</v>
      </c>
      <c r="AQ1144" t="s">
        <v>52</v>
      </c>
      <c r="AR1144" t="s">
        <v>55</v>
      </c>
      <c r="AS1144" t="s">
        <v>56</v>
      </c>
    </row>
    <row r="1145" spans="1:45" x14ac:dyDescent="0.25">
      <c r="A1145" t="s">
        <v>47</v>
      </c>
      <c r="B1145">
        <v>8</v>
      </c>
      <c r="C1145" t="s">
        <v>194</v>
      </c>
      <c r="D1145">
        <v>105</v>
      </c>
      <c r="E1145" t="s">
        <v>58</v>
      </c>
      <c r="F1145">
        <v>102</v>
      </c>
      <c r="G1145" t="s">
        <v>61</v>
      </c>
      <c r="H1145" t="s">
        <v>50</v>
      </c>
      <c r="K1145" t="s">
        <v>51</v>
      </c>
      <c r="L1145">
        <v>1</v>
      </c>
      <c r="M1145" t="s">
        <v>52</v>
      </c>
      <c r="N1145" t="s">
        <v>53</v>
      </c>
      <c r="R1145">
        <v>0</v>
      </c>
      <c r="S1145">
        <v>0.92</v>
      </c>
      <c r="U1145">
        <v>0</v>
      </c>
      <c r="W1145" s="1">
        <v>46731</v>
      </c>
      <c r="X1145" s="1">
        <v>46357</v>
      </c>
      <c r="Z1145" t="s">
        <v>52</v>
      </c>
      <c r="AB1145" t="s">
        <v>52</v>
      </c>
      <c r="AC1145">
        <v>102</v>
      </c>
      <c r="AD1145">
        <v>1</v>
      </c>
      <c r="AK1145" t="s">
        <v>52</v>
      </c>
      <c r="AN1145" t="s">
        <v>52</v>
      </c>
      <c r="AO1145" t="s">
        <v>52</v>
      </c>
      <c r="AP1145" t="s">
        <v>52</v>
      </c>
      <c r="AQ1145" t="s">
        <v>52</v>
      </c>
      <c r="AR1145" t="s">
        <v>55</v>
      </c>
      <c r="AS1145" t="s">
        <v>60</v>
      </c>
    </row>
    <row r="1146" spans="1:45" x14ac:dyDescent="0.25">
      <c r="A1146" t="s">
        <v>47</v>
      </c>
      <c r="B1146">
        <v>8</v>
      </c>
      <c r="C1146" t="s">
        <v>194</v>
      </c>
      <c r="D1146">
        <v>105</v>
      </c>
      <c r="E1146" t="s">
        <v>58</v>
      </c>
      <c r="F1146">
        <v>102</v>
      </c>
      <c r="G1146" t="s">
        <v>178</v>
      </c>
      <c r="H1146" t="s">
        <v>50</v>
      </c>
      <c r="K1146" t="s">
        <v>51</v>
      </c>
      <c r="L1146">
        <v>1</v>
      </c>
      <c r="M1146" t="s">
        <v>52</v>
      </c>
      <c r="N1146" t="s">
        <v>53</v>
      </c>
      <c r="R1146">
        <v>0</v>
      </c>
      <c r="S1146">
        <v>0.92</v>
      </c>
      <c r="T1146">
        <v>0</v>
      </c>
      <c r="U1146">
        <v>0</v>
      </c>
      <c r="W1146" s="1">
        <v>46731</v>
      </c>
      <c r="X1146" s="1">
        <v>46357</v>
      </c>
      <c r="Z1146" t="s">
        <v>52</v>
      </c>
      <c r="AB1146" t="s">
        <v>52</v>
      </c>
      <c r="AC1146">
        <v>102</v>
      </c>
      <c r="AD1146">
        <v>1</v>
      </c>
      <c r="AK1146" t="s">
        <v>52</v>
      </c>
      <c r="AN1146" t="s">
        <v>52</v>
      </c>
      <c r="AO1146" t="s">
        <v>52</v>
      </c>
      <c r="AP1146" t="s">
        <v>52</v>
      </c>
      <c r="AQ1146" t="s">
        <v>52</v>
      </c>
      <c r="AR1146" t="s">
        <v>55</v>
      </c>
      <c r="AS1146" t="s">
        <v>60</v>
      </c>
    </row>
    <row r="1147" spans="1:45" x14ac:dyDescent="0.25">
      <c r="A1147" t="s">
        <v>47</v>
      </c>
      <c r="B1147">
        <v>8</v>
      </c>
      <c r="C1147" t="s">
        <v>194</v>
      </c>
      <c r="D1147">
        <v>105</v>
      </c>
      <c r="E1147" t="s">
        <v>58</v>
      </c>
      <c r="F1147">
        <v>102</v>
      </c>
      <c r="G1147" t="s">
        <v>148</v>
      </c>
      <c r="H1147" t="s">
        <v>50</v>
      </c>
      <c r="K1147" t="s">
        <v>51</v>
      </c>
      <c r="L1147">
        <v>1</v>
      </c>
      <c r="M1147" t="s">
        <v>52</v>
      </c>
      <c r="N1147" t="s">
        <v>53</v>
      </c>
      <c r="R1147">
        <v>0</v>
      </c>
      <c r="S1147">
        <v>0.92</v>
      </c>
      <c r="T1147">
        <v>0</v>
      </c>
      <c r="U1147">
        <v>0</v>
      </c>
      <c r="W1147" s="1">
        <v>46731</v>
      </c>
      <c r="X1147" s="1">
        <v>46357</v>
      </c>
      <c r="Z1147" t="s">
        <v>52</v>
      </c>
      <c r="AB1147" t="s">
        <v>52</v>
      </c>
      <c r="AC1147">
        <v>102</v>
      </c>
      <c r="AD1147">
        <v>1</v>
      </c>
      <c r="AK1147" t="s">
        <v>52</v>
      </c>
      <c r="AN1147" t="s">
        <v>52</v>
      </c>
      <c r="AO1147" t="s">
        <v>52</v>
      </c>
      <c r="AP1147" t="s">
        <v>52</v>
      </c>
      <c r="AQ1147" t="s">
        <v>52</v>
      </c>
      <c r="AR1147" t="s">
        <v>55</v>
      </c>
      <c r="AS1147" t="s">
        <v>60</v>
      </c>
    </row>
    <row r="1148" spans="1:45" x14ac:dyDescent="0.25">
      <c r="A1148" t="s">
        <v>47</v>
      </c>
      <c r="B1148">
        <v>8</v>
      </c>
      <c r="C1148" t="s">
        <v>194</v>
      </c>
      <c r="D1148">
        <v>105</v>
      </c>
      <c r="E1148" t="s">
        <v>58</v>
      </c>
      <c r="F1148">
        <v>102</v>
      </c>
      <c r="G1148" t="s">
        <v>62</v>
      </c>
      <c r="H1148" t="s">
        <v>50</v>
      </c>
      <c r="K1148" t="s">
        <v>51</v>
      </c>
      <c r="L1148">
        <v>1</v>
      </c>
      <c r="M1148" t="s">
        <v>52</v>
      </c>
      <c r="N1148" t="s">
        <v>53</v>
      </c>
      <c r="R1148">
        <v>0</v>
      </c>
      <c r="S1148">
        <v>0.92</v>
      </c>
      <c r="T1148">
        <v>0</v>
      </c>
      <c r="U1148">
        <v>0</v>
      </c>
      <c r="W1148" s="1">
        <v>46731</v>
      </c>
      <c r="X1148" s="1">
        <v>46357</v>
      </c>
      <c r="Z1148" t="s">
        <v>52</v>
      </c>
      <c r="AB1148" t="s">
        <v>52</v>
      </c>
      <c r="AC1148">
        <v>102</v>
      </c>
      <c r="AD1148">
        <v>1</v>
      </c>
      <c r="AK1148" t="s">
        <v>52</v>
      </c>
      <c r="AN1148" t="s">
        <v>52</v>
      </c>
      <c r="AO1148" t="s">
        <v>52</v>
      </c>
      <c r="AP1148" t="s">
        <v>52</v>
      </c>
      <c r="AQ1148" t="s">
        <v>52</v>
      </c>
      <c r="AR1148" t="s">
        <v>55</v>
      </c>
    </row>
    <row r="1149" spans="1:45" x14ac:dyDescent="0.25">
      <c r="A1149" t="s">
        <v>47</v>
      </c>
      <c r="B1149">
        <v>8</v>
      </c>
      <c r="C1149" t="s">
        <v>194</v>
      </c>
      <c r="D1149">
        <v>105</v>
      </c>
      <c r="E1149" t="s">
        <v>58</v>
      </c>
      <c r="F1149">
        <v>102</v>
      </c>
      <c r="G1149" t="s">
        <v>62</v>
      </c>
      <c r="H1149" t="s">
        <v>50</v>
      </c>
      <c r="K1149" t="s">
        <v>52</v>
      </c>
      <c r="L1149">
        <v>1</v>
      </c>
      <c r="M1149" t="s">
        <v>52</v>
      </c>
      <c r="N1149" t="s">
        <v>53</v>
      </c>
      <c r="R1149">
        <v>0</v>
      </c>
      <c r="S1149">
        <v>0.92</v>
      </c>
      <c r="T1149">
        <v>0</v>
      </c>
      <c r="U1149">
        <v>0</v>
      </c>
      <c r="W1149" s="1">
        <v>46731</v>
      </c>
      <c r="X1149" s="1">
        <v>46357</v>
      </c>
      <c r="Z1149" t="s">
        <v>52</v>
      </c>
      <c r="AB1149" t="s">
        <v>52</v>
      </c>
      <c r="AC1149">
        <v>102</v>
      </c>
      <c r="AD1149">
        <v>1</v>
      </c>
      <c r="AK1149" t="s">
        <v>52</v>
      </c>
      <c r="AN1149" t="s">
        <v>52</v>
      </c>
      <c r="AO1149" t="s">
        <v>52</v>
      </c>
      <c r="AP1149" t="s">
        <v>52</v>
      </c>
      <c r="AQ1149" t="s">
        <v>52</v>
      </c>
      <c r="AR1149" t="s">
        <v>55</v>
      </c>
    </row>
    <row r="1150" spans="1:45" x14ac:dyDescent="0.25">
      <c r="A1150" t="s">
        <v>47</v>
      </c>
      <c r="B1150">
        <v>8</v>
      </c>
      <c r="C1150" t="s">
        <v>194</v>
      </c>
      <c r="D1150">
        <v>105</v>
      </c>
      <c r="E1150" t="s">
        <v>58</v>
      </c>
      <c r="F1150">
        <v>102</v>
      </c>
      <c r="G1150" t="s">
        <v>156</v>
      </c>
      <c r="H1150" t="s">
        <v>50</v>
      </c>
      <c r="K1150" t="s">
        <v>52</v>
      </c>
      <c r="L1150">
        <v>1</v>
      </c>
      <c r="M1150" t="s">
        <v>52</v>
      </c>
      <c r="N1150" t="s">
        <v>53</v>
      </c>
      <c r="R1150">
        <v>0</v>
      </c>
      <c r="S1150">
        <v>0.92</v>
      </c>
      <c r="T1150">
        <v>0</v>
      </c>
      <c r="U1150">
        <v>0</v>
      </c>
      <c r="W1150" s="1">
        <v>46731</v>
      </c>
      <c r="X1150" s="1">
        <v>46357</v>
      </c>
      <c r="Z1150" t="s">
        <v>52</v>
      </c>
      <c r="AB1150" t="s">
        <v>52</v>
      </c>
      <c r="AC1150">
        <v>102</v>
      </c>
      <c r="AD1150">
        <v>1</v>
      </c>
      <c r="AK1150" t="s">
        <v>52</v>
      </c>
      <c r="AN1150" t="s">
        <v>52</v>
      </c>
      <c r="AO1150" t="s">
        <v>52</v>
      </c>
      <c r="AP1150" t="s">
        <v>52</v>
      </c>
      <c r="AQ1150" t="s">
        <v>52</v>
      </c>
      <c r="AR1150" t="s">
        <v>55</v>
      </c>
      <c r="AS1150" t="s">
        <v>60</v>
      </c>
    </row>
    <row r="1151" spans="1:45" x14ac:dyDescent="0.25">
      <c r="A1151" t="s">
        <v>47</v>
      </c>
      <c r="B1151">
        <v>8</v>
      </c>
      <c r="C1151" t="s">
        <v>194</v>
      </c>
      <c r="D1151">
        <v>105</v>
      </c>
      <c r="E1151" t="s">
        <v>58</v>
      </c>
      <c r="F1151">
        <v>102</v>
      </c>
      <c r="G1151" t="s">
        <v>195</v>
      </c>
      <c r="H1151" t="s">
        <v>50</v>
      </c>
      <c r="K1151" t="s">
        <v>51</v>
      </c>
      <c r="L1151">
        <v>1</v>
      </c>
      <c r="M1151" t="s">
        <v>52</v>
      </c>
      <c r="N1151" t="s">
        <v>53</v>
      </c>
      <c r="R1151">
        <v>0</v>
      </c>
      <c r="S1151">
        <v>0.92</v>
      </c>
      <c r="T1151">
        <v>0</v>
      </c>
      <c r="U1151">
        <v>0</v>
      </c>
      <c r="W1151" s="1">
        <v>46731</v>
      </c>
      <c r="X1151" s="1">
        <v>46357</v>
      </c>
      <c r="Z1151" t="s">
        <v>52</v>
      </c>
      <c r="AB1151" t="s">
        <v>52</v>
      </c>
      <c r="AC1151">
        <v>102</v>
      </c>
      <c r="AD1151">
        <v>1</v>
      </c>
      <c r="AK1151" t="s">
        <v>52</v>
      </c>
      <c r="AN1151" t="s">
        <v>52</v>
      </c>
      <c r="AO1151" t="s">
        <v>52</v>
      </c>
      <c r="AP1151" t="s">
        <v>52</v>
      </c>
      <c r="AQ1151" t="s">
        <v>52</v>
      </c>
      <c r="AR1151" t="s">
        <v>55</v>
      </c>
      <c r="AS1151" t="s">
        <v>60</v>
      </c>
    </row>
    <row r="1152" spans="1:45" x14ac:dyDescent="0.25">
      <c r="A1152" t="s">
        <v>47</v>
      </c>
      <c r="B1152">
        <v>8</v>
      </c>
      <c r="C1152" t="s">
        <v>194</v>
      </c>
      <c r="D1152">
        <v>105</v>
      </c>
      <c r="E1152" t="s">
        <v>58</v>
      </c>
      <c r="F1152">
        <v>102</v>
      </c>
      <c r="G1152" t="s">
        <v>66</v>
      </c>
      <c r="H1152" t="s">
        <v>50</v>
      </c>
      <c r="K1152" t="s">
        <v>51</v>
      </c>
      <c r="L1152">
        <v>1</v>
      </c>
      <c r="M1152" t="s">
        <v>52</v>
      </c>
      <c r="N1152" t="s">
        <v>53</v>
      </c>
      <c r="R1152">
        <v>0</v>
      </c>
      <c r="S1152">
        <v>0.92</v>
      </c>
      <c r="U1152">
        <v>0</v>
      </c>
      <c r="W1152" s="1">
        <v>46731</v>
      </c>
      <c r="X1152" s="1">
        <v>46357</v>
      </c>
      <c r="Z1152" t="s">
        <v>52</v>
      </c>
      <c r="AB1152" t="s">
        <v>52</v>
      </c>
      <c r="AC1152">
        <v>102</v>
      </c>
      <c r="AD1152">
        <v>1</v>
      </c>
      <c r="AK1152" t="s">
        <v>52</v>
      </c>
      <c r="AN1152" t="s">
        <v>52</v>
      </c>
      <c r="AO1152" t="s">
        <v>52</v>
      </c>
      <c r="AP1152" t="s">
        <v>52</v>
      </c>
      <c r="AQ1152" t="s">
        <v>52</v>
      </c>
      <c r="AR1152" t="s">
        <v>55</v>
      </c>
    </row>
    <row r="1153" spans="1:45" x14ac:dyDescent="0.25">
      <c r="A1153" t="s">
        <v>47</v>
      </c>
      <c r="B1153">
        <v>8</v>
      </c>
      <c r="C1153" t="s">
        <v>194</v>
      </c>
      <c r="D1153">
        <v>105</v>
      </c>
      <c r="E1153" t="s">
        <v>58</v>
      </c>
      <c r="F1153">
        <v>102</v>
      </c>
      <c r="G1153" t="s">
        <v>118</v>
      </c>
      <c r="H1153" t="s">
        <v>50</v>
      </c>
      <c r="K1153" t="s">
        <v>51</v>
      </c>
      <c r="L1153">
        <v>1</v>
      </c>
      <c r="M1153" t="s">
        <v>52</v>
      </c>
      <c r="N1153" t="s">
        <v>53</v>
      </c>
      <c r="R1153">
        <v>0</v>
      </c>
      <c r="S1153">
        <v>0.92</v>
      </c>
      <c r="U1153">
        <v>0</v>
      </c>
      <c r="W1153" s="1">
        <v>46731</v>
      </c>
      <c r="X1153" s="1">
        <v>46357</v>
      </c>
      <c r="Z1153" t="s">
        <v>52</v>
      </c>
      <c r="AB1153" t="s">
        <v>52</v>
      </c>
      <c r="AC1153">
        <v>102</v>
      </c>
      <c r="AD1153">
        <v>1</v>
      </c>
      <c r="AK1153" t="s">
        <v>52</v>
      </c>
      <c r="AN1153" t="s">
        <v>52</v>
      </c>
      <c r="AO1153" t="s">
        <v>52</v>
      </c>
      <c r="AP1153" t="s">
        <v>52</v>
      </c>
      <c r="AQ1153" t="s">
        <v>52</v>
      </c>
      <c r="AR1153" t="s">
        <v>55</v>
      </c>
      <c r="AS1153" t="s">
        <v>60</v>
      </c>
    </row>
    <row r="1154" spans="1:45" x14ac:dyDescent="0.25">
      <c r="A1154" t="s">
        <v>47</v>
      </c>
      <c r="B1154">
        <v>8</v>
      </c>
      <c r="C1154" t="s">
        <v>194</v>
      </c>
      <c r="D1154">
        <v>105</v>
      </c>
      <c r="E1154" t="s">
        <v>70</v>
      </c>
      <c r="F1154">
        <v>296</v>
      </c>
      <c r="G1154" t="s">
        <v>71</v>
      </c>
      <c r="H1154" t="s">
        <v>50</v>
      </c>
      <c r="K1154" t="s">
        <v>51</v>
      </c>
      <c r="L1154">
        <v>1</v>
      </c>
      <c r="M1154" t="s">
        <v>52</v>
      </c>
      <c r="N1154" t="s">
        <v>53</v>
      </c>
      <c r="Q1154">
        <v>224.33330000000001</v>
      </c>
      <c r="R1154">
        <v>0</v>
      </c>
      <c r="S1154">
        <v>0.75</v>
      </c>
      <c r="T1154">
        <v>0</v>
      </c>
      <c r="U1154">
        <v>0</v>
      </c>
      <c r="W1154" s="1">
        <v>46675</v>
      </c>
      <c r="X1154" s="1">
        <v>46357</v>
      </c>
      <c r="Y1154" t="s">
        <v>54</v>
      </c>
      <c r="Z1154" t="s">
        <v>52</v>
      </c>
      <c r="AB1154" t="s">
        <v>52</v>
      </c>
      <c r="AC1154">
        <v>296</v>
      </c>
      <c r="AD1154">
        <v>1</v>
      </c>
      <c r="AK1154" t="s">
        <v>52</v>
      </c>
      <c r="AN1154" t="s">
        <v>52</v>
      </c>
      <c r="AO1154" t="s">
        <v>52</v>
      </c>
      <c r="AP1154" t="s">
        <v>52</v>
      </c>
      <c r="AQ1154" t="s">
        <v>52</v>
      </c>
      <c r="AR1154" t="s">
        <v>55</v>
      </c>
    </row>
    <row r="1155" spans="1:45" x14ac:dyDescent="0.25">
      <c r="A1155" t="s">
        <v>47</v>
      </c>
      <c r="B1155">
        <v>8</v>
      </c>
      <c r="C1155" t="s">
        <v>194</v>
      </c>
      <c r="D1155">
        <v>105</v>
      </c>
      <c r="E1155" t="s">
        <v>70</v>
      </c>
      <c r="F1155">
        <v>296</v>
      </c>
      <c r="G1155" t="s">
        <v>72</v>
      </c>
      <c r="H1155" t="s">
        <v>50</v>
      </c>
      <c r="K1155" t="s">
        <v>51</v>
      </c>
      <c r="L1155">
        <v>1</v>
      </c>
      <c r="M1155" t="s">
        <v>52</v>
      </c>
      <c r="N1155" t="s">
        <v>53</v>
      </c>
      <c r="R1155">
        <v>0.5</v>
      </c>
      <c r="S1155">
        <v>0.75</v>
      </c>
      <c r="T1155">
        <v>0</v>
      </c>
      <c r="U1155">
        <v>0</v>
      </c>
      <c r="V1155" s="1">
        <v>46583</v>
      </c>
      <c r="W1155" s="1">
        <v>46675</v>
      </c>
      <c r="X1155" s="1">
        <v>46357</v>
      </c>
      <c r="Z1155" t="s">
        <v>52</v>
      </c>
      <c r="AB1155" t="s">
        <v>52</v>
      </c>
      <c r="AC1155">
        <v>296</v>
      </c>
      <c r="AD1155">
        <v>1</v>
      </c>
      <c r="AK1155" t="s">
        <v>52</v>
      </c>
      <c r="AN1155" t="s">
        <v>52</v>
      </c>
      <c r="AO1155" t="s">
        <v>52</v>
      </c>
      <c r="AP1155" t="s">
        <v>52</v>
      </c>
      <c r="AQ1155" t="s">
        <v>52</v>
      </c>
      <c r="AR1155" t="s">
        <v>55</v>
      </c>
    </row>
    <row r="1156" spans="1:45" x14ac:dyDescent="0.25">
      <c r="A1156" t="s">
        <v>47</v>
      </c>
      <c r="B1156">
        <v>8</v>
      </c>
      <c r="C1156" t="s">
        <v>194</v>
      </c>
      <c r="D1156">
        <v>105</v>
      </c>
      <c r="E1156" t="s">
        <v>70</v>
      </c>
      <c r="F1156">
        <v>296</v>
      </c>
      <c r="G1156" t="s">
        <v>74</v>
      </c>
      <c r="H1156" t="s">
        <v>50</v>
      </c>
      <c r="K1156" t="s">
        <v>51</v>
      </c>
      <c r="L1156">
        <v>1</v>
      </c>
      <c r="M1156" t="s">
        <v>52</v>
      </c>
      <c r="N1156" t="s">
        <v>53</v>
      </c>
      <c r="R1156">
        <v>0</v>
      </c>
      <c r="S1156">
        <v>0.75</v>
      </c>
      <c r="T1156">
        <v>0</v>
      </c>
      <c r="U1156">
        <v>0</v>
      </c>
      <c r="W1156" s="1">
        <v>46675</v>
      </c>
      <c r="X1156" s="1">
        <v>46357</v>
      </c>
      <c r="Z1156" t="s">
        <v>52</v>
      </c>
      <c r="AB1156" t="s">
        <v>52</v>
      </c>
      <c r="AC1156">
        <v>102</v>
      </c>
      <c r="AD1156">
        <v>1</v>
      </c>
      <c r="AK1156" t="s">
        <v>52</v>
      </c>
      <c r="AN1156" t="s">
        <v>52</v>
      </c>
      <c r="AO1156" t="s">
        <v>52</v>
      </c>
      <c r="AP1156" t="s">
        <v>52</v>
      </c>
      <c r="AQ1156" t="s">
        <v>52</v>
      </c>
      <c r="AR1156" t="s">
        <v>55</v>
      </c>
    </row>
    <row r="1157" spans="1:45" x14ac:dyDescent="0.25">
      <c r="A1157" t="s">
        <v>47</v>
      </c>
      <c r="B1157">
        <v>8</v>
      </c>
      <c r="C1157" t="s">
        <v>194</v>
      </c>
      <c r="D1157">
        <v>105</v>
      </c>
      <c r="E1157" t="s">
        <v>70</v>
      </c>
      <c r="F1157">
        <v>296</v>
      </c>
      <c r="G1157" t="s">
        <v>122</v>
      </c>
      <c r="H1157" t="s">
        <v>50</v>
      </c>
      <c r="K1157" t="s">
        <v>51</v>
      </c>
      <c r="L1157">
        <v>1</v>
      </c>
      <c r="M1157" t="s">
        <v>52</v>
      </c>
      <c r="N1157" t="s">
        <v>53</v>
      </c>
      <c r="R1157">
        <v>0</v>
      </c>
      <c r="S1157">
        <v>0.75</v>
      </c>
      <c r="T1157">
        <v>0</v>
      </c>
      <c r="U1157">
        <v>0</v>
      </c>
      <c r="W1157" s="1">
        <v>46675</v>
      </c>
      <c r="X1157" s="1">
        <v>46357</v>
      </c>
      <c r="Z1157" t="s">
        <v>52</v>
      </c>
      <c r="AB1157" t="s">
        <v>52</v>
      </c>
      <c r="AC1157">
        <v>102</v>
      </c>
      <c r="AD1157">
        <v>1</v>
      </c>
      <c r="AK1157" t="s">
        <v>52</v>
      </c>
      <c r="AN1157" t="s">
        <v>52</v>
      </c>
      <c r="AO1157" t="s">
        <v>52</v>
      </c>
      <c r="AP1157" t="s">
        <v>52</v>
      </c>
      <c r="AQ1157" t="s">
        <v>52</v>
      </c>
      <c r="AR1157" t="s">
        <v>55</v>
      </c>
    </row>
    <row r="1158" spans="1:45" x14ac:dyDescent="0.25">
      <c r="A1158" t="s">
        <v>47</v>
      </c>
      <c r="B1158">
        <v>8</v>
      </c>
      <c r="C1158" t="s">
        <v>194</v>
      </c>
      <c r="D1158">
        <v>105</v>
      </c>
      <c r="E1158" t="s">
        <v>70</v>
      </c>
      <c r="F1158">
        <v>296</v>
      </c>
      <c r="G1158" t="s">
        <v>92</v>
      </c>
      <c r="H1158" t="s">
        <v>50</v>
      </c>
      <c r="K1158" t="s">
        <v>51</v>
      </c>
      <c r="L1158">
        <v>1</v>
      </c>
      <c r="M1158" t="s">
        <v>52</v>
      </c>
      <c r="N1158" t="s">
        <v>53</v>
      </c>
      <c r="R1158">
        <v>0.5</v>
      </c>
      <c r="S1158">
        <v>0.75</v>
      </c>
      <c r="T1158">
        <v>0</v>
      </c>
      <c r="U1158">
        <v>0</v>
      </c>
      <c r="V1158" s="1">
        <v>46583</v>
      </c>
      <c r="W1158" s="1">
        <v>46675</v>
      </c>
      <c r="X1158" s="1">
        <v>46357</v>
      </c>
      <c r="Z1158" t="s">
        <v>52</v>
      </c>
      <c r="AB1158" t="s">
        <v>52</v>
      </c>
      <c r="AC1158">
        <v>102</v>
      </c>
      <c r="AD1158">
        <v>1</v>
      </c>
      <c r="AK1158" t="s">
        <v>52</v>
      </c>
      <c r="AN1158" t="s">
        <v>52</v>
      </c>
      <c r="AO1158" t="s">
        <v>52</v>
      </c>
      <c r="AP1158" t="s">
        <v>52</v>
      </c>
      <c r="AQ1158" t="s">
        <v>52</v>
      </c>
      <c r="AR1158" t="s">
        <v>55</v>
      </c>
    </row>
    <row r="1159" spans="1:45" x14ac:dyDescent="0.25">
      <c r="A1159" t="s">
        <v>47</v>
      </c>
      <c r="B1159">
        <v>8</v>
      </c>
      <c r="C1159" t="s">
        <v>194</v>
      </c>
      <c r="D1159">
        <v>105</v>
      </c>
      <c r="E1159" t="s">
        <v>75</v>
      </c>
      <c r="F1159">
        <v>16</v>
      </c>
      <c r="G1159" t="s">
        <v>76</v>
      </c>
      <c r="H1159" t="s">
        <v>50</v>
      </c>
      <c r="K1159" t="s">
        <v>51</v>
      </c>
      <c r="L1159">
        <v>1</v>
      </c>
      <c r="M1159" t="s">
        <v>52</v>
      </c>
      <c r="N1159" t="s">
        <v>53</v>
      </c>
      <c r="R1159">
        <v>0.5</v>
      </c>
      <c r="S1159">
        <v>0.75</v>
      </c>
      <c r="T1159">
        <v>0</v>
      </c>
      <c r="U1159">
        <v>0</v>
      </c>
      <c r="V1159" s="1">
        <v>46583</v>
      </c>
      <c r="W1159" s="1">
        <v>46691</v>
      </c>
      <c r="X1159" s="1">
        <v>46461</v>
      </c>
      <c r="Z1159" t="s">
        <v>52</v>
      </c>
      <c r="AB1159" t="s">
        <v>52</v>
      </c>
      <c r="AC1159">
        <v>16</v>
      </c>
      <c r="AD1159">
        <v>2</v>
      </c>
      <c r="AK1159" t="s">
        <v>52</v>
      </c>
      <c r="AN1159" t="s">
        <v>52</v>
      </c>
      <c r="AO1159" t="s">
        <v>52</v>
      </c>
      <c r="AP1159" t="s">
        <v>52</v>
      </c>
      <c r="AQ1159" t="s">
        <v>52</v>
      </c>
      <c r="AR1159" t="s">
        <v>55</v>
      </c>
    </row>
    <row r="1160" spans="1:45" x14ac:dyDescent="0.25">
      <c r="A1160" t="s">
        <v>47</v>
      </c>
      <c r="B1160">
        <v>8</v>
      </c>
      <c r="C1160" t="s">
        <v>194</v>
      </c>
      <c r="D1160">
        <v>105</v>
      </c>
      <c r="E1160" t="s">
        <v>93</v>
      </c>
      <c r="F1160">
        <v>94</v>
      </c>
      <c r="H1160" t="s">
        <v>50</v>
      </c>
      <c r="K1160" t="s">
        <v>51</v>
      </c>
      <c r="L1160">
        <v>1</v>
      </c>
      <c r="M1160" t="s">
        <v>52</v>
      </c>
      <c r="N1160" t="s">
        <v>53</v>
      </c>
      <c r="R1160">
        <v>0.77</v>
      </c>
      <c r="S1160">
        <v>0.93</v>
      </c>
      <c r="T1160">
        <v>0</v>
      </c>
      <c r="U1160">
        <v>0</v>
      </c>
      <c r="V1160" s="1">
        <v>46326</v>
      </c>
      <c r="W1160" s="1">
        <v>46691</v>
      </c>
      <c r="X1160" s="1">
        <v>46266</v>
      </c>
      <c r="Z1160" t="s">
        <v>52</v>
      </c>
      <c r="AB1160" t="s">
        <v>52</v>
      </c>
      <c r="AC1160">
        <v>94</v>
      </c>
      <c r="AD1160">
        <v>2</v>
      </c>
      <c r="AK1160" t="s">
        <v>52</v>
      </c>
      <c r="AN1160" t="s">
        <v>52</v>
      </c>
      <c r="AO1160" t="s">
        <v>52</v>
      </c>
      <c r="AP1160" t="s">
        <v>52</v>
      </c>
      <c r="AQ1160" t="s">
        <v>52</v>
      </c>
      <c r="AR1160" t="s">
        <v>55</v>
      </c>
      <c r="AS1160" t="s">
        <v>60</v>
      </c>
    </row>
    <row r="1161" spans="1:45" x14ac:dyDescent="0.25">
      <c r="A1161" t="s">
        <v>47</v>
      </c>
      <c r="B1161">
        <v>8</v>
      </c>
      <c r="C1161" t="s">
        <v>194</v>
      </c>
      <c r="D1161">
        <v>105</v>
      </c>
      <c r="E1161" t="s">
        <v>79</v>
      </c>
      <c r="F1161">
        <v>50</v>
      </c>
      <c r="G1161" t="s">
        <v>81</v>
      </c>
      <c r="H1161" t="s">
        <v>50</v>
      </c>
      <c r="K1161" t="s">
        <v>51</v>
      </c>
      <c r="L1161">
        <v>1</v>
      </c>
      <c r="M1161" t="s">
        <v>52</v>
      </c>
      <c r="N1161" t="s">
        <v>53</v>
      </c>
      <c r="R1161">
        <v>0.5</v>
      </c>
      <c r="S1161">
        <v>0.75</v>
      </c>
      <c r="T1161">
        <v>0</v>
      </c>
      <c r="U1161">
        <v>0</v>
      </c>
      <c r="V1161" s="1">
        <v>46583</v>
      </c>
      <c r="W1161" s="1">
        <v>46675</v>
      </c>
      <c r="X1161" s="1">
        <v>46461</v>
      </c>
      <c r="Z1161" t="s">
        <v>52</v>
      </c>
      <c r="AB1161" t="s">
        <v>52</v>
      </c>
      <c r="AC1161">
        <v>50</v>
      </c>
      <c r="AD1161">
        <v>1</v>
      </c>
      <c r="AK1161" t="s">
        <v>52</v>
      </c>
      <c r="AN1161" t="s">
        <v>52</v>
      </c>
      <c r="AO1161" t="s">
        <v>52</v>
      </c>
      <c r="AP1161" t="s">
        <v>52</v>
      </c>
      <c r="AQ1161" t="s">
        <v>52</v>
      </c>
      <c r="AR1161" t="s">
        <v>55</v>
      </c>
    </row>
    <row r="1162" spans="1:45" x14ac:dyDescent="0.25">
      <c r="A1162" t="s">
        <v>47</v>
      </c>
      <c r="B1162">
        <v>8</v>
      </c>
      <c r="C1162" t="s">
        <v>194</v>
      </c>
      <c r="D1162">
        <v>105</v>
      </c>
      <c r="E1162" t="s">
        <v>83</v>
      </c>
      <c r="F1162">
        <v>158</v>
      </c>
      <c r="H1162" t="s">
        <v>50</v>
      </c>
      <c r="K1162" t="s">
        <v>51</v>
      </c>
      <c r="L1162">
        <v>1</v>
      </c>
      <c r="M1162" t="s">
        <v>52</v>
      </c>
      <c r="N1162" t="s">
        <v>53</v>
      </c>
      <c r="P1162">
        <v>1.3</v>
      </c>
      <c r="R1162">
        <v>0.77</v>
      </c>
      <c r="S1162">
        <v>0.93</v>
      </c>
      <c r="T1162">
        <v>0</v>
      </c>
      <c r="U1162">
        <v>0</v>
      </c>
      <c r="V1162" s="1">
        <v>46522</v>
      </c>
      <c r="W1162" s="1">
        <v>46691</v>
      </c>
      <c r="X1162" s="1">
        <v>46266</v>
      </c>
      <c r="Z1162" t="s">
        <v>52</v>
      </c>
      <c r="AA1162" t="s">
        <v>54</v>
      </c>
      <c r="AB1162" t="s">
        <v>52</v>
      </c>
      <c r="AC1162">
        <v>158</v>
      </c>
      <c r="AD1162">
        <v>2</v>
      </c>
      <c r="AK1162" t="s">
        <v>52</v>
      </c>
      <c r="AN1162" t="s">
        <v>52</v>
      </c>
      <c r="AO1162" t="s">
        <v>52</v>
      </c>
      <c r="AP1162" t="s">
        <v>52</v>
      </c>
      <c r="AQ1162" t="s">
        <v>52</v>
      </c>
      <c r="AR1162" t="s">
        <v>95</v>
      </c>
      <c r="AS1162" t="s">
        <v>140</v>
      </c>
    </row>
    <row r="1163" spans="1:45" x14ac:dyDescent="0.25">
      <c r="A1163" t="s">
        <v>47</v>
      </c>
      <c r="B1163">
        <v>8</v>
      </c>
      <c r="C1163" t="s">
        <v>194</v>
      </c>
      <c r="D1163">
        <v>105</v>
      </c>
      <c r="E1163" t="s">
        <v>84</v>
      </c>
      <c r="F1163">
        <v>11</v>
      </c>
      <c r="G1163" t="s">
        <v>96</v>
      </c>
      <c r="H1163" t="s">
        <v>50</v>
      </c>
      <c r="K1163" t="s">
        <v>51</v>
      </c>
      <c r="L1163">
        <v>1</v>
      </c>
      <c r="M1163" t="s">
        <v>52</v>
      </c>
      <c r="N1163" t="s">
        <v>53</v>
      </c>
      <c r="R1163">
        <v>0.5</v>
      </c>
      <c r="S1163">
        <v>0.75</v>
      </c>
      <c r="U1163">
        <v>0</v>
      </c>
      <c r="V1163" s="1">
        <v>46310</v>
      </c>
      <c r="W1163" s="1">
        <v>46691</v>
      </c>
      <c r="X1163" s="1">
        <v>46295</v>
      </c>
      <c r="Z1163" t="s">
        <v>52</v>
      </c>
      <c r="AB1163" t="s">
        <v>52</v>
      </c>
      <c r="AC1163">
        <v>11</v>
      </c>
      <c r="AD1163">
        <v>2</v>
      </c>
      <c r="AK1163" t="s">
        <v>52</v>
      </c>
      <c r="AN1163" t="s">
        <v>52</v>
      </c>
      <c r="AO1163" t="s">
        <v>52</v>
      </c>
      <c r="AP1163" t="s">
        <v>52</v>
      </c>
      <c r="AQ1163" t="s">
        <v>52</v>
      </c>
      <c r="AR1163" t="s">
        <v>55</v>
      </c>
    </row>
    <row r="1164" spans="1:45" x14ac:dyDescent="0.25">
      <c r="A1164" t="s">
        <v>47</v>
      </c>
      <c r="B1164">
        <v>8</v>
      </c>
      <c r="C1164" t="s">
        <v>194</v>
      </c>
      <c r="D1164">
        <v>105</v>
      </c>
      <c r="E1164" t="s">
        <v>84</v>
      </c>
      <c r="F1164">
        <v>11</v>
      </c>
      <c r="G1164" t="s">
        <v>196</v>
      </c>
      <c r="H1164" t="s">
        <v>50</v>
      </c>
      <c r="K1164" t="s">
        <v>51</v>
      </c>
      <c r="L1164">
        <v>1</v>
      </c>
      <c r="M1164" t="s">
        <v>52</v>
      </c>
      <c r="N1164" t="s">
        <v>53</v>
      </c>
      <c r="R1164">
        <v>0.5</v>
      </c>
      <c r="S1164">
        <v>0.75</v>
      </c>
      <c r="U1164">
        <v>0</v>
      </c>
      <c r="V1164" s="1">
        <v>46310</v>
      </c>
      <c r="W1164" s="1">
        <v>46691</v>
      </c>
      <c r="X1164" s="1">
        <v>46295</v>
      </c>
      <c r="Z1164" t="s">
        <v>52</v>
      </c>
      <c r="AB1164" t="s">
        <v>52</v>
      </c>
      <c r="AC1164">
        <v>11</v>
      </c>
      <c r="AD1164">
        <v>2</v>
      </c>
      <c r="AK1164" t="s">
        <v>52</v>
      </c>
      <c r="AN1164" t="s">
        <v>52</v>
      </c>
      <c r="AO1164" t="s">
        <v>52</v>
      </c>
      <c r="AP1164" t="s">
        <v>52</v>
      </c>
      <c r="AQ1164" t="s">
        <v>52</v>
      </c>
      <c r="AR1164" t="s">
        <v>55</v>
      </c>
      <c r="AS1164" t="s">
        <v>60</v>
      </c>
    </row>
    <row r="1165" spans="1:45" x14ac:dyDescent="0.25">
      <c r="A1165" t="s">
        <v>47</v>
      </c>
      <c r="B1165">
        <v>8</v>
      </c>
      <c r="C1165" t="s">
        <v>197</v>
      </c>
      <c r="D1165">
        <v>107</v>
      </c>
      <c r="E1165" t="s">
        <v>49</v>
      </c>
      <c r="F1165">
        <v>27</v>
      </c>
      <c r="H1165" t="s">
        <v>50</v>
      </c>
      <c r="K1165" t="s">
        <v>51</v>
      </c>
      <c r="L1165">
        <v>1</v>
      </c>
      <c r="M1165" t="s">
        <v>52</v>
      </c>
      <c r="N1165" t="s">
        <v>53</v>
      </c>
      <c r="Q1165">
        <v>230</v>
      </c>
      <c r="R1165">
        <v>0</v>
      </c>
      <c r="S1165">
        <v>0.75</v>
      </c>
      <c r="T1165">
        <v>0</v>
      </c>
      <c r="U1165">
        <v>0</v>
      </c>
      <c r="W1165" s="1">
        <v>46675</v>
      </c>
      <c r="X1165" s="1">
        <v>46357</v>
      </c>
      <c r="Y1165" t="s">
        <v>54</v>
      </c>
      <c r="Z1165" t="s">
        <v>52</v>
      </c>
      <c r="AB1165" t="s">
        <v>52</v>
      </c>
      <c r="AC1165">
        <v>27</v>
      </c>
      <c r="AD1165">
        <v>1</v>
      </c>
      <c r="AE1165">
        <v>0.97</v>
      </c>
      <c r="AG1165">
        <v>0.97</v>
      </c>
      <c r="AK1165" t="s">
        <v>52</v>
      </c>
      <c r="AN1165" t="s">
        <v>52</v>
      </c>
      <c r="AO1165" t="s">
        <v>52</v>
      </c>
      <c r="AP1165" t="s">
        <v>52</v>
      </c>
      <c r="AQ1165" t="s">
        <v>52</v>
      </c>
      <c r="AR1165" t="s">
        <v>55</v>
      </c>
      <c r="AS1165" t="s">
        <v>56</v>
      </c>
    </row>
    <row r="1166" spans="1:45" x14ac:dyDescent="0.25">
      <c r="A1166" t="s">
        <v>47</v>
      </c>
      <c r="B1166">
        <v>8</v>
      </c>
      <c r="C1166" t="s">
        <v>197</v>
      </c>
      <c r="D1166">
        <v>107</v>
      </c>
      <c r="E1166" t="s">
        <v>49</v>
      </c>
      <c r="F1166">
        <v>27</v>
      </c>
      <c r="H1166" t="s">
        <v>50</v>
      </c>
      <c r="K1166" t="s">
        <v>52</v>
      </c>
      <c r="L1166">
        <v>1</v>
      </c>
      <c r="M1166" t="s">
        <v>52</v>
      </c>
      <c r="N1166" t="s">
        <v>53</v>
      </c>
      <c r="Q1166">
        <v>230</v>
      </c>
      <c r="R1166">
        <v>0</v>
      </c>
      <c r="S1166">
        <v>0.75</v>
      </c>
      <c r="T1166">
        <v>0</v>
      </c>
      <c r="U1166">
        <v>0</v>
      </c>
      <c r="W1166" s="1">
        <v>46675</v>
      </c>
      <c r="X1166" s="1">
        <v>46357</v>
      </c>
      <c r="Y1166" t="s">
        <v>54</v>
      </c>
      <c r="Z1166" t="s">
        <v>52</v>
      </c>
      <c r="AB1166" t="s">
        <v>52</v>
      </c>
      <c r="AC1166">
        <v>27</v>
      </c>
      <c r="AD1166">
        <v>1</v>
      </c>
      <c r="AE1166">
        <v>0.97</v>
      </c>
      <c r="AG1166">
        <v>0.97</v>
      </c>
      <c r="AK1166" t="s">
        <v>52</v>
      </c>
      <c r="AN1166" t="s">
        <v>52</v>
      </c>
      <c r="AO1166" t="s">
        <v>52</v>
      </c>
      <c r="AP1166" t="s">
        <v>52</v>
      </c>
      <c r="AQ1166" t="s">
        <v>52</v>
      </c>
      <c r="AR1166" t="s">
        <v>55</v>
      </c>
      <c r="AS1166" t="s">
        <v>57</v>
      </c>
    </row>
    <row r="1167" spans="1:45" x14ac:dyDescent="0.25">
      <c r="A1167" t="s">
        <v>47</v>
      </c>
      <c r="B1167">
        <v>8</v>
      </c>
      <c r="C1167" t="s">
        <v>197</v>
      </c>
      <c r="D1167">
        <v>107</v>
      </c>
      <c r="E1167" t="s">
        <v>58</v>
      </c>
      <c r="F1167">
        <v>102</v>
      </c>
      <c r="G1167" t="s">
        <v>62</v>
      </c>
      <c r="H1167" t="s">
        <v>50</v>
      </c>
      <c r="K1167" t="s">
        <v>51</v>
      </c>
      <c r="L1167">
        <v>1</v>
      </c>
      <c r="M1167" t="s">
        <v>52</v>
      </c>
      <c r="N1167" t="s">
        <v>53</v>
      </c>
      <c r="R1167">
        <v>0</v>
      </c>
      <c r="S1167">
        <v>0.92</v>
      </c>
      <c r="T1167">
        <v>0</v>
      </c>
      <c r="U1167">
        <v>0</v>
      </c>
      <c r="W1167" s="1">
        <v>46731</v>
      </c>
      <c r="X1167" s="1">
        <v>46357</v>
      </c>
      <c r="Z1167" t="s">
        <v>52</v>
      </c>
      <c r="AB1167" t="s">
        <v>52</v>
      </c>
      <c r="AC1167">
        <v>102</v>
      </c>
      <c r="AD1167">
        <v>1</v>
      </c>
      <c r="AE1167">
        <v>0.85</v>
      </c>
      <c r="AG1167">
        <v>0.85</v>
      </c>
      <c r="AK1167" t="s">
        <v>52</v>
      </c>
      <c r="AN1167" t="s">
        <v>52</v>
      </c>
      <c r="AO1167" t="s">
        <v>52</v>
      </c>
      <c r="AP1167" t="s">
        <v>52</v>
      </c>
      <c r="AQ1167" t="s">
        <v>52</v>
      </c>
      <c r="AR1167" t="s">
        <v>55</v>
      </c>
    </row>
    <row r="1168" spans="1:45" x14ac:dyDescent="0.25">
      <c r="A1168" t="s">
        <v>47</v>
      </c>
      <c r="B1168">
        <v>8</v>
      </c>
      <c r="C1168" t="s">
        <v>197</v>
      </c>
      <c r="D1168">
        <v>107</v>
      </c>
      <c r="E1168" t="s">
        <v>58</v>
      </c>
      <c r="F1168">
        <v>102</v>
      </c>
      <c r="G1168" t="s">
        <v>62</v>
      </c>
      <c r="H1168" t="s">
        <v>50</v>
      </c>
      <c r="K1168" t="s">
        <v>52</v>
      </c>
      <c r="L1168">
        <v>1</v>
      </c>
      <c r="M1168" t="s">
        <v>52</v>
      </c>
      <c r="N1168" t="s">
        <v>53</v>
      </c>
      <c r="R1168">
        <v>0</v>
      </c>
      <c r="S1168">
        <v>0.92</v>
      </c>
      <c r="T1168">
        <v>0</v>
      </c>
      <c r="U1168">
        <v>0</v>
      </c>
      <c r="W1168" s="1">
        <v>46731</v>
      </c>
      <c r="X1168" s="1">
        <v>46357</v>
      </c>
      <c r="Z1168" t="s">
        <v>52</v>
      </c>
      <c r="AB1168" t="s">
        <v>52</v>
      </c>
      <c r="AC1168">
        <v>102</v>
      </c>
      <c r="AD1168">
        <v>1</v>
      </c>
      <c r="AE1168">
        <v>0.85</v>
      </c>
      <c r="AG1168">
        <v>0.85</v>
      </c>
      <c r="AK1168" t="s">
        <v>52</v>
      </c>
      <c r="AN1168" t="s">
        <v>52</v>
      </c>
      <c r="AO1168" t="s">
        <v>52</v>
      </c>
      <c r="AP1168" t="s">
        <v>52</v>
      </c>
      <c r="AQ1168" t="s">
        <v>52</v>
      </c>
      <c r="AR1168" t="s">
        <v>55</v>
      </c>
    </row>
    <row r="1169" spans="1:45" x14ac:dyDescent="0.25">
      <c r="A1169" t="s">
        <v>47</v>
      </c>
      <c r="B1169">
        <v>8</v>
      </c>
      <c r="C1169" t="s">
        <v>197</v>
      </c>
      <c r="D1169">
        <v>107</v>
      </c>
      <c r="E1169" t="s">
        <v>70</v>
      </c>
      <c r="F1169">
        <v>296</v>
      </c>
      <c r="G1169" t="s">
        <v>71</v>
      </c>
      <c r="H1169" t="s">
        <v>50</v>
      </c>
      <c r="K1169" t="s">
        <v>51</v>
      </c>
      <c r="L1169">
        <v>1</v>
      </c>
      <c r="M1169" t="s">
        <v>52</v>
      </c>
      <c r="N1169" t="s">
        <v>53</v>
      </c>
      <c r="Q1169">
        <v>224.33330000000001</v>
      </c>
      <c r="R1169">
        <v>0</v>
      </c>
      <c r="S1169">
        <v>0.75</v>
      </c>
      <c r="U1169">
        <v>0</v>
      </c>
      <c r="W1169" s="1">
        <v>46675</v>
      </c>
      <c r="X1169" s="1">
        <v>46357</v>
      </c>
      <c r="Y1169" t="s">
        <v>54</v>
      </c>
      <c r="Z1169" t="s">
        <v>52</v>
      </c>
      <c r="AB1169" t="s">
        <v>52</v>
      </c>
      <c r="AC1169">
        <v>296</v>
      </c>
      <c r="AD1169">
        <v>1</v>
      </c>
      <c r="AK1169" t="s">
        <v>52</v>
      </c>
      <c r="AN1169" t="s">
        <v>52</v>
      </c>
      <c r="AO1169" t="s">
        <v>52</v>
      </c>
      <c r="AP1169" t="s">
        <v>52</v>
      </c>
      <c r="AQ1169" t="s">
        <v>52</v>
      </c>
      <c r="AR1169" t="s">
        <v>55</v>
      </c>
    </row>
    <row r="1170" spans="1:45" x14ac:dyDescent="0.25">
      <c r="A1170" t="s">
        <v>47</v>
      </c>
      <c r="B1170">
        <v>8</v>
      </c>
      <c r="C1170" t="s">
        <v>197</v>
      </c>
      <c r="D1170">
        <v>107</v>
      </c>
      <c r="E1170" t="s">
        <v>70</v>
      </c>
      <c r="F1170">
        <v>296</v>
      </c>
      <c r="G1170" t="s">
        <v>71</v>
      </c>
      <c r="H1170" t="s">
        <v>50</v>
      </c>
      <c r="K1170" t="s">
        <v>52</v>
      </c>
      <c r="L1170">
        <v>1</v>
      </c>
      <c r="M1170" t="s">
        <v>52</v>
      </c>
      <c r="N1170" t="s">
        <v>53</v>
      </c>
      <c r="Q1170">
        <v>224.33330000000001</v>
      </c>
      <c r="R1170">
        <v>0</v>
      </c>
      <c r="S1170">
        <v>0.75</v>
      </c>
      <c r="U1170">
        <v>0</v>
      </c>
      <c r="W1170" s="1">
        <v>46675</v>
      </c>
      <c r="X1170" s="1">
        <v>46357</v>
      </c>
      <c r="Y1170" t="s">
        <v>54</v>
      </c>
      <c r="Z1170" t="s">
        <v>52</v>
      </c>
      <c r="AB1170" t="s">
        <v>52</v>
      </c>
      <c r="AC1170">
        <v>296</v>
      </c>
      <c r="AD1170">
        <v>1</v>
      </c>
      <c r="AK1170" t="s">
        <v>52</v>
      </c>
      <c r="AN1170" t="s">
        <v>52</v>
      </c>
      <c r="AO1170" t="s">
        <v>52</v>
      </c>
      <c r="AP1170" t="s">
        <v>52</v>
      </c>
      <c r="AQ1170" t="s">
        <v>52</v>
      </c>
      <c r="AR1170" t="s">
        <v>55</v>
      </c>
    </row>
    <row r="1171" spans="1:45" x14ac:dyDescent="0.25">
      <c r="A1171" t="s">
        <v>47</v>
      </c>
      <c r="B1171">
        <v>8</v>
      </c>
      <c r="C1171" t="s">
        <v>197</v>
      </c>
      <c r="D1171">
        <v>107</v>
      </c>
      <c r="E1171" t="s">
        <v>70</v>
      </c>
      <c r="F1171">
        <v>296</v>
      </c>
      <c r="G1171" t="s">
        <v>73</v>
      </c>
      <c r="H1171" t="s">
        <v>50</v>
      </c>
      <c r="K1171" t="s">
        <v>51</v>
      </c>
      <c r="L1171">
        <v>1</v>
      </c>
      <c r="M1171" t="s">
        <v>52</v>
      </c>
      <c r="N1171" t="s">
        <v>53</v>
      </c>
      <c r="R1171">
        <v>0</v>
      </c>
      <c r="S1171">
        <v>0.75</v>
      </c>
      <c r="T1171">
        <v>0</v>
      </c>
      <c r="U1171">
        <v>0</v>
      </c>
      <c r="W1171" s="1">
        <v>46675</v>
      </c>
      <c r="X1171" s="1">
        <v>46357</v>
      </c>
      <c r="Z1171" t="s">
        <v>52</v>
      </c>
      <c r="AB1171" t="s">
        <v>52</v>
      </c>
      <c r="AC1171">
        <v>296</v>
      </c>
      <c r="AD1171">
        <v>1</v>
      </c>
      <c r="AK1171" t="s">
        <v>52</v>
      </c>
      <c r="AN1171" t="s">
        <v>52</v>
      </c>
      <c r="AO1171" t="s">
        <v>52</v>
      </c>
      <c r="AP1171" t="s">
        <v>52</v>
      </c>
      <c r="AQ1171" t="s">
        <v>52</v>
      </c>
      <c r="AR1171" t="s">
        <v>55</v>
      </c>
    </row>
    <row r="1172" spans="1:45" x14ac:dyDescent="0.25">
      <c r="A1172" t="s">
        <v>47</v>
      </c>
      <c r="B1172">
        <v>8</v>
      </c>
      <c r="C1172" t="s">
        <v>197</v>
      </c>
      <c r="D1172">
        <v>107</v>
      </c>
      <c r="E1172" t="s">
        <v>70</v>
      </c>
      <c r="F1172">
        <v>296</v>
      </c>
      <c r="G1172" t="s">
        <v>73</v>
      </c>
      <c r="H1172" t="s">
        <v>50</v>
      </c>
      <c r="K1172" t="s">
        <v>52</v>
      </c>
      <c r="L1172">
        <v>1</v>
      </c>
      <c r="M1172" t="s">
        <v>52</v>
      </c>
      <c r="N1172" t="s">
        <v>53</v>
      </c>
      <c r="R1172">
        <v>0</v>
      </c>
      <c r="S1172">
        <v>0.75</v>
      </c>
      <c r="T1172">
        <v>0</v>
      </c>
      <c r="U1172">
        <v>0</v>
      </c>
      <c r="W1172" s="1">
        <v>46675</v>
      </c>
      <c r="X1172" s="1">
        <v>46357</v>
      </c>
      <c r="Z1172" t="s">
        <v>52</v>
      </c>
      <c r="AB1172" t="s">
        <v>52</v>
      </c>
      <c r="AC1172">
        <v>296</v>
      </c>
      <c r="AD1172">
        <v>1</v>
      </c>
      <c r="AK1172" t="s">
        <v>52</v>
      </c>
      <c r="AN1172" t="s">
        <v>52</v>
      </c>
      <c r="AO1172" t="s">
        <v>52</v>
      </c>
      <c r="AP1172" t="s">
        <v>52</v>
      </c>
      <c r="AQ1172" t="s">
        <v>52</v>
      </c>
      <c r="AR1172" t="s">
        <v>55</v>
      </c>
    </row>
    <row r="1173" spans="1:45" x14ac:dyDescent="0.25">
      <c r="A1173" t="s">
        <v>47</v>
      </c>
      <c r="B1173">
        <v>8</v>
      </c>
      <c r="C1173" t="s">
        <v>197</v>
      </c>
      <c r="D1173">
        <v>107</v>
      </c>
      <c r="E1173" t="s">
        <v>70</v>
      </c>
      <c r="F1173">
        <v>296</v>
      </c>
      <c r="G1173" t="s">
        <v>74</v>
      </c>
      <c r="H1173" t="s">
        <v>50</v>
      </c>
      <c r="K1173" t="s">
        <v>51</v>
      </c>
      <c r="L1173">
        <v>1</v>
      </c>
      <c r="M1173" t="s">
        <v>52</v>
      </c>
      <c r="N1173" t="s">
        <v>53</v>
      </c>
      <c r="R1173">
        <v>0</v>
      </c>
      <c r="S1173">
        <v>0.75</v>
      </c>
      <c r="U1173">
        <v>0</v>
      </c>
      <c r="W1173" s="1">
        <v>46675</v>
      </c>
      <c r="X1173" s="1">
        <v>46357</v>
      </c>
      <c r="Z1173" t="s">
        <v>52</v>
      </c>
      <c r="AB1173" t="s">
        <v>52</v>
      </c>
      <c r="AC1173">
        <v>102</v>
      </c>
      <c r="AD1173">
        <v>1</v>
      </c>
      <c r="AK1173" t="s">
        <v>52</v>
      </c>
      <c r="AN1173" t="s">
        <v>52</v>
      </c>
      <c r="AO1173" t="s">
        <v>52</v>
      </c>
      <c r="AP1173" t="s">
        <v>52</v>
      </c>
      <c r="AQ1173" t="s">
        <v>52</v>
      </c>
      <c r="AR1173" t="s">
        <v>55</v>
      </c>
    </row>
    <row r="1174" spans="1:45" x14ac:dyDescent="0.25">
      <c r="A1174" t="s">
        <v>47</v>
      </c>
      <c r="B1174">
        <v>8</v>
      </c>
      <c r="C1174" t="s">
        <v>197</v>
      </c>
      <c r="D1174">
        <v>107</v>
      </c>
      <c r="E1174" t="s">
        <v>70</v>
      </c>
      <c r="F1174">
        <v>296</v>
      </c>
      <c r="G1174" t="s">
        <v>74</v>
      </c>
      <c r="H1174" t="s">
        <v>50</v>
      </c>
      <c r="K1174" t="s">
        <v>52</v>
      </c>
      <c r="L1174">
        <v>1</v>
      </c>
      <c r="M1174" t="s">
        <v>52</v>
      </c>
      <c r="N1174" t="s">
        <v>53</v>
      </c>
      <c r="R1174">
        <v>0</v>
      </c>
      <c r="S1174">
        <v>0.75</v>
      </c>
      <c r="U1174">
        <v>0</v>
      </c>
      <c r="W1174" s="1">
        <v>46675</v>
      </c>
      <c r="X1174" s="1">
        <v>46357</v>
      </c>
      <c r="Z1174" t="s">
        <v>52</v>
      </c>
      <c r="AB1174" t="s">
        <v>52</v>
      </c>
      <c r="AC1174">
        <v>102</v>
      </c>
      <c r="AD1174">
        <v>1</v>
      </c>
      <c r="AK1174" t="s">
        <v>52</v>
      </c>
      <c r="AN1174" t="s">
        <v>52</v>
      </c>
      <c r="AO1174" t="s">
        <v>52</v>
      </c>
      <c r="AP1174" t="s">
        <v>52</v>
      </c>
      <c r="AQ1174" t="s">
        <v>52</v>
      </c>
      <c r="AR1174" t="s">
        <v>55</v>
      </c>
    </row>
    <row r="1175" spans="1:45" x14ac:dyDescent="0.25">
      <c r="A1175" t="s">
        <v>47</v>
      </c>
      <c r="B1175">
        <v>8</v>
      </c>
      <c r="C1175" t="s">
        <v>197</v>
      </c>
      <c r="D1175">
        <v>107</v>
      </c>
      <c r="E1175" t="s">
        <v>75</v>
      </c>
      <c r="F1175">
        <v>16</v>
      </c>
      <c r="G1175" t="s">
        <v>76</v>
      </c>
      <c r="H1175" t="s">
        <v>50</v>
      </c>
      <c r="K1175" t="s">
        <v>51</v>
      </c>
      <c r="L1175">
        <v>1</v>
      </c>
      <c r="M1175" t="s">
        <v>52</v>
      </c>
      <c r="N1175" t="s">
        <v>53</v>
      </c>
      <c r="R1175">
        <v>0.5</v>
      </c>
      <c r="S1175">
        <v>0.75</v>
      </c>
      <c r="U1175">
        <v>0</v>
      </c>
      <c r="V1175" s="1">
        <v>46583</v>
      </c>
      <c r="W1175" s="1">
        <v>46691</v>
      </c>
      <c r="X1175" s="1">
        <v>46461</v>
      </c>
      <c r="Z1175" t="s">
        <v>52</v>
      </c>
      <c r="AB1175" t="s">
        <v>52</v>
      </c>
      <c r="AC1175">
        <v>16</v>
      </c>
      <c r="AD1175">
        <v>2</v>
      </c>
      <c r="AK1175" t="s">
        <v>52</v>
      </c>
      <c r="AN1175" t="s">
        <v>52</v>
      </c>
      <c r="AO1175" t="s">
        <v>52</v>
      </c>
      <c r="AP1175" t="s">
        <v>52</v>
      </c>
      <c r="AQ1175" t="s">
        <v>52</v>
      </c>
      <c r="AR1175" t="s">
        <v>55</v>
      </c>
    </row>
    <row r="1176" spans="1:45" x14ac:dyDescent="0.25">
      <c r="A1176" t="s">
        <v>47</v>
      </c>
      <c r="B1176">
        <v>8</v>
      </c>
      <c r="C1176" t="s">
        <v>197</v>
      </c>
      <c r="D1176">
        <v>107</v>
      </c>
      <c r="E1176" t="s">
        <v>75</v>
      </c>
      <c r="F1176">
        <v>16</v>
      </c>
      <c r="G1176" t="s">
        <v>76</v>
      </c>
      <c r="H1176" t="s">
        <v>50</v>
      </c>
      <c r="K1176" t="s">
        <v>52</v>
      </c>
      <c r="L1176">
        <v>1</v>
      </c>
      <c r="M1176" t="s">
        <v>52</v>
      </c>
      <c r="N1176" t="s">
        <v>53</v>
      </c>
      <c r="R1176">
        <v>0.5</v>
      </c>
      <c r="S1176">
        <v>0.75</v>
      </c>
      <c r="U1176">
        <v>0</v>
      </c>
      <c r="V1176" s="1">
        <v>46583</v>
      </c>
      <c r="W1176" s="1">
        <v>46691</v>
      </c>
      <c r="X1176" s="1">
        <v>46461</v>
      </c>
      <c r="Z1176" t="s">
        <v>52</v>
      </c>
      <c r="AB1176" t="s">
        <v>52</v>
      </c>
      <c r="AC1176">
        <v>16</v>
      </c>
      <c r="AD1176">
        <v>2</v>
      </c>
      <c r="AK1176" t="s">
        <v>52</v>
      </c>
      <c r="AN1176" t="s">
        <v>52</v>
      </c>
      <c r="AO1176" t="s">
        <v>52</v>
      </c>
      <c r="AP1176" t="s">
        <v>52</v>
      </c>
      <c r="AQ1176" t="s">
        <v>52</v>
      </c>
      <c r="AR1176" t="s">
        <v>55</v>
      </c>
    </row>
    <row r="1177" spans="1:45" x14ac:dyDescent="0.25">
      <c r="A1177" t="s">
        <v>47</v>
      </c>
      <c r="B1177">
        <v>8</v>
      </c>
      <c r="C1177" t="s">
        <v>197</v>
      </c>
      <c r="D1177">
        <v>107</v>
      </c>
      <c r="E1177" t="s">
        <v>125</v>
      </c>
      <c r="F1177">
        <v>67</v>
      </c>
      <c r="G1177" t="s">
        <v>164</v>
      </c>
      <c r="H1177" t="s">
        <v>50</v>
      </c>
      <c r="K1177" t="s">
        <v>52</v>
      </c>
      <c r="L1177">
        <v>1</v>
      </c>
      <c r="M1177" t="s">
        <v>52</v>
      </c>
      <c r="N1177" t="s">
        <v>53</v>
      </c>
      <c r="R1177">
        <v>0.5</v>
      </c>
      <c r="S1177">
        <v>0.87</v>
      </c>
      <c r="U1177">
        <v>0</v>
      </c>
      <c r="V1177" s="1">
        <v>46583</v>
      </c>
      <c r="W1177" s="1">
        <v>46691</v>
      </c>
      <c r="X1177" s="1">
        <v>46461</v>
      </c>
      <c r="Z1177" t="s">
        <v>52</v>
      </c>
      <c r="AB1177" t="s">
        <v>52</v>
      </c>
      <c r="AC1177">
        <v>67</v>
      </c>
      <c r="AD1177">
        <v>1</v>
      </c>
      <c r="AK1177" t="s">
        <v>52</v>
      </c>
      <c r="AN1177" t="s">
        <v>52</v>
      </c>
      <c r="AO1177" t="s">
        <v>52</v>
      </c>
      <c r="AP1177" t="s">
        <v>52</v>
      </c>
      <c r="AQ1177" t="s">
        <v>52</v>
      </c>
      <c r="AR1177" t="s">
        <v>55</v>
      </c>
      <c r="AS1177" t="s">
        <v>60</v>
      </c>
    </row>
    <row r="1178" spans="1:45" x14ac:dyDescent="0.25">
      <c r="A1178" t="s">
        <v>47</v>
      </c>
      <c r="B1178">
        <v>8</v>
      </c>
      <c r="C1178" t="s">
        <v>197</v>
      </c>
      <c r="D1178">
        <v>107</v>
      </c>
      <c r="E1178" t="s">
        <v>125</v>
      </c>
      <c r="F1178">
        <v>67</v>
      </c>
      <c r="G1178" t="s">
        <v>198</v>
      </c>
      <c r="H1178" t="s">
        <v>50</v>
      </c>
      <c r="K1178" t="s">
        <v>52</v>
      </c>
      <c r="L1178">
        <v>1</v>
      </c>
      <c r="M1178" t="s">
        <v>52</v>
      </c>
      <c r="N1178" t="s">
        <v>53</v>
      </c>
      <c r="R1178">
        <v>0.5</v>
      </c>
      <c r="S1178">
        <v>0.87</v>
      </c>
      <c r="U1178">
        <v>0</v>
      </c>
      <c r="V1178" s="1">
        <v>46583</v>
      </c>
      <c r="W1178" s="1">
        <v>46691</v>
      </c>
      <c r="X1178" s="1">
        <v>46461</v>
      </c>
      <c r="Z1178" t="s">
        <v>52</v>
      </c>
      <c r="AB1178" t="s">
        <v>52</v>
      </c>
      <c r="AC1178">
        <v>67</v>
      </c>
      <c r="AD1178">
        <v>1</v>
      </c>
      <c r="AK1178" t="s">
        <v>52</v>
      </c>
      <c r="AN1178" t="s">
        <v>52</v>
      </c>
      <c r="AO1178" t="s">
        <v>52</v>
      </c>
      <c r="AP1178" t="s">
        <v>52</v>
      </c>
      <c r="AQ1178" t="s">
        <v>52</v>
      </c>
      <c r="AR1178" t="s">
        <v>55</v>
      </c>
      <c r="AS1178" t="s">
        <v>60</v>
      </c>
    </row>
    <row r="1179" spans="1:45" x14ac:dyDescent="0.25">
      <c r="A1179" t="s">
        <v>47</v>
      </c>
      <c r="B1179">
        <v>8</v>
      </c>
      <c r="C1179" t="s">
        <v>197</v>
      </c>
      <c r="D1179">
        <v>107</v>
      </c>
      <c r="E1179" t="s">
        <v>94</v>
      </c>
      <c r="F1179">
        <v>26</v>
      </c>
      <c r="H1179" t="s">
        <v>50</v>
      </c>
      <c r="K1179" t="s">
        <v>51</v>
      </c>
      <c r="L1179">
        <v>1</v>
      </c>
      <c r="M1179" t="s">
        <v>52</v>
      </c>
      <c r="N1179" t="s">
        <v>53</v>
      </c>
      <c r="R1179">
        <v>0</v>
      </c>
      <c r="S1179">
        <v>0.92</v>
      </c>
      <c r="U1179">
        <v>0</v>
      </c>
      <c r="W1179" s="1">
        <v>46731</v>
      </c>
      <c r="X1179" s="1">
        <v>46357</v>
      </c>
      <c r="Z1179" t="s">
        <v>52</v>
      </c>
      <c r="AB1179" t="s">
        <v>52</v>
      </c>
      <c r="AC1179">
        <v>102</v>
      </c>
      <c r="AD1179">
        <v>1</v>
      </c>
      <c r="AK1179" t="s">
        <v>52</v>
      </c>
      <c r="AN1179" t="s">
        <v>52</v>
      </c>
      <c r="AO1179" t="s">
        <v>52</v>
      </c>
      <c r="AP1179" t="s">
        <v>52</v>
      </c>
      <c r="AQ1179" t="s">
        <v>52</v>
      </c>
      <c r="AR1179" t="s">
        <v>55</v>
      </c>
    </row>
    <row r="1180" spans="1:45" x14ac:dyDescent="0.25">
      <c r="A1180" t="s">
        <v>47</v>
      </c>
      <c r="B1180">
        <v>8</v>
      </c>
      <c r="C1180" t="s">
        <v>197</v>
      </c>
      <c r="D1180">
        <v>107</v>
      </c>
      <c r="E1180" t="s">
        <v>94</v>
      </c>
      <c r="F1180">
        <v>26</v>
      </c>
      <c r="H1180" t="s">
        <v>50</v>
      </c>
      <c r="K1180" t="s">
        <v>52</v>
      </c>
      <c r="L1180">
        <v>1</v>
      </c>
      <c r="M1180" t="s">
        <v>52</v>
      </c>
      <c r="N1180" t="s">
        <v>53</v>
      </c>
      <c r="R1180">
        <v>0</v>
      </c>
      <c r="S1180">
        <v>0.92</v>
      </c>
      <c r="U1180">
        <v>0</v>
      </c>
      <c r="W1180" s="1">
        <v>46731</v>
      </c>
      <c r="X1180" s="1">
        <v>46357</v>
      </c>
      <c r="Z1180" t="s">
        <v>52</v>
      </c>
      <c r="AB1180" t="s">
        <v>52</v>
      </c>
      <c r="AC1180">
        <v>102</v>
      </c>
      <c r="AD1180">
        <v>1</v>
      </c>
      <c r="AK1180" t="s">
        <v>52</v>
      </c>
      <c r="AN1180" t="s">
        <v>52</v>
      </c>
      <c r="AO1180" t="s">
        <v>52</v>
      </c>
      <c r="AP1180" t="s">
        <v>52</v>
      </c>
      <c r="AQ1180" t="s">
        <v>52</v>
      </c>
      <c r="AR1180" t="s">
        <v>55</v>
      </c>
    </row>
    <row r="1181" spans="1:45" x14ac:dyDescent="0.25">
      <c r="A1181" t="s">
        <v>47</v>
      </c>
      <c r="B1181">
        <v>8</v>
      </c>
      <c r="C1181" t="s">
        <v>197</v>
      </c>
      <c r="D1181">
        <v>107</v>
      </c>
      <c r="E1181" t="s">
        <v>83</v>
      </c>
      <c r="F1181">
        <v>158</v>
      </c>
      <c r="H1181" t="s">
        <v>50</v>
      </c>
      <c r="K1181" t="s">
        <v>51</v>
      </c>
      <c r="L1181">
        <v>1</v>
      </c>
      <c r="M1181" t="s">
        <v>52</v>
      </c>
      <c r="N1181" t="s">
        <v>53</v>
      </c>
      <c r="P1181">
        <v>1.3</v>
      </c>
      <c r="R1181">
        <v>0.77</v>
      </c>
      <c r="S1181">
        <v>0.93</v>
      </c>
      <c r="U1181">
        <v>0</v>
      </c>
      <c r="V1181" s="1">
        <v>46522</v>
      </c>
      <c r="W1181" s="1">
        <v>46691</v>
      </c>
      <c r="X1181" s="1">
        <v>46266</v>
      </c>
      <c r="Z1181" t="s">
        <v>52</v>
      </c>
      <c r="AA1181" t="s">
        <v>54</v>
      </c>
      <c r="AB1181" t="s">
        <v>52</v>
      </c>
      <c r="AC1181">
        <v>158</v>
      </c>
      <c r="AD1181">
        <v>2</v>
      </c>
      <c r="AE1181">
        <v>0.75</v>
      </c>
      <c r="AF1181">
        <v>0.97499999999999998</v>
      </c>
      <c r="AG1181">
        <v>0.75</v>
      </c>
      <c r="AH1181">
        <v>0.97499999999999998</v>
      </c>
      <c r="AK1181" t="s">
        <v>52</v>
      </c>
      <c r="AN1181" t="s">
        <v>52</v>
      </c>
      <c r="AO1181" t="s">
        <v>52</v>
      </c>
      <c r="AP1181" t="s">
        <v>52</v>
      </c>
      <c r="AQ1181" t="s">
        <v>52</v>
      </c>
      <c r="AR1181" t="s">
        <v>95</v>
      </c>
    </row>
    <row r="1182" spans="1:45" x14ac:dyDescent="0.25">
      <c r="A1182" t="s">
        <v>47</v>
      </c>
      <c r="B1182">
        <v>8</v>
      </c>
      <c r="C1182" t="s">
        <v>197</v>
      </c>
      <c r="D1182">
        <v>107</v>
      </c>
      <c r="E1182" t="s">
        <v>83</v>
      </c>
      <c r="F1182">
        <v>158</v>
      </c>
      <c r="H1182" t="s">
        <v>50</v>
      </c>
      <c r="K1182" t="s">
        <v>52</v>
      </c>
      <c r="L1182">
        <v>1</v>
      </c>
      <c r="M1182" t="s">
        <v>52</v>
      </c>
      <c r="N1182" t="s">
        <v>53</v>
      </c>
      <c r="R1182">
        <v>0.77</v>
      </c>
      <c r="S1182">
        <v>0.93</v>
      </c>
      <c r="U1182">
        <v>0</v>
      </c>
      <c r="V1182" s="1">
        <v>46522</v>
      </c>
      <c r="W1182" s="1">
        <v>46691</v>
      </c>
      <c r="X1182" s="1">
        <v>46266</v>
      </c>
      <c r="Z1182" t="s">
        <v>52</v>
      </c>
      <c r="AB1182" t="s">
        <v>52</v>
      </c>
      <c r="AC1182">
        <v>158</v>
      </c>
      <c r="AD1182">
        <v>2</v>
      </c>
      <c r="AE1182">
        <v>0.75</v>
      </c>
      <c r="AG1182">
        <v>0.75</v>
      </c>
      <c r="AK1182" t="s">
        <v>52</v>
      </c>
      <c r="AN1182" t="s">
        <v>52</v>
      </c>
      <c r="AO1182" t="s">
        <v>52</v>
      </c>
      <c r="AP1182" t="s">
        <v>52</v>
      </c>
      <c r="AQ1182" t="s">
        <v>52</v>
      </c>
      <c r="AR1182" t="s">
        <v>55</v>
      </c>
    </row>
    <row r="1183" spans="1:45" x14ac:dyDescent="0.25">
      <c r="A1183" t="s">
        <v>47</v>
      </c>
      <c r="B1183">
        <v>8</v>
      </c>
      <c r="C1183" t="s">
        <v>199</v>
      </c>
      <c r="D1183">
        <v>109</v>
      </c>
      <c r="E1183" t="s">
        <v>49</v>
      </c>
      <c r="F1183">
        <v>27</v>
      </c>
      <c r="H1183" t="s">
        <v>50</v>
      </c>
      <c r="K1183" t="s">
        <v>51</v>
      </c>
      <c r="L1183">
        <v>1</v>
      </c>
      <c r="M1183" t="s">
        <v>52</v>
      </c>
      <c r="N1183" t="s">
        <v>53</v>
      </c>
      <c r="Q1183">
        <v>230</v>
      </c>
      <c r="R1183">
        <v>0</v>
      </c>
      <c r="S1183">
        <v>0.75</v>
      </c>
      <c r="T1183">
        <v>0</v>
      </c>
      <c r="U1183">
        <v>0</v>
      </c>
      <c r="W1183" s="1">
        <v>46675</v>
      </c>
      <c r="X1183" s="1">
        <v>46357</v>
      </c>
      <c r="Y1183" t="s">
        <v>54</v>
      </c>
      <c r="Z1183" t="s">
        <v>52</v>
      </c>
      <c r="AB1183" t="s">
        <v>52</v>
      </c>
      <c r="AC1183">
        <v>27</v>
      </c>
      <c r="AD1183">
        <v>1</v>
      </c>
      <c r="AE1183">
        <v>0.97</v>
      </c>
      <c r="AG1183">
        <v>0.97</v>
      </c>
      <c r="AK1183" t="s">
        <v>52</v>
      </c>
      <c r="AN1183" t="s">
        <v>52</v>
      </c>
      <c r="AO1183" t="s">
        <v>52</v>
      </c>
      <c r="AP1183" t="s">
        <v>52</v>
      </c>
      <c r="AQ1183" t="s">
        <v>52</v>
      </c>
      <c r="AR1183" t="s">
        <v>55</v>
      </c>
      <c r="AS1183" t="s">
        <v>56</v>
      </c>
    </row>
    <row r="1184" spans="1:45" x14ac:dyDescent="0.25">
      <c r="A1184" t="s">
        <v>47</v>
      </c>
      <c r="B1184">
        <v>8</v>
      </c>
      <c r="C1184" t="s">
        <v>199</v>
      </c>
      <c r="D1184">
        <v>109</v>
      </c>
      <c r="E1184" t="s">
        <v>58</v>
      </c>
      <c r="F1184">
        <v>102</v>
      </c>
      <c r="G1184" t="s">
        <v>200</v>
      </c>
      <c r="H1184" t="s">
        <v>50</v>
      </c>
      <c r="K1184" t="s">
        <v>51</v>
      </c>
      <c r="L1184">
        <v>1</v>
      </c>
      <c r="M1184" t="s">
        <v>52</v>
      </c>
      <c r="N1184" t="s">
        <v>53</v>
      </c>
      <c r="R1184">
        <v>0</v>
      </c>
      <c r="S1184">
        <v>0.92</v>
      </c>
      <c r="T1184">
        <v>0</v>
      </c>
      <c r="U1184">
        <v>0</v>
      </c>
      <c r="W1184" s="1">
        <v>46731</v>
      </c>
      <c r="X1184" s="1">
        <v>46357</v>
      </c>
      <c r="Z1184" t="s">
        <v>52</v>
      </c>
      <c r="AB1184" t="s">
        <v>52</v>
      </c>
      <c r="AC1184">
        <v>102</v>
      </c>
      <c r="AD1184">
        <v>1</v>
      </c>
      <c r="AK1184" t="s">
        <v>52</v>
      </c>
      <c r="AN1184" t="s">
        <v>52</v>
      </c>
      <c r="AO1184" t="s">
        <v>52</v>
      </c>
      <c r="AP1184" t="s">
        <v>52</v>
      </c>
      <c r="AQ1184" t="s">
        <v>52</v>
      </c>
      <c r="AR1184" t="s">
        <v>55</v>
      </c>
    </row>
    <row r="1185" spans="1:45" x14ac:dyDescent="0.25">
      <c r="A1185" t="s">
        <v>47</v>
      </c>
      <c r="B1185">
        <v>8</v>
      </c>
      <c r="C1185" t="s">
        <v>199</v>
      </c>
      <c r="D1185">
        <v>109</v>
      </c>
      <c r="E1185" t="s">
        <v>58</v>
      </c>
      <c r="F1185">
        <v>102</v>
      </c>
      <c r="G1185" t="s">
        <v>62</v>
      </c>
      <c r="H1185" t="s">
        <v>50</v>
      </c>
      <c r="K1185" t="s">
        <v>51</v>
      </c>
      <c r="L1185">
        <v>1</v>
      </c>
      <c r="M1185" t="s">
        <v>52</v>
      </c>
      <c r="N1185" t="s">
        <v>53</v>
      </c>
      <c r="R1185">
        <v>0</v>
      </c>
      <c r="S1185">
        <v>0.92</v>
      </c>
      <c r="T1185">
        <v>0</v>
      </c>
      <c r="U1185">
        <v>0</v>
      </c>
      <c r="W1185" s="1">
        <v>46731</v>
      </c>
      <c r="X1185" s="1">
        <v>46357</v>
      </c>
      <c r="Z1185" t="s">
        <v>52</v>
      </c>
      <c r="AB1185" t="s">
        <v>52</v>
      </c>
      <c r="AC1185">
        <v>102</v>
      </c>
      <c r="AD1185">
        <v>1</v>
      </c>
      <c r="AK1185" t="s">
        <v>52</v>
      </c>
      <c r="AN1185" t="s">
        <v>52</v>
      </c>
      <c r="AO1185" t="s">
        <v>52</v>
      </c>
      <c r="AP1185" t="s">
        <v>52</v>
      </c>
      <c r="AQ1185" t="s">
        <v>52</v>
      </c>
      <c r="AR1185" t="s">
        <v>55</v>
      </c>
    </row>
    <row r="1186" spans="1:45" x14ac:dyDescent="0.25">
      <c r="A1186" t="s">
        <v>47</v>
      </c>
      <c r="B1186">
        <v>8</v>
      </c>
      <c r="C1186" t="s">
        <v>199</v>
      </c>
      <c r="D1186">
        <v>109</v>
      </c>
      <c r="E1186" t="s">
        <v>58</v>
      </c>
      <c r="F1186">
        <v>102</v>
      </c>
      <c r="G1186" t="s">
        <v>62</v>
      </c>
      <c r="H1186" t="s">
        <v>50</v>
      </c>
      <c r="K1186" t="s">
        <v>52</v>
      </c>
      <c r="L1186">
        <v>1</v>
      </c>
      <c r="M1186" t="s">
        <v>52</v>
      </c>
      <c r="N1186" t="s">
        <v>53</v>
      </c>
      <c r="R1186">
        <v>0</v>
      </c>
      <c r="S1186">
        <v>0.92</v>
      </c>
      <c r="T1186">
        <v>0</v>
      </c>
      <c r="U1186">
        <v>0</v>
      </c>
      <c r="W1186" s="1">
        <v>46731</v>
      </c>
      <c r="X1186" s="1">
        <v>46357</v>
      </c>
      <c r="Z1186" t="s">
        <v>52</v>
      </c>
      <c r="AB1186" t="s">
        <v>52</v>
      </c>
      <c r="AC1186">
        <v>102</v>
      </c>
      <c r="AD1186">
        <v>1</v>
      </c>
      <c r="AK1186" t="s">
        <v>52</v>
      </c>
      <c r="AN1186" t="s">
        <v>52</v>
      </c>
      <c r="AO1186" t="s">
        <v>52</v>
      </c>
      <c r="AP1186" t="s">
        <v>52</v>
      </c>
      <c r="AQ1186" t="s">
        <v>52</v>
      </c>
      <c r="AR1186" t="s">
        <v>55</v>
      </c>
    </row>
    <row r="1187" spans="1:45" x14ac:dyDescent="0.25">
      <c r="A1187" t="s">
        <v>47</v>
      </c>
      <c r="B1187">
        <v>8</v>
      </c>
      <c r="C1187" t="s">
        <v>199</v>
      </c>
      <c r="D1187">
        <v>109</v>
      </c>
      <c r="E1187" t="s">
        <v>58</v>
      </c>
      <c r="F1187">
        <v>102</v>
      </c>
      <c r="G1187" t="s">
        <v>64</v>
      </c>
      <c r="H1187" t="s">
        <v>50</v>
      </c>
      <c r="K1187" t="s">
        <v>51</v>
      </c>
      <c r="L1187">
        <v>1</v>
      </c>
      <c r="M1187" t="s">
        <v>52</v>
      </c>
      <c r="N1187" t="s">
        <v>53</v>
      </c>
      <c r="R1187">
        <v>0</v>
      </c>
      <c r="S1187">
        <v>0.92</v>
      </c>
      <c r="T1187">
        <v>0</v>
      </c>
      <c r="U1187">
        <v>0</v>
      </c>
      <c r="W1187" s="1">
        <v>46731</v>
      </c>
      <c r="X1187" s="1">
        <v>46357</v>
      </c>
      <c r="Z1187" t="s">
        <v>52</v>
      </c>
      <c r="AB1187" t="s">
        <v>52</v>
      </c>
      <c r="AC1187">
        <v>102</v>
      </c>
      <c r="AD1187">
        <v>1</v>
      </c>
      <c r="AK1187" t="s">
        <v>52</v>
      </c>
      <c r="AN1187" t="s">
        <v>52</v>
      </c>
      <c r="AO1187" t="s">
        <v>52</v>
      </c>
      <c r="AP1187" t="s">
        <v>52</v>
      </c>
      <c r="AQ1187" t="s">
        <v>52</v>
      </c>
      <c r="AR1187" t="s">
        <v>55</v>
      </c>
    </row>
    <row r="1188" spans="1:45" x14ac:dyDescent="0.25">
      <c r="A1188" t="s">
        <v>47</v>
      </c>
      <c r="B1188">
        <v>8</v>
      </c>
      <c r="C1188" t="s">
        <v>199</v>
      </c>
      <c r="D1188">
        <v>109</v>
      </c>
      <c r="E1188" t="s">
        <v>58</v>
      </c>
      <c r="F1188">
        <v>102</v>
      </c>
      <c r="G1188" t="s">
        <v>127</v>
      </c>
      <c r="H1188" t="s">
        <v>50</v>
      </c>
      <c r="K1188" t="s">
        <v>51</v>
      </c>
      <c r="L1188">
        <v>1</v>
      </c>
      <c r="M1188" t="s">
        <v>52</v>
      </c>
      <c r="N1188" t="s">
        <v>53</v>
      </c>
      <c r="R1188">
        <v>0</v>
      </c>
      <c r="S1188">
        <v>0.92</v>
      </c>
      <c r="T1188">
        <v>0</v>
      </c>
      <c r="U1188">
        <v>0</v>
      </c>
      <c r="W1188" s="1">
        <v>46731</v>
      </c>
      <c r="X1188" s="1">
        <v>46357</v>
      </c>
      <c r="Z1188" t="s">
        <v>52</v>
      </c>
      <c r="AB1188" t="s">
        <v>52</v>
      </c>
      <c r="AC1188">
        <v>102</v>
      </c>
      <c r="AD1188">
        <v>1</v>
      </c>
      <c r="AK1188" t="s">
        <v>52</v>
      </c>
      <c r="AN1188" t="s">
        <v>52</v>
      </c>
      <c r="AO1188" t="s">
        <v>52</v>
      </c>
      <c r="AP1188" t="s">
        <v>52</v>
      </c>
      <c r="AQ1188" t="s">
        <v>52</v>
      </c>
      <c r="AR1188" t="s">
        <v>55</v>
      </c>
      <c r="AS1188" t="s">
        <v>60</v>
      </c>
    </row>
    <row r="1189" spans="1:45" x14ac:dyDescent="0.25">
      <c r="A1189" t="s">
        <v>47</v>
      </c>
      <c r="B1189">
        <v>8</v>
      </c>
      <c r="C1189" t="s">
        <v>199</v>
      </c>
      <c r="D1189">
        <v>109</v>
      </c>
      <c r="E1189" t="s">
        <v>58</v>
      </c>
      <c r="F1189">
        <v>102</v>
      </c>
      <c r="G1189" t="s">
        <v>201</v>
      </c>
      <c r="H1189" t="s">
        <v>50</v>
      </c>
      <c r="K1189" t="s">
        <v>51</v>
      </c>
      <c r="L1189">
        <v>1</v>
      </c>
      <c r="M1189" t="s">
        <v>52</v>
      </c>
      <c r="N1189" t="s">
        <v>53</v>
      </c>
      <c r="R1189">
        <v>0</v>
      </c>
      <c r="S1189">
        <v>0.92</v>
      </c>
      <c r="T1189">
        <v>0</v>
      </c>
      <c r="U1189">
        <v>0</v>
      </c>
      <c r="W1189" s="1">
        <v>46731</v>
      </c>
      <c r="X1189" s="1">
        <v>46357</v>
      </c>
      <c r="Z1189" t="s">
        <v>52</v>
      </c>
      <c r="AB1189" t="s">
        <v>52</v>
      </c>
      <c r="AC1189">
        <v>102</v>
      </c>
      <c r="AD1189">
        <v>1</v>
      </c>
      <c r="AK1189" t="s">
        <v>52</v>
      </c>
      <c r="AN1189" t="s">
        <v>52</v>
      </c>
      <c r="AO1189" t="s">
        <v>52</v>
      </c>
      <c r="AP1189" t="s">
        <v>52</v>
      </c>
      <c r="AQ1189" t="s">
        <v>52</v>
      </c>
      <c r="AR1189" t="s">
        <v>55</v>
      </c>
    </row>
    <row r="1190" spans="1:45" x14ac:dyDescent="0.25">
      <c r="A1190" t="s">
        <v>47</v>
      </c>
      <c r="B1190">
        <v>8</v>
      </c>
      <c r="C1190" t="s">
        <v>199</v>
      </c>
      <c r="D1190">
        <v>109</v>
      </c>
      <c r="E1190" t="s">
        <v>58</v>
      </c>
      <c r="F1190">
        <v>102</v>
      </c>
      <c r="G1190" t="s">
        <v>119</v>
      </c>
      <c r="H1190" t="s">
        <v>50</v>
      </c>
      <c r="K1190" t="s">
        <v>51</v>
      </c>
      <c r="L1190">
        <v>1</v>
      </c>
      <c r="M1190" t="s">
        <v>52</v>
      </c>
      <c r="N1190" t="s">
        <v>53</v>
      </c>
      <c r="R1190">
        <v>0</v>
      </c>
      <c r="S1190">
        <v>0.92</v>
      </c>
      <c r="T1190">
        <v>0</v>
      </c>
      <c r="U1190">
        <v>0</v>
      </c>
      <c r="W1190" s="1">
        <v>46731</v>
      </c>
      <c r="X1190" s="1">
        <v>46357</v>
      </c>
      <c r="Z1190" t="s">
        <v>52</v>
      </c>
      <c r="AB1190" t="s">
        <v>52</v>
      </c>
      <c r="AC1190">
        <v>102</v>
      </c>
      <c r="AD1190">
        <v>1</v>
      </c>
      <c r="AK1190" t="s">
        <v>52</v>
      </c>
      <c r="AN1190" t="s">
        <v>52</v>
      </c>
      <c r="AO1190" t="s">
        <v>52</v>
      </c>
      <c r="AP1190" t="s">
        <v>52</v>
      </c>
      <c r="AQ1190" t="s">
        <v>52</v>
      </c>
      <c r="AR1190" t="s">
        <v>55</v>
      </c>
      <c r="AS1190" t="s">
        <v>60</v>
      </c>
    </row>
    <row r="1191" spans="1:45" x14ac:dyDescent="0.25">
      <c r="A1191" t="s">
        <v>47</v>
      </c>
      <c r="B1191">
        <v>8</v>
      </c>
      <c r="C1191" t="s">
        <v>199</v>
      </c>
      <c r="D1191">
        <v>109</v>
      </c>
      <c r="E1191" t="s">
        <v>70</v>
      </c>
      <c r="F1191">
        <v>296</v>
      </c>
      <c r="G1191" t="s">
        <v>71</v>
      </c>
      <c r="H1191" t="s">
        <v>50</v>
      </c>
      <c r="K1191" t="s">
        <v>51</v>
      </c>
      <c r="L1191">
        <v>1</v>
      </c>
      <c r="M1191" t="s">
        <v>52</v>
      </c>
      <c r="N1191" t="s">
        <v>53</v>
      </c>
      <c r="Q1191">
        <v>224.33330000000001</v>
      </c>
      <c r="R1191">
        <v>0</v>
      </c>
      <c r="S1191">
        <v>0.75</v>
      </c>
      <c r="T1191">
        <v>0</v>
      </c>
      <c r="U1191">
        <v>0</v>
      </c>
      <c r="W1191" s="1">
        <v>46675</v>
      </c>
      <c r="X1191" s="1">
        <v>46357</v>
      </c>
      <c r="Y1191" t="s">
        <v>54</v>
      </c>
      <c r="Z1191" t="s">
        <v>52</v>
      </c>
      <c r="AB1191" t="s">
        <v>52</v>
      </c>
      <c r="AC1191">
        <v>296</v>
      </c>
      <c r="AD1191">
        <v>1</v>
      </c>
      <c r="AK1191" t="s">
        <v>52</v>
      </c>
      <c r="AN1191" t="s">
        <v>52</v>
      </c>
      <c r="AO1191" t="s">
        <v>52</v>
      </c>
      <c r="AP1191" t="s">
        <v>52</v>
      </c>
      <c r="AQ1191" t="s">
        <v>52</v>
      </c>
      <c r="AR1191" t="s">
        <v>55</v>
      </c>
    </row>
    <row r="1192" spans="1:45" x14ac:dyDescent="0.25">
      <c r="A1192" t="s">
        <v>47</v>
      </c>
      <c r="B1192">
        <v>8</v>
      </c>
      <c r="C1192" t="s">
        <v>199</v>
      </c>
      <c r="D1192">
        <v>109</v>
      </c>
      <c r="E1192" t="s">
        <v>70</v>
      </c>
      <c r="F1192">
        <v>296</v>
      </c>
      <c r="G1192" t="s">
        <v>72</v>
      </c>
      <c r="H1192" t="s">
        <v>50</v>
      </c>
      <c r="K1192" t="s">
        <v>51</v>
      </c>
      <c r="L1192">
        <v>1</v>
      </c>
      <c r="M1192" t="s">
        <v>52</v>
      </c>
      <c r="N1192" t="s">
        <v>53</v>
      </c>
      <c r="R1192">
        <v>0.5</v>
      </c>
      <c r="S1192">
        <v>0.75</v>
      </c>
      <c r="T1192">
        <v>0</v>
      </c>
      <c r="U1192">
        <v>0</v>
      </c>
      <c r="V1192" s="1">
        <v>46583</v>
      </c>
      <c r="W1192" s="1">
        <v>46675</v>
      </c>
      <c r="X1192" s="1">
        <v>46357</v>
      </c>
      <c r="Z1192" t="s">
        <v>52</v>
      </c>
      <c r="AB1192" t="s">
        <v>52</v>
      </c>
      <c r="AC1192">
        <v>296</v>
      </c>
      <c r="AD1192">
        <v>1</v>
      </c>
      <c r="AK1192" t="s">
        <v>52</v>
      </c>
      <c r="AN1192" t="s">
        <v>52</v>
      </c>
      <c r="AO1192" t="s">
        <v>52</v>
      </c>
      <c r="AP1192" t="s">
        <v>52</v>
      </c>
      <c r="AQ1192" t="s">
        <v>52</v>
      </c>
      <c r="AR1192" t="s">
        <v>55</v>
      </c>
    </row>
    <row r="1193" spans="1:45" x14ac:dyDescent="0.25">
      <c r="A1193" t="s">
        <v>47</v>
      </c>
      <c r="B1193">
        <v>8</v>
      </c>
      <c r="C1193" t="s">
        <v>199</v>
      </c>
      <c r="D1193">
        <v>109</v>
      </c>
      <c r="E1193" t="s">
        <v>70</v>
      </c>
      <c r="F1193">
        <v>296</v>
      </c>
      <c r="G1193" t="s">
        <v>74</v>
      </c>
      <c r="H1193" t="s">
        <v>50</v>
      </c>
      <c r="K1193" t="s">
        <v>51</v>
      </c>
      <c r="L1193">
        <v>1</v>
      </c>
      <c r="M1193" t="s">
        <v>52</v>
      </c>
      <c r="N1193" t="s">
        <v>53</v>
      </c>
      <c r="R1193">
        <v>0</v>
      </c>
      <c r="S1193">
        <v>0.75</v>
      </c>
      <c r="T1193">
        <v>0</v>
      </c>
      <c r="U1193">
        <v>0</v>
      </c>
      <c r="W1193" s="1">
        <v>46675</v>
      </c>
      <c r="X1193" s="1">
        <v>46357</v>
      </c>
      <c r="Z1193" t="s">
        <v>52</v>
      </c>
      <c r="AB1193" t="s">
        <v>52</v>
      </c>
      <c r="AC1193">
        <v>102</v>
      </c>
      <c r="AD1193">
        <v>1</v>
      </c>
      <c r="AK1193" t="s">
        <v>52</v>
      </c>
      <c r="AN1193" t="s">
        <v>52</v>
      </c>
      <c r="AO1193" t="s">
        <v>52</v>
      </c>
      <c r="AP1193" t="s">
        <v>52</v>
      </c>
      <c r="AQ1193" t="s">
        <v>52</v>
      </c>
      <c r="AR1193" t="s">
        <v>55</v>
      </c>
    </row>
    <row r="1194" spans="1:45" x14ac:dyDescent="0.25">
      <c r="A1194" t="s">
        <v>47</v>
      </c>
      <c r="B1194">
        <v>8</v>
      </c>
      <c r="C1194" t="s">
        <v>199</v>
      </c>
      <c r="D1194">
        <v>109</v>
      </c>
      <c r="E1194" t="s">
        <v>70</v>
      </c>
      <c r="F1194">
        <v>296</v>
      </c>
      <c r="G1194" t="s">
        <v>74</v>
      </c>
      <c r="H1194" t="s">
        <v>50</v>
      </c>
      <c r="K1194" t="s">
        <v>52</v>
      </c>
      <c r="L1194">
        <v>1</v>
      </c>
      <c r="M1194" t="s">
        <v>52</v>
      </c>
      <c r="N1194" t="s">
        <v>53</v>
      </c>
      <c r="R1194">
        <v>0</v>
      </c>
      <c r="S1194">
        <v>0.75</v>
      </c>
      <c r="T1194">
        <v>0</v>
      </c>
      <c r="U1194">
        <v>0</v>
      </c>
      <c r="W1194" s="1">
        <v>46675</v>
      </c>
      <c r="X1194" s="1">
        <v>46357</v>
      </c>
      <c r="Z1194" t="s">
        <v>52</v>
      </c>
      <c r="AB1194" t="s">
        <v>52</v>
      </c>
      <c r="AC1194">
        <v>102</v>
      </c>
      <c r="AD1194">
        <v>1</v>
      </c>
      <c r="AK1194" t="s">
        <v>52</v>
      </c>
      <c r="AN1194" t="s">
        <v>52</v>
      </c>
      <c r="AO1194" t="s">
        <v>52</v>
      </c>
      <c r="AP1194" t="s">
        <v>52</v>
      </c>
      <c r="AQ1194" t="s">
        <v>52</v>
      </c>
      <c r="AR1194" t="s">
        <v>55</v>
      </c>
      <c r="AS1194" t="s">
        <v>106</v>
      </c>
    </row>
    <row r="1195" spans="1:45" x14ac:dyDescent="0.25">
      <c r="A1195" t="s">
        <v>47</v>
      </c>
      <c r="B1195">
        <v>8</v>
      </c>
      <c r="C1195" t="s">
        <v>199</v>
      </c>
      <c r="D1195">
        <v>109</v>
      </c>
      <c r="E1195" t="s">
        <v>70</v>
      </c>
      <c r="F1195">
        <v>296</v>
      </c>
      <c r="G1195" t="s">
        <v>91</v>
      </c>
      <c r="H1195" t="s">
        <v>50</v>
      </c>
      <c r="K1195" t="s">
        <v>51</v>
      </c>
      <c r="L1195">
        <v>1</v>
      </c>
      <c r="M1195" t="s">
        <v>52</v>
      </c>
      <c r="N1195" t="s">
        <v>53</v>
      </c>
      <c r="R1195">
        <v>0.5</v>
      </c>
      <c r="S1195">
        <v>0.75</v>
      </c>
      <c r="T1195">
        <v>0</v>
      </c>
      <c r="U1195">
        <v>0</v>
      </c>
      <c r="V1195" s="1">
        <v>46583</v>
      </c>
      <c r="W1195" s="1">
        <v>46675</v>
      </c>
      <c r="X1195" s="1">
        <v>46357</v>
      </c>
      <c r="Z1195" t="s">
        <v>52</v>
      </c>
      <c r="AB1195" t="s">
        <v>52</v>
      </c>
      <c r="AC1195">
        <v>102</v>
      </c>
      <c r="AD1195">
        <v>1</v>
      </c>
      <c r="AK1195" t="s">
        <v>52</v>
      </c>
      <c r="AN1195" t="s">
        <v>52</v>
      </c>
      <c r="AO1195" t="s">
        <v>52</v>
      </c>
      <c r="AP1195" t="s">
        <v>52</v>
      </c>
      <c r="AQ1195" t="s">
        <v>52</v>
      </c>
      <c r="AR1195" t="s">
        <v>55</v>
      </c>
    </row>
    <row r="1196" spans="1:45" x14ac:dyDescent="0.25">
      <c r="A1196" t="s">
        <v>47</v>
      </c>
      <c r="B1196">
        <v>8</v>
      </c>
      <c r="C1196" t="s">
        <v>199</v>
      </c>
      <c r="D1196">
        <v>109</v>
      </c>
      <c r="E1196" t="s">
        <v>70</v>
      </c>
      <c r="F1196">
        <v>296</v>
      </c>
      <c r="G1196" t="s">
        <v>92</v>
      </c>
      <c r="H1196" t="s">
        <v>50</v>
      </c>
      <c r="K1196" t="s">
        <v>51</v>
      </c>
      <c r="L1196">
        <v>1</v>
      </c>
      <c r="M1196" t="s">
        <v>52</v>
      </c>
      <c r="N1196" t="s">
        <v>53</v>
      </c>
      <c r="R1196">
        <v>0.5</v>
      </c>
      <c r="S1196">
        <v>0.75</v>
      </c>
      <c r="T1196">
        <v>0</v>
      </c>
      <c r="U1196">
        <v>0</v>
      </c>
      <c r="V1196" s="1">
        <v>46583</v>
      </c>
      <c r="W1196" s="1">
        <v>46675</v>
      </c>
      <c r="X1196" s="1">
        <v>46357</v>
      </c>
      <c r="Z1196" t="s">
        <v>52</v>
      </c>
      <c r="AB1196" t="s">
        <v>52</v>
      </c>
      <c r="AC1196">
        <v>102</v>
      </c>
      <c r="AD1196">
        <v>1</v>
      </c>
      <c r="AK1196" t="s">
        <v>52</v>
      </c>
      <c r="AN1196" t="s">
        <v>52</v>
      </c>
      <c r="AO1196" t="s">
        <v>52</v>
      </c>
      <c r="AP1196" t="s">
        <v>52</v>
      </c>
      <c r="AQ1196" t="s">
        <v>52</v>
      </c>
      <c r="AR1196" t="s">
        <v>55</v>
      </c>
    </row>
    <row r="1197" spans="1:45" x14ac:dyDescent="0.25">
      <c r="A1197" t="s">
        <v>47</v>
      </c>
      <c r="B1197">
        <v>8</v>
      </c>
      <c r="C1197" t="s">
        <v>199</v>
      </c>
      <c r="D1197">
        <v>109</v>
      </c>
      <c r="E1197" t="s">
        <v>75</v>
      </c>
      <c r="F1197">
        <v>16</v>
      </c>
      <c r="G1197" t="s">
        <v>76</v>
      </c>
      <c r="H1197" t="s">
        <v>50</v>
      </c>
      <c r="K1197" t="s">
        <v>51</v>
      </c>
      <c r="L1197">
        <v>1</v>
      </c>
      <c r="M1197" t="s">
        <v>52</v>
      </c>
      <c r="N1197" t="s">
        <v>53</v>
      </c>
      <c r="R1197">
        <v>0.5</v>
      </c>
      <c r="S1197">
        <v>0.75</v>
      </c>
      <c r="T1197">
        <v>0</v>
      </c>
      <c r="U1197">
        <v>0</v>
      </c>
      <c r="V1197" s="1">
        <v>46583</v>
      </c>
      <c r="W1197" s="1">
        <v>46691</v>
      </c>
      <c r="X1197" s="1">
        <v>46461</v>
      </c>
      <c r="Z1197" t="s">
        <v>52</v>
      </c>
      <c r="AB1197" t="s">
        <v>52</v>
      </c>
      <c r="AC1197">
        <v>16</v>
      </c>
      <c r="AD1197">
        <v>2</v>
      </c>
      <c r="AK1197" t="s">
        <v>52</v>
      </c>
      <c r="AN1197" t="s">
        <v>52</v>
      </c>
      <c r="AO1197" t="s">
        <v>52</v>
      </c>
      <c r="AP1197" t="s">
        <v>52</v>
      </c>
      <c r="AQ1197" t="s">
        <v>52</v>
      </c>
      <c r="AR1197" t="s">
        <v>55</v>
      </c>
    </row>
    <row r="1198" spans="1:45" x14ac:dyDescent="0.25">
      <c r="A1198" t="s">
        <v>47</v>
      </c>
      <c r="B1198">
        <v>8</v>
      </c>
      <c r="C1198" t="s">
        <v>199</v>
      </c>
      <c r="D1198">
        <v>109</v>
      </c>
      <c r="E1198" t="s">
        <v>93</v>
      </c>
      <c r="F1198">
        <v>94</v>
      </c>
      <c r="H1198" t="s">
        <v>50</v>
      </c>
      <c r="K1198" t="s">
        <v>51</v>
      </c>
      <c r="L1198">
        <v>1</v>
      </c>
      <c r="M1198" t="s">
        <v>52</v>
      </c>
      <c r="N1198" t="s">
        <v>53</v>
      </c>
      <c r="R1198">
        <v>0.77</v>
      </c>
      <c r="S1198">
        <v>0.93</v>
      </c>
      <c r="T1198">
        <v>0</v>
      </c>
      <c r="U1198">
        <v>0</v>
      </c>
      <c r="V1198" s="1">
        <v>46326</v>
      </c>
      <c r="W1198" s="1">
        <v>46691</v>
      </c>
      <c r="X1198" s="1">
        <v>46266</v>
      </c>
      <c r="Z1198" t="s">
        <v>52</v>
      </c>
      <c r="AB1198" t="s">
        <v>52</v>
      </c>
      <c r="AC1198">
        <v>94</v>
      </c>
      <c r="AD1198">
        <v>2</v>
      </c>
      <c r="AK1198" t="s">
        <v>52</v>
      </c>
      <c r="AN1198" t="s">
        <v>52</v>
      </c>
      <c r="AO1198" t="s">
        <v>52</v>
      </c>
      <c r="AP1198" t="s">
        <v>52</v>
      </c>
      <c r="AQ1198" t="s">
        <v>52</v>
      </c>
      <c r="AR1198" t="s">
        <v>55</v>
      </c>
      <c r="AS1198" t="s">
        <v>60</v>
      </c>
    </row>
    <row r="1199" spans="1:45" x14ac:dyDescent="0.25">
      <c r="A1199" t="s">
        <v>47</v>
      </c>
      <c r="B1199">
        <v>8</v>
      </c>
      <c r="C1199" t="s">
        <v>199</v>
      </c>
      <c r="D1199">
        <v>109</v>
      </c>
      <c r="E1199" t="s">
        <v>79</v>
      </c>
      <c r="F1199">
        <v>50</v>
      </c>
      <c r="G1199" t="s">
        <v>81</v>
      </c>
      <c r="H1199" t="s">
        <v>50</v>
      </c>
      <c r="K1199" t="s">
        <v>51</v>
      </c>
      <c r="L1199">
        <v>1</v>
      </c>
      <c r="M1199" t="s">
        <v>52</v>
      </c>
      <c r="N1199" t="s">
        <v>53</v>
      </c>
      <c r="R1199">
        <v>0.5</v>
      </c>
      <c r="S1199">
        <v>0.75</v>
      </c>
      <c r="T1199">
        <v>0</v>
      </c>
      <c r="U1199">
        <v>0</v>
      </c>
      <c r="V1199" s="1">
        <v>46583</v>
      </c>
      <c r="W1199" s="1">
        <v>46675</v>
      </c>
      <c r="X1199" s="1">
        <v>46461</v>
      </c>
      <c r="Z1199" t="s">
        <v>52</v>
      </c>
      <c r="AB1199" t="s">
        <v>52</v>
      </c>
      <c r="AC1199">
        <v>50</v>
      </c>
      <c r="AD1199">
        <v>1</v>
      </c>
      <c r="AK1199" t="s">
        <v>52</v>
      </c>
      <c r="AN1199" t="s">
        <v>52</v>
      </c>
      <c r="AO1199" t="s">
        <v>52</v>
      </c>
      <c r="AP1199" t="s">
        <v>52</v>
      </c>
      <c r="AQ1199" t="s">
        <v>52</v>
      </c>
      <c r="AR1199" t="s">
        <v>55</v>
      </c>
    </row>
    <row r="1200" spans="1:45" x14ac:dyDescent="0.25">
      <c r="A1200" t="s">
        <v>47</v>
      </c>
      <c r="B1200">
        <v>8</v>
      </c>
      <c r="C1200" t="s">
        <v>199</v>
      </c>
      <c r="D1200">
        <v>109</v>
      </c>
      <c r="E1200" t="s">
        <v>83</v>
      </c>
      <c r="F1200">
        <v>158</v>
      </c>
      <c r="H1200" t="s">
        <v>50</v>
      </c>
      <c r="K1200" t="s">
        <v>51</v>
      </c>
      <c r="L1200">
        <v>1</v>
      </c>
      <c r="M1200" t="s">
        <v>52</v>
      </c>
      <c r="N1200" t="s">
        <v>53</v>
      </c>
      <c r="P1200">
        <v>1.3</v>
      </c>
      <c r="R1200">
        <v>0.77</v>
      </c>
      <c r="S1200">
        <v>0.93</v>
      </c>
      <c r="T1200">
        <v>0</v>
      </c>
      <c r="U1200">
        <v>0</v>
      </c>
      <c r="V1200" s="1">
        <v>46522</v>
      </c>
      <c r="W1200" s="1">
        <v>46691</v>
      </c>
      <c r="X1200" s="1">
        <v>46266</v>
      </c>
      <c r="Z1200" t="s">
        <v>52</v>
      </c>
      <c r="AA1200" t="s">
        <v>54</v>
      </c>
      <c r="AB1200" t="s">
        <v>52</v>
      </c>
      <c r="AC1200">
        <v>158</v>
      </c>
      <c r="AD1200">
        <v>2</v>
      </c>
      <c r="AK1200" t="s">
        <v>52</v>
      </c>
      <c r="AN1200" t="s">
        <v>52</v>
      </c>
      <c r="AO1200" t="s">
        <v>52</v>
      </c>
      <c r="AP1200" t="s">
        <v>52</v>
      </c>
      <c r="AQ1200" t="s">
        <v>52</v>
      </c>
      <c r="AR1200" t="s">
        <v>95</v>
      </c>
      <c r="AS1200" t="s">
        <v>140</v>
      </c>
    </row>
    <row r="1201" spans="1:45" x14ac:dyDescent="0.25">
      <c r="A1201" t="s">
        <v>47</v>
      </c>
      <c r="B1201">
        <v>8</v>
      </c>
      <c r="C1201" t="s">
        <v>199</v>
      </c>
      <c r="D1201">
        <v>109</v>
      </c>
      <c r="E1201" t="s">
        <v>84</v>
      </c>
      <c r="F1201">
        <v>11</v>
      </c>
      <c r="G1201" t="s">
        <v>96</v>
      </c>
      <c r="H1201" t="s">
        <v>50</v>
      </c>
      <c r="K1201" t="s">
        <v>51</v>
      </c>
      <c r="L1201">
        <v>1</v>
      </c>
      <c r="M1201" t="s">
        <v>52</v>
      </c>
      <c r="N1201" t="s">
        <v>53</v>
      </c>
      <c r="R1201">
        <v>0.5</v>
      </c>
      <c r="S1201">
        <v>0.75</v>
      </c>
      <c r="T1201">
        <v>0</v>
      </c>
      <c r="U1201">
        <v>0</v>
      </c>
      <c r="V1201" s="1">
        <v>46310</v>
      </c>
      <c r="W1201" s="1">
        <v>46691</v>
      </c>
      <c r="X1201" s="1">
        <v>46295</v>
      </c>
      <c r="Z1201" t="s">
        <v>52</v>
      </c>
      <c r="AB1201" t="s">
        <v>52</v>
      </c>
      <c r="AC1201">
        <v>11</v>
      </c>
      <c r="AD1201">
        <v>2</v>
      </c>
      <c r="AK1201" t="s">
        <v>52</v>
      </c>
      <c r="AN1201" t="s">
        <v>52</v>
      </c>
      <c r="AO1201" t="s">
        <v>52</v>
      </c>
      <c r="AP1201" t="s">
        <v>52</v>
      </c>
      <c r="AQ1201" t="s">
        <v>52</v>
      </c>
      <c r="AR1201" t="s">
        <v>55</v>
      </c>
    </row>
    <row r="1202" spans="1:45" x14ac:dyDescent="0.25">
      <c r="A1202" t="s">
        <v>47</v>
      </c>
      <c r="B1202">
        <v>8</v>
      </c>
      <c r="C1202" t="s">
        <v>199</v>
      </c>
      <c r="D1202">
        <v>109</v>
      </c>
      <c r="E1202" t="s">
        <v>84</v>
      </c>
      <c r="F1202">
        <v>11</v>
      </c>
      <c r="G1202" t="s">
        <v>196</v>
      </c>
      <c r="H1202" t="s">
        <v>50</v>
      </c>
      <c r="K1202" t="s">
        <v>51</v>
      </c>
      <c r="L1202">
        <v>1</v>
      </c>
      <c r="M1202" t="s">
        <v>52</v>
      </c>
      <c r="N1202" t="s">
        <v>53</v>
      </c>
      <c r="R1202">
        <v>0.5</v>
      </c>
      <c r="S1202">
        <v>0.75</v>
      </c>
      <c r="U1202">
        <v>0</v>
      </c>
      <c r="V1202" s="1">
        <v>46310</v>
      </c>
      <c r="W1202" s="1">
        <v>46691</v>
      </c>
      <c r="X1202" s="1">
        <v>46295</v>
      </c>
      <c r="Z1202" t="s">
        <v>52</v>
      </c>
      <c r="AB1202" t="s">
        <v>52</v>
      </c>
      <c r="AC1202">
        <v>11</v>
      </c>
      <c r="AD1202">
        <v>2</v>
      </c>
      <c r="AK1202" t="s">
        <v>52</v>
      </c>
      <c r="AN1202" t="s">
        <v>52</v>
      </c>
      <c r="AO1202" t="s">
        <v>52</v>
      </c>
      <c r="AP1202" t="s">
        <v>52</v>
      </c>
      <c r="AQ1202" t="s">
        <v>52</v>
      </c>
      <c r="AR1202" t="s">
        <v>55</v>
      </c>
    </row>
    <row r="1203" spans="1:45" x14ac:dyDescent="0.25">
      <c r="A1203" t="s">
        <v>47</v>
      </c>
      <c r="B1203">
        <v>8</v>
      </c>
      <c r="C1203" t="s">
        <v>202</v>
      </c>
      <c r="D1203">
        <v>113</v>
      </c>
      <c r="E1203" t="s">
        <v>49</v>
      </c>
      <c r="F1203">
        <v>27</v>
      </c>
      <c r="H1203" t="s">
        <v>50</v>
      </c>
      <c r="K1203" t="s">
        <v>51</v>
      </c>
      <c r="L1203">
        <v>1</v>
      </c>
      <c r="M1203" t="s">
        <v>52</v>
      </c>
      <c r="N1203" t="s">
        <v>53</v>
      </c>
      <c r="Q1203">
        <v>230</v>
      </c>
      <c r="R1203">
        <v>0</v>
      </c>
      <c r="S1203">
        <v>0.75</v>
      </c>
      <c r="T1203">
        <v>0</v>
      </c>
      <c r="U1203">
        <v>0</v>
      </c>
      <c r="W1203" s="1">
        <v>46675</v>
      </c>
      <c r="X1203" s="1">
        <v>46357</v>
      </c>
      <c r="Y1203" t="s">
        <v>54</v>
      </c>
      <c r="Z1203" t="s">
        <v>52</v>
      </c>
      <c r="AB1203" t="s">
        <v>52</v>
      </c>
      <c r="AC1203">
        <v>27</v>
      </c>
      <c r="AD1203">
        <v>1</v>
      </c>
      <c r="AE1203">
        <v>0.97</v>
      </c>
      <c r="AG1203">
        <v>0.97</v>
      </c>
      <c r="AK1203" t="s">
        <v>52</v>
      </c>
      <c r="AN1203" t="s">
        <v>52</v>
      </c>
      <c r="AO1203" t="s">
        <v>52</v>
      </c>
      <c r="AP1203" t="s">
        <v>52</v>
      </c>
      <c r="AQ1203" t="s">
        <v>52</v>
      </c>
      <c r="AR1203" t="s">
        <v>55</v>
      </c>
      <c r="AS1203" t="s">
        <v>56</v>
      </c>
    </row>
    <row r="1204" spans="1:45" x14ac:dyDescent="0.25">
      <c r="A1204" t="s">
        <v>47</v>
      </c>
      <c r="B1204">
        <v>8</v>
      </c>
      <c r="C1204" t="s">
        <v>202</v>
      </c>
      <c r="D1204">
        <v>113</v>
      </c>
      <c r="E1204" t="s">
        <v>49</v>
      </c>
      <c r="F1204">
        <v>27</v>
      </c>
      <c r="H1204" t="s">
        <v>50</v>
      </c>
      <c r="K1204" t="s">
        <v>52</v>
      </c>
      <c r="L1204">
        <v>1</v>
      </c>
      <c r="M1204" t="s">
        <v>52</v>
      </c>
      <c r="N1204" t="s">
        <v>53</v>
      </c>
      <c r="Q1204">
        <v>230</v>
      </c>
      <c r="R1204">
        <v>0</v>
      </c>
      <c r="S1204">
        <v>0.75</v>
      </c>
      <c r="T1204">
        <v>0</v>
      </c>
      <c r="U1204">
        <v>0</v>
      </c>
      <c r="W1204" s="1">
        <v>46675</v>
      </c>
      <c r="X1204" s="1">
        <v>46357</v>
      </c>
      <c r="Y1204" t="s">
        <v>54</v>
      </c>
      <c r="Z1204" t="s">
        <v>52</v>
      </c>
      <c r="AB1204" t="s">
        <v>52</v>
      </c>
      <c r="AC1204">
        <v>27</v>
      </c>
      <c r="AD1204">
        <v>1</v>
      </c>
      <c r="AE1204">
        <v>0.97</v>
      </c>
      <c r="AG1204">
        <v>0.97</v>
      </c>
      <c r="AK1204" t="s">
        <v>52</v>
      </c>
      <c r="AN1204" t="s">
        <v>52</v>
      </c>
      <c r="AO1204" t="s">
        <v>52</v>
      </c>
      <c r="AP1204" t="s">
        <v>52</v>
      </c>
      <c r="AQ1204" t="s">
        <v>52</v>
      </c>
      <c r="AR1204" t="s">
        <v>55</v>
      </c>
      <c r="AS1204" t="s">
        <v>57</v>
      </c>
    </row>
    <row r="1205" spans="1:45" x14ac:dyDescent="0.25">
      <c r="A1205" t="s">
        <v>47</v>
      </c>
      <c r="B1205">
        <v>8</v>
      </c>
      <c r="C1205" t="s">
        <v>202</v>
      </c>
      <c r="D1205">
        <v>113</v>
      </c>
      <c r="E1205" t="s">
        <v>58</v>
      </c>
      <c r="F1205">
        <v>102</v>
      </c>
      <c r="G1205" t="s">
        <v>62</v>
      </c>
      <c r="H1205" t="s">
        <v>50</v>
      </c>
      <c r="K1205" t="s">
        <v>51</v>
      </c>
      <c r="L1205">
        <v>1</v>
      </c>
      <c r="M1205" t="s">
        <v>52</v>
      </c>
      <c r="N1205" t="s">
        <v>53</v>
      </c>
      <c r="R1205">
        <v>0</v>
      </c>
      <c r="S1205">
        <v>0.92</v>
      </c>
      <c r="T1205">
        <v>0</v>
      </c>
      <c r="U1205">
        <v>0</v>
      </c>
      <c r="W1205" s="1">
        <v>46731</v>
      </c>
      <c r="X1205" s="1">
        <v>46357</v>
      </c>
      <c r="Z1205" t="s">
        <v>52</v>
      </c>
      <c r="AB1205" t="s">
        <v>52</v>
      </c>
      <c r="AC1205">
        <v>102</v>
      </c>
      <c r="AD1205">
        <v>1</v>
      </c>
      <c r="AK1205" t="s">
        <v>52</v>
      </c>
      <c r="AN1205" t="s">
        <v>52</v>
      </c>
      <c r="AO1205" t="s">
        <v>52</v>
      </c>
      <c r="AP1205" t="s">
        <v>52</v>
      </c>
      <c r="AQ1205" t="s">
        <v>52</v>
      </c>
      <c r="AR1205" t="s">
        <v>55</v>
      </c>
    </row>
    <row r="1206" spans="1:45" x14ac:dyDescent="0.25">
      <c r="A1206" t="s">
        <v>47</v>
      </c>
      <c r="B1206">
        <v>8</v>
      </c>
      <c r="C1206" t="s">
        <v>202</v>
      </c>
      <c r="D1206">
        <v>113</v>
      </c>
      <c r="E1206" t="s">
        <v>58</v>
      </c>
      <c r="F1206">
        <v>102</v>
      </c>
      <c r="G1206" t="s">
        <v>62</v>
      </c>
      <c r="H1206" t="s">
        <v>50</v>
      </c>
      <c r="K1206" t="s">
        <v>52</v>
      </c>
      <c r="L1206">
        <v>1</v>
      </c>
      <c r="M1206" t="s">
        <v>52</v>
      </c>
      <c r="N1206" t="s">
        <v>53</v>
      </c>
      <c r="R1206">
        <v>0</v>
      </c>
      <c r="S1206">
        <v>0.92</v>
      </c>
      <c r="T1206">
        <v>0</v>
      </c>
      <c r="U1206">
        <v>0</v>
      </c>
      <c r="W1206" s="1">
        <v>46731</v>
      </c>
      <c r="X1206" s="1">
        <v>46357</v>
      </c>
      <c r="Z1206" t="s">
        <v>52</v>
      </c>
      <c r="AB1206" t="s">
        <v>52</v>
      </c>
      <c r="AC1206">
        <v>102</v>
      </c>
      <c r="AD1206">
        <v>1</v>
      </c>
      <c r="AK1206" t="s">
        <v>52</v>
      </c>
      <c r="AN1206" t="s">
        <v>52</v>
      </c>
      <c r="AO1206" t="s">
        <v>52</v>
      </c>
      <c r="AP1206" t="s">
        <v>52</v>
      </c>
      <c r="AQ1206" t="s">
        <v>52</v>
      </c>
      <c r="AR1206" t="s">
        <v>55</v>
      </c>
    </row>
    <row r="1207" spans="1:45" x14ac:dyDescent="0.25">
      <c r="A1207" t="s">
        <v>47</v>
      </c>
      <c r="B1207">
        <v>8</v>
      </c>
      <c r="C1207" t="s">
        <v>202</v>
      </c>
      <c r="D1207">
        <v>113</v>
      </c>
      <c r="E1207" t="s">
        <v>58</v>
      </c>
      <c r="F1207">
        <v>102</v>
      </c>
      <c r="G1207" t="s">
        <v>64</v>
      </c>
      <c r="H1207" t="s">
        <v>50</v>
      </c>
      <c r="K1207" t="s">
        <v>51</v>
      </c>
      <c r="L1207">
        <v>1</v>
      </c>
      <c r="M1207" t="s">
        <v>52</v>
      </c>
      <c r="N1207" t="s">
        <v>53</v>
      </c>
      <c r="R1207">
        <v>0</v>
      </c>
      <c r="S1207">
        <v>0.92</v>
      </c>
      <c r="T1207">
        <v>0</v>
      </c>
      <c r="U1207">
        <v>0</v>
      </c>
      <c r="W1207" s="1">
        <v>46731</v>
      </c>
      <c r="X1207" s="1">
        <v>46357</v>
      </c>
      <c r="Z1207" t="s">
        <v>52</v>
      </c>
      <c r="AB1207" t="s">
        <v>52</v>
      </c>
      <c r="AC1207">
        <v>102</v>
      </c>
      <c r="AD1207">
        <v>1</v>
      </c>
      <c r="AK1207" t="s">
        <v>52</v>
      </c>
      <c r="AN1207" t="s">
        <v>52</v>
      </c>
      <c r="AO1207" t="s">
        <v>52</v>
      </c>
      <c r="AP1207" t="s">
        <v>52</v>
      </c>
      <c r="AQ1207" t="s">
        <v>52</v>
      </c>
      <c r="AR1207" t="s">
        <v>55</v>
      </c>
    </row>
    <row r="1208" spans="1:45" x14ac:dyDescent="0.25">
      <c r="A1208" t="s">
        <v>47</v>
      </c>
      <c r="B1208">
        <v>8</v>
      </c>
      <c r="C1208" t="s">
        <v>202</v>
      </c>
      <c r="D1208">
        <v>113</v>
      </c>
      <c r="E1208" t="s">
        <v>58</v>
      </c>
      <c r="F1208">
        <v>102</v>
      </c>
      <c r="G1208" t="s">
        <v>64</v>
      </c>
      <c r="H1208" t="s">
        <v>50</v>
      </c>
      <c r="K1208" t="s">
        <v>52</v>
      </c>
      <c r="L1208">
        <v>1</v>
      </c>
      <c r="M1208" t="s">
        <v>52</v>
      </c>
      <c r="N1208" t="s">
        <v>53</v>
      </c>
      <c r="R1208">
        <v>0</v>
      </c>
      <c r="S1208">
        <v>0.92</v>
      </c>
      <c r="T1208">
        <v>0</v>
      </c>
      <c r="U1208">
        <v>0</v>
      </c>
      <c r="W1208" s="1">
        <v>46731</v>
      </c>
      <c r="X1208" s="1">
        <v>46357</v>
      </c>
      <c r="Z1208" t="s">
        <v>52</v>
      </c>
      <c r="AB1208" t="s">
        <v>52</v>
      </c>
      <c r="AC1208">
        <v>102</v>
      </c>
      <c r="AD1208">
        <v>1</v>
      </c>
      <c r="AK1208" t="s">
        <v>52</v>
      </c>
      <c r="AN1208" t="s">
        <v>52</v>
      </c>
      <c r="AO1208" t="s">
        <v>52</v>
      </c>
      <c r="AP1208" t="s">
        <v>52</v>
      </c>
      <c r="AQ1208" t="s">
        <v>52</v>
      </c>
      <c r="AR1208" t="s">
        <v>55</v>
      </c>
    </row>
    <row r="1209" spans="1:45" x14ac:dyDescent="0.25">
      <c r="A1209" t="s">
        <v>47</v>
      </c>
      <c r="B1209">
        <v>8</v>
      </c>
      <c r="C1209" t="s">
        <v>202</v>
      </c>
      <c r="D1209">
        <v>113</v>
      </c>
      <c r="E1209" t="s">
        <v>58</v>
      </c>
      <c r="F1209">
        <v>102</v>
      </c>
      <c r="G1209" t="s">
        <v>65</v>
      </c>
      <c r="H1209" t="s">
        <v>50</v>
      </c>
      <c r="K1209" t="s">
        <v>51</v>
      </c>
      <c r="L1209">
        <v>1</v>
      </c>
      <c r="M1209" t="s">
        <v>52</v>
      </c>
      <c r="N1209" t="s">
        <v>53</v>
      </c>
      <c r="R1209">
        <v>0</v>
      </c>
      <c r="S1209">
        <v>0.92</v>
      </c>
      <c r="T1209">
        <v>0</v>
      </c>
      <c r="U1209">
        <v>0</v>
      </c>
      <c r="W1209" s="1">
        <v>46731</v>
      </c>
      <c r="X1209" s="1">
        <v>46357</v>
      </c>
      <c r="Z1209" t="s">
        <v>52</v>
      </c>
      <c r="AB1209" t="s">
        <v>52</v>
      </c>
      <c r="AC1209">
        <v>102</v>
      </c>
      <c r="AD1209">
        <v>1</v>
      </c>
      <c r="AK1209" t="s">
        <v>52</v>
      </c>
      <c r="AN1209" t="s">
        <v>52</v>
      </c>
      <c r="AO1209" t="s">
        <v>52</v>
      </c>
      <c r="AP1209" t="s">
        <v>52</v>
      </c>
      <c r="AQ1209" t="s">
        <v>52</v>
      </c>
      <c r="AR1209" t="s">
        <v>55</v>
      </c>
    </row>
    <row r="1210" spans="1:45" x14ac:dyDescent="0.25">
      <c r="A1210" t="s">
        <v>47</v>
      </c>
      <c r="B1210">
        <v>8</v>
      </c>
      <c r="C1210" t="s">
        <v>202</v>
      </c>
      <c r="D1210">
        <v>113</v>
      </c>
      <c r="E1210" t="s">
        <v>58</v>
      </c>
      <c r="F1210">
        <v>102</v>
      </c>
      <c r="G1210" t="s">
        <v>65</v>
      </c>
      <c r="H1210" t="s">
        <v>50</v>
      </c>
      <c r="K1210" t="s">
        <v>52</v>
      </c>
      <c r="L1210">
        <v>1</v>
      </c>
      <c r="M1210" t="s">
        <v>52</v>
      </c>
      <c r="N1210" t="s">
        <v>53</v>
      </c>
      <c r="R1210">
        <v>0</v>
      </c>
      <c r="S1210">
        <v>0.92</v>
      </c>
      <c r="T1210">
        <v>0</v>
      </c>
      <c r="U1210">
        <v>0</v>
      </c>
      <c r="W1210" s="1">
        <v>46731</v>
      </c>
      <c r="X1210" s="1">
        <v>46357</v>
      </c>
      <c r="Z1210" t="s">
        <v>52</v>
      </c>
      <c r="AB1210" t="s">
        <v>52</v>
      </c>
      <c r="AC1210">
        <v>102</v>
      </c>
      <c r="AD1210">
        <v>1</v>
      </c>
      <c r="AK1210" t="s">
        <v>52</v>
      </c>
      <c r="AN1210" t="s">
        <v>52</v>
      </c>
      <c r="AO1210" t="s">
        <v>52</v>
      </c>
      <c r="AP1210" t="s">
        <v>52</v>
      </c>
      <c r="AQ1210" t="s">
        <v>52</v>
      </c>
      <c r="AR1210" t="s">
        <v>55</v>
      </c>
    </row>
    <row r="1211" spans="1:45" x14ac:dyDescent="0.25">
      <c r="A1211" t="s">
        <v>47</v>
      </c>
      <c r="B1211">
        <v>8</v>
      </c>
      <c r="C1211" t="s">
        <v>202</v>
      </c>
      <c r="D1211">
        <v>113</v>
      </c>
      <c r="E1211" t="s">
        <v>58</v>
      </c>
      <c r="F1211">
        <v>102</v>
      </c>
      <c r="G1211" t="s">
        <v>118</v>
      </c>
      <c r="H1211" t="s">
        <v>50</v>
      </c>
      <c r="K1211" t="s">
        <v>51</v>
      </c>
      <c r="L1211">
        <v>1</v>
      </c>
      <c r="M1211" t="s">
        <v>52</v>
      </c>
      <c r="N1211" t="s">
        <v>53</v>
      </c>
      <c r="R1211">
        <v>0</v>
      </c>
      <c r="S1211">
        <v>0.92</v>
      </c>
      <c r="T1211">
        <v>0</v>
      </c>
      <c r="U1211">
        <v>0</v>
      </c>
      <c r="W1211" s="1">
        <v>46731</v>
      </c>
      <c r="X1211" s="1">
        <v>46357</v>
      </c>
      <c r="Z1211" t="s">
        <v>52</v>
      </c>
      <c r="AB1211" t="s">
        <v>52</v>
      </c>
      <c r="AC1211">
        <v>102</v>
      </c>
      <c r="AD1211">
        <v>1</v>
      </c>
      <c r="AK1211" t="s">
        <v>52</v>
      </c>
      <c r="AN1211" t="s">
        <v>52</v>
      </c>
      <c r="AO1211" t="s">
        <v>52</v>
      </c>
      <c r="AP1211" t="s">
        <v>52</v>
      </c>
      <c r="AQ1211" t="s">
        <v>52</v>
      </c>
      <c r="AR1211" t="s">
        <v>55</v>
      </c>
    </row>
    <row r="1212" spans="1:45" x14ac:dyDescent="0.25">
      <c r="A1212" t="s">
        <v>47</v>
      </c>
      <c r="B1212">
        <v>8</v>
      </c>
      <c r="C1212" t="s">
        <v>202</v>
      </c>
      <c r="D1212">
        <v>113</v>
      </c>
      <c r="E1212" t="s">
        <v>58</v>
      </c>
      <c r="F1212">
        <v>102</v>
      </c>
      <c r="G1212" t="s">
        <v>118</v>
      </c>
      <c r="H1212" t="s">
        <v>50</v>
      </c>
      <c r="K1212" t="s">
        <v>52</v>
      </c>
      <c r="L1212">
        <v>1</v>
      </c>
      <c r="M1212" t="s">
        <v>52</v>
      </c>
      <c r="N1212" t="s">
        <v>53</v>
      </c>
      <c r="R1212">
        <v>0</v>
      </c>
      <c r="S1212">
        <v>0.92</v>
      </c>
      <c r="T1212">
        <v>0</v>
      </c>
      <c r="U1212">
        <v>0</v>
      </c>
      <c r="W1212" s="1">
        <v>46731</v>
      </c>
      <c r="X1212" s="1">
        <v>46357</v>
      </c>
      <c r="Z1212" t="s">
        <v>52</v>
      </c>
      <c r="AB1212" t="s">
        <v>52</v>
      </c>
      <c r="AC1212">
        <v>102</v>
      </c>
      <c r="AD1212">
        <v>1</v>
      </c>
      <c r="AK1212" t="s">
        <v>52</v>
      </c>
      <c r="AN1212" t="s">
        <v>52</v>
      </c>
      <c r="AO1212" t="s">
        <v>52</v>
      </c>
      <c r="AP1212" t="s">
        <v>52</v>
      </c>
      <c r="AQ1212" t="s">
        <v>52</v>
      </c>
      <c r="AR1212" t="s">
        <v>55</v>
      </c>
    </row>
    <row r="1213" spans="1:45" x14ac:dyDescent="0.25">
      <c r="A1213" t="s">
        <v>47</v>
      </c>
      <c r="B1213">
        <v>8</v>
      </c>
      <c r="C1213" t="s">
        <v>202</v>
      </c>
      <c r="D1213">
        <v>113</v>
      </c>
      <c r="E1213" t="s">
        <v>58</v>
      </c>
      <c r="F1213">
        <v>102</v>
      </c>
      <c r="G1213" t="s">
        <v>67</v>
      </c>
      <c r="H1213" t="s">
        <v>50</v>
      </c>
      <c r="K1213" t="s">
        <v>51</v>
      </c>
      <c r="L1213">
        <v>1</v>
      </c>
      <c r="M1213" t="s">
        <v>52</v>
      </c>
      <c r="N1213" t="s">
        <v>53</v>
      </c>
      <c r="R1213">
        <v>0</v>
      </c>
      <c r="S1213">
        <v>0.92</v>
      </c>
      <c r="T1213">
        <v>0</v>
      </c>
      <c r="U1213">
        <v>0</v>
      </c>
      <c r="W1213" s="1">
        <v>46731</v>
      </c>
      <c r="X1213" s="1">
        <v>46357</v>
      </c>
      <c r="Z1213" t="s">
        <v>52</v>
      </c>
      <c r="AB1213" t="s">
        <v>52</v>
      </c>
      <c r="AC1213">
        <v>102</v>
      </c>
      <c r="AD1213">
        <v>1</v>
      </c>
      <c r="AK1213" t="s">
        <v>52</v>
      </c>
      <c r="AN1213" t="s">
        <v>52</v>
      </c>
      <c r="AO1213" t="s">
        <v>52</v>
      </c>
      <c r="AP1213" t="s">
        <v>52</v>
      </c>
      <c r="AQ1213" t="s">
        <v>52</v>
      </c>
      <c r="AR1213" t="s">
        <v>55</v>
      </c>
    </row>
    <row r="1214" spans="1:45" x14ac:dyDescent="0.25">
      <c r="A1214" t="s">
        <v>47</v>
      </c>
      <c r="B1214">
        <v>8</v>
      </c>
      <c r="C1214" t="s">
        <v>202</v>
      </c>
      <c r="D1214">
        <v>113</v>
      </c>
      <c r="E1214" t="s">
        <v>58</v>
      </c>
      <c r="F1214">
        <v>102</v>
      </c>
      <c r="G1214" t="s">
        <v>67</v>
      </c>
      <c r="H1214" t="s">
        <v>50</v>
      </c>
      <c r="K1214" t="s">
        <v>52</v>
      </c>
      <c r="L1214">
        <v>1</v>
      </c>
      <c r="M1214" t="s">
        <v>52</v>
      </c>
      <c r="N1214" t="s">
        <v>53</v>
      </c>
      <c r="R1214">
        <v>0</v>
      </c>
      <c r="S1214">
        <v>0.92</v>
      </c>
      <c r="T1214">
        <v>0</v>
      </c>
      <c r="U1214">
        <v>0</v>
      </c>
      <c r="W1214" s="1">
        <v>46731</v>
      </c>
      <c r="X1214" s="1">
        <v>46357</v>
      </c>
      <c r="Z1214" t="s">
        <v>52</v>
      </c>
      <c r="AB1214" t="s">
        <v>52</v>
      </c>
      <c r="AC1214">
        <v>102</v>
      </c>
      <c r="AD1214">
        <v>1</v>
      </c>
      <c r="AK1214" t="s">
        <v>52</v>
      </c>
      <c r="AN1214" t="s">
        <v>52</v>
      </c>
      <c r="AO1214" t="s">
        <v>52</v>
      </c>
      <c r="AP1214" t="s">
        <v>52</v>
      </c>
      <c r="AQ1214" t="s">
        <v>52</v>
      </c>
      <c r="AR1214" t="s">
        <v>55</v>
      </c>
    </row>
    <row r="1215" spans="1:45" x14ac:dyDescent="0.25">
      <c r="A1215" t="s">
        <v>47</v>
      </c>
      <c r="B1215">
        <v>8</v>
      </c>
      <c r="C1215" t="s">
        <v>202</v>
      </c>
      <c r="D1215">
        <v>113</v>
      </c>
      <c r="E1215" t="s">
        <v>68</v>
      </c>
      <c r="F1215">
        <v>80</v>
      </c>
      <c r="G1215" t="s">
        <v>69</v>
      </c>
      <c r="H1215" t="s">
        <v>50</v>
      </c>
      <c r="K1215" t="s">
        <v>51</v>
      </c>
      <c r="L1215">
        <v>1</v>
      </c>
      <c r="M1215" t="s">
        <v>52</v>
      </c>
      <c r="N1215" t="s">
        <v>53</v>
      </c>
      <c r="R1215">
        <v>0.5</v>
      </c>
      <c r="S1215">
        <v>0.75</v>
      </c>
      <c r="T1215">
        <v>0</v>
      </c>
      <c r="U1215">
        <v>0</v>
      </c>
      <c r="V1215" s="1">
        <v>46583</v>
      </c>
      <c r="W1215" s="1">
        <v>46675</v>
      </c>
      <c r="X1215" s="1">
        <v>46461</v>
      </c>
      <c r="Z1215" t="s">
        <v>52</v>
      </c>
      <c r="AB1215" t="s">
        <v>52</v>
      </c>
      <c r="AC1215">
        <v>80</v>
      </c>
      <c r="AD1215">
        <v>1</v>
      </c>
      <c r="AK1215" t="s">
        <v>52</v>
      </c>
      <c r="AN1215" t="s">
        <v>52</v>
      </c>
      <c r="AO1215" t="s">
        <v>52</v>
      </c>
      <c r="AP1215" t="s">
        <v>52</v>
      </c>
      <c r="AQ1215" t="s">
        <v>52</v>
      </c>
      <c r="AR1215" t="s">
        <v>55</v>
      </c>
      <c r="AS1215" t="s">
        <v>88</v>
      </c>
    </row>
    <row r="1216" spans="1:45" x14ac:dyDescent="0.25">
      <c r="A1216" t="s">
        <v>47</v>
      </c>
      <c r="B1216">
        <v>8</v>
      </c>
      <c r="C1216" t="s">
        <v>202</v>
      </c>
      <c r="D1216">
        <v>113</v>
      </c>
      <c r="E1216" t="s">
        <v>68</v>
      </c>
      <c r="F1216">
        <v>80</v>
      </c>
      <c r="G1216" t="s">
        <v>69</v>
      </c>
      <c r="H1216" t="s">
        <v>50</v>
      </c>
      <c r="K1216" t="s">
        <v>52</v>
      </c>
      <c r="L1216">
        <v>1</v>
      </c>
      <c r="M1216" t="s">
        <v>52</v>
      </c>
      <c r="N1216" t="s">
        <v>53</v>
      </c>
      <c r="R1216">
        <v>0.5</v>
      </c>
      <c r="S1216">
        <v>0.75</v>
      </c>
      <c r="T1216">
        <v>0</v>
      </c>
      <c r="U1216">
        <v>0</v>
      </c>
      <c r="V1216" s="1">
        <v>46583</v>
      </c>
      <c r="W1216" s="1">
        <v>46675</v>
      </c>
      <c r="X1216" s="1">
        <v>46461</v>
      </c>
      <c r="Z1216" t="s">
        <v>52</v>
      </c>
      <c r="AB1216" t="s">
        <v>52</v>
      </c>
      <c r="AC1216">
        <v>80</v>
      </c>
      <c r="AD1216">
        <v>1</v>
      </c>
      <c r="AK1216" t="s">
        <v>52</v>
      </c>
      <c r="AN1216" t="s">
        <v>52</v>
      </c>
      <c r="AO1216" t="s">
        <v>52</v>
      </c>
      <c r="AP1216" t="s">
        <v>52</v>
      </c>
      <c r="AQ1216" t="s">
        <v>52</v>
      </c>
      <c r="AR1216" t="s">
        <v>55</v>
      </c>
      <c r="AS1216" t="s">
        <v>88</v>
      </c>
    </row>
    <row r="1217" spans="1:45" x14ac:dyDescent="0.25">
      <c r="A1217" t="s">
        <v>47</v>
      </c>
      <c r="B1217">
        <v>8</v>
      </c>
      <c r="C1217" t="s">
        <v>202</v>
      </c>
      <c r="D1217">
        <v>113</v>
      </c>
      <c r="E1217" t="s">
        <v>70</v>
      </c>
      <c r="F1217">
        <v>296</v>
      </c>
      <c r="G1217" t="s">
        <v>71</v>
      </c>
      <c r="H1217" t="s">
        <v>50</v>
      </c>
      <c r="K1217" t="s">
        <v>51</v>
      </c>
      <c r="L1217">
        <v>1</v>
      </c>
      <c r="M1217" t="s">
        <v>52</v>
      </c>
      <c r="N1217" t="s">
        <v>53</v>
      </c>
      <c r="Q1217">
        <v>224.33330000000001</v>
      </c>
      <c r="R1217">
        <v>0</v>
      </c>
      <c r="S1217">
        <v>0.75</v>
      </c>
      <c r="T1217">
        <v>0</v>
      </c>
      <c r="U1217">
        <v>0</v>
      </c>
      <c r="W1217" s="1">
        <v>46675</v>
      </c>
      <c r="X1217" s="1">
        <v>46357</v>
      </c>
      <c r="Y1217" t="s">
        <v>54</v>
      </c>
      <c r="Z1217" t="s">
        <v>52</v>
      </c>
      <c r="AB1217" t="s">
        <v>52</v>
      </c>
      <c r="AC1217">
        <v>296</v>
      </c>
      <c r="AD1217">
        <v>1</v>
      </c>
      <c r="AK1217" t="s">
        <v>52</v>
      </c>
      <c r="AN1217" t="s">
        <v>52</v>
      </c>
      <c r="AO1217" t="s">
        <v>52</v>
      </c>
      <c r="AP1217" t="s">
        <v>52</v>
      </c>
      <c r="AQ1217" t="s">
        <v>52</v>
      </c>
      <c r="AR1217" t="s">
        <v>55</v>
      </c>
    </row>
    <row r="1218" spans="1:45" x14ac:dyDescent="0.25">
      <c r="A1218" t="s">
        <v>47</v>
      </c>
      <c r="B1218">
        <v>8</v>
      </c>
      <c r="C1218" t="s">
        <v>202</v>
      </c>
      <c r="D1218">
        <v>113</v>
      </c>
      <c r="E1218" t="s">
        <v>70</v>
      </c>
      <c r="F1218">
        <v>296</v>
      </c>
      <c r="G1218" t="s">
        <v>71</v>
      </c>
      <c r="H1218" t="s">
        <v>50</v>
      </c>
      <c r="K1218" t="s">
        <v>52</v>
      </c>
      <c r="L1218">
        <v>1</v>
      </c>
      <c r="M1218" t="s">
        <v>52</v>
      </c>
      <c r="N1218" t="s">
        <v>53</v>
      </c>
      <c r="Q1218">
        <v>224.33330000000001</v>
      </c>
      <c r="R1218">
        <v>0</v>
      </c>
      <c r="S1218">
        <v>0.75</v>
      </c>
      <c r="T1218">
        <v>0</v>
      </c>
      <c r="U1218">
        <v>0</v>
      </c>
      <c r="W1218" s="1">
        <v>46675</v>
      </c>
      <c r="X1218" s="1">
        <v>46357</v>
      </c>
      <c r="Y1218" t="s">
        <v>54</v>
      </c>
      <c r="Z1218" t="s">
        <v>52</v>
      </c>
      <c r="AB1218" t="s">
        <v>52</v>
      </c>
      <c r="AC1218">
        <v>296</v>
      </c>
      <c r="AD1218">
        <v>1</v>
      </c>
      <c r="AK1218" t="s">
        <v>52</v>
      </c>
      <c r="AN1218" t="s">
        <v>52</v>
      </c>
      <c r="AO1218" t="s">
        <v>52</v>
      </c>
      <c r="AP1218" t="s">
        <v>52</v>
      </c>
      <c r="AQ1218" t="s">
        <v>52</v>
      </c>
      <c r="AR1218" t="s">
        <v>55</v>
      </c>
    </row>
    <row r="1219" spans="1:45" x14ac:dyDescent="0.25">
      <c r="A1219" t="s">
        <v>47</v>
      </c>
      <c r="B1219">
        <v>8</v>
      </c>
      <c r="C1219" t="s">
        <v>202</v>
      </c>
      <c r="D1219">
        <v>113</v>
      </c>
      <c r="E1219" t="s">
        <v>70</v>
      </c>
      <c r="F1219">
        <v>296</v>
      </c>
      <c r="G1219" t="s">
        <v>72</v>
      </c>
      <c r="H1219" t="s">
        <v>50</v>
      </c>
      <c r="K1219" t="s">
        <v>51</v>
      </c>
      <c r="L1219">
        <v>1</v>
      </c>
      <c r="M1219" t="s">
        <v>52</v>
      </c>
      <c r="N1219" t="s">
        <v>53</v>
      </c>
      <c r="R1219">
        <v>0.5</v>
      </c>
      <c r="S1219">
        <v>0.75</v>
      </c>
      <c r="T1219">
        <v>0</v>
      </c>
      <c r="U1219">
        <v>0</v>
      </c>
      <c r="V1219" s="1">
        <v>46569</v>
      </c>
      <c r="W1219" s="1">
        <v>46675</v>
      </c>
      <c r="X1219" s="1">
        <v>46357</v>
      </c>
      <c r="Z1219" t="s">
        <v>52</v>
      </c>
      <c r="AB1219" t="s">
        <v>52</v>
      </c>
      <c r="AC1219">
        <v>296</v>
      </c>
      <c r="AD1219">
        <v>1</v>
      </c>
      <c r="AK1219" t="s">
        <v>52</v>
      </c>
      <c r="AN1219" t="s">
        <v>52</v>
      </c>
      <c r="AO1219" t="s">
        <v>52</v>
      </c>
      <c r="AP1219" t="s">
        <v>52</v>
      </c>
      <c r="AQ1219" t="s">
        <v>52</v>
      </c>
      <c r="AR1219" t="s">
        <v>55</v>
      </c>
    </row>
    <row r="1220" spans="1:45" x14ac:dyDescent="0.25">
      <c r="A1220" t="s">
        <v>47</v>
      </c>
      <c r="B1220">
        <v>8</v>
      </c>
      <c r="C1220" t="s">
        <v>202</v>
      </c>
      <c r="D1220">
        <v>113</v>
      </c>
      <c r="E1220" t="s">
        <v>70</v>
      </c>
      <c r="F1220">
        <v>296</v>
      </c>
      <c r="G1220" t="s">
        <v>72</v>
      </c>
      <c r="H1220" t="s">
        <v>50</v>
      </c>
      <c r="K1220" t="s">
        <v>52</v>
      </c>
      <c r="L1220">
        <v>1</v>
      </c>
      <c r="M1220" t="s">
        <v>52</v>
      </c>
      <c r="N1220" t="s">
        <v>53</v>
      </c>
      <c r="R1220">
        <v>0.5</v>
      </c>
      <c r="S1220">
        <v>0.75</v>
      </c>
      <c r="T1220">
        <v>0</v>
      </c>
      <c r="U1220">
        <v>0</v>
      </c>
      <c r="V1220" s="1">
        <v>46569</v>
      </c>
      <c r="W1220" s="1">
        <v>46675</v>
      </c>
      <c r="X1220" s="1">
        <v>46357</v>
      </c>
      <c r="Z1220" t="s">
        <v>52</v>
      </c>
      <c r="AB1220" t="s">
        <v>52</v>
      </c>
      <c r="AC1220">
        <v>296</v>
      </c>
      <c r="AD1220">
        <v>1</v>
      </c>
      <c r="AK1220" t="s">
        <v>52</v>
      </c>
      <c r="AN1220" t="s">
        <v>52</v>
      </c>
      <c r="AO1220" t="s">
        <v>52</v>
      </c>
      <c r="AP1220" t="s">
        <v>52</v>
      </c>
      <c r="AQ1220" t="s">
        <v>52</v>
      </c>
      <c r="AR1220" t="s">
        <v>55</v>
      </c>
    </row>
    <row r="1221" spans="1:45" x14ac:dyDescent="0.25">
      <c r="A1221" t="s">
        <v>47</v>
      </c>
      <c r="B1221">
        <v>8</v>
      </c>
      <c r="C1221" t="s">
        <v>202</v>
      </c>
      <c r="D1221">
        <v>113</v>
      </c>
      <c r="E1221" t="s">
        <v>70</v>
      </c>
      <c r="F1221">
        <v>296</v>
      </c>
      <c r="G1221" t="s">
        <v>74</v>
      </c>
      <c r="H1221" t="s">
        <v>50</v>
      </c>
      <c r="K1221" t="s">
        <v>51</v>
      </c>
      <c r="L1221">
        <v>1</v>
      </c>
      <c r="M1221" t="s">
        <v>52</v>
      </c>
      <c r="N1221" t="s">
        <v>53</v>
      </c>
      <c r="R1221">
        <v>0</v>
      </c>
      <c r="S1221">
        <v>0.75</v>
      </c>
      <c r="T1221">
        <v>0</v>
      </c>
      <c r="U1221">
        <v>0</v>
      </c>
      <c r="W1221" s="1">
        <v>46675</v>
      </c>
      <c r="X1221" s="1">
        <v>46357</v>
      </c>
      <c r="Z1221" t="s">
        <v>52</v>
      </c>
      <c r="AB1221" t="s">
        <v>52</v>
      </c>
      <c r="AC1221">
        <v>102</v>
      </c>
      <c r="AD1221">
        <v>1</v>
      </c>
      <c r="AK1221" t="s">
        <v>52</v>
      </c>
      <c r="AN1221" t="s">
        <v>52</v>
      </c>
      <c r="AO1221" t="s">
        <v>52</v>
      </c>
      <c r="AP1221" t="s">
        <v>52</v>
      </c>
      <c r="AQ1221" t="s">
        <v>52</v>
      </c>
      <c r="AR1221" t="s">
        <v>55</v>
      </c>
    </row>
    <row r="1222" spans="1:45" x14ac:dyDescent="0.25">
      <c r="A1222" t="s">
        <v>47</v>
      </c>
      <c r="B1222">
        <v>8</v>
      </c>
      <c r="C1222" t="s">
        <v>202</v>
      </c>
      <c r="D1222">
        <v>113</v>
      </c>
      <c r="E1222" t="s">
        <v>70</v>
      </c>
      <c r="F1222">
        <v>296</v>
      </c>
      <c r="G1222" t="s">
        <v>74</v>
      </c>
      <c r="H1222" t="s">
        <v>50</v>
      </c>
      <c r="K1222" t="s">
        <v>52</v>
      </c>
      <c r="L1222">
        <v>1</v>
      </c>
      <c r="M1222" t="s">
        <v>52</v>
      </c>
      <c r="N1222" t="s">
        <v>53</v>
      </c>
      <c r="R1222">
        <v>0</v>
      </c>
      <c r="S1222">
        <v>0.75</v>
      </c>
      <c r="T1222">
        <v>0</v>
      </c>
      <c r="U1222">
        <v>0</v>
      </c>
      <c r="W1222" s="1">
        <v>46675</v>
      </c>
      <c r="X1222" s="1">
        <v>46357</v>
      </c>
      <c r="Z1222" t="s">
        <v>52</v>
      </c>
      <c r="AB1222" t="s">
        <v>52</v>
      </c>
      <c r="AC1222">
        <v>102</v>
      </c>
      <c r="AD1222">
        <v>1</v>
      </c>
      <c r="AK1222" t="s">
        <v>52</v>
      </c>
      <c r="AN1222" t="s">
        <v>52</v>
      </c>
      <c r="AO1222" t="s">
        <v>52</v>
      </c>
      <c r="AP1222" t="s">
        <v>52</v>
      </c>
      <c r="AQ1222" t="s">
        <v>52</v>
      </c>
      <c r="AR1222" t="s">
        <v>55</v>
      </c>
      <c r="AS1222" t="s">
        <v>106</v>
      </c>
    </row>
    <row r="1223" spans="1:45" x14ac:dyDescent="0.25">
      <c r="A1223" t="s">
        <v>47</v>
      </c>
      <c r="B1223">
        <v>8</v>
      </c>
      <c r="C1223" t="s">
        <v>202</v>
      </c>
      <c r="D1223">
        <v>113</v>
      </c>
      <c r="E1223" t="s">
        <v>70</v>
      </c>
      <c r="F1223">
        <v>296</v>
      </c>
      <c r="G1223" t="s">
        <v>129</v>
      </c>
      <c r="H1223" t="s">
        <v>50</v>
      </c>
      <c r="K1223" t="s">
        <v>51</v>
      </c>
      <c r="L1223">
        <v>1</v>
      </c>
      <c r="M1223" t="s">
        <v>52</v>
      </c>
      <c r="N1223" t="s">
        <v>53</v>
      </c>
      <c r="R1223">
        <v>0</v>
      </c>
      <c r="S1223">
        <v>0.75</v>
      </c>
      <c r="T1223">
        <v>0</v>
      </c>
      <c r="U1223">
        <v>0</v>
      </c>
      <c r="W1223" s="1">
        <v>46675</v>
      </c>
      <c r="X1223" s="1">
        <v>46357</v>
      </c>
      <c r="Z1223" t="s">
        <v>52</v>
      </c>
      <c r="AB1223" t="s">
        <v>52</v>
      </c>
      <c r="AC1223">
        <v>102</v>
      </c>
      <c r="AD1223">
        <v>1</v>
      </c>
      <c r="AK1223" t="s">
        <v>52</v>
      </c>
      <c r="AN1223" t="s">
        <v>52</v>
      </c>
      <c r="AO1223" t="s">
        <v>52</v>
      </c>
      <c r="AP1223" t="s">
        <v>52</v>
      </c>
      <c r="AQ1223" t="s">
        <v>52</v>
      </c>
      <c r="AR1223" t="s">
        <v>55</v>
      </c>
    </row>
    <row r="1224" spans="1:45" x14ac:dyDescent="0.25">
      <c r="A1224" t="s">
        <v>47</v>
      </c>
      <c r="B1224">
        <v>8</v>
      </c>
      <c r="C1224" t="s">
        <v>202</v>
      </c>
      <c r="D1224">
        <v>113</v>
      </c>
      <c r="E1224" t="s">
        <v>70</v>
      </c>
      <c r="F1224">
        <v>296</v>
      </c>
      <c r="G1224" t="s">
        <v>129</v>
      </c>
      <c r="H1224" t="s">
        <v>50</v>
      </c>
      <c r="K1224" t="s">
        <v>52</v>
      </c>
      <c r="L1224">
        <v>1</v>
      </c>
      <c r="M1224" t="s">
        <v>52</v>
      </c>
      <c r="N1224" t="s">
        <v>53</v>
      </c>
      <c r="R1224">
        <v>0</v>
      </c>
      <c r="S1224">
        <v>0.75</v>
      </c>
      <c r="T1224">
        <v>0</v>
      </c>
      <c r="U1224">
        <v>0</v>
      </c>
      <c r="W1224" s="1">
        <v>46675</v>
      </c>
      <c r="X1224" s="1">
        <v>46357</v>
      </c>
      <c r="Z1224" t="s">
        <v>52</v>
      </c>
      <c r="AB1224" t="s">
        <v>52</v>
      </c>
      <c r="AC1224">
        <v>102</v>
      </c>
      <c r="AD1224">
        <v>1</v>
      </c>
      <c r="AK1224" t="s">
        <v>52</v>
      </c>
      <c r="AN1224" t="s">
        <v>52</v>
      </c>
      <c r="AO1224" t="s">
        <v>52</v>
      </c>
      <c r="AP1224" t="s">
        <v>52</v>
      </c>
      <c r="AQ1224" t="s">
        <v>52</v>
      </c>
      <c r="AR1224" t="s">
        <v>55</v>
      </c>
    </row>
    <row r="1225" spans="1:45" x14ac:dyDescent="0.25">
      <c r="A1225" t="s">
        <v>47</v>
      </c>
      <c r="B1225">
        <v>8</v>
      </c>
      <c r="C1225" t="s">
        <v>202</v>
      </c>
      <c r="D1225">
        <v>113</v>
      </c>
      <c r="E1225" t="s">
        <v>70</v>
      </c>
      <c r="F1225">
        <v>296</v>
      </c>
      <c r="G1225" t="s">
        <v>89</v>
      </c>
      <c r="H1225" t="s">
        <v>50</v>
      </c>
      <c r="K1225" t="s">
        <v>51</v>
      </c>
      <c r="L1225">
        <v>1</v>
      </c>
      <c r="M1225" t="s">
        <v>52</v>
      </c>
      <c r="N1225" t="s">
        <v>53</v>
      </c>
      <c r="R1225">
        <v>0.25</v>
      </c>
      <c r="S1225">
        <v>0.75</v>
      </c>
      <c r="U1225">
        <v>0</v>
      </c>
      <c r="V1225" s="1">
        <v>46569</v>
      </c>
      <c r="W1225" s="1">
        <v>46675</v>
      </c>
      <c r="X1225" s="1">
        <v>46357</v>
      </c>
      <c r="Z1225" t="s">
        <v>52</v>
      </c>
      <c r="AB1225" t="s">
        <v>52</v>
      </c>
      <c r="AC1225">
        <v>102</v>
      </c>
      <c r="AD1225">
        <v>1</v>
      </c>
      <c r="AK1225" t="s">
        <v>52</v>
      </c>
      <c r="AN1225" t="s">
        <v>52</v>
      </c>
      <c r="AO1225" t="s">
        <v>52</v>
      </c>
      <c r="AP1225" t="s">
        <v>52</v>
      </c>
      <c r="AQ1225" t="s">
        <v>52</v>
      </c>
      <c r="AR1225" t="s">
        <v>55</v>
      </c>
    </row>
    <row r="1226" spans="1:45" x14ac:dyDescent="0.25">
      <c r="A1226" t="s">
        <v>47</v>
      </c>
      <c r="B1226">
        <v>8</v>
      </c>
      <c r="C1226" t="s">
        <v>202</v>
      </c>
      <c r="D1226">
        <v>113</v>
      </c>
      <c r="E1226" t="s">
        <v>70</v>
      </c>
      <c r="F1226">
        <v>296</v>
      </c>
      <c r="G1226" t="s">
        <v>122</v>
      </c>
      <c r="H1226" t="s">
        <v>50</v>
      </c>
      <c r="K1226" t="s">
        <v>51</v>
      </c>
      <c r="L1226">
        <v>1</v>
      </c>
      <c r="M1226" t="s">
        <v>52</v>
      </c>
      <c r="N1226" t="s">
        <v>53</v>
      </c>
      <c r="R1226">
        <v>0</v>
      </c>
      <c r="S1226">
        <v>0.75</v>
      </c>
      <c r="T1226">
        <v>0</v>
      </c>
      <c r="U1226">
        <v>0</v>
      </c>
      <c r="W1226" s="1">
        <v>46675</v>
      </c>
      <c r="X1226" s="1">
        <v>46357</v>
      </c>
      <c r="Z1226" t="s">
        <v>52</v>
      </c>
      <c r="AB1226" t="s">
        <v>52</v>
      </c>
      <c r="AC1226">
        <v>102</v>
      </c>
      <c r="AD1226">
        <v>1</v>
      </c>
      <c r="AK1226" t="s">
        <v>52</v>
      </c>
      <c r="AN1226" t="s">
        <v>52</v>
      </c>
      <c r="AO1226" t="s">
        <v>52</v>
      </c>
      <c r="AP1226" t="s">
        <v>52</v>
      </c>
      <c r="AQ1226" t="s">
        <v>52</v>
      </c>
      <c r="AR1226" t="s">
        <v>55</v>
      </c>
    </row>
    <row r="1227" spans="1:45" x14ac:dyDescent="0.25">
      <c r="A1227" t="s">
        <v>47</v>
      </c>
      <c r="B1227">
        <v>8</v>
      </c>
      <c r="C1227" t="s">
        <v>202</v>
      </c>
      <c r="D1227">
        <v>113</v>
      </c>
      <c r="E1227" t="s">
        <v>70</v>
      </c>
      <c r="F1227">
        <v>296</v>
      </c>
      <c r="G1227" t="s">
        <v>122</v>
      </c>
      <c r="H1227" t="s">
        <v>50</v>
      </c>
      <c r="K1227" t="s">
        <v>52</v>
      </c>
      <c r="L1227">
        <v>1</v>
      </c>
      <c r="M1227" t="s">
        <v>52</v>
      </c>
      <c r="N1227" t="s">
        <v>53</v>
      </c>
      <c r="R1227">
        <v>0</v>
      </c>
      <c r="S1227">
        <v>0.75</v>
      </c>
      <c r="T1227">
        <v>0</v>
      </c>
      <c r="U1227">
        <v>0</v>
      </c>
      <c r="W1227" s="1">
        <v>46675</v>
      </c>
      <c r="X1227" s="1">
        <v>46357</v>
      </c>
      <c r="Z1227" t="s">
        <v>52</v>
      </c>
      <c r="AB1227" t="s">
        <v>52</v>
      </c>
      <c r="AC1227">
        <v>102</v>
      </c>
      <c r="AD1227">
        <v>1</v>
      </c>
      <c r="AK1227" t="s">
        <v>52</v>
      </c>
      <c r="AN1227" t="s">
        <v>52</v>
      </c>
      <c r="AO1227" t="s">
        <v>52</v>
      </c>
      <c r="AP1227" t="s">
        <v>52</v>
      </c>
      <c r="AQ1227" t="s">
        <v>52</v>
      </c>
      <c r="AR1227" t="s">
        <v>55</v>
      </c>
    </row>
    <row r="1228" spans="1:45" x14ac:dyDescent="0.25">
      <c r="A1228" t="s">
        <v>47</v>
      </c>
      <c r="B1228">
        <v>8</v>
      </c>
      <c r="C1228" t="s">
        <v>202</v>
      </c>
      <c r="D1228">
        <v>113</v>
      </c>
      <c r="E1228" t="s">
        <v>70</v>
      </c>
      <c r="F1228">
        <v>296</v>
      </c>
      <c r="G1228" t="s">
        <v>90</v>
      </c>
      <c r="H1228" t="s">
        <v>50</v>
      </c>
      <c r="K1228" t="s">
        <v>51</v>
      </c>
      <c r="L1228">
        <v>1</v>
      </c>
      <c r="M1228" t="s">
        <v>52</v>
      </c>
      <c r="N1228" t="s">
        <v>53</v>
      </c>
      <c r="R1228">
        <v>0.5</v>
      </c>
      <c r="S1228">
        <v>0.75</v>
      </c>
      <c r="T1228">
        <v>0</v>
      </c>
      <c r="U1228">
        <v>0</v>
      </c>
      <c r="V1228" s="1">
        <v>46569</v>
      </c>
      <c r="W1228" s="1">
        <v>46675</v>
      </c>
      <c r="X1228" s="1">
        <v>46357</v>
      </c>
      <c r="Z1228" t="s">
        <v>52</v>
      </c>
      <c r="AB1228" t="s">
        <v>52</v>
      </c>
      <c r="AC1228">
        <v>102</v>
      </c>
      <c r="AD1228">
        <v>1</v>
      </c>
      <c r="AK1228" t="s">
        <v>52</v>
      </c>
      <c r="AN1228" t="s">
        <v>52</v>
      </c>
      <c r="AO1228" t="s">
        <v>52</v>
      </c>
      <c r="AP1228" t="s">
        <v>52</v>
      </c>
      <c r="AQ1228" t="s">
        <v>52</v>
      </c>
      <c r="AR1228" t="s">
        <v>55</v>
      </c>
    </row>
    <row r="1229" spans="1:45" x14ac:dyDescent="0.25">
      <c r="A1229" t="s">
        <v>47</v>
      </c>
      <c r="B1229">
        <v>8</v>
      </c>
      <c r="C1229" t="s">
        <v>202</v>
      </c>
      <c r="D1229">
        <v>113</v>
      </c>
      <c r="E1229" t="s">
        <v>70</v>
      </c>
      <c r="F1229">
        <v>296</v>
      </c>
      <c r="G1229" t="s">
        <v>90</v>
      </c>
      <c r="H1229" t="s">
        <v>50</v>
      </c>
      <c r="K1229" t="s">
        <v>52</v>
      </c>
      <c r="L1229">
        <v>1</v>
      </c>
      <c r="M1229" t="s">
        <v>52</v>
      </c>
      <c r="N1229" t="s">
        <v>53</v>
      </c>
      <c r="R1229">
        <v>0.5</v>
      </c>
      <c r="S1229">
        <v>0.75</v>
      </c>
      <c r="T1229">
        <v>0</v>
      </c>
      <c r="U1229">
        <v>0</v>
      </c>
      <c r="V1229" s="1">
        <v>46569</v>
      </c>
      <c r="W1229" s="1">
        <v>46675</v>
      </c>
      <c r="X1229" s="1">
        <v>46357</v>
      </c>
      <c r="Z1229" t="s">
        <v>52</v>
      </c>
      <c r="AB1229" t="s">
        <v>52</v>
      </c>
      <c r="AC1229">
        <v>102</v>
      </c>
      <c r="AD1229">
        <v>1</v>
      </c>
      <c r="AK1229" t="s">
        <v>52</v>
      </c>
      <c r="AN1229" t="s">
        <v>52</v>
      </c>
      <c r="AO1229" t="s">
        <v>52</v>
      </c>
      <c r="AP1229" t="s">
        <v>52</v>
      </c>
      <c r="AQ1229" t="s">
        <v>52</v>
      </c>
      <c r="AR1229" t="s">
        <v>55</v>
      </c>
    </row>
    <row r="1230" spans="1:45" x14ac:dyDescent="0.25">
      <c r="A1230" t="s">
        <v>47</v>
      </c>
      <c r="B1230">
        <v>8</v>
      </c>
      <c r="C1230" t="s">
        <v>202</v>
      </c>
      <c r="D1230">
        <v>113</v>
      </c>
      <c r="E1230" t="s">
        <v>70</v>
      </c>
      <c r="F1230">
        <v>296</v>
      </c>
      <c r="G1230" t="s">
        <v>91</v>
      </c>
      <c r="H1230" t="s">
        <v>50</v>
      </c>
      <c r="K1230" t="s">
        <v>51</v>
      </c>
      <c r="L1230">
        <v>1</v>
      </c>
      <c r="M1230" t="s">
        <v>52</v>
      </c>
      <c r="N1230" t="s">
        <v>53</v>
      </c>
      <c r="R1230">
        <v>0.5</v>
      </c>
      <c r="S1230">
        <v>0.75</v>
      </c>
      <c r="T1230">
        <v>0</v>
      </c>
      <c r="U1230">
        <v>0</v>
      </c>
      <c r="V1230" s="1">
        <v>46569</v>
      </c>
      <c r="W1230" s="1">
        <v>46675</v>
      </c>
      <c r="X1230" s="1">
        <v>46357</v>
      </c>
      <c r="Z1230" t="s">
        <v>52</v>
      </c>
      <c r="AB1230" t="s">
        <v>52</v>
      </c>
      <c r="AC1230">
        <v>102</v>
      </c>
      <c r="AD1230">
        <v>1</v>
      </c>
      <c r="AK1230" t="s">
        <v>52</v>
      </c>
      <c r="AN1230" t="s">
        <v>52</v>
      </c>
      <c r="AO1230" t="s">
        <v>52</v>
      </c>
      <c r="AP1230" t="s">
        <v>52</v>
      </c>
      <c r="AQ1230" t="s">
        <v>52</v>
      </c>
      <c r="AR1230" t="s">
        <v>55</v>
      </c>
    </row>
    <row r="1231" spans="1:45" x14ac:dyDescent="0.25">
      <c r="A1231" t="s">
        <v>47</v>
      </c>
      <c r="B1231">
        <v>8</v>
      </c>
      <c r="C1231" t="s">
        <v>202</v>
      </c>
      <c r="D1231">
        <v>113</v>
      </c>
      <c r="E1231" t="s">
        <v>70</v>
      </c>
      <c r="F1231">
        <v>296</v>
      </c>
      <c r="G1231" t="s">
        <v>91</v>
      </c>
      <c r="H1231" t="s">
        <v>50</v>
      </c>
      <c r="K1231" t="s">
        <v>52</v>
      </c>
      <c r="L1231">
        <v>1</v>
      </c>
      <c r="M1231" t="s">
        <v>52</v>
      </c>
      <c r="N1231" t="s">
        <v>53</v>
      </c>
      <c r="R1231">
        <v>0.5</v>
      </c>
      <c r="S1231">
        <v>0.75</v>
      </c>
      <c r="T1231">
        <v>0</v>
      </c>
      <c r="U1231">
        <v>0</v>
      </c>
      <c r="V1231" s="1">
        <v>46569</v>
      </c>
      <c r="W1231" s="1">
        <v>46675</v>
      </c>
      <c r="X1231" s="1">
        <v>46357</v>
      </c>
      <c r="Z1231" t="s">
        <v>52</v>
      </c>
      <c r="AB1231" t="s">
        <v>52</v>
      </c>
      <c r="AC1231">
        <v>102</v>
      </c>
      <c r="AD1231">
        <v>1</v>
      </c>
      <c r="AK1231" t="s">
        <v>52</v>
      </c>
      <c r="AN1231" t="s">
        <v>52</v>
      </c>
      <c r="AO1231" t="s">
        <v>52</v>
      </c>
      <c r="AP1231" t="s">
        <v>52</v>
      </c>
      <c r="AQ1231" t="s">
        <v>52</v>
      </c>
      <c r="AR1231" t="s">
        <v>55</v>
      </c>
    </row>
    <row r="1232" spans="1:45" x14ac:dyDescent="0.25">
      <c r="A1232" t="s">
        <v>47</v>
      </c>
      <c r="B1232">
        <v>8</v>
      </c>
      <c r="C1232" t="s">
        <v>202</v>
      </c>
      <c r="D1232">
        <v>113</v>
      </c>
      <c r="E1232" t="s">
        <v>70</v>
      </c>
      <c r="F1232">
        <v>296</v>
      </c>
      <c r="G1232" t="s">
        <v>124</v>
      </c>
      <c r="H1232" t="s">
        <v>50</v>
      </c>
      <c r="K1232" t="s">
        <v>51</v>
      </c>
      <c r="L1232">
        <v>1</v>
      </c>
      <c r="M1232" t="s">
        <v>52</v>
      </c>
      <c r="N1232" t="s">
        <v>53</v>
      </c>
      <c r="R1232">
        <v>0</v>
      </c>
      <c r="S1232">
        <v>0.75</v>
      </c>
      <c r="T1232">
        <v>0</v>
      </c>
      <c r="U1232">
        <v>0</v>
      </c>
      <c r="W1232" s="1">
        <v>46675</v>
      </c>
      <c r="X1232" s="1">
        <v>46357</v>
      </c>
      <c r="Z1232" t="s">
        <v>52</v>
      </c>
      <c r="AB1232" t="s">
        <v>52</v>
      </c>
      <c r="AC1232">
        <v>102</v>
      </c>
      <c r="AD1232">
        <v>1</v>
      </c>
      <c r="AK1232" t="s">
        <v>52</v>
      </c>
      <c r="AN1232" t="s">
        <v>52</v>
      </c>
      <c r="AO1232" t="s">
        <v>52</v>
      </c>
      <c r="AP1232" t="s">
        <v>52</v>
      </c>
      <c r="AQ1232" t="s">
        <v>52</v>
      </c>
      <c r="AR1232" t="s">
        <v>55</v>
      </c>
    </row>
    <row r="1233" spans="1:45" x14ac:dyDescent="0.25">
      <c r="A1233" t="s">
        <v>47</v>
      </c>
      <c r="B1233">
        <v>8</v>
      </c>
      <c r="C1233" t="s">
        <v>202</v>
      </c>
      <c r="D1233">
        <v>113</v>
      </c>
      <c r="E1233" t="s">
        <v>70</v>
      </c>
      <c r="F1233">
        <v>296</v>
      </c>
      <c r="G1233" t="s">
        <v>124</v>
      </c>
      <c r="H1233" t="s">
        <v>50</v>
      </c>
      <c r="K1233" t="s">
        <v>52</v>
      </c>
      <c r="L1233">
        <v>1</v>
      </c>
      <c r="M1233" t="s">
        <v>52</v>
      </c>
      <c r="N1233" t="s">
        <v>53</v>
      </c>
      <c r="R1233">
        <v>0</v>
      </c>
      <c r="S1233">
        <v>0.75</v>
      </c>
      <c r="T1233">
        <v>0</v>
      </c>
      <c r="U1233">
        <v>0</v>
      </c>
      <c r="W1233" s="1">
        <v>46675</v>
      </c>
      <c r="X1233" s="1">
        <v>46357</v>
      </c>
      <c r="Z1233" t="s">
        <v>52</v>
      </c>
      <c r="AB1233" t="s">
        <v>52</v>
      </c>
      <c r="AC1233">
        <v>102</v>
      </c>
      <c r="AD1233">
        <v>1</v>
      </c>
      <c r="AK1233" t="s">
        <v>52</v>
      </c>
      <c r="AN1233" t="s">
        <v>52</v>
      </c>
      <c r="AO1233" t="s">
        <v>52</v>
      </c>
      <c r="AP1233" t="s">
        <v>52</v>
      </c>
      <c r="AQ1233" t="s">
        <v>52</v>
      </c>
      <c r="AR1233" t="s">
        <v>55</v>
      </c>
    </row>
    <row r="1234" spans="1:45" x14ac:dyDescent="0.25">
      <c r="A1234" t="s">
        <v>47</v>
      </c>
      <c r="B1234">
        <v>8</v>
      </c>
      <c r="C1234" t="s">
        <v>202</v>
      </c>
      <c r="D1234">
        <v>113</v>
      </c>
      <c r="E1234" t="s">
        <v>70</v>
      </c>
      <c r="F1234">
        <v>296</v>
      </c>
      <c r="G1234" t="s">
        <v>92</v>
      </c>
      <c r="H1234" t="s">
        <v>50</v>
      </c>
      <c r="K1234" t="s">
        <v>51</v>
      </c>
      <c r="L1234">
        <v>1</v>
      </c>
      <c r="M1234" t="s">
        <v>52</v>
      </c>
      <c r="N1234" t="s">
        <v>53</v>
      </c>
      <c r="R1234">
        <v>0.5</v>
      </c>
      <c r="S1234">
        <v>0.75</v>
      </c>
      <c r="U1234">
        <v>0</v>
      </c>
      <c r="V1234" s="1">
        <v>46569</v>
      </c>
      <c r="W1234" s="1">
        <v>46675</v>
      </c>
      <c r="X1234" s="1">
        <v>46357</v>
      </c>
      <c r="Z1234" t="s">
        <v>52</v>
      </c>
      <c r="AB1234" t="s">
        <v>52</v>
      </c>
      <c r="AC1234">
        <v>102</v>
      </c>
      <c r="AD1234">
        <v>1</v>
      </c>
      <c r="AK1234" t="s">
        <v>52</v>
      </c>
      <c r="AN1234" t="s">
        <v>52</v>
      </c>
      <c r="AO1234" t="s">
        <v>52</v>
      </c>
      <c r="AP1234" t="s">
        <v>52</v>
      </c>
      <c r="AQ1234" t="s">
        <v>52</v>
      </c>
      <c r="AR1234" t="s">
        <v>55</v>
      </c>
    </row>
    <row r="1235" spans="1:45" x14ac:dyDescent="0.25">
      <c r="A1235" t="s">
        <v>47</v>
      </c>
      <c r="B1235">
        <v>8</v>
      </c>
      <c r="C1235" t="s">
        <v>202</v>
      </c>
      <c r="D1235">
        <v>113</v>
      </c>
      <c r="E1235" t="s">
        <v>70</v>
      </c>
      <c r="F1235">
        <v>296</v>
      </c>
      <c r="G1235" t="s">
        <v>92</v>
      </c>
      <c r="H1235" t="s">
        <v>50</v>
      </c>
      <c r="K1235" t="s">
        <v>52</v>
      </c>
      <c r="L1235">
        <v>1</v>
      </c>
      <c r="M1235" t="s">
        <v>52</v>
      </c>
      <c r="N1235" t="s">
        <v>53</v>
      </c>
      <c r="R1235">
        <v>0.5</v>
      </c>
      <c r="S1235">
        <v>0.75</v>
      </c>
      <c r="U1235">
        <v>0</v>
      </c>
      <c r="V1235" s="1">
        <v>46569</v>
      </c>
      <c r="W1235" s="1">
        <v>46675</v>
      </c>
      <c r="X1235" s="1">
        <v>46357</v>
      </c>
      <c r="Z1235" t="s">
        <v>52</v>
      </c>
      <c r="AB1235" t="s">
        <v>52</v>
      </c>
      <c r="AC1235">
        <v>102</v>
      </c>
      <c r="AD1235">
        <v>1</v>
      </c>
      <c r="AK1235" t="s">
        <v>52</v>
      </c>
      <c r="AN1235" t="s">
        <v>52</v>
      </c>
      <c r="AO1235" t="s">
        <v>52</v>
      </c>
      <c r="AP1235" t="s">
        <v>52</v>
      </c>
      <c r="AQ1235" t="s">
        <v>52</v>
      </c>
      <c r="AR1235" t="s">
        <v>55</v>
      </c>
    </row>
    <row r="1236" spans="1:45" x14ac:dyDescent="0.25">
      <c r="A1236" t="s">
        <v>47</v>
      </c>
      <c r="B1236">
        <v>8</v>
      </c>
      <c r="C1236" t="s">
        <v>202</v>
      </c>
      <c r="D1236">
        <v>113</v>
      </c>
      <c r="E1236" t="s">
        <v>70</v>
      </c>
      <c r="F1236">
        <v>296</v>
      </c>
      <c r="G1236" t="s">
        <v>116</v>
      </c>
      <c r="H1236" t="s">
        <v>50</v>
      </c>
      <c r="K1236" t="s">
        <v>51</v>
      </c>
      <c r="L1236">
        <v>1</v>
      </c>
      <c r="M1236" t="s">
        <v>52</v>
      </c>
      <c r="N1236" t="s">
        <v>53</v>
      </c>
      <c r="R1236">
        <v>0.5</v>
      </c>
      <c r="S1236">
        <v>0.75</v>
      </c>
      <c r="T1236">
        <v>0</v>
      </c>
      <c r="U1236">
        <v>0</v>
      </c>
      <c r="V1236" s="1">
        <v>46569</v>
      </c>
      <c r="W1236" s="1">
        <v>46675</v>
      </c>
      <c r="X1236" s="1">
        <v>46357</v>
      </c>
      <c r="Z1236" t="s">
        <v>52</v>
      </c>
      <c r="AB1236" t="s">
        <v>52</v>
      </c>
      <c r="AC1236">
        <v>102</v>
      </c>
      <c r="AD1236">
        <v>1</v>
      </c>
      <c r="AK1236" t="s">
        <v>52</v>
      </c>
      <c r="AN1236" t="s">
        <v>52</v>
      </c>
      <c r="AO1236" t="s">
        <v>52</v>
      </c>
      <c r="AP1236" t="s">
        <v>52</v>
      </c>
      <c r="AQ1236" t="s">
        <v>52</v>
      </c>
      <c r="AR1236" t="s">
        <v>55</v>
      </c>
    </row>
    <row r="1237" spans="1:45" x14ac:dyDescent="0.25">
      <c r="A1237" t="s">
        <v>47</v>
      </c>
      <c r="B1237">
        <v>8</v>
      </c>
      <c r="C1237" t="s">
        <v>202</v>
      </c>
      <c r="D1237">
        <v>113</v>
      </c>
      <c r="E1237" t="s">
        <v>70</v>
      </c>
      <c r="F1237">
        <v>296</v>
      </c>
      <c r="G1237" t="s">
        <v>116</v>
      </c>
      <c r="H1237" t="s">
        <v>50</v>
      </c>
      <c r="K1237" t="s">
        <v>52</v>
      </c>
      <c r="L1237">
        <v>1</v>
      </c>
      <c r="M1237" t="s">
        <v>52</v>
      </c>
      <c r="N1237" t="s">
        <v>53</v>
      </c>
      <c r="R1237">
        <v>0.5</v>
      </c>
      <c r="S1237">
        <v>0.75</v>
      </c>
      <c r="T1237">
        <v>0</v>
      </c>
      <c r="U1237">
        <v>0</v>
      </c>
      <c r="V1237" s="1">
        <v>46569</v>
      </c>
      <c r="W1237" s="1">
        <v>46675</v>
      </c>
      <c r="X1237" s="1">
        <v>46357</v>
      </c>
      <c r="Z1237" t="s">
        <v>52</v>
      </c>
      <c r="AB1237" t="s">
        <v>52</v>
      </c>
      <c r="AC1237">
        <v>102</v>
      </c>
      <c r="AD1237">
        <v>1</v>
      </c>
      <c r="AK1237" t="s">
        <v>52</v>
      </c>
      <c r="AN1237" t="s">
        <v>52</v>
      </c>
      <c r="AO1237" t="s">
        <v>52</v>
      </c>
      <c r="AP1237" t="s">
        <v>52</v>
      </c>
      <c r="AQ1237" t="s">
        <v>52</v>
      </c>
      <c r="AR1237" t="s">
        <v>55</v>
      </c>
    </row>
    <row r="1238" spans="1:45" x14ac:dyDescent="0.25">
      <c r="A1238" t="s">
        <v>47</v>
      </c>
      <c r="B1238">
        <v>8</v>
      </c>
      <c r="C1238" t="s">
        <v>202</v>
      </c>
      <c r="D1238">
        <v>113</v>
      </c>
      <c r="E1238" t="s">
        <v>75</v>
      </c>
      <c r="F1238">
        <v>16</v>
      </c>
      <c r="G1238" t="s">
        <v>76</v>
      </c>
      <c r="H1238" t="s">
        <v>50</v>
      </c>
      <c r="K1238" t="s">
        <v>51</v>
      </c>
      <c r="L1238">
        <v>1</v>
      </c>
      <c r="M1238" t="s">
        <v>52</v>
      </c>
      <c r="N1238" t="s">
        <v>53</v>
      </c>
      <c r="R1238">
        <v>0.5</v>
      </c>
      <c r="S1238">
        <v>0.75</v>
      </c>
      <c r="T1238">
        <v>0</v>
      </c>
      <c r="U1238">
        <v>0</v>
      </c>
      <c r="V1238" s="1">
        <v>46532</v>
      </c>
      <c r="W1238" s="1">
        <v>46691</v>
      </c>
      <c r="X1238" s="1">
        <v>46461</v>
      </c>
      <c r="Z1238" t="s">
        <v>52</v>
      </c>
      <c r="AB1238" t="s">
        <v>52</v>
      </c>
      <c r="AC1238">
        <v>16</v>
      </c>
      <c r="AD1238">
        <v>2</v>
      </c>
      <c r="AK1238" t="s">
        <v>52</v>
      </c>
      <c r="AN1238" t="s">
        <v>52</v>
      </c>
      <c r="AO1238" t="s">
        <v>52</v>
      </c>
      <c r="AP1238" t="s">
        <v>52</v>
      </c>
      <c r="AQ1238" t="s">
        <v>52</v>
      </c>
      <c r="AR1238" t="s">
        <v>55</v>
      </c>
    </row>
    <row r="1239" spans="1:45" x14ac:dyDescent="0.25">
      <c r="A1239" t="s">
        <v>47</v>
      </c>
      <c r="B1239">
        <v>8</v>
      </c>
      <c r="C1239" t="s">
        <v>202</v>
      </c>
      <c r="D1239">
        <v>113</v>
      </c>
      <c r="E1239" t="s">
        <v>75</v>
      </c>
      <c r="F1239">
        <v>16</v>
      </c>
      <c r="G1239" t="s">
        <v>76</v>
      </c>
      <c r="H1239" t="s">
        <v>50</v>
      </c>
      <c r="K1239" t="s">
        <v>52</v>
      </c>
      <c r="L1239">
        <v>1</v>
      </c>
      <c r="M1239" t="s">
        <v>52</v>
      </c>
      <c r="N1239" t="s">
        <v>53</v>
      </c>
      <c r="R1239">
        <v>0.5</v>
      </c>
      <c r="S1239">
        <v>0.75</v>
      </c>
      <c r="T1239">
        <v>0</v>
      </c>
      <c r="U1239">
        <v>0</v>
      </c>
      <c r="V1239" s="1">
        <v>46532</v>
      </c>
      <c r="W1239" s="1">
        <v>46691</v>
      </c>
      <c r="X1239" s="1">
        <v>46461</v>
      </c>
      <c r="Z1239" t="s">
        <v>52</v>
      </c>
      <c r="AB1239" t="s">
        <v>52</v>
      </c>
      <c r="AC1239">
        <v>16</v>
      </c>
      <c r="AD1239">
        <v>2</v>
      </c>
      <c r="AK1239" t="s">
        <v>52</v>
      </c>
      <c r="AN1239" t="s">
        <v>52</v>
      </c>
      <c r="AO1239" t="s">
        <v>52</v>
      </c>
      <c r="AP1239" t="s">
        <v>52</v>
      </c>
      <c r="AQ1239" t="s">
        <v>52</v>
      </c>
      <c r="AR1239" t="s">
        <v>55</v>
      </c>
    </row>
    <row r="1240" spans="1:45" x14ac:dyDescent="0.25">
      <c r="A1240" t="s">
        <v>47</v>
      </c>
      <c r="B1240">
        <v>8</v>
      </c>
      <c r="C1240" t="s">
        <v>202</v>
      </c>
      <c r="D1240">
        <v>113</v>
      </c>
      <c r="E1240" t="s">
        <v>94</v>
      </c>
      <c r="F1240">
        <v>26</v>
      </c>
      <c r="H1240" t="s">
        <v>50</v>
      </c>
      <c r="K1240" t="s">
        <v>51</v>
      </c>
      <c r="L1240">
        <v>1</v>
      </c>
      <c r="M1240" t="s">
        <v>52</v>
      </c>
      <c r="N1240" t="s">
        <v>53</v>
      </c>
      <c r="R1240">
        <v>0</v>
      </c>
      <c r="S1240">
        <v>0.92</v>
      </c>
      <c r="U1240">
        <v>0</v>
      </c>
      <c r="W1240" s="1">
        <v>46675</v>
      </c>
      <c r="X1240" s="1">
        <v>46357</v>
      </c>
      <c r="Z1240" t="s">
        <v>52</v>
      </c>
      <c r="AB1240" t="s">
        <v>52</v>
      </c>
      <c r="AC1240">
        <v>102</v>
      </c>
      <c r="AD1240">
        <v>1</v>
      </c>
      <c r="AK1240" t="s">
        <v>52</v>
      </c>
      <c r="AN1240" t="s">
        <v>52</v>
      </c>
      <c r="AO1240" t="s">
        <v>52</v>
      </c>
      <c r="AP1240" t="s">
        <v>52</v>
      </c>
      <c r="AQ1240" t="s">
        <v>52</v>
      </c>
      <c r="AR1240" t="s">
        <v>55</v>
      </c>
    </row>
    <row r="1241" spans="1:45" x14ac:dyDescent="0.25">
      <c r="A1241" t="s">
        <v>47</v>
      </c>
      <c r="B1241">
        <v>8</v>
      </c>
      <c r="C1241" t="s">
        <v>202</v>
      </c>
      <c r="D1241">
        <v>113</v>
      </c>
      <c r="E1241" t="s">
        <v>79</v>
      </c>
      <c r="F1241">
        <v>50</v>
      </c>
      <c r="G1241" t="s">
        <v>65</v>
      </c>
      <c r="H1241" t="s">
        <v>50</v>
      </c>
      <c r="K1241" t="s">
        <v>51</v>
      </c>
      <c r="L1241">
        <v>1</v>
      </c>
      <c r="M1241" t="s">
        <v>52</v>
      </c>
      <c r="N1241" t="s">
        <v>53</v>
      </c>
      <c r="R1241">
        <v>0.5</v>
      </c>
      <c r="S1241">
        <v>0.75</v>
      </c>
      <c r="T1241">
        <v>0</v>
      </c>
      <c r="U1241">
        <v>0</v>
      </c>
      <c r="V1241" s="1">
        <v>46553</v>
      </c>
      <c r="W1241" s="1">
        <v>46675</v>
      </c>
      <c r="X1241" s="1">
        <v>46461</v>
      </c>
      <c r="Z1241" t="s">
        <v>52</v>
      </c>
      <c r="AB1241" t="s">
        <v>52</v>
      </c>
      <c r="AC1241">
        <v>50</v>
      </c>
      <c r="AD1241">
        <v>1</v>
      </c>
      <c r="AK1241" t="s">
        <v>52</v>
      </c>
      <c r="AN1241" t="s">
        <v>52</v>
      </c>
      <c r="AO1241" t="s">
        <v>52</v>
      </c>
      <c r="AP1241" t="s">
        <v>52</v>
      </c>
      <c r="AQ1241" t="s">
        <v>52</v>
      </c>
      <c r="AR1241" t="s">
        <v>55</v>
      </c>
      <c r="AS1241" t="s">
        <v>88</v>
      </c>
    </row>
    <row r="1242" spans="1:45" x14ac:dyDescent="0.25">
      <c r="A1242" t="s">
        <v>47</v>
      </c>
      <c r="B1242">
        <v>8</v>
      </c>
      <c r="C1242" t="s">
        <v>202</v>
      </c>
      <c r="D1242">
        <v>113</v>
      </c>
      <c r="E1242" t="s">
        <v>79</v>
      </c>
      <c r="F1242">
        <v>50</v>
      </c>
      <c r="G1242" t="s">
        <v>65</v>
      </c>
      <c r="H1242" t="s">
        <v>50</v>
      </c>
      <c r="K1242" t="s">
        <v>52</v>
      </c>
      <c r="L1242">
        <v>1</v>
      </c>
      <c r="M1242" t="s">
        <v>52</v>
      </c>
      <c r="N1242" t="s">
        <v>53</v>
      </c>
      <c r="R1242">
        <v>0.5</v>
      </c>
      <c r="S1242">
        <v>0.75</v>
      </c>
      <c r="T1242">
        <v>0</v>
      </c>
      <c r="U1242">
        <v>0</v>
      </c>
      <c r="V1242" s="1">
        <v>46553</v>
      </c>
      <c r="W1242" s="1">
        <v>46675</v>
      </c>
      <c r="X1242" s="1">
        <v>46461</v>
      </c>
      <c r="Z1242" t="s">
        <v>52</v>
      </c>
      <c r="AB1242" t="s">
        <v>52</v>
      </c>
      <c r="AC1242">
        <v>50</v>
      </c>
      <c r="AD1242">
        <v>1</v>
      </c>
      <c r="AK1242" t="s">
        <v>52</v>
      </c>
      <c r="AN1242" t="s">
        <v>52</v>
      </c>
      <c r="AO1242" t="s">
        <v>52</v>
      </c>
      <c r="AP1242" t="s">
        <v>52</v>
      </c>
      <c r="AQ1242" t="s">
        <v>52</v>
      </c>
      <c r="AR1242" t="s">
        <v>55</v>
      </c>
      <c r="AS1242" t="s">
        <v>60</v>
      </c>
    </row>
    <row r="1243" spans="1:45" x14ac:dyDescent="0.25">
      <c r="A1243" t="s">
        <v>47</v>
      </c>
      <c r="B1243">
        <v>8</v>
      </c>
      <c r="C1243" t="s">
        <v>202</v>
      </c>
      <c r="D1243">
        <v>113</v>
      </c>
      <c r="E1243" t="s">
        <v>79</v>
      </c>
      <c r="F1243">
        <v>50</v>
      </c>
      <c r="G1243" t="s">
        <v>81</v>
      </c>
      <c r="H1243" t="s">
        <v>50</v>
      </c>
      <c r="K1243" t="s">
        <v>51</v>
      </c>
      <c r="L1243">
        <v>1</v>
      </c>
      <c r="M1243" t="s">
        <v>52</v>
      </c>
      <c r="N1243" t="s">
        <v>53</v>
      </c>
      <c r="R1243">
        <v>0.5</v>
      </c>
      <c r="S1243">
        <v>0.75</v>
      </c>
      <c r="T1243">
        <v>0</v>
      </c>
      <c r="U1243">
        <v>0</v>
      </c>
      <c r="V1243" s="1">
        <v>46553</v>
      </c>
      <c r="W1243" s="1">
        <v>46675</v>
      </c>
      <c r="X1243" s="1">
        <v>46461</v>
      </c>
      <c r="Z1243" t="s">
        <v>52</v>
      </c>
      <c r="AB1243" t="s">
        <v>52</v>
      </c>
      <c r="AC1243">
        <v>50</v>
      </c>
      <c r="AD1243">
        <v>1</v>
      </c>
      <c r="AK1243" t="s">
        <v>52</v>
      </c>
      <c r="AN1243" t="s">
        <v>52</v>
      </c>
      <c r="AO1243" t="s">
        <v>52</v>
      </c>
      <c r="AP1243" t="s">
        <v>52</v>
      </c>
      <c r="AQ1243" t="s">
        <v>52</v>
      </c>
      <c r="AR1243" t="s">
        <v>55</v>
      </c>
      <c r="AS1243" t="s">
        <v>60</v>
      </c>
    </row>
    <row r="1244" spans="1:45" x14ac:dyDescent="0.25">
      <c r="A1244" t="s">
        <v>47</v>
      </c>
      <c r="B1244">
        <v>8</v>
      </c>
      <c r="C1244" t="s">
        <v>202</v>
      </c>
      <c r="D1244">
        <v>113</v>
      </c>
      <c r="E1244" t="s">
        <v>79</v>
      </c>
      <c r="F1244">
        <v>50</v>
      </c>
      <c r="G1244" t="s">
        <v>81</v>
      </c>
      <c r="H1244" t="s">
        <v>50</v>
      </c>
      <c r="K1244" t="s">
        <v>52</v>
      </c>
      <c r="L1244">
        <v>1</v>
      </c>
      <c r="M1244" t="s">
        <v>52</v>
      </c>
      <c r="N1244" t="s">
        <v>53</v>
      </c>
      <c r="R1244">
        <v>0.5</v>
      </c>
      <c r="S1244">
        <v>0.75</v>
      </c>
      <c r="T1244">
        <v>0</v>
      </c>
      <c r="U1244">
        <v>0</v>
      </c>
      <c r="V1244" s="1">
        <v>46553</v>
      </c>
      <c r="W1244" s="1">
        <v>46675</v>
      </c>
      <c r="X1244" s="1">
        <v>46461</v>
      </c>
      <c r="Z1244" t="s">
        <v>52</v>
      </c>
      <c r="AB1244" t="s">
        <v>52</v>
      </c>
      <c r="AC1244">
        <v>50</v>
      </c>
      <c r="AD1244">
        <v>1</v>
      </c>
      <c r="AK1244" t="s">
        <v>52</v>
      </c>
      <c r="AN1244" t="s">
        <v>52</v>
      </c>
      <c r="AO1244" t="s">
        <v>52</v>
      </c>
      <c r="AP1244" t="s">
        <v>52</v>
      </c>
      <c r="AQ1244" t="s">
        <v>52</v>
      </c>
      <c r="AR1244" t="s">
        <v>55</v>
      </c>
      <c r="AS1244" t="s">
        <v>60</v>
      </c>
    </row>
    <row r="1245" spans="1:45" x14ac:dyDescent="0.25">
      <c r="A1245" t="s">
        <v>47</v>
      </c>
      <c r="B1245">
        <v>8</v>
      </c>
      <c r="C1245" t="s">
        <v>202</v>
      </c>
      <c r="D1245">
        <v>113</v>
      </c>
      <c r="E1245" t="s">
        <v>82</v>
      </c>
      <c r="F1245">
        <v>52</v>
      </c>
      <c r="H1245" t="s">
        <v>50</v>
      </c>
      <c r="K1245" t="s">
        <v>51</v>
      </c>
      <c r="L1245">
        <v>1</v>
      </c>
      <c r="M1245" t="s">
        <v>52</v>
      </c>
      <c r="N1245" t="s">
        <v>53</v>
      </c>
      <c r="R1245">
        <v>0.5</v>
      </c>
      <c r="S1245">
        <v>0.75</v>
      </c>
      <c r="U1245">
        <v>0</v>
      </c>
      <c r="V1245" s="1">
        <v>46569</v>
      </c>
      <c r="W1245" s="1">
        <v>46675</v>
      </c>
      <c r="X1245" s="1">
        <v>46461</v>
      </c>
      <c r="Z1245" t="s">
        <v>52</v>
      </c>
      <c r="AB1245" t="s">
        <v>52</v>
      </c>
      <c r="AC1245">
        <v>50</v>
      </c>
      <c r="AD1245">
        <v>1</v>
      </c>
      <c r="AK1245" t="s">
        <v>52</v>
      </c>
      <c r="AN1245" t="s">
        <v>52</v>
      </c>
      <c r="AO1245" t="s">
        <v>52</v>
      </c>
      <c r="AP1245" t="s">
        <v>52</v>
      </c>
      <c r="AQ1245" t="s">
        <v>52</v>
      </c>
      <c r="AR1245" t="s">
        <v>55</v>
      </c>
    </row>
    <row r="1246" spans="1:45" x14ac:dyDescent="0.25">
      <c r="A1246" t="s">
        <v>47</v>
      </c>
      <c r="B1246">
        <v>8</v>
      </c>
      <c r="C1246" t="s">
        <v>202</v>
      </c>
      <c r="D1246">
        <v>113</v>
      </c>
      <c r="E1246" t="s">
        <v>82</v>
      </c>
      <c r="F1246">
        <v>52</v>
      </c>
      <c r="H1246" t="s">
        <v>50</v>
      </c>
      <c r="K1246" t="s">
        <v>52</v>
      </c>
      <c r="L1246">
        <v>1</v>
      </c>
      <c r="M1246" t="s">
        <v>52</v>
      </c>
      <c r="N1246" t="s">
        <v>53</v>
      </c>
      <c r="R1246">
        <v>0.5</v>
      </c>
      <c r="S1246">
        <v>0.75</v>
      </c>
      <c r="U1246">
        <v>0</v>
      </c>
      <c r="V1246" s="1">
        <v>46569</v>
      </c>
      <c r="W1246" s="1">
        <v>46675</v>
      </c>
      <c r="X1246" s="1">
        <v>46461</v>
      </c>
      <c r="Z1246" t="s">
        <v>52</v>
      </c>
      <c r="AB1246" t="s">
        <v>52</v>
      </c>
      <c r="AC1246">
        <v>50</v>
      </c>
      <c r="AD1246">
        <v>1</v>
      </c>
      <c r="AK1246" t="s">
        <v>52</v>
      </c>
      <c r="AN1246" t="s">
        <v>52</v>
      </c>
      <c r="AO1246" t="s">
        <v>52</v>
      </c>
      <c r="AP1246" t="s">
        <v>52</v>
      </c>
      <c r="AQ1246" t="s">
        <v>52</v>
      </c>
      <c r="AR1246" t="s">
        <v>55</v>
      </c>
    </row>
    <row r="1247" spans="1:45" x14ac:dyDescent="0.25">
      <c r="A1247" t="s">
        <v>47</v>
      </c>
      <c r="B1247">
        <v>8</v>
      </c>
      <c r="C1247" t="s">
        <v>202</v>
      </c>
      <c r="D1247">
        <v>113</v>
      </c>
      <c r="E1247" t="s">
        <v>83</v>
      </c>
      <c r="F1247">
        <v>158</v>
      </c>
      <c r="H1247" t="s">
        <v>50</v>
      </c>
      <c r="K1247" t="s">
        <v>51</v>
      </c>
      <c r="L1247">
        <v>1</v>
      </c>
      <c r="M1247" t="s">
        <v>52</v>
      </c>
      <c r="N1247" t="s">
        <v>53</v>
      </c>
      <c r="P1247">
        <v>1.3</v>
      </c>
      <c r="R1247">
        <v>0.77</v>
      </c>
      <c r="S1247">
        <v>0.93</v>
      </c>
      <c r="T1247">
        <v>0</v>
      </c>
      <c r="U1247">
        <v>0</v>
      </c>
      <c r="V1247" s="1">
        <v>46522</v>
      </c>
      <c r="W1247" s="1">
        <v>46691</v>
      </c>
      <c r="X1247" s="1">
        <v>46266</v>
      </c>
      <c r="Z1247" t="s">
        <v>52</v>
      </c>
      <c r="AA1247" t="s">
        <v>54</v>
      </c>
      <c r="AB1247" t="s">
        <v>52</v>
      </c>
      <c r="AC1247">
        <v>158</v>
      </c>
      <c r="AD1247">
        <v>2</v>
      </c>
      <c r="AK1247" t="s">
        <v>52</v>
      </c>
      <c r="AN1247" t="s">
        <v>52</v>
      </c>
      <c r="AO1247" t="s">
        <v>52</v>
      </c>
      <c r="AP1247" t="s">
        <v>52</v>
      </c>
      <c r="AQ1247" t="s">
        <v>52</v>
      </c>
      <c r="AR1247" t="s">
        <v>95</v>
      </c>
      <c r="AS1247" t="s">
        <v>140</v>
      </c>
    </row>
    <row r="1248" spans="1:45" x14ac:dyDescent="0.25">
      <c r="A1248" t="s">
        <v>47</v>
      </c>
      <c r="B1248">
        <v>8</v>
      </c>
      <c r="C1248" t="s">
        <v>202</v>
      </c>
      <c r="D1248">
        <v>113</v>
      </c>
      <c r="E1248" t="s">
        <v>83</v>
      </c>
      <c r="F1248">
        <v>158</v>
      </c>
      <c r="H1248" t="s">
        <v>50</v>
      </c>
      <c r="K1248" t="s">
        <v>52</v>
      </c>
      <c r="L1248">
        <v>1</v>
      </c>
      <c r="M1248" t="s">
        <v>52</v>
      </c>
      <c r="N1248" t="s">
        <v>53</v>
      </c>
      <c r="R1248">
        <v>0.77</v>
      </c>
      <c r="S1248">
        <v>0.93</v>
      </c>
      <c r="V1248" s="1">
        <v>46522</v>
      </c>
      <c r="W1248" s="1">
        <v>46691</v>
      </c>
      <c r="X1248" s="1">
        <v>46266</v>
      </c>
      <c r="Z1248" t="s">
        <v>52</v>
      </c>
      <c r="AB1248" t="s">
        <v>52</v>
      </c>
      <c r="AC1248">
        <v>158</v>
      </c>
      <c r="AD1248">
        <v>2</v>
      </c>
      <c r="AK1248" t="s">
        <v>52</v>
      </c>
      <c r="AN1248" t="s">
        <v>52</v>
      </c>
      <c r="AO1248" t="s">
        <v>52</v>
      </c>
      <c r="AP1248" t="s">
        <v>52</v>
      </c>
      <c r="AQ1248" t="s">
        <v>52</v>
      </c>
      <c r="AR1248" t="s">
        <v>95</v>
      </c>
    </row>
    <row r="1249" spans="1:45" x14ac:dyDescent="0.25">
      <c r="A1249" t="s">
        <v>47</v>
      </c>
      <c r="B1249">
        <v>8</v>
      </c>
      <c r="C1249" t="s">
        <v>202</v>
      </c>
      <c r="D1249">
        <v>113</v>
      </c>
      <c r="E1249" t="s">
        <v>84</v>
      </c>
      <c r="F1249">
        <v>11</v>
      </c>
      <c r="G1249" t="s">
        <v>85</v>
      </c>
      <c r="H1249" t="s">
        <v>50</v>
      </c>
      <c r="K1249" t="s">
        <v>51</v>
      </c>
      <c r="L1249">
        <v>1</v>
      </c>
      <c r="M1249" t="s">
        <v>52</v>
      </c>
      <c r="N1249" t="s">
        <v>53</v>
      </c>
      <c r="R1249">
        <v>0.5</v>
      </c>
      <c r="S1249">
        <v>0.75</v>
      </c>
      <c r="T1249">
        <v>0</v>
      </c>
      <c r="U1249">
        <v>0</v>
      </c>
      <c r="V1249" s="1">
        <v>46593</v>
      </c>
      <c r="W1249" s="1">
        <v>46691</v>
      </c>
      <c r="X1249" s="1">
        <v>46295</v>
      </c>
      <c r="Z1249" t="s">
        <v>52</v>
      </c>
      <c r="AB1249" t="s">
        <v>52</v>
      </c>
      <c r="AC1249">
        <v>11</v>
      </c>
      <c r="AD1249">
        <v>2</v>
      </c>
      <c r="AK1249" t="s">
        <v>52</v>
      </c>
      <c r="AN1249" t="s">
        <v>52</v>
      </c>
      <c r="AO1249" t="s">
        <v>52</v>
      </c>
      <c r="AP1249" t="s">
        <v>52</v>
      </c>
      <c r="AQ1249" t="s">
        <v>52</v>
      </c>
      <c r="AR1249" t="s">
        <v>55</v>
      </c>
    </row>
    <row r="1250" spans="1:45" x14ac:dyDescent="0.25">
      <c r="A1250" t="s">
        <v>47</v>
      </c>
      <c r="B1250">
        <v>8</v>
      </c>
      <c r="C1250" t="s">
        <v>202</v>
      </c>
      <c r="D1250">
        <v>113</v>
      </c>
      <c r="E1250" t="s">
        <v>84</v>
      </c>
      <c r="F1250">
        <v>11</v>
      </c>
      <c r="G1250" t="s">
        <v>85</v>
      </c>
      <c r="H1250" t="s">
        <v>50</v>
      </c>
      <c r="K1250" t="s">
        <v>52</v>
      </c>
      <c r="L1250">
        <v>1</v>
      </c>
      <c r="M1250" t="s">
        <v>52</v>
      </c>
      <c r="N1250" t="s">
        <v>53</v>
      </c>
      <c r="R1250">
        <v>0.5</v>
      </c>
      <c r="S1250">
        <v>0.75</v>
      </c>
      <c r="T1250">
        <v>0</v>
      </c>
      <c r="U1250">
        <v>0</v>
      </c>
      <c r="V1250" s="1">
        <v>46593</v>
      </c>
      <c r="W1250" s="1">
        <v>46691</v>
      </c>
      <c r="X1250" s="1">
        <v>46295</v>
      </c>
      <c r="Z1250" t="s">
        <v>52</v>
      </c>
      <c r="AB1250" t="s">
        <v>52</v>
      </c>
      <c r="AC1250">
        <v>11</v>
      </c>
      <c r="AD1250">
        <v>2</v>
      </c>
      <c r="AK1250" t="s">
        <v>52</v>
      </c>
      <c r="AN1250" t="s">
        <v>52</v>
      </c>
      <c r="AO1250" t="s">
        <v>52</v>
      </c>
      <c r="AP1250" t="s">
        <v>52</v>
      </c>
      <c r="AQ1250" t="s">
        <v>52</v>
      </c>
      <c r="AR1250" t="s">
        <v>55</v>
      </c>
    </row>
    <row r="1251" spans="1:45" x14ac:dyDescent="0.25">
      <c r="A1251" t="s">
        <v>47</v>
      </c>
      <c r="B1251">
        <v>8</v>
      </c>
      <c r="C1251" t="s">
        <v>202</v>
      </c>
      <c r="D1251">
        <v>113</v>
      </c>
      <c r="E1251" t="s">
        <v>84</v>
      </c>
      <c r="F1251">
        <v>11</v>
      </c>
      <c r="G1251" t="s">
        <v>96</v>
      </c>
      <c r="H1251" t="s">
        <v>50</v>
      </c>
      <c r="K1251" t="s">
        <v>51</v>
      </c>
      <c r="L1251">
        <v>1</v>
      </c>
      <c r="M1251" t="s">
        <v>52</v>
      </c>
      <c r="N1251" t="s">
        <v>53</v>
      </c>
      <c r="R1251">
        <v>0.5</v>
      </c>
      <c r="S1251">
        <v>0.75</v>
      </c>
      <c r="T1251">
        <v>0</v>
      </c>
      <c r="U1251">
        <v>0</v>
      </c>
      <c r="V1251" s="1">
        <v>46326</v>
      </c>
      <c r="W1251" s="1">
        <v>46691</v>
      </c>
      <c r="X1251" s="1">
        <v>46295</v>
      </c>
      <c r="Z1251" t="s">
        <v>52</v>
      </c>
      <c r="AB1251" t="s">
        <v>52</v>
      </c>
      <c r="AC1251">
        <v>11</v>
      </c>
      <c r="AD1251">
        <v>2</v>
      </c>
      <c r="AK1251" t="s">
        <v>52</v>
      </c>
      <c r="AN1251" t="s">
        <v>52</v>
      </c>
      <c r="AO1251" t="s">
        <v>52</v>
      </c>
      <c r="AP1251" t="s">
        <v>52</v>
      </c>
      <c r="AQ1251" t="s">
        <v>52</v>
      </c>
      <c r="AR1251" t="s">
        <v>55</v>
      </c>
    </row>
    <row r="1252" spans="1:45" x14ac:dyDescent="0.25">
      <c r="A1252" t="s">
        <v>47</v>
      </c>
      <c r="B1252">
        <v>8</v>
      </c>
      <c r="C1252" t="s">
        <v>202</v>
      </c>
      <c r="D1252">
        <v>113</v>
      </c>
      <c r="E1252" t="s">
        <v>84</v>
      </c>
      <c r="F1252">
        <v>11</v>
      </c>
      <c r="G1252" t="s">
        <v>96</v>
      </c>
      <c r="H1252" t="s">
        <v>50</v>
      </c>
      <c r="K1252" t="s">
        <v>52</v>
      </c>
      <c r="L1252">
        <v>1</v>
      </c>
      <c r="M1252" t="s">
        <v>52</v>
      </c>
      <c r="N1252" t="s">
        <v>53</v>
      </c>
      <c r="R1252">
        <v>0.5</v>
      </c>
      <c r="S1252">
        <v>0.75</v>
      </c>
      <c r="T1252">
        <v>0</v>
      </c>
      <c r="U1252">
        <v>0</v>
      </c>
      <c r="V1252" s="1">
        <v>46326</v>
      </c>
      <c r="W1252" s="1">
        <v>46691</v>
      </c>
      <c r="X1252" s="1">
        <v>46295</v>
      </c>
      <c r="Z1252" t="s">
        <v>52</v>
      </c>
      <c r="AB1252" t="s">
        <v>52</v>
      </c>
      <c r="AC1252">
        <v>11</v>
      </c>
      <c r="AD1252">
        <v>2</v>
      </c>
      <c r="AK1252" t="s">
        <v>52</v>
      </c>
      <c r="AN1252" t="s">
        <v>52</v>
      </c>
      <c r="AO1252" t="s">
        <v>52</v>
      </c>
      <c r="AP1252" t="s">
        <v>52</v>
      </c>
      <c r="AQ1252" t="s">
        <v>52</v>
      </c>
      <c r="AR1252" t="s">
        <v>55</v>
      </c>
    </row>
    <row r="1253" spans="1:45" x14ac:dyDescent="0.25">
      <c r="A1253" t="s">
        <v>47</v>
      </c>
      <c r="B1253">
        <v>8</v>
      </c>
      <c r="C1253" t="s">
        <v>203</v>
      </c>
      <c r="D1253">
        <v>115</v>
      </c>
      <c r="E1253" t="s">
        <v>49</v>
      </c>
      <c r="F1253">
        <v>27</v>
      </c>
      <c r="H1253" t="s">
        <v>50</v>
      </c>
      <c r="K1253" t="s">
        <v>51</v>
      </c>
      <c r="L1253">
        <v>1</v>
      </c>
      <c r="M1253" t="s">
        <v>52</v>
      </c>
      <c r="N1253" t="s">
        <v>53</v>
      </c>
      <c r="Q1253">
        <v>230</v>
      </c>
      <c r="R1253">
        <v>0</v>
      </c>
      <c r="S1253">
        <v>0.75</v>
      </c>
      <c r="T1253">
        <v>0</v>
      </c>
      <c r="U1253">
        <v>0</v>
      </c>
      <c r="W1253" s="1">
        <v>46675</v>
      </c>
      <c r="X1253" s="1">
        <v>46357</v>
      </c>
      <c r="Y1253" t="s">
        <v>54</v>
      </c>
      <c r="Z1253" t="s">
        <v>52</v>
      </c>
      <c r="AB1253" t="s">
        <v>52</v>
      </c>
      <c r="AC1253">
        <v>27</v>
      </c>
      <c r="AD1253">
        <v>1</v>
      </c>
      <c r="AE1253">
        <v>0.97</v>
      </c>
      <c r="AG1253">
        <v>0.97</v>
      </c>
      <c r="AK1253" t="s">
        <v>52</v>
      </c>
      <c r="AN1253" t="s">
        <v>52</v>
      </c>
      <c r="AO1253" t="s">
        <v>52</v>
      </c>
      <c r="AP1253" t="s">
        <v>52</v>
      </c>
      <c r="AQ1253" t="s">
        <v>52</v>
      </c>
      <c r="AR1253" t="s">
        <v>55</v>
      </c>
      <c r="AS1253" t="s">
        <v>56</v>
      </c>
    </row>
    <row r="1254" spans="1:45" x14ac:dyDescent="0.25">
      <c r="A1254" t="s">
        <v>47</v>
      </c>
      <c r="B1254">
        <v>8</v>
      </c>
      <c r="C1254" t="s">
        <v>203</v>
      </c>
      <c r="D1254">
        <v>115</v>
      </c>
      <c r="E1254" t="s">
        <v>49</v>
      </c>
      <c r="F1254">
        <v>27</v>
      </c>
      <c r="H1254" t="s">
        <v>50</v>
      </c>
      <c r="K1254" t="s">
        <v>52</v>
      </c>
      <c r="L1254">
        <v>1</v>
      </c>
      <c r="M1254" t="s">
        <v>52</v>
      </c>
      <c r="N1254" t="s">
        <v>53</v>
      </c>
      <c r="Q1254">
        <v>230</v>
      </c>
      <c r="R1254">
        <v>0</v>
      </c>
      <c r="S1254">
        <v>0.75</v>
      </c>
      <c r="T1254">
        <v>0</v>
      </c>
      <c r="U1254">
        <v>0</v>
      </c>
      <c r="W1254" s="1">
        <v>46675</v>
      </c>
      <c r="X1254" s="1">
        <v>46357</v>
      </c>
      <c r="Y1254" t="s">
        <v>54</v>
      </c>
      <c r="Z1254" t="s">
        <v>52</v>
      </c>
      <c r="AB1254" t="s">
        <v>52</v>
      </c>
      <c r="AC1254">
        <v>27</v>
      </c>
      <c r="AD1254">
        <v>1</v>
      </c>
      <c r="AE1254">
        <v>0.97</v>
      </c>
      <c r="AG1254">
        <v>0.97</v>
      </c>
      <c r="AK1254" t="s">
        <v>52</v>
      </c>
      <c r="AN1254" t="s">
        <v>52</v>
      </c>
      <c r="AO1254" t="s">
        <v>52</v>
      </c>
      <c r="AP1254" t="s">
        <v>52</v>
      </c>
      <c r="AQ1254" t="s">
        <v>52</v>
      </c>
      <c r="AR1254" t="s">
        <v>55</v>
      </c>
      <c r="AS1254" t="s">
        <v>57</v>
      </c>
    </row>
    <row r="1255" spans="1:45" x14ac:dyDescent="0.25">
      <c r="A1255" t="s">
        <v>47</v>
      </c>
      <c r="B1255">
        <v>8</v>
      </c>
      <c r="C1255" t="s">
        <v>203</v>
      </c>
      <c r="D1255">
        <v>115</v>
      </c>
      <c r="E1255" t="s">
        <v>87</v>
      </c>
      <c r="F1255">
        <v>91</v>
      </c>
      <c r="G1255" t="s">
        <v>76</v>
      </c>
      <c r="H1255" t="s">
        <v>50</v>
      </c>
      <c r="K1255" t="s">
        <v>51</v>
      </c>
      <c r="L1255">
        <v>1</v>
      </c>
      <c r="M1255" t="s">
        <v>52</v>
      </c>
      <c r="N1255" t="s">
        <v>53</v>
      </c>
      <c r="R1255">
        <v>0.77</v>
      </c>
      <c r="S1255">
        <v>0.93</v>
      </c>
      <c r="T1255">
        <v>0</v>
      </c>
      <c r="U1255">
        <v>0</v>
      </c>
      <c r="V1255" s="1">
        <v>46548</v>
      </c>
      <c r="W1255" s="1">
        <v>46691</v>
      </c>
      <c r="X1255" s="1">
        <v>46295</v>
      </c>
      <c r="Z1255" t="s">
        <v>52</v>
      </c>
      <c r="AB1255" t="s">
        <v>52</v>
      </c>
      <c r="AC1255">
        <v>91</v>
      </c>
      <c r="AD1255">
        <v>2</v>
      </c>
      <c r="AK1255" t="s">
        <v>52</v>
      </c>
      <c r="AN1255" t="s">
        <v>52</v>
      </c>
      <c r="AO1255" t="s">
        <v>52</v>
      </c>
      <c r="AP1255" t="s">
        <v>52</v>
      </c>
      <c r="AQ1255" t="s">
        <v>52</v>
      </c>
      <c r="AR1255" t="s">
        <v>55</v>
      </c>
      <c r="AS1255" t="s">
        <v>60</v>
      </c>
    </row>
    <row r="1256" spans="1:45" x14ac:dyDescent="0.25">
      <c r="A1256" t="s">
        <v>47</v>
      </c>
      <c r="B1256">
        <v>8</v>
      </c>
      <c r="C1256" t="s">
        <v>203</v>
      </c>
      <c r="D1256">
        <v>115</v>
      </c>
      <c r="E1256" t="s">
        <v>87</v>
      </c>
      <c r="F1256">
        <v>91</v>
      </c>
      <c r="G1256" t="s">
        <v>76</v>
      </c>
      <c r="H1256" t="s">
        <v>50</v>
      </c>
      <c r="K1256" t="s">
        <v>52</v>
      </c>
      <c r="L1256">
        <v>1</v>
      </c>
      <c r="M1256" t="s">
        <v>52</v>
      </c>
      <c r="N1256" t="s">
        <v>53</v>
      </c>
      <c r="R1256">
        <v>0.77</v>
      </c>
      <c r="S1256">
        <v>0.93</v>
      </c>
      <c r="T1256">
        <v>0</v>
      </c>
      <c r="U1256">
        <v>0</v>
      </c>
      <c r="V1256" s="1">
        <v>46548</v>
      </c>
      <c r="W1256" s="1">
        <v>46691</v>
      </c>
      <c r="X1256" s="1">
        <v>46295</v>
      </c>
      <c r="Z1256" t="s">
        <v>52</v>
      </c>
      <c r="AB1256" t="s">
        <v>52</v>
      </c>
      <c r="AC1256">
        <v>91</v>
      </c>
      <c r="AD1256">
        <v>2</v>
      </c>
      <c r="AK1256" t="s">
        <v>52</v>
      </c>
      <c r="AN1256" t="s">
        <v>52</v>
      </c>
      <c r="AO1256" t="s">
        <v>52</v>
      </c>
      <c r="AP1256" t="s">
        <v>52</v>
      </c>
      <c r="AQ1256" t="s">
        <v>52</v>
      </c>
      <c r="AR1256" t="s">
        <v>55</v>
      </c>
      <c r="AS1256" t="s">
        <v>60</v>
      </c>
    </row>
    <row r="1257" spans="1:45" x14ac:dyDescent="0.25">
      <c r="A1257" t="s">
        <v>47</v>
      </c>
      <c r="B1257">
        <v>8</v>
      </c>
      <c r="C1257" t="s">
        <v>203</v>
      </c>
      <c r="D1257">
        <v>115</v>
      </c>
      <c r="E1257" t="s">
        <v>58</v>
      </c>
      <c r="F1257">
        <v>102</v>
      </c>
      <c r="G1257" t="s">
        <v>59</v>
      </c>
      <c r="H1257" t="s">
        <v>50</v>
      </c>
      <c r="K1257" t="s">
        <v>51</v>
      </c>
      <c r="L1257">
        <v>1</v>
      </c>
      <c r="M1257" t="s">
        <v>52</v>
      </c>
      <c r="N1257" t="s">
        <v>53</v>
      </c>
      <c r="R1257">
        <v>0</v>
      </c>
      <c r="S1257">
        <v>0.92</v>
      </c>
      <c r="T1257">
        <v>0</v>
      </c>
      <c r="U1257">
        <v>0</v>
      </c>
      <c r="W1257" s="1">
        <v>46731</v>
      </c>
      <c r="X1257" s="1">
        <v>46357</v>
      </c>
      <c r="Z1257" t="s">
        <v>52</v>
      </c>
      <c r="AB1257" t="s">
        <v>52</v>
      </c>
      <c r="AC1257">
        <v>102</v>
      </c>
      <c r="AD1257">
        <v>1</v>
      </c>
      <c r="AK1257" t="s">
        <v>52</v>
      </c>
      <c r="AN1257" t="s">
        <v>52</v>
      </c>
      <c r="AO1257" t="s">
        <v>52</v>
      </c>
      <c r="AP1257" t="s">
        <v>52</v>
      </c>
      <c r="AQ1257" t="s">
        <v>52</v>
      </c>
      <c r="AR1257" t="s">
        <v>55</v>
      </c>
    </row>
    <row r="1258" spans="1:45" x14ac:dyDescent="0.25">
      <c r="A1258" t="s">
        <v>47</v>
      </c>
      <c r="B1258">
        <v>8</v>
      </c>
      <c r="C1258" t="s">
        <v>203</v>
      </c>
      <c r="D1258">
        <v>115</v>
      </c>
      <c r="E1258" t="s">
        <v>58</v>
      </c>
      <c r="F1258">
        <v>102</v>
      </c>
      <c r="G1258" t="s">
        <v>59</v>
      </c>
      <c r="H1258" t="s">
        <v>50</v>
      </c>
      <c r="K1258" t="s">
        <v>52</v>
      </c>
      <c r="L1258">
        <v>1</v>
      </c>
      <c r="M1258" t="s">
        <v>52</v>
      </c>
      <c r="N1258" t="s">
        <v>53</v>
      </c>
      <c r="R1258">
        <v>0</v>
      </c>
      <c r="S1258">
        <v>0.92</v>
      </c>
      <c r="T1258">
        <v>0</v>
      </c>
      <c r="U1258">
        <v>0</v>
      </c>
      <c r="W1258" s="1">
        <v>46731</v>
      </c>
      <c r="X1258" s="1">
        <v>46357</v>
      </c>
      <c r="Z1258" t="s">
        <v>52</v>
      </c>
      <c r="AB1258" t="s">
        <v>52</v>
      </c>
      <c r="AC1258">
        <v>102</v>
      </c>
      <c r="AD1258">
        <v>1</v>
      </c>
      <c r="AK1258" t="s">
        <v>52</v>
      </c>
      <c r="AN1258" t="s">
        <v>52</v>
      </c>
      <c r="AO1258" t="s">
        <v>52</v>
      </c>
      <c r="AP1258" t="s">
        <v>52</v>
      </c>
      <c r="AQ1258" t="s">
        <v>52</v>
      </c>
      <c r="AR1258" t="s">
        <v>55</v>
      </c>
    </row>
    <row r="1259" spans="1:45" x14ac:dyDescent="0.25">
      <c r="A1259" t="s">
        <v>47</v>
      </c>
      <c r="B1259">
        <v>8</v>
      </c>
      <c r="C1259" t="s">
        <v>203</v>
      </c>
      <c r="D1259">
        <v>115</v>
      </c>
      <c r="E1259" t="s">
        <v>58</v>
      </c>
      <c r="F1259">
        <v>102</v>
      </c>
      <c r="G1259" t="s">
        <v>62</v>
      </c>
      <c r="H1259" t="s">
        <v>50</v>
      </c>
      <c r="K1259" t="s">
        <v>51</v>
      </c>
      <c r="L1259">
        <v>1</v>
      </c>
      <c r="M1259" t="s">
        <v>52</v>
      </c>
      <c r="N1259" t="s">
        <v>53</v>
      </c>
      <c r="R1259">
        <v>0</v>
      </c>
      <c r="S1259">
        <v>0.92</v>
      </c>
      <c r="T1259">
        <v>0</v>
      </c>
      <c r="U1259">
        <v>0</v>
      </c>
      <c r="W1259" s="1">
        <v>46731</v>
      </c>
      <c r="X1259" s="1">
        <v>46357</v>
      </c>
      <c r="Z1259" t="s">
        <v>52</v>
      </c>
      <c r="AB1259" t="s">
        <v>52</v>
      </c>
      <c r="AC1259">
        <v>102</v>
      </c>
      <c r="AD1259">
        <v>1</v>
      </c>
      <c r="AK1259" t="s">
        <v>52</v>
      </c>
      <c r="AN1259" t="s">
        <v>52</v>
      </c>
      <c r="AO1259" t="s">
        <v>52</v>
      </c>
      <c r="AP1259" t="s">
        <v>52</v>
      </c>
      <c r="AQ1259" t="s">
        <v>52</v>
      </c>
      <c r="AR1259" t="s">
        <v>55</v>
      </c>
    </row>
    <row r="1260" spans="1:45" x14ac:dyDescent="0.25">
      <c r="A1260" t="s">
        <v>47</v>
      </c>
      <c r="B1260">
        <v>8</v>
      </c>
      <c r="C1260" t="s">
        <v>203</v>
      </c>
      <c r="D1260">
        <v>115</v>
      </c>
      <c r="E1260" t="s">
        <v>58</v>
      </c>
      <c r="F1260">
        <v>102</v>
      </c>
      <c r="G1260" t="s">
        <v>62</v>
      </c>
      <c r="H1260" t="s">
        <v>50</v>
      </c>
      <c r="K1260" t="s">
        <v>52</v>
      </c>
      <c r="L1260">
        <v>1</v>
      </c>
      <c r="M1260" t="s">
        <v>52</v>
      </c>
      <c r="N1260" t="s">
        <v>53</v>
      </c>
      <c r="R1260">
        <v>0</v>
      </c>
      <c r="S1260">
        <v>0.92</v>
      </c>
      <c r="T1260">
        <v>0</v>
      </c>
      <c r="U1260">
        <v>0</v>
      </c>
      <c r="W1260" s="1">
        <v>46731</v>
      </c>
      <c r="X1260" s="1">
        <v>46357</v>
      </c>
      <c r="Z1260" t="s">
        <v>52</v>
      </c>
      <c r="AB1260" t="s">
        <v>52</v>
      </c>
      <c r="AC1260">
        <v>102</v>
      </c>
      <c r="AD1260">
        <v>1</v>
      </c>
      <c r="AK1260" t="s">
        <v>52</v>
      </c>
      <c r="AN1260" t="s">
        <v>52</v>
      </c>
      <c r="AO1260" t="s">
        <v>52</v>
      </c>
      <c r="AP1260" t="s">
        <v>52</v>
      </c>
      <c r="AQ1260" t="s">
        <v>52</v>
      </c>
      <c r="AR1260" t="s">
        <v>55</v>
      </c>
    </row>
    <row r="1261" spans="1:45" x14ac:dyDescent="0.25">
      <c r="A1261" t="s">
        <v>47</v>
      </c>
      <c r="B1261">
        <v>8</v>
      </c>
      <c r="C1261" t="s">
        <v>203</v>
      </c>
      <c r="D1261">
        <v>115</v>
      </c>
      <c r="E1261" t="s">
        <v>58</v>
      </c>
      <c r="F1261">
        <v>102</v>
      </c>
      <c r="G1261" t="s">
        <v>128</v>
      </c>
      <c r="H1261" t="s">
        <v>50</v>
      </c>
      <c r="K1261" t="s">
        <v>51</v>
      </c>
      <c r="L1261">
        <v>1</v>
      </c>
      <c r="M1261" t="s">
        <v>52</v>
      </c>
      <c r="N1261" t="s">
        <v>53</v>
      </c>
      <c r="R1261">
        <v>0</v>
      </c>
      <c r="S1261">
        <v>0.92</v>
      </c>
      <c r="T1261">
        <v>0</v>
      </c>
      <c r="U1261">
        <v>0</v>
      </c>
      <c r="W1261" s="1">
        <v>46731</v>
      </c>
      <c r="X1261" s="1">
        <v>46357</v>
      </c>
      <c r="Z1261" t="s">
        <v>52</v>
      </c>
      <c r="AB1261" t="s">
        <v>52</v>
      </c>
      <c r="AC1261">
        <v>102</v>
      </c>
      <c r="AD1261">
        <v>1</v>
      </c>
      <c r="AK1261" t="s">
        <v>52</v>
      </c>
      <c r="AN1261" t="s">
        <v>52</v>
      </c>
      <c r="AO1261" t="s">
        <v>52</v>
      </c>
      <c r="AP1261" t="s">
        <v>52</v>
      </c>
      <c r="AQ1261" t="s">
        <v>52</v>
      </c>
      <c r="AR1261" t="s">
        <v>55</v>
      </c>
    </row>
    <row r="1262" spans="1:45" x14ac:dyDescent="0.25">
      <c r="A1262" t="s">
        <v>47</v>
      </c>
      <c r="B1262">
        <v>8</v>
      </c>
      <c r="C1262" t="s">
        <v>203</v>
      </c>
      <c r="D1262">
        <v>115</v>
      </c>
      <c r="E1262" t="s">
        <v>58</v>
      </c>
      <c r="F1262">
        <v>102</v>
      </c>
      <c r="G1262" t="s">
        <v>128</v>
      </c>
      <c r="H1262" t="s">
        <v>50</v>
      </c>
      <c r="K1262" t="s">
        <v>52</v>
      </c>
      <c r="L1262">
        <v>1</v>
      </c>
      <c r="M1262" t="s">
        <v>52</v>
      </c>
      <c r="N1262" t="s">
        <v>53</v>
      </c>
      <c r="R1262">
        <v>0</v>
      </c>
      <c r="S1262">
        <v>0.92</v>
      </c>
      <c r="T1262">
        <v>0</v>
      </c>
      <c r="U1262">
        <v>0</v>
      </c>
      <c r="W1262" s="1">
        <v>46731</v>
      </c>
      <c r="X1262" s="1">
        <v>46357</v>
      </c>
      <c r="Z1262" t="s">
        <v>52</v>
      </c>
      <c r="AB1262" t="s">
        <v>52</v>
      </c>
      <c r="AC1262">
        <v>102</v>
      </c>
      <c r="AD1262">
        <v>1</v>
      </c>
      <c r="AK1262" t="s">
        <v>52</v>
      </c>
      <c r="AN1262" t="s">
        <v>52</v>
      </c>
      <c r="AO1262" t="s">
        <v>52</v>
      </c>
      <c r="AP1262" t="s">
        <v>52</v>
      </c>
      <c r="AQ1262" t="s">
        <v>52</v>
      </c>
      <c r="AR1262" t="s">
        <v>55</v>
      </c>
    </row>
    <row r="1263" spans="1:45" x14ac:dyDescent="0.25">
      <c r="A1263" t="s">
        <v>47</v>
      </c>
      <c r="B1263">
        <v>8</v>
      </c>
      <c r="C1263" t="s">
        <v>203</v>
      </c>
      <c r="D1263">
        <v>115</v>
      </c>
      <c r="E1263" t="s">
        <v>68</v>
      </c>
      <c r="F1263">
        <v>80</v>
      </c>
      <c r="G1263" t="s">
        <v>69</v>
      </c>
      <c r="H1263" t="s">
        <v>50</v>
      </c>
      <c r="K1263" t="s">
        <v>51</v>
      </c>
      <c r="L1263">
        <v>1</v>
      </c>
      <c r="M1263" t="s">
        <v>52</v>
      </c>
      <c r="N1263" t="s">
        <v>53</v>
      </c>
      <c r="R1263">
        <v>0.5</v>
      </c>
      <c r="S1263">
        <v>0.75</v>
      </c>
      <c r="T1263">
        <v>0</v>
      </c>
      <c r="U1263">
        <v>0</v>
      </c>
      <c r="V1263" s="1">
        <v>46583</v>
      </c>
      <c r="W1263" s="1">
        <v>46675</v>
      </c>
      <c r="X1263" s="1">
        <v>46461</v>
      </c>
      <c r="Z1263" t="s">
        <v>52</v>
      </c>
      <c r="AB1263" t="s">
        <v>52</v>
      </c>
      <c r="AC1263">
        <v>80</v>
      </c>
      <c r="AD1263">
        <v>1</v>
      </c>
      <c r="AK1263" t="s">
        <v>52</v>
      </c>
      <c r="AN1263" t="s">
        <v>52</v>
      </c>
      <c r="AO1263" t="s">
        <v>52</v>
      </c>
      <c r="AP1263" t="s">
        <v>52</v>
      </c>
      <c r="AQ1263" t="s">
        <v>52</v>
      </c>
      <c r="AR1263" t="s">
        <v>55</v>
      </c>
      <c r="AS1263" t="s">
        <v>60</v>
      </c>
    </row>
    <row r="1264" spans="1:45" x14ac:dyDescent="0.25">
      <c r="A1264" t="s">
        <v>47</v>
      </c>
      <c r="B1264">
        <v>8</v>
      </c>
      <c r="C1264" t="s">
        <v>203</v>
      </c>
      <c r="D1264">
        <v>115</v>
      </c>
      <c r="E1264" t="s">
        <v>68</v>
      </c>
      <c r="F1264">
        <v>80</v>
      </c>
      <c r="G1264" t="s">
        <v>69</v>
      </c>
      <c r="H1264" t="s">
        <v>50</v>
      </c>
      <c r="K1264" t="s">
        <v>52</v>
      </c>
      <c r="L1264">
        <v>1</v>
      </c>
      <c r="M1264" t="s">
        <v>52</v>
      </c>
      <c r="N1264" t="s">
        <v>53</v>
      </c>
      <c r="R1264">
        <v>0.5</v>
      </c>
      <c r="S1264">
        <v>0.75</v>
      </c>
      <c r="T1264">
        <v>0</v>
      </c>
      <c r="U1264">
        <v>0</v>
      </c>
      <c r="V1264" s="1">
        <v>46583</v>
      </c>
      <c r="W1264" s="1">
        <v>46675</v>
      </c>
      <c r="X1264" s="1">
        <v>46461</v>
      </c>
      <c r="Z1264" t="s">
        <v>52</v>
      </c>
      <c r="AB1264" t="s">
        <v>52</v>
      </c>
      <c r="AC1264">
        <v>80</v>
      </c>
      <c r="AD1264">
        <v>1</v>
      </c>
      <c r="AK1264" t="s">
        <v>52</v>
      </c>
      <c r="AN1264" t="s">
        <v>52</v>
      </c>
      <c r="AO1264" t="s">
        <v>52</v>
      </c>
      <c r="AP1264" t="s">
        <v>52</v>
      </c>
      <c r="AQ1264" t="s">
        <v>52</v>
      </c>
      <c r="AR1264" t="s">
        <v>55</v>
      </c>
    </row>
    <row r="1265" spans="1:45" x14ac:dyDescent="0.25">
      <c r="A1265" t="s">
        <v>47</v>
      </c>
      <c r="B1265">
        <v>8</v>
      </c>
      <c r="C1265" t="s">
        <v>203</v>
      </c>
      <c r="D1265">
        <v>115</v>
      </c>
      <c r="E1265" t="s">
        <v>68</v>
      </c>
      <c r="F1265">
        <v>80</v>
      </c>
      <c r="G1265" t="s">
        <v>105</v>
      </c>
      <c r="H1265" t="s">
        <v>50</v>
      </c>
      <c r="K1265" t="s">
        <v>52</v>
      </c>
      <c r="L1265">
        <v>1</v>
      </c>
      <c r="M1265" t="s">
        <v>52</v>
      </c>
      <c r="N1265" t="s">
        <v>53</v>
      </c>
      <c r="R1265">
        <v>0.5</v>
      </c>
      <c r="S1265">
        <v>0.75</v>
      </c>
      <c r="U1265">
        <v>0</v>
      </c>
      <c r="V1265" s="1">
        <v>46583</v>
      </c>
      <c r="W1265" s="1">
        <v>46675</v>
      </c>
      <c r="X1265" s="1">
        <v>46461</v>
      </c>
      <c r="Z1265" t="s">
        <v>52</v>
      </c>
      <c r="AB1265" t="s">
        <v>52</v>
      </c>
      <c r="AC1265">
        <v>80</v>
      </c>
      <c r="AD1265">
        <v>1</v>
      </c>
      <c r="AK1265" t="s">
        <v>52</v>
      </c>
      <c r="AN1265" t="s">
        <v>52</v>
      </c>
      <c r="AO1265" t="s">
        <v>52</v>
      </c>
      <c r="AP1265" t="s">
        <v>52</v>
      </c>
      <c r="AQ1265" t="s">
        <v>52</v>
      </c>
      <c r="AR1265" t="s">
        <v>55</v>
      </c>
      <c r="AS1265" t="s">
        <v>60</v>
      </c>
    </row>
    <row r="1266" spans="1:45" x14ac:dyDescent="0.25">
      <c r="A1266" t="s">
        <v>47</v>
      </c>
      <c r="B1266">
        <v>8</v>
      </c>
      <c r="C1266" t="s">
        <v>203</v>
      </c>
      <c r="D1266">
        <v>115</v>
      </c>
      <c r="E1266" t="s">
        <v>68</v>
      </c>
      <c r="F1266">
        <v>80</v>
      </c>
      <c r="G1266" t="s">
        <v>204</v>
      </c>
      <c r="H1266" t="s">
        <v>50</v>
      </c>
      <c r="K1266" t="s">
        <v>51</v>
      </c>
      <c r="L1266">
        <v>1</v>
      </c>
      <c r="M1266" t="s">
        <v>52</v>
      </c>
      <c r="N1266" t="s">
        <v>53</v>
      </c>
      <c r="R1266">
        <v>0.5</v>
      </c>
      <c r="S1266">
        <v>0.75</v>
      </c>
      <c r="U1266">
        <v>0</v>
      </c>
      <c r="V1266" s="1">
        <v>46583</v>
      </c>
      <c r="W1266" s="1">
        <v>46675</v>
      </c>
      <c r="X1266" s="1">
        <v>46461</v>
      </c>
      <c r="Z1266" t="s">
        <v>52</v>
      </c>
      <c r="AB1266" t="s">
        <v>52</v>
      </c>
      <c r="AC1266">
        <v>80</v>
      </c>
      <c r="AD1266">
        <v>1</v>
      </c>
      <c r="AK1266" t="s">
        <v>52</v>
      </c>
      <c r="AN1266" t="s">
        <v>52</v>
      </c>
      <c r="AO1266" t="s">
        <v>52</v>
      </c>
      <c r="AP1266" t="s">
        <v>52</v>
      </c>
      <c r="AQ1266" t="s">
        <v>52</v>
      </c>
      <c r="AR1266" t="s">
        <v>55</v>
      </c>
      <c r="AS1266" t="s">
        <v>145</v>
      </c>
    </row>
    <row r="1267" spans="1:45" x14ac:dyDescent="0.25">
      <c r="A1267" t="s">
        <v>47</v>
      </c>
      <c r="B1267">
        <v>8</v>
      </c>
      <c r="C1267" t="s">
        <v>203</v>
      </c>
      <c r="D1267">
        <v>115</v>
      </c>
      <c r="E1267" t="s">
        <v>68</v>
      </c>
      <c r="F1267">
        <v>80</v>
      </c>
      <c r="G1267" t="s">
        <v>204</v>
      </c>
      <c r="H1267" t="s">
        <v>50</v>
      </c>
      <c r="K1267" t="s">
        <v>52</v>
      </c>
      <c r="L1267">
        <v>1</v>
      </c>
      <c r="M1267" t="s">
        <v>52</v>
      </c>
      <c r="N1267" t="s">
        <v>53</v>
      </c>
      <c r="R1267">
        <v>0.5</v>
      </c>
      <c r="S1267">
        <v>0.75</v>
      </c>
      <c r="U1267">
        <v>0</v>
      </c>
      <c r="V1267" s="1">
        <v>46583</v>
      </c>
      <c r="W1267" s="1">
        <v>46675</v>
      </c>
      <c r="X1267" s="1">
        <v>46461</v>
      </c>
      <c r="Z1267" t="s">
        <v>52</v>
      </c>
      <c r="AB1267" t="s">
        <v>52</v>
      </c>
      <c r="AC1267">
        <v>80</v>
      </c>
      <c r="AD1267">
        <v>1</v>
      </c>
      <c r="AK1267" t="s">
        <v>52</v>
      </c>
      <c r="AN1267" t="s">
        <v>52</v>
      </c>
      <c r="AO1267" t="s">
        <v>52</v>
      </c>
      <c r="AP1267" t="s">
        <v>52</v>
      </c>
      <c r="AQ1267" t="s">
        <v>52</v>
      </c>
      <c r="AR1267" t="s">
        <v>55</v>
      </c>
      <c r="AS1267" t="s">
        <v>88</v>
      </c>
    </row>
    <row r="1268" spans="1:45" x14ac:dyDescent="0.25">
      <c r="A1268" t="s">
        <v>47</v>
      </c>
      <c r="B1268">
        <v>8</v>
      </c>
      <c r="C1268" t="s">
        <v>203</v>
      </c>
      <c r="D1268">
        <v>115</v>
      </c>
      <c r="E1268" t="s">
        <v>70</v>
      </c>
      <c r="F1268">
        <v>296</v>
      </c>
      <c r="G1268" t="s">
        <v>71</v>
      </c>
      <c r="H1268" t="s">
        <v>50</v>
      </c>
      <c r="K1268" t="s">
        <v>51</v>
      </c>
      <c r="L1268">
        <v>1</v>
      </c>
      <c r="M1268" t="s">
        <v>52</v>
      </c>
      <c r="N1268" t="s">
        <v>53</v>
      </c>
      <c r="Q1268">
        <v>224.33330000000001</v>
      </c>
      <c r="R1268">
        <v>0</v>
      </c>
      <c r="S1268">
        <v>0.75</v>
      </c>
      <c r="T1268">
        <v>0</v>
      </c>
      <c r="U1268">
        <v>0</v>
      </c>
      <c r="W1268" s="1">
        <v>46675</v>
      </c>
      <c r="X1268" s="1">
        <v>46357</v>
      </c>
      <c r="Y1268" t="s">
        <v>54</v>
      </c>
      <c r="Z1268" t="s">
        <v>52</v>
      </c>
      <c r="AB1268" t="s">
        <v>52</v>
      </c>
      <c r="AC1268">
        <v>296</v>
      </c>
      <c r="AD1268">
        <v>1</v>
      </c>
      <c r="AK1268" t="s">
        <v>52</v>
      </c>
      <c r="AN1268" t="s">
        <v>52</v>
      </c>
      <c r="AO1268" t="s">
        <v>52</v>
      </c>
      <c r="AP1268" t="s">
        <v>52</v>
      </c>
      <c r="AQ1268" t="s">
        <v>52</v>
      </c>
      <c r="AR1268" t="s">
        <v>55</v>
      </c>
    </row>
    <row r="1269" spans="1:45" x14ac:dyDescent="0.25">
      <c r="A1269" t="s">
        <v>47</v>
      </c>
      <c r="B1269">
        <v>8</v>
      </c>
      <c r="C1269" t="s">
        <v>203</v>
      </c>
      <c r="D1269">
        <v>115</v>
      </c>
      <c r="E1269" t="s">
        <v>70</v>
      </c>
      <c r="F1269">
        <v>296</v>
      </c>
      <c r="G1269" t="s">
        <v>71</v>
      </c>
      <c r="H1269" t="s">
        <v>50</v>
      </c>
      <c r="K1269" t="s">
        <v>52</v>
      </c>
      <c r="L1269">
        <v>1</v>
      </c>
      <c r="M1269" t="s">
        <v>52</v>
      </c>
      <c r="N1269" t="s">
        <v>53</v>
      </c>
      <c r="Q1269">
        <v>224.33330000000001</v>
      </c>
      <c r="R1269">
        <v>0</v>
      </c>
      <c r="S1269">
        <v>0.75</v>
      </c>
      <c r="T1269">
        <v>0</v>
      </c>
      <c r="U1269">
        <v>0</v>
      </c>
      <c r="W1269" s="1">
        <v>46675</v>
      </c>
      <c r="X1269" s="1">
        <v>46357</v>
      </c>
      <c r="Y1269" t="s">
        <v>54</v>
      </c>
      <c r="Z1269" t="s">
        <v>52</v>
      </c>
      <c r="AB1269" t="s">
        <v>52</v>
      </c>
      <c r="AC1269">
        <v>296</v>
      </c>
      <c r="AD1269">
        <v>1</v>
      </c>
      <c r="AK1269" t="s">
        <v>52</v>
      </c>
      <c r="AN1269" t="s">
        <v>52</v>
      </c>
      <c r="AO1269" t="s">
        <v>52</v>
      </c>
      <c r="AP1269" t="s">
        <v>52</v>
      </c>
      <c r="AQ1269" t="s">
        <v>52</v>
      </c>
      <c r="AR1269" t="s">
        <v>55</v>
      </c>
    </row>
    <row r="1270" spans="1:45" x14ac:dyDescent="0.25">
      <c r="A1270" t="s">
        <v>47</v>
      </c>
      <c r="B1270">
        <v>8</v>
      </c>
      <c r="C1270" t="s">
        <v>203</v>
      </c>
      <c r="D1270">
        <v>115</v>
      </c>
      <c r="E1270" t="s">
        <v>70</v>
      </c>
      <c r="F1270">
        <v>296</v>
      </c>
      <c r="G1270" t="s">
        <v>72</v>
      </c>
      <c r="H1270" t="s">
        <v>50</v>
      </c>
      <c r="K1270" t="s">
        <v>51</v>
      </c>
      <c r="L1270">
        <v>1</v>
      </c>
      <c r="M1270" t="s">
        <v>52</v>
      </c>
      <c r="N1270" t="s">
        <v>53</v>
      </c>
      <c r="R1270">
        <v>0.5</v>
      </c>
      <c r="S1270">
        <v>0.75</v>
      </c>
      <c r="U1270">
        <v>0</v>
      </c>
      <c r="V1270" s="1">
        <v>46507</v>
      </c>
      <c r="W1270" s="1">
        <v>46675</v>
      </c>
      <c r="X1270" s="1">
        <v>46357</v>
      </c>
      <c r="Z1270" t="s">
        <v>52</v>
      </c>
      <c r="AB1270" t="s">
        <v>52</v>
      </c>
      <c r="AC1270">
        <v>296</v>
      </c>
      <c r="AD1270">
        <v>1</v>
      </c>
      <c r="AK1270" t="s">
        <v>52</v>
      </c>
      <c r="AN1270" t="s">
        <v>52</v>
      </c>
      <c r="AO1270" t="s">
        <v>52</v>
      </c>
      <c r="AP1270" t="s">
        <v>52</v>
      </c>
      <c r="AQ1270" t="s">
        <v>52</v>
      </c>
      <c r="AR1270" t="s">
        <v>55</v>
      </c>
    </row>
    <row r="1271" spans="1:45" x14ac:dyDescent="0.25">
      <c r="A1271" t="s">
        <v>47</v>
      </c>
      <c r="B1271">
        <v>8</v>
      </c>
      <c r="C1271" t="s">
        <v>203</v>
      </c>
      <c r="D1271">
        <v>115</v>
      </c>
      <c r="E1271" t="s">
        <v>70</v>
      </c>
      <c r="F1271">
        <v>296</v>
      </c>
      <c r="G1271" t="s">
        <v>72</v>
      </c>
      <c r="H1271" t="s">
        <v>50</v>
      </c>
      <c r="K1271" t="s">
        <v>52</v>
      </c>
      <c r="L1271">
        <v>1</v>
      </c>
      <c r="M1271" t="s">
        <v>52</v>
      </c>
      <c r="N1271" t="s">
        <v>53</v>
      </c>
      <c r="R1271">
        <v>0.5</v>
      </c>
      <c r="S1271">
        <v>0.75</v>
      </c>
      <c r="U1271">
        <v>0</v>
      </c>
      <c r="V1271" s="1">
        <v>46507</v>
      </c>
      <c r="W1271" s="1">
        <v>46675</v>
      </c>
      <c r="X1271" s="1">
        <v>46357</v>
      </c>
      <c r="Z1271" t="s">
        <v>52</v>
      </c>
      <c r="AB1271" t="s">
        <v>52</v>
      </c>
      <c r="AC1271">
        <v>296</v>
      </c>
      <c r="AD1271">
        <v>1</v>
      </c>
      <c r="AK1271" t="s">
        <v>52</v>
      </c>
      <c r="AN1271" t="s">
        <v>52</v>
      </c>
      <c r="AO1271" t="s">
        <v>52</v>
      </c>
      <c r="AP1271" t="s">
        <v>52</v>
      </c>
      <c r="AQ1271" t="s">
        <v>52</v>
      </c>
      <c r="AR1271" t="s">
        <v>55</v>
      </c>
    </row>
    <row r="1272" spans="1:45" x14ac:dyDescent="0.25">
      <c r="A1272" t="s">
        <v>47</v>
      </c>
      <c r="B1272">
        <v>8</v>
      </c>
      <c r="C1272" t="s">
        <v>203</v>
      </c>
      <c r="D1272">
        <v>115</v>
      </c>
      <c r="E1272" t="s">
        <v>70</v>
      </c>
      <c r="F1272">
        <v>296</v>
      </c>
      <c r="G1272" t="s">
        <v>74</v>
      </c>
      <c r="H1272" t="s">
        <v>50</v>
      </c>
      <c r="K1272" t="s">
        <v>51</v>
      </c>
      <c r="L1272">
        <v>1</v>
      </c>
      <c r="M1272" t="s">
        <v>52</v>
      </c>
      <c r="N1272" t="s">
        <v>53</v>
      </c>
      <c r="R1272">
        <v>0</v>
      </c>
      <c r="S1272">
        <v>0.75</v>
      </c>
      <c r="T1272">
        <v>0</v>
      </c>
      <c r="U1272">
        <v>0</v>
      </c>
      <c r="W1272" s="1">
        <v>46675</v>
      </c>
      <c r="X1272" s="1">
        <v>46357</v>
      </c>
      <c r="Z1272" t="s">
        <v>52</v>
      </c>
      <c r="AB1272" t="s">
        <v>52</v>
      </c>
      <c r="AC1272">
        <v>102</v>
      </c>
      <c r="AD1272">
        <v>1</v>
      </c>
      <c r="AK1272" t="s">
        <v>52</v>
      </c>
      <c r="AN1272" t="s">
        <v>52</v>
      </c>
      <c r="AO1272" t="s">
        <v>52</v>
      </c>
      <c r="AP1272" t="s">
        <v>52</v>
      </c>
      <c r="AQ1272" t="s">
        <v>52</v>
      </c>
      <c r="AR1272" t="s">
        <v>55</v>
      </c>
      <c r="AS1272" t="s">
        <v>60</v>
      </c>
    </row>
    <row r="1273" spans="1:45" x14ac:dyDescent="0.25">
      <c r="A1273" t="s">
        <v>47</v>
      </c>
      <c r="B1273">
        <v>8</v>
      </c>
      <c r="C1273" t="s">
        <v>203</v>
      </c>
      <c r="D1273">
        <v>115</v>
      </c>
      <c r="E1273" t="s">
        <v>70</v>
      </c>
      <c r="F1273">
        <v>296</v>
      </c>
      <c r="G1273" t="s">
        <v>74</v>
      </c>
      <c r="H1273" t="s">
        <v>50</v>
      </c>
      <c r="K1273" t="s">
        <v>52</v>
      </c>
      <c r="L1273">
        <v>1</v>
      </c>
      <c r="M1273" t="s">
        <v>52</v>
      </c>
      <c r="N1273" t="s">
        <v>53</v>
      </c>
      <c r="R1273">
        <v>0</v>
      </c>
      <c r="S1273">
        <v>0.75</v>
      </c>
      <c r="T1273">
        <v>0</v>
      </c>
      <c r="U1273">
        <v>0</v>
      </c>
      <c r="W1273" s="1">
        <v>46675</v>
      </c>
      <c r="X1273" s="1">
        <v>46357</v>
      </c>
      <c r="Z1273" t="s">
        <v>52</v>
      </c>
      <c r="AB1273" t="s">
        <v>52</v>
      </c>
      <c r="AC1273">
        <v>102</v>
      </c>
      <c r="AD1273">
        <v>1</v>
      </c>
      <c r="AK1273" t="s">
        <v>52</v>
      </c>
      <c r="AN1273" t="s">
        <v>52</v>
      </c>
      <c r="AO1273" t="s">
        <v>52</v>
      </c>
      <c r="AP1273" t="s">
        <v>52</v>
      </c>
      <c r="AQ1273" t="s">
        <v>52</v>
      </c>
      <c r="AR1273" t="s">
        <v>55</v>
      </c>
    </row>
    <row r="1274" spans="1:45" x14ac:dyDescent="0.25">
      <c r="A1274" t="s">
        <v>47</v>
      </c>
      <c r="B1274">
        <v>8</v>
      </c>
      <c r="C1274" t="s">
        <v>203</v>
      </c>
      <c r="D1274">
        <v>115</v>
      </c>
      <c r="E1274" t="s">
        <v>70</v>
      </c>
      <c r="F1274">
        <v>296</v>
      </c>
      <c r="G1274" t="s">
        <v>90</v>
      </c>
      <c r="H1274" t="s">
        <v>50</v>
      </c>
      <c r="K1274" t="s">
        <v>51</v>
      </c>
      <c r="L1274">
        <v>1</v>
      </c>
      <c r="M1274" t="s">
        <v>52</v>
      </c>
      <c r="N1274" t="s">
        <v>53</v>
      </c>
      <c r="R1274">
        <v>0.5</v>
      </c>
      <c r="S1274">
        <v>0.75</v>
      </c>
      <c r="T1274">
        <v>0</v>
      </c>
      <c r="U1274">
        <v>0</v>
      </c>
      <c r="V1274" s="1">
        <v>46593</v>
      </c>
      <c r="W1274" s="1">
        <v>46675</v>
      </c>
      <c r="X1274" s="1">
        <v>46357</v>
      </c>
      <c r="Z1274" t="s">
        <v>52</v>
      </c>
      <c r="AB1274" t="s">
        <v>52</v>
      </c>
      <c r="AC1274">
        <v>102</v>
      </c>
      <c r="AD1274">
        <v>1</v>
      </c>
      <c r="AK1274" t="s">
        <v>52</v>
      </c>
      <c r="AN1274" t="s">
        <v>52</v>
      </c>
      <c r="AO1274" t="s">
        <v>52</v>
      </c>
      <c r="AP1274" t="s">
        <v>52</v>
      </c>
      <c r="AQ1274" t="s">
        <v>52</v>
      </c>
      <c r="AR1274" t="s">
        <v>55</v>
      </c>
    </row>
    <row r="1275" spans="1:45" x14ac:dyDescent="0.25">
      <c r="A1275" t="s">
        <v>47</v>
      </c>
      <c r="B1275">
        <v>8</v>
      </c>
      <c r="C1275" t="s">
        <v>203</v>
      </c>
      <c r="D1275">
        <v>115</v>
      </c>
      <c r="E1275" t="s">
        <v>70</v>
      </c>
      <c r="F1275">
        <v>296</v>
      </c>
      <c r="G1275" t="s">
        <v>90</v>
      </c>
      <c r="H1275" t="s">
        <v>50</v>
      </c>
      <c r="K1275" t="s">
        <v>52</v>
      </c>
      <c r="L1275">
        <v>1</v>
      </c>
      <c r="M1275" t="s">
        <v>52</v>
      </c>
      <c r="N1275" t="s">
        <v>53</v>
      </c>
      <c r="R1275">
        <v>0.5</v>
      </c>
      <c r="S1275">
        <v>0.75</v>
      </c>
      <c r="T1275">
        <v>0</v>
      </c>
      <c r="U1275">
        <v>0</v>
      </c>
      <c r="V1275" s="1">
        <v>46593</v>
      </c>
      <c r="W1275" s="1">
        <v>46675</v>
      </c>
      <c r="X1275" s="1">
        <v>46357</v>
      </c>
      <c r="Z1275" t="s">
        <v>52</v>
      </c>
      <c r="AB1275" t="s">
        <v>52</v>
      </c>
      <c r="AC1275">
        <v>102</v>
      </c>
      <c r="AD1275">
        <v>1</v>
      </c>
      <c r="AK1275" t="s">
        <v>52</v>
      </c>
      <c r="AN1275" t="s">
        <v>52</v>
      </c>
      <c r="AO1275" t="s">
        <v>52</v>
      </c>
      <c r="AP1275" t="s">
        <v>52</v>
      </c>
      <c r="AQ1275" t="s">
        <v>52</v>
      </c>
      <c r="AR1275" t="s">
        <v>55</v>
      </c>
    </row>
    <row r="1276" spans="1:45" x14ac:dyDescent="0.25">
      <c r="A1276" t="s">
        <v>47</v>
      </c>
      <c r="B1276">
        <v>8</v>
      </c>
      <c r="C1276" t="s">
        <v>203</v>
      </c>
      <c r="D1276">
        <v>115</v>
      </c>
      <c r="E1276" t="s">
        <v>75</v>
      </c>
      <c r="F1276">
        <v>16</v>
      </c>
      <c r="G1276" t="s">
        <v>76</v>
      </c>
      <c r="H1276" t="s">
        <v>50</v>
      </c>
      <c r="K1276" t="s">
        <v>51</v>
      </c>
      <c r="L1276">
        <v>1</v>
      </c>
      <c r="M1276" t="s">
        <v>52</v>
      </c>
      <c r="N1276" t="s">
        <v>53</v>
      </c>
      <c r="R1276">
        <v>0.5</v>
      </c>
      <c r="S1276">
        <v>0.75</v>
      </c>
      <c r="T1276">
        <v>0</v>
      </c>
      <c r="U1276">
        <v>0</v>
      </c>
      <c r="V1276" s="1">
        <v>46507</v>
      </c>
      <c r="W1276" s="1">
        <v>46691</v>
      </c>
      <c r="X1276" s="1">
        <v>46461</v>
      </c>
      <c r="Z1276" t="s">
        <v>52</v>
      </c>
      <c r="AB1276" t="s">
        <v>52</v>
      </c>
      <c r="AC1276">
        <v>16</v>
      </c>
      <c r="AD1276">
        <v>2</v>
      </c>
      <c r="AK1276" t="s">
        <v>52</v>
      </c>
      <c r="AN1276" t="s">
        <v>52</v>
      </c>
      <c r="AO1276" t="s">
        <v>52</v>
      </c>
      <c r="AP1276" t="s">
        <v>52</v>
      </c>
      <c r="AQ1276" t="s">
        <v>52</v>
      </c>
      <c r="AR1276" t="s">
        <v>55</v>
      </c>
    </row>
    <row r="1277" spans="1:45" x14ac:dyDescent="0.25">
      <c r="A1277" t="s">
        <v>47</v>
      </c>
      <c r="B1277">
        <v>8</v>
      </c>
      <c r="C1277" t="s">
        <v>203</v>
      </c>
      <c r="D1277">
        <v>115</v>
      </c>
      <c r="E1277" t="s">
        <v>75</v>
      </c>
      <c r="F1277">
        <v>16</v>
      </c>
      <c r="G1277" t="s">
        <v>76</v>
      </c>
      <c r="H1277" t="s">
        <v>50</v>
      </c>
      <c r="K1277" t="s">
        <v>52</v>
      </c>
      <c r="L1277">
        <v>1</v>
      </c>
      <c r="M1277" t="s">
        <v>52</v>
      </c>
      <c r="N1277" t="s">
        <v>53</v>
      </c>
      <c r="R1277">
        <v>0.5</v>
      </c>
      <c r="S1277">
        <v>0.75</v>
      </c>
      <c r="T1277">
        <v>0</v>
      </c>
      <c r="U1277">
        <v>0</v>
      </c>
      <c r="V1277" s="1">
        <v>46507</v>
      </c>
      <c r="W1277" s="1">
        <v>46691</v>
      </c>
      <c r="X1277" s="1">
        <v>46461</v>
      </c>
      <c r="Z1277" t="s">
        <v>52</v>
      </c>
      <c r="AB1277" t="s">
        <v>52</v>
      </c>
      <c r="AC1277">
        <v>16</v>
      </c>
      <c r="AD1277">
        <v>2</v>
      </c>
      <c r="AK1277" t="s">
        <v>52</v>
      </c>
      <c r="AN1277" t="s">
        <v>52</v>
      </c>
      <c r="AO1277" t="s">
        <v>52</v>
      </c>
      <c r="AP1277" t="s">
        <v>52</v>
      </c>
      <c r="AQ1277" t="s">
        <v>52</v>
      </c>
      <c r="AR1277" t="s">
        <v>55</v>
      </c>
    </row>
    <row r="1278" spans="1:45" x14ac:dyDescent="0.25">
      <c r="A1278" t="s">
        <v>47</v>
      </c>
      <c r="B1278">
        <v>8</v>
      </c>
      <c r="C1278" t="s">
        <v>203</v>
      </c>
      <c r="D1278">
        <v>115</v>
      </c>
      <c r="E1278" t="s">
        <v>93</v>
      </c>
      <c r="F1278">
        <v>94</v>
      </c>
      <c r="H1278" t="s">
        <v>50</v>
      </c>
      <c r="K1278" t="s">
        <v>52</v>
      </c>
      <c r="L1278">
        <v>1</v>
      </c>
      <c r="M1278" t="s">
        <v>52</v>
      </c>
      <c r="N1278" t="s">
        <v>53</v>
      </c>
      <c r="R1278">
        <v>0.77</v>
      </c>
      <c r="S1278">
        <v>0.93</v>
      </c>
      <c r="T1278">
        <v>0</v>
      </c>
      <c r="U1278">
        <v>0</v>
      </c>
      <c r="V1278" s="1">
        <v>46326</v>
      </c>
      <c r="W1278" s="1">
        <v>46691</v>
      </c>
      <c r="X1278" s="1">
        <v>46266</v>
      </c>
      <c r="Z1278" t="s">
        <v>52</v>
      </c>
      <c r="AB1278" t="s">
        <v>52</v>
      </c>
      <c r="AC1278">
        <v>94</v>
      </c>
      <c r="AD1278">
        <v>2</v>
      </c>
      <c r="AK1278" t="s">
        <v>52</v>
      </c>
      <c r="AN1278" t="s">
        <v>52</v>
      </c>
      <c r="AO1278" t="s">
        <v>52</v>
      </c>
      <c r="AP1278" t="s">
        <v>52</v>
      </c>
      <c r="AQ1278" t="s">
        <v>52</v>
      </c>
      <c r="AR1278" t="s">
        <v>55</v>
      </c>
    </row>
    <row r="1279" spans="1:45" x14ac:dyDescent="0.25">
      <c r="A1279" t="s">
        <v>47</v>
      </c>
      <c r="B1279">
        <v>8</v>
      </c>
      <c r="C1279" t="s">
        <v>203</v>
      </c>
      <c r="D1279">
        <v>115</v>
      </c>
      <c r="E1279" t="s">
        <v>79</v>
      </c>
      <c r="F1279">
        <v>50</v>
      </c>
      <c r="G1279" t="s">
        <v>80</v>
      </c>
      <c r="H1279" t="s">
        <v>50</v>
      </c>
      <c r="K1279" t="s">
        <v>51</v>
      </c>
      <c r="L1279">
        <v>1</v>
      </c>
      <c r="M1279" t="s">
        <v>52</v>
      </c>
      <c r="N1279" t="s">
        <v>53</v>
      </c>
      <c r="R1279">
        <v>0.5</v>
      </c>
      <c r="S1279">
        <v>0.75</v>
      </c>
      <c r="T1279">
        <v>0</v>
      </c>
      <c r="U1279">
        <v>0</v>
      </c>
      <c r="V1279" s="1">
        <v>46583</v>
      </c>
      <c r="W1279" s="1">
        <v>46675</v>
      </c>
      <c r="X1279" s="1">
        <v>46461</v>
      </c>
      <c r="Z1279" t="s">
        <v>52</v>
      </c>
      <c r="AB1279" t="s">
        <v>52</v>
      </c>
      <c r="AC1279">
        <v>50</v>
      </c>
      <c r="AD1279">
        <v>1</v>
      </c>
      <c r="AK1279" t="s">
        <v>52</v>
      </c>
      <c r="AN1279" t="s">
        <v>52</v>
      </c>
      <c r="AO1279" t="s">
        <v>52</v>
      </c>
      <c r="AP1279" t="s">
        <v>52</v>
      </c>
      <c r="AQ1279" t="s">
        <v>52</v>
      </c>
      <c r="AR1279" t="s">
        <v>55</v>
      </c>
    </row>
    <row r="1280" spans="1:45" x14ac:dyDescent="0.25">
      <c r="A1280" t="s">
        <v>47</v>
      </c>
      <c r="B1280">
        <v>8</v>
      </c>
      <c r="C1280" t="s">
        <v>203</v>
      </c>
      <c r="D1280">
        <v>115</v>
      </c>
      <c r="E1280" t="s">
        <v>79</v>
      </c>
      <c r="F1280">
        <v>50</v>
      </c>
      <c r="G1280" t="s">
        <v>80</v>
      </c>
      <c r="H1280" t="s">
        <v>50</v>
      </c>
      <c r="K1280" t="s">
        <v>52</v>
      </c>
      <c r="L1280">
        <v>1</v>
      </c>
      <c r="M1280" t="s">
        <v>52</v>
      </c>
      <c r="N1280" t="s">
        <v>53</v>
      </c>
      <c r="R1280">
        <v>0.5</v>
      </c>
      <c r="S1280">
        <v>0.75</v>
      </c>
      <c r="T1280">
        <v>0</v>
      </c>
      <c r="U1280">
        <v>0</v>
      </c>
      <c r="V1280" s="1">
        <v>46583</v>
      </c>
      <c r="W1280" s="1">
        <v>46675</v>
      </c>
      <c r="X1280" s="1">
        <v>46461</v>
      </c>
      <c r="Z1280" t="s">
        <v>52</v>
      </c>
      <c r="AB1280" t="s">
        <v>52</v>
      </c>
      <c r="AC1280">
        <v>50</v>
      </c>
      <c r="AD1280">
        <v>1</v>
      </c>
      <c r="AK1280" t="s">
        <v>52</v>
      </c>
      <c r="AN1280" t="s">
        <v>52</v>
      </c>
      <c r="AO1280" t="s">
        <v>52</v>
      </c>
      <c r="AP1280" t="s">
        <v>52</v>
      </c>
      <c r="AQ1280" t="s">
        <v>52</v>
      </c>
      <c r="AR1280" t="s">
        <v>55</v>
      </c>
    </row>
    <row r="1281" spans="1:45" x14ac:dyDescent="0.25">
      <c r="A1281" t="s">
        <v>47</v>
      </c>
      <c r="B1281">
        <v>8</v>
      </c>
      <c r="C1281" t="s">
        <v>203</v>
      </c>
      <c r="D1281">
        <v>115</v>
      </c>
      <c r="E1281" t="s">
        <v>79</v>
      </c>
      <c r="F1281">
        <v>50</v>
      </c>
      <c r="G1281" t="s">
        <v>65</v>
      </c>
      <c r="H1281" t="s">
        <v>50</v>
      </c>
      <c r="K1281" t="s">
        <v>51</v>
      </c>
      <c r="L1281">
        <v>1</v>
      </c>
      <c r="M1281" t="s">
        <v>52</v>
      </c>
      <c r="N1281" t="s">
        <v>53</v>
      </c>
      <c r="R1281">
        <v>0.5</v>
      </c>
      <c r="S1281">
        <v>0.75</v>
      </c>
      <c r="T1281">
        <v>0</v>
      </c>
      <c r="U1281">
        <v>0</v>
      </c>
      <c r="V1281" s="1">
        <v>46583</v>
      </c>
      <c r="W1281" s="1">
        <v>46675</v>
      </c>
      <c r="X1281" s="1">
        <v>46461</v>
      </c>
      <c r="Z1281" t="s">
        <v>52</v>
      </c>
      <c r="AB1281" t="s">
        <v>52</v>
      </c>
      <c r="AC1281">
        <v>50</v>
      </c>
      <c r="AD1281">
        <v>1</v>
      </c>
      <c r="AK1281" t="s">
        <v>52</v>
      </c>
      <c r="AN1281" t="s">
        <v>52</v>
      </c>
      <c r="AO1281" t="s">
        <v>52</v>
      </c>
      <c r="AP1281" t="s">
        <v>52</v>
      </c>
      <c r="AQ1281" t="s">
        <v>52</v>
      </c>
      <c r="AR1281" t="s">
        <v>55</v>
      </c>
    </row>
    <row r="1282" spans="1:45" x14ac:dyDescent="0.25">
      <c r="A1282" t="s">
        <v>47</v>
      </c>
      <c r="B1282">
        <v>8</v>
      </c>
      <c r="C1282" t="s">
        <v>203</v>
      </c>
      <c r="D1282">
        <v>115</v>
      </c>
      <c r="E1282" t="s">
        <v>79</v>
      </c>
      <c r="F1282">
        <v>50</v>
      </c>
      <c r="G1282" t="s">
        <v>65</v>
      </c>
      <c r="H1282" t="s">
        <v>50</v>
      </c>
      <c r="K1282" t="s">
        <v>52</v>
      </c>
      <c r="L1282">
        <v>1</v>
      </c>
      <c r="M1282" t="s">
        <v>52</v>
      </c>
      <c r="N1282" t="s">
        <v>53</v>
      </c>
      <c r="R1282">
        <v>0.5</v>
      </c>
      <c r="S1282">
        <v>0.75</v>
      </c>
      <c r="T1282">
        <v>0</v>
      </c>
      <c r="U1282">
        <v>0</v>
      </c>
      <c r="V1282" s="1">
        <v>46583</v>
      </c>
      <c r="W1282" s="1">
        <v>46675</v>
      </c>
      <c r="X1282" s="1">
        <v>46461</v>
      </c>
      <c r="Z1282" t="s">
        <v>52</v>
      </c>
      <c r="AB1282" t="s">
        <v>52</v>
      </c>
      <c r="AC1282">
        <v>50</v>
      </c>
      <c r="AD1282">
        <v>1</v>
      </c>
      <c r="AK1282" t="s">
        <v>52</v>
      </c>
      <c r="AN1282" t="s">
        <v>52</v>
      </c>
      <c r="AO1282" t="s">
        <v>52</v>
      </c>
      <c r="AP1282" t="s">
        <v>52</v>
      </c>
      <c r="AQ1282" t="s">
        <v>52</v>
      </c>
      <c r="AR1282" t="s">
        <v>55</v>
      </c>
    </row>
    <row r="1283" spans="1:45" x14ac:dyDescent="0.25">
      <c r="A1283" t="s">
        <v>47</v>
      </c>
      <c r="B1283">
        <v>8</v>
      </c>
      <c r="C1283" t="s">
        <v>203</v>
      </c>
      <c r="D1283">
        <v>115</v>
      </c>
      <c r="E1283" t="s">
        <v>144</v>
      </c>
      <c r="F1283">
        <v>81</v>
      </c>
      <c r="G1283" t="s">
        <v>69</v>
      </c>
      <c r="H1283" t="s">
        <v>50</v>
      </c>
      <c r="K1283" t="s">
        <v>51</v>
      </c>
      <c r="L1283">
        <v>1</v>
      </c>
      <c r="M1283" t="s">
        <v>52</v>
      </c>
      <c r="N1283" t="s">
        <v>53</v>
      </c>
      <c r="R1283">
        <v>0.67</v>
      </c>
      <c r="S1283">
        <v>0.92</v>
      </c>
      <c r="U1283">
        <v>0</v>
      </c>
      <c r="V1283" s="1">
        <v>46553</v>
      </c>
      <c r="W1283" s="1">
        <v>46731</v>
      </c>
      <c r="X1283" s="1">
        <v>46461</v>
      </c>
      <c r="Z1283" t="s">
        <v>52</v>
      </c>
      <c r="AB1283" t="s">
        <v>52</v>
      </c>
      <c r="AC1283">
        <v>81</v>
      </c>
      <c r="AD1283">
        <v>1</v>
      </c>
      <c r="AK1283" t="s">
        <v>52</v>
      </c>
      <c r="AN1283" t="s">
        <v>52</v>
      </c>
      <c r="AO1283" t="s">
        <v>52</v>
      </c>
      <c r="AP1283" t="s">
        <v>52</v>
      </c>
      <c r="AQ1283" t="s">
        <v>52</v>
      </c>
      <c r="AR1283" t="s">
        <v>55</v>
      </c>
      <c r="AS1283" t="s">
        <v>145</v>
      </c>
    </row>
    <row r="1284" spans="1:45" x14ac:dyDescent="0.25">
      <c r="A1284" t="s">
        <v>47</v>
      </c>
      <c r="B1284">
        <v>8</v>
      </c>
      <c r="C1284" t="s">
        <v>203</v>
      </c>
      <c r="D1284">
        <v>115</v>
      </c>
      <c r="E1284" t="s">
        <v>144</v>
      </c>
      <c r="F1284">
        <v>81</v>
      </c>
      <c r="G1284" t="s">
        <v>69</v>
      </c>
      <c r="H1284" t="s">
        <v>50</v>
      </c>
      <c r="K1284" t="s">
        <v>52</v>
      </c>
      <c r="L1284">
        <v>1</v>
      </c>
      <c r="M1284" t="s">
        <v>52</v>
      </c>
      <c r="N1284" t="s">
        <v>53</v>
      </c>
      <c r="R1284">
        <v>0.67</v>
      </c>
      <c r="S1284">
        <v>0.92</v>
      </c>
      <c r="U1284">
        <v>0</v>
      </c>
      <c r="V1284" s="1">
        <v>46553</v>
      </c>
      <c r="W1284" s="1">
        <v>46731</v>
      </c>
      <c r="X1284" s="1">
        <v>46461</v>
      </c>
      <c r="Z1284" t="s">
        <v>52</v>
      </c>
      <c r="AB1284" t="s">
        <v>52</v>
      </c>
      <c r="AC1284">
        <v>81</v>
      </c>
      <c r="AD1284">
        <v>1</v>
      </c>
      <c r="AK1284" t="s">
        <v>52</v>
      </c>
      <c r="AN1284" t="s">
        <v>52</v>
      </c>
      <c r="AO1284" t="s">
        <v>52</v>
      </c>
      <c r="AP1284" t="s">
        <v>52</v>
      </c>
      <c r="AQ1284" t="s">
        <v>52</v>
      </c>
      <c r="AR1284" t="s">
        <v>55</v>
      </c>
      <c r="AS1284" t="s">
        <v>145</v>
      </c>
    </row>
    <row r="1285" spans="1:45" x14ac:dyDescent="0.25">
      <c r="A1285" t="s">
        <v>47</v>
      </c>
      <c r="B1285">
        <v>8</v>
      </c>
      <c r="C1285" t="s">
        <v>203</v>
      </c>
      <c r="D1285">
        <v>115</v>
      </c>
      <c r="E1285" t="s">
        <v>144</v>
      </c>
      <c r="F1285">
        <v>81</v>
      </c>
      <c r="G1285" t="s">
        <v>205</v>
      </c>
      <c r="H1285" t="s">
        <v>50</v>
      </c>
      <c r="K1285" t="s">
        <v>51</v>
      </c>
      <c r="L1285">
        <v>1</v>
      </c>
      <c r="M1285" t="s">
        <v>52</v>
      </c>
      <c r="N1285" t="s">
        <v>53</v>
      </c>
      <c r="R1285">
        <v>0.67</v>
      </c>
      <c r="S1285">
        <v>0.92</v>
      </c>
      <c r="U1285">
        <v>0</v>
      </c>
      <c r="V1285" s="1">
        <v>46553</v>
      </c>
      <c r="W1285" s="1">
        <v>46731</v>
      </c>
      <c r="X1285" s="1">
        <v>46461</v>
      </c>
      <c r="Z1285" t="s">
        <v>52</v>
      </c>
      <c r="AB1285" t="s">
        <v>52</v>
      </c>
      <c r="AC1285">
        <v>81</v>
      </c>
      <c r="AD1285">
        <v>1</v>
      </c>
      <c r="AK1285" t="s">
        <v>52</v>
      </c>
      <c r="AN1285" t="s">
        <v>52</v>
      </c>
      <c r="AO1285" t="s">
        <v>52</v>
      </c>
      <c r="AP1285" t="s">
        <v>52</v>
      </c>
      <c r="AQ1285" t="s">
        <v>52</v>
      </c>
      <c r="AR1285" t="s">
        <v>55</v>
      </c>
      <c r="AS1285" t="s">
        <v>145</v>
      </c>
    </row>
    <row r="1286" spans="1:45" x14ac:dyDescent="0.25">
      <c r="A1286" t="s">
        <v>47</v>
      </c>
      <c r="B1286">
        <v>8</v>
      </c>
      <c r="C1286" t="s">
        <v>203</v>
      </c>
      <c r="D1286">
        <v>115</v>
      </c>
      <c r="E1286" t="s">
        <v>144</v>
      </c>
      <c r="F1286">
        <v>81</v>
      </c>
      <c r="G1286" t="s">
        <v>205</v>
      </c>
      <c r="H1286" t="s">
        <v>50</v>
      </c>
      <c r="K1286" t="s">
        <v>52</v>
      </c>
      <c r="L1286">
        <v>1</v>
      </c>
      <c r="M1286" t="s">
        <v>52</v>
      </c>
      <c r="N1286" t="s">
        <v>53</v>
      </c>
      <c r="R1286">
        <v>0.67</v>
      </c>
      <c r="S1286">
        <v>0.92</v>
      </c>
      <c r="U1286">
        <v>0</v>
      </c>
      <c r="V1286" s="1">
        <v>46553</v>
      </c>
      <c r="W1286" s="1">
        <v>46731</v>
      </c>
      <c r="X1286" s="1">
        <v>46461</v>
      </c>
      <c r="Z1286" t="s">
        <v>52</v>
      </c>
      <c r="AB1286" t="s">
        <v>52</v>
      </c>
      <c r="AC1286">
        <v>81</v>
      </c>
      <c r="AD1286">
        <v>1</v>
      </c>
      <c r="AK1286" t="s">
        <v>52</v>
      </c>
      <c r="AN1286" t="s">
        <v>52</v>
      </c>
      <c r="AO1286" t="s">
        <v>52</v>
      </c>
      <c r="AP1286" t="s">
        <v>52</v>
      </c>
      <c r="AQ1286" t="s">
        <v>52</v>
      </c>
      <c r="AR1286" t="s">
        <v>55</v>
      </c>
      <c r="AS1286" t="s">
        <v>145</v>
      </c>
    </row>
    <row r="1287" spans="1:45" x14ac:dyDescent="0.25">
      <c r="A1287" t="s">
        <v>47</v>
      </c>
      <c r="B1287">
        <v>8</v>
      </c>
      <c r="C1287" t="s">
        <v>203</v>
      </c>
      <c r="D1287">
        <v>115</v>
      </c>
      <c r="E1287" t="s">
        <v>83</v>
      </c>
      <c r="F1287">
        <v>158</v>
      </c>
      <c r="H1287" t="s">
        <v>50</v>
      </c>
      <c r="K1287" t="s">
        <v>51</v>
      </c>
      <c r="L1287">
        <v>1</v>
      </c>
      <c r="M1287" t="s">
        <v>52</v>
      </c>
      <c r="N1287" t="s">
        <v>53</v>
      </c>
      <c r="P1287">
        <v>1.3</v>
      </c>
      <c r="R1287">
        <v>0.77</v>
      </c>
      <c r="S1287">
        <v>0.93</v>
      </c>
      <c r="T1287">
        <v>0</v>
      </c>
      <c r="U1287">
        <v>0</v>
      </c>
      <c r="V1287" s="1">
        <v>46326</v>
      </c>
      <c r="W1287" s="1">
        <v>46691</v>
      </c>
      <c r="X1287" s="1">
        <v>46266</v>
      </c>
      <c r="Z1287" t="s">
        <v>52</v>
      </c>
      <c r="AA1287" t="s">
        <v>54</v>
      </c>
      <c r="AB1287" t="s">
        <v>52</v>
      </c>
      <c r="AC1287">
        <v>158</v>
      </c>
      <c r="AD1287">
        <v>2</v>
      </c>
      <c r="AK1287" t="s">
        <v>52</v>
      </c>
      <c r="AN1287" t="s">
        <v>52</v>
      </c>
      <c r="AO1287" t="s">
        <v>52</v>
      </c>
      <c r="AP1287" t="s">
        <v>52</v>
      </c>
      <c r="AQ1287" t="s">
        <v>52</v>
      </c>
      <c r="AR1287" t="s">
        <v>95</v>
      </c>
      <c r="AS1287" t="s">
        <v>140</v>
      </c>
    </row>
    <row r="1288" spans="1:45" x14ac:dyDescent="0.25">
      <c r="A1288" t="s">
        <v>47</v>
      </c>
      <c r="B1288">
        <v>8</v>
      </c>
      <c r="C1288" t="s">
        <v>203</v>
      </c>
      <c r="D1288">
        <v>115</v>
      </c>
      <c r="E1288" t="s">
        <v>83</v>
      </c>
      <c r="F1288">
        <v>158</v>
      </c>
      <c r="H1288" t="s">
        <v>50</v>
      </c>
      <c r="K1288" t="s">
        <v>52</v>
      </c>
      <c r="L1288">
        <v>1</v>
      </c>
      <c r="M1288" t="s">
        <v>52</v>
      </c>
      <c r="N1288" t="s">
        <v>53</v>
      </c>
      <c r="R1288">
        <v>0.77</v>
      </c>
      <c r="S1288">
        <v>0.93</v>
      </c>
      <c r="T1288">
        <v>0</v>
      </c>
      <c r="U1288">
        <v>0</v>
      </c>
      <c r="V1288" s="1">
        <v>46326</v>
      </c>
      <c r="W1288" s="1">
        <v>46691</v>
      </c>
      <c r="X1288" s="1">
        <v>46266</v>
      </c>
      <c r="Z1288" t="s">
        <v>52</v>
      </c>
      <c r="AB1288" t="s">
        <v>52</v>
      </c>
      <c r="AC1288">
        <v>158</v>
      </c>
      <c r="AD1288">
        <v>2</v>
      </c>
      <c r="AK1288" t="s">
        <v>52</v>
      </c>
      <c r="AN1288" t="s">
        <v>52</v>
      </c>
      <c r="AO1288" t="s">
        <v>52</v>
      </c>
      <c r="AP1288" t="s">
        <v>52</v>
      </c>
      <c r="AQ1288" t="s">
        <v>52</v>
      </c>
      <c r="AR1288" t="s">
        <v>55</v>
      </c>
    </row>
    <row r="1289" spans="1:45" x14ac:dyDescent="0.25">
      <c r="A1289" t="s">
        <v>47</v>
      </c>
      <c r="B1289">
        <v>8</v>
      </c>
      <c r="C1289" t="s">
        <v>203</v>
      </c>
      <c r="D1289">
        <v>115</v>
      </c>
      <c r="E1289" t="s">
        <v>84</v>
      </c>
      <c r="F1289">
        <v>11</v>
      </c>
      <c r="G1289" t="s">
        <v>96</v>
      </c>
      <c r="H1289" t="s">
        <v>50</v>
      </c>
      <c r="K1289" t="s">
        <v>51</v>
      </c>
      <c r="L1289">
        <v>1</v>
      </c>
      <c r="M1289" t="s">
        <v>52</v>
      </c>
      <c r="N1289" t="s">
        <v>53</v>
      </c>
      <c r="R1289">
        <v>0.5</v>
      </c>
      <c r="S1289">
        <v>0.75</v>
      </c>
      <c r="T1289">
        <v>0</v>
      </c>
      <c r="U1289">
        <v>0</v>
      </c>
      <c r="V1289" s="1">
        <v>46310</v>
      </c>
      <c r="W1289" s="1">
        <v>46691</v>
      </c>
      <c r="X1289" s="1">
        <v>46295</v>
      </c>
      <c r="Z1289" t="s">
        <v>52</v>
      </c>
      <c r="AB1289" t="s">
        <v>52</v>
      </c>
      <c r="AC1289">
        <v>11</v>
      </c>
      <c r="AD1289">
        <v>2</v>
      </c>
      <c r="AK1289" t="s">
        <v>52</v>
      </c>
      <c r="AN1289" t="s">
        <v>52</v>
      </c>
      <c r="AO1289" t="s">
        <v>52</v>
      </c>
      <c r="AP1289" t="s">
        <v>52</v>
      </c>
      <c r="AQ1289" t="s">
        <v>52</v>
      </c>
      <c r="AR1289" t="s">
        <v>55</v>
      </c>
    </row>
    <row r="1290" spans="1:45" x14ac:dyDescent="0.25">
      <c r="A1290" t="s">
        <v>47</v>
      </c>
      <c r="B1290">
        <v>8</v>
      </c>
      <c r="C1290" t="s">
        <v>203</v>
      </c>
      <c r="D1290">
        <v>115</v>
      </c>
      <c r="E1290" t="s">
        <v>84</v>
      </c>
      <c r="F1290">
        <v>11</v>
      </c>
      <c r="G1290" t="s">
        <v>96</v>
      </c>
      <c r="H1290" t="s">
        <v>50</v>
      </c>
      <c r="K1290" t="s">
        <v>52</v>
      </c>
      <c r="L1290">
        <v>1</v>
      </c>
      <c r="M1290" t="s">
        <v>52</v>
      </c>
      <c r="N1290" t="s">
        <v>53</v>
      </c>
      <c r="R1290">
        <v>0.5</v>
      </c>
      <c r="S1290">
        <v>0.75</v>
      </c>
      <c r="T1290">
        <v>0</v>
      </c>
      <c r="U1290">
        <v>0</v>
      </c>
      <c r="V1290" s="1">
        <v>46310</v>
      </c>
      <c r="W1290" s="1">
        <v>46691</v>
      </c>
      <c r="X1290" s="1">
        <v>46295</v>
      </c>
      <c r="Z1290" t="s">
        <v>52</v>
      </c>
      <c r="AB1290" t="s">
        <v>52</v>
      </c>
      <c r="AC1290">
        <v>11</v>
      </c>
      <c r="AD1290">
        <v>2</v>
      </c>
      <c r="AK1290" t="s">
        <v>52</v>
      </c>
      <c r="AN1290" t="s">
        <v>52</v>
      </c>
      <c r="AO1290" t="s">
        <v>52</v>
      </c>
      <c r="AP1290" t="s">
        <v>52</v>
      </c>
      <c r="AQ1290" t="s">
        <v>52</v>
      </c>
      <c r="AR1290" t="s">
        <v>55</v>
      </c>
    </row>
    <row r="1291" spans="1:45" x14ac:dyDescent="0.25">
      <c r="A1291" t="s">
        <v>47</v>
      </c>
      <c r="B1291">
        <v>8</v>
      </c>
      <c r="C1291" t="s">
        <v>206</v>
      </c>
      <c r="D1291">
        <v>117</v>
      </c>
      <c r="E1291" t="s">
        <v>49</v>
      </c>
      <c r="F1291">
        <v>27</v>
      </c>
      <c r="H1291" t="s">
        <v>50</v>
      </c>
      <c r="K1291" t="s">
        <v>51</v>
      </c>
      <c r="L1291">
        <v>1</v>
      </c>
      <c r="M1291" t="s">
        <v>52</v>
      </c>
      <c r="N1291" t="s">
        <v>53</v>
      </c>
      <c r="Q1291">
        <v>230</v>
      </c>
      <c r="R1291">
        <v>0</v>
      </c>
      <c r="S1291">
        <v>0.75</v>
      </c>
      <c r="T1291">
        <v>0</v>
      </c>
      <c r="U1291">
        <v>0</v>
      </c>
      <c r="W1291" s="1">
        <v>46675</v>
      </c>
      <c r="X1291" s="1">
        <v>46357</v>
      </c>
      <c r="Y1291" t="s">
        <v>54</v>
      </c>
      <c r="Z1291" t="s">
        <v>52</v>
      </c>
      <c r="AB1291" t="s">
        <v>52</v>
      </c>
      <c r="AC1291">
        <v>27</v>
      </c>
      <c r="AD1291">
        <v>1</v>
      </c>
      <c r="AE1291">
        <v>0.97</v>
      </c>
      <c r="AG1291">
        <v>0.97</v>
      </c>
      <c r="AK1291" t="s">
        <v>52</v>
      </c>
      <c r="AN1291" t="s">
        <v>52</v>
      </c>
      <c r="AO1291" t="s">
        <v>52</v>
      </c>
      <c r="AP1291" t="s">
        <v>52</v>
      </c>
      <c r="AQ1291" t="s">
        <v>52</v>
      </c>
      <c r="AR1291" t="s">
        <v>55</v>
      </c>
      <c r="AS1291" t="s">
        <v>60</v>
      </c>
    </row>
    <row r="1292" spans="1:45" x14ac:dyDescent="0.25">
      <c r="A1292" t="s">
        <v>47</v>
      </c>
      <c r="B1292">
        <v>8</v>
      </c>
      <c r="C1292" t="s">
        <v>206</v>
      </c>
      <c r="D1292">
        <v>117</v>
      </c>
      <c r="E1292" t="s">
        <v>58</v>
      </c>
      <c r="F1292">
        <v>102</v>
      </c>
      <c r="G1292" t="s">
        <v>62</v>
      </c>
      <c r="H1292" t="s">
        <v>50</v>
      </c>
      <c r="K1292" t="s">
        <v>51</v>
      </c>
      <c r="L1292">
        <v>1</v>
      </c>
      <c r="M1292" t="s">
        <v>52</v>
      </c>
      <c r="N1292" t="s">
        <v>53</v>
      </c>
      <c r="R1292">
        <v>0</v>
      </c>
      <c r="S1292">
        <v>0.92</v>
      </c>
      <c r="T1292">
        <v>0</v>
      </c>
      <c r="U1292">
        <v>0</v>
      </c>
      <c r="W1292" s="1">
        <v>46731</v>
      </c>
      <c r="X1292" s="1">
        <v>46357</v>
      </c>
      <c r="Z1292" t="s">
        <v>52</v>
      </c>
      <c r="AB1292" t="s">
        <v>52</v>
      </c>
      <c r="AC1292">
        <v>102</v>
      </c>
      <c r="AD1292">
        <v>1</v>
      </c>
      <c r="AK1292" t="s">
        <v>52</v>
      </c>
      <c r="AN1292" t="s">
        <v>52</v>
      </c>
      <c r="AO1292" t="s">
        <v>52</v>
      </c>
      <c r="AP1292" t="s">
        <v>52</v>
      </c>
      <c r="AQ1292" t="s">
        <v>52</v>
      </c>
      <c r="AR1292" t="s">
        <v>55</v>
      </c>
    </row>
    <row r="1293" spans="1:45" x14ac:dyDescent="0.25">
      <c r="A1293" t="s">
        <v>47</v>
      </c>
      <c r="B1293">
        <v>8</v>
      </c>
      <c r="C1293" t="s">
        <v>206</v>
      </c>
      <c r="D1293">
        <v>117</v>
      </c>
      <c r="E1293" t="s">
        <v>58</v>
      </c>
      <c r="F1293">
        <v>102</v>
      </c>
      <c r="G1293" t="s">
        <v>62</v>
      </c>
      <c r="H1293" t="s">
        <v>50</v>
      </c>
      <c r="K1293" t="s">
        <v>52</v>
      </c>
      <c r="L1293">
        <v>1</v>
      </c>
      <c r="M1293" t="s">
        <v>52</v>
      </c>
      <c r="N1293" t="s">
        <v>53</v>
      </c>
      <c r="R1293">
        <v>0</v>
      </c>
      <c r="S1293">
        <v>0.92</v>
      </c>
      <c r="T1293">
        <v>0</v>
      </c>
      <c r="U1293">
        <v>0</v>
      </c>
      <c r="W1293" s="1">
        <v>46731</v>
      </c>
      <c r="X1293" s="1">
        <v>46357</v>
      </c>
      <c r="Z1293" t="s">
        <v>52</v>
      </c>
      <c r="AB1293" t="s">
        <v>52</v>
      </c>
      <c r="AC1293">
        <v>102</v>
      </c>
      <c r="AD1293">
        <v>1</v>
      </c>
      <c r="AK1293" t="s">
        <v>52</v>
      </c>
      <c r="AN1293" t="s">
        <v>52</v>
      </c>
      <c r="AO1293" t="s">
        <v>52</v>
      </c>
      <c r="AP1293" t="s">
        <v>52</v>
      </c>
      <c r="AQ1293" t="s">
        <v>52</v>
      </c>
      <c r="AR1293" t="s">
        <v>55</v>
      </c>
    </row>
    <row r="1294" spans="1:45" x14ac:dyDescent="0.25">
      <c r="A1294" t="s">
        <v>47</v>
      </c>
      <c r="B1294">
        <v>8</v>
      </c>
      <c r="C1294" t="s">
        <v>206</v>
      </c>
      <c r="D1294">
        <v>117</v>
      </c>
      <c r="E1294" t="s">
        <v>70</v>
      </c>
      <c r="F1294">
        <v>296</v>
      </c>
      <c r="G1294" t="s">
        <v>71</v>
      </c>
      <c r="H1294" t="s">
        <v>50</v>
      </c>
      <c r="K1294" t="s">
        <v>51</v>
      </c>
      <c r="L1294">
        <v>1</v>
      </c>
      <c r="M1294" t="s">
        <v>52</v>
      </c>
      <c r="N1294" t="s">
        <v>53</v>
      </c>
      <c r="Q1294">
        <v>224.33330000000001</v>
      </c>
      <c r="R1294">
        <v>0</v>
      </c>
      <c r="S1294">
        <v>0.75</v>
      </c>
      <c r="U1294">
        <v>0</v>
      </c>
      <c r="W1294" s="1">
        <v>46675</v>
      </c>
      <c r="X1294" s="1">
        <v>46357</v>
      </c>
      <c r="Y1294" t="s">
        <v>54</v>
      </c>
      <c r="Z1294" t="s">
        <v>52</v>
      </c>
      <c r="AB1294" t="s">
        <v>52</v>
      </c>
      <c r="AC1294">
        <v>296</v>
      </c>
      <c r="AD1294">
        <v>1</v>
      </c>
      <c r="AK1294" t="s">
        <v>52</v>
      </c>
      <c r="AN1294" t="s">
        <v>52</v>
      </c>
      <c r="AO1294" t="s">
        <v>52</v>
      </c>
      <c r="AP1294" t="s">
        <v>52</v>
      </c>
      <c r="AQ1294" t="s">
        <v>52</v>
      </c>
      <c r="AR1294" t="s">
        <v>55</v>
      </c>
      <c r="AS1294" t="s">
        <v>60</v>
      </c>
    </row>
    <row r="1295" spans="1:45" x14ac:dyDescent="0.25">
      <c r="A1295" t="s">
        <v>47</v>
      </c>
      <c r="B1295">
        <v>8</v>
      </c>
      <c r="C1295" t="s">
        <v>206</v>
      </c>
      <c r="D1295">
        <v>117</v>
      </c>
      <c r="E1295" t="s">
        <v>70</v>
      </c>
      <c r="F1295">
        <v>296</v>
      </c>
      <c r="G1295" t="s">
        <v>71</v>
      </c>
      <c r="H1295" t="s">
        <v>50</v>
      </c>
      <c r="K1295" t="s">
        <v>52</v>
      </c>
      <c r="L1295">
        <v>1</v>
      </c>
      <c r="M1295" t="s">
        <v>52</v>
      </c>
      <c r="N1295" t="s">
        <v>53</v>
      </c>
      <c r="Q1295">
        <v>224.33330000000001</v>
      </c>
      <c r="R1295">
        <v>0</v>
      </c>
      <c r="S1295">
        <v>0.75</v>
      </c>
      <c r="U1295">
        <v>0</v>
      </c>
      <c r="W1295" s="1">
        <v>46675</v>
      </c>
      <c r="X1295" s="1">
        <v>46357</v>
      </c>
      <c r="Y1295" t="s">
        <v>54</v>
      </c>
      <c r="Z1295" t="s">
        <v>52</v>
      </c>
      <c r="AB1295" t="s">
        <v>52</v>
      </c>
      <c r="AC1295">
        <v>296</v>
      </c>
      <c r="AD1295">
        <v>1</v>
      </c>
      <c r="AK1295" t="s">
        <v>52</v>
      </c>
      <c r="AN1295" t="s">
        <v>52</v>
      </c>
      <c r="AO1295" t="s">
        <v>52</v>
      </c>
      <c r="AP1295" t="s">
        <v>52</v>
      </c>
      <c r="AQ1295" t="s">
        <v>52</v>
      </c>
      <c r="AR1295" t="s">
        <v>55</v>
      </c>
      <c r="AS1295" t="s">
        <v>60</v>
      </c>
    </row>
    <row r="1296" spans="1:45" x14ac:dyDescent="0.25">
      <c r="A1296" t="s">
        <v>47</v>
      </c>
      <c r="B1296">
        <v>8</v>
      </c>
      <c r="C1296" t="s">
        <v>206</v>
      </c>
      <c r="D1296">
        <v>117</v>
      </c>
      <c r="E1296" t="s">
        <v>70</v>
      </c>
      <c r="F1296">
        <v>296</v>
      </c>
      <c r="G1296" t="s">
        <v>73</v>
      </c>
      <c r="H1296" t="s">
        <v>50</v>
      </c>
      <c r="K1296" t="s">
        <v>51</v>
      </c>
      <c r="L1296">
        <v>1</v>
      </c>
      <c r="M1296" t="s">
        <v>52</v>
      </c>
      <c r="N1296" t="s">
        <v>53</v>
      </c>
      <c r="R1296">
        <v>0</v>
      </c>
      <c r="S1296">
        <v>0.75</v>
      </c>
      <c r="T1296">
        <v>0</v>
      </c>
      <c r="U1296">
        <v>0</v>
      </c>
      <c r="W1296" s="1">
        <v>46675</v>
      </c>
      <c r="X1296" s="1">
        <v>46357</v>
      </c>
      <c r="Z1296" t="s">
        <v>52</v>
      </c>
      <c r="AB1296" t="s">
        <v>52</v>
      </c>
      <c r="AC1296">
        <v>296</v>
      </c>
      <c r="AD1296">
        <v>1</v>
      </c>
      <c r="AK1296" t="s">
        <v>52</v>
      </c>
      <c r="AN1296" t="s">
        <v>52</v>
      </c>
      <c r="AO1296" t="s">
        <v>52</v>
      </c>
      <c r="AP1296" t="s">
        <v>52</v>
      </c>
      <c r="AQ1296" t="s">
        <v>52</v>
      </c>
      <c r="AR1296" t="s">
        <v>55</v>
      </c>
      <c r="AS1296" t="s">
        <v>60</v>
      </c>
    </row>
    <row r="1297" spans="1:45" x14ac:dyDescent="0.25">
      <c r="A1297" t="s">
        <v>47</v>
      </c>
      <c r="B1297">
        <v>8</v>
      </c>
      <c r="C1297" t="s">
        <v>206</v>
      </c>
      <c r="D1297">
        <v>117</v>
      </c>
      <c r="E1297" t="s">
        <v>70</v>
      </c>
      <c r="F1297">
        <v>296</v>
      </c>
      <c r="G1297" t="s">
        <v>74</v>
      </c>
      <c r="H1297" t="s">
        <v>50</v>
      </c>
      <c r="K1297" t="s">
        <v>51</v>
      </c>
      <c r="L1297">
        <v>1</v>
      </c>
      <c r="M1297" t="s">
        <v>52</v>
      </c>
      <c r="N1297" t="s">
        <v>53</v>
      </c>
      <c r="R1297">
        <v>0</v>
      </c>
      <c r="S1297">
        <v>0.75</v>
      </c>
      <c r="U1297">
        <v>0</v>
      </c>
      <c r="W1297" s="1">
        <v>46675</v>
      </c>
      <c r="X1297" s="1">
        <v>46357</v>
      </c>
      <c r="Z1297" t="s">
        <v>52</v>
      </c>
      <c r="AB1297" t="s">
        <v>52</v>
      </c>
      <c r="AC1297">
        <v>102</v>
      </c>
      <c r="AD1297">
        <v>1</v>
      </c>
      <c r="AK1297" t="s">
        <v>52</v>
      </c>
      <c r="AN1297" t="s">
        <v>52</v>
      </c>
      <c r="AO1297" t="s">
        <v>52</v>
      </c>
      <c r="AP1297" t="s">
        <v>52</v>
      </c>
      <c r="AQ1297" t="s">
        <v>52</v>
      </c>
      <c r="AR1297" t="s">
        <v>55</v>
      </c>
      <c r="AS1297" t="s">
        <v>60</v>
      </c>
    </row>
    <row r="1298" spans="1:45" x14ac:dyDescent="0.25">
      <c r="A1298" t="s">
        <v>47</v>
      </c>
      <c r="B1298">
        <v>8</v>
      </c>
      <c r="C1298" t="s">
        <v>206</v>
      </c>
      <c r="D1298">
        <v>117</v>
      </c>
      <c r="E1298" t="s">
        <v>70</v>
      </c>
      <c r="F1298">
        <v>296</v>
      </c>
      <c r="G1298" t="s">
        <v>74</v>
      </c>
      <c r="H1298" t="s">
        <v>50</v>
      </c>
      <c r="K1298" t="s">
        <v>52</v>
      </c>
      <c r="L1298">
        <v>1</v>
      </c>
      <c r="M1298" t="s">
        <v>52</v>
      </c>
      <c r="N1298" t="s">
        <v>53</v>
      </c>
      <c r="R1298">
        <v>0</v>
      </c>
      <c r="S1298">
        <v>0.75</v>
      </c>
      <c r="U1298">
        <v>0</v>
      </c>
      <c r="W1298" s="1">
        <v>46675</v>
      </c>
      <c r="X1298" s="1">
        <v>46357</v>
      </c>
      <c r="Z1298" t="s">
        <v>52</v>
      </c>
      <c r="AB1298" t="s">
        <v>52</v>
      </c>
      <c r="AC1298">
        <v>102</v>
      </c>
      <c r="AD1298">
        <v>1</v>
      </c>
      <c r="AK1298" t="s">
        <v>52</v>
      </c>
      <c r="AN1298" t="s">
        <v>52</v>
      </c>
      <c r="AO1298" t="s">
        <v>52</v>
      </c>
      <c r="AP1298" t="s">
        <v>52</v>
      </c>
      <c r="AQ1298" t="s">
        <v>52</v>
      </c>
      <c r="AR1298" t="s">
        <v>55</v>
      </c>
      <c r="AS1298" t="s">
        <v>60</v>
      </c>
    </row>
    <row r="1299" spans="1:45" x14ac:dyDescent="0.25">
      <c r="A1299" t="s">
        <v>47</v>
      </c>
      <c r="B1299">
        <v>8</v>
      </c>
      <c r="C1299" t="s">
        <v>207</v>
      </c>
      <c r="D1299">
        <v>119</v>
      </c>
      <c r="E1299" t="s">
        <v>58</v>
      </c>
      <c r="F1299">
        <v>102</v>
      </c>
      <c r="G1299" t="s">
        <v>62</v>
      </c>
      <c r="H1299" t="s">
        <v>50</v>
      </c>
      <c r="K1299" t="s">
        <v>51</v>
      </c>
      <c r="L1299">
        <v>1</v>
      </c>
      <c r="M1299" t="s">
        <v>52</v>
      </c>
      <c r="N1299" t="s">
        <v>53</v>
      </c>
      <c r="R1299">
        <v>0</v>
      </c>
      <c r="S1299">
        <v>0.92</v>
      </c>
      <c r="T1299">
        <v>0</v>
      </c>
      <c r="U1299">
        <v>0</v>
      </c>
      <c r="W1299" s="1">
        <v>46731</v>
      </c>
      <c r="X1299" s="1">
        <v>46357</v>
      </c>
      <c r="Z1299" t="s">
        <v>52</v>
      </c>
      <c r="AB1299" t="s">
        <v>52</v>
      </c>
      <c r="AC1299">
        <v>102</v>
      </c>
      <c r="AD1299">
        <v>1</v>
      </c>
      <c r="AK1299" t="s">
        <v>52</v>
      </c>
      <c r="AN1299" t="s">
        <v>52</v>
      </c>
      <c r="AO1299" t="s">
        <v>52</v>
      </c>
      <c r="AP1299" t="s">
        <v>52</v>
      </c>
      <c r="AQ1299" t="s">
        <v>52</v>
      </c>
      <c r="AR1299" t="s">
        <v>55</v>
      </c>
    </row>
    <row r="1300" spans="1:45" x14ac:dyDescent="0.25">
      <c r="A1300" t="s">
        <v>47</v>
      </c>
      <c r="B1300">
        <v>8</v>
      </c>
      <c r="C1300" t="s">
        <v>207</v>
      </c>
      <c r="D1300">
        <v>119</v>
      </c>
      <c r="E1300" t="s">
        <v>58</v>
      </c>
      <c r="F1300">
        <v>102</v>
      </c>
      <c r="G1300" t="s">
        <v>62</v>
      </c>
      <c r="H1300" t="s">
        <v>50</v>
      </c>
      <c r="K1300" t="s">
        <v>52</v>
      </c>
      <c r="L1300">
        <v>1</v>
      </c>
      <c r="M1300" t="s">
        <v>52</v>
      </c>
      <c r="N1300" t="s">
        <v>53</v>
      </c>
      <c r="R1300">
        <v>0</v>
      </c>
      <c r="S1300">
        <v>0.92</v>
      </c>
      <c r="T1300">
        <v>0</v>
      </c>
      <c r="U1300">
        <v>0</v>
      </c>
      <c r="W1300" s="1">
        <v>46731</v>
      </c>
      <c r="X1300" s="1">
        <v>46357</v>
      </c>
      <c r="Z1300" t="s">
        <v>52</v>
      </c>
      <c r="AB1300" t="s">
        <v>52</v>
      </c>
      <c r="AC1300">
        <v>102</v>
      </c>
      <c r="AD1300">
        <v>1</v>
      </c>
      <c r="AK1300" t="s">
        <v>52</v>
      </c>
      <c r="AN1300" t="s">
        <v>52</v>
      </c>
      <c r="AO1300" t="s">
        <v>52</v>
      </c>
      <c r="AP1300" t="s">
        <v>52</v>
      </c>
      <c r="AQ1300" t="s">
        <v>52</v>
      </c>
      <c r="AR1300" t="s">
        <v>55</v>
      </c>
    </row>
    <row r="1301" spans="1:45" x14ac:dyDescent="0.25">
      <c r="A1301" t="s">
        <v>47</v>
      </c>
      <c r="B1301">
        <v>8</v>
      </c>
      <c r="C1301" t="s">
        <v>208</v>
      </c>
      <c r="D1301">
        <v>121</v>
      </c>
      <c r="E1301" t="s">
        <v>49</v>
      </c>
      <c r="F1301">
        <v>27</v>
      </c>
      <c r="H1301" t="s">
        <v>50</v>
      </c>
      <c r="K1301" t="s">
        <v>51</v>
      </c>
      <c r="L1301">
        <v>1</v>
      </c>
      <c r="M1301" t="s">
        <v>52</v>
      </c>
      <c r="N1301" t="s">
        <v>53</v>
      </c>
      <c r="Q1301">
        <v>230</v>
      </c>
      <c r="R1301">
        <v>0</v>
      </c>
      <c r="S1301">
        <v>0.75</v>
      </c>
      <c r="T1301">
        <v>0</v>
      </c>
      <c r="U1301">
        <v>0</v>
      </c>
      <c r="W1301" s="1">
        <v>46675</v>
      </c>
      <c r="X1301" s="1">
        <v>46357</v>
      </c>
      <c r="Y1301" t="s">
        <v>54</v>
      </c>
      <c r="Z1301" t="s">
        <v>52</v>
      </c>
      <c r="AB1301" t="s">
        <v>52</v>
      </c>
      <c r="AC1301">
        <v>27</v>
      </c>
      <c r="AD1301">
        <v>1</v>
      </c>
      <c r="AE1301">
        <v>0.97</v>
      </c>
      <c r="AG1301">
        <v>0.97</v>
      </c>
      <c r="AK1301" t="s">
        <v>52</v>
      </c>
      <c r="AN1301" t="s">
        <v>52</v>
      </c>
      <c r="AO1301" t="s">
        <v>52</v>
      </c>
      <c r="AP1301" t="s">
        <v>52</v>
      </c>
      <c r="AQ1301" t="s">
        <v>52</v>
      </c>
      <c r="AR1301" t="s">
        <v>55</v>
      </c>
      <c r="AS1301" t="s">
        <v>56</v>
      </c>
    </row>
    <row r="1302" spans="1:45" x14ac:dyDescent="0.25">
      <c r="A1302" t="s">
        <v>47</v>
      </c>
      <c r="B1302">
        <v>8</v>
      </c>
      <c r="C1302" t="s">
        <v>208</v>
      </c>
      <c r="D1302">
        <v>121</v>
      </c>
      <c r="E1302" t="s">
        <v>49</v>
      </c>
      <c r="F1302">
        <v>27</v>
      </c>
      <c r="H1302" t="s">
        <v>50</v>
      </c>
      <c r="K1302" t="s">
        <v>52</v>
      </c>
      <c r="L1302">
        <v>1</v>
      </c>
      <c r="M1302" t="s">
        <v>52</v>
      </c>
      <c r="N1302" t="s">
        <v>53</v>
      </c>
      <c r="Q1302">
        <v>230</v>
      </c>
      <c r="R1302">
        <v>0</v>
      </c>
      <c r="S1302">
        <v>0.75</v>
      </c>
      <c r="T1302">
        <v>0</v>
      </c>
      <c r="U1302">
        <v>0</v>
      </c>
      <c r="W1302" s="1">
        <v>46675</v>
      </c>
      <c r="X1302" s="1">
        <v>46357</v>
      </c>
      <c r="Y1302" t="s">
        <v>54</v>
      </c>
      <c r="Z1302" t="s">
        <v>52</v>
      </c>
      <c r="AB1302" t="s">
        <v>52</v>
      </c>
      <c r="AC1302">
        <v>27</v>
      </c>
      <c r="AD1302">
        <v>1</v>
      </c>
      <c r="AE1302">
        <v>0.97</v>
      </c>
      <c r="AG1302">
        <v>0.97</v>
      </c>
      <c r="AK1302" t="s">
        <v>52</v>
      </c>
      <c r="AN1302" t="s">
        <v>52</v>
      </c>
      <c r="AO1302" t="s">
        <v>52</v>
      </c>
      <c r="AP1302" t="s">
        <v>52</v>
      </c>
      <c r="AQ1302" t="s">
        <v>52</v>
      </c>
      <c r="AR1302" t="s">
        <v>55</v>
      </c>
      <c r="AS1302" t="s">
        <v>57</v>
      </c>
    </row>
    <row r="1303" spans="1:45" x14ac:dyDescent="0.25">
      <c r="A1303" t="s">
        <v>47</v>
      </c>
      <c r="B1303">
        <v>8</v>
      </c>
      <c r="C1303" t="s">
        <v>208</v>
      </c>
      <c r="D1303">
        <v>121</v>
      </c>
      <c r="E1303" t="s">
        <v>87</v>
      </c>
      <c r="F1303">
        <v>91</v>
      </c>
      <c r="G1303" t="s">
        <v>76</v>
      </c>
      <c r="H1303" t="s">
        <v>50</v>
      </c>
      <c r="K1303" t="s">
        <v>51</v>
      </c>
      <c r="L1303">
        <v>1</v>
      </c>
      <c r="M1303" t="s">
        <v>52</v>
      </c>
      <c r="N1303" t="s">
        <v>53</v>
      </c>
      <c r="R1303">
        <v>0.77</v>
      </c>
      <c r="S1303">
        <v>0.93</v>
      </c>
      <c r="T1303">
        <v>0</v>
      </c>
      <c r="U1303">
        <v>0</v>
      </c>
      <c r="V1303" s="1">
        <v>46548</v>
      </c>
      <c r="W1303" s="1">
        <v>46691</v>
      </c>
      <c r="X1303" s="1">
        <v>46295</v>
      </c>
      <c r="Z1303" t="s">
        <v>52</v>
      </c>
      <c r="AB1303" t="s">
        <v>52</v>
      </c>
      <c r="AC1303">
        <v>91</v>
      </c>
      <c r="AD1303">
        <v>2</v>
      </c>
      <c r="AK1303" t="s">
        <v>52</v>
      </c>
      <c r="AN1303" t="s">
        <v>52</v>
      </c>
      <c r="AO1303" t="s">
        <v>52</v>
      </c>
      <c r="AP1303" t="s">
        <v>52</v>
      </c>
      <c r="AQ1303" t="s">
        <v>52</v>
      </c>
      <c r="AR1303" t="s">
        <v>55</v>
      </c>
    </row>
    <row r="1304" spans="1:45" x14ac:dyDescent="0.25">
      <c r="A1304" t="s">
        <v>47</v>
      </c>
      <c r="B1304">
        <v>8</v>
      </c>
      <c r="C1304" t="s">
        <v>208</v>
      </c>
      <c r="D1304">
        <v>121</v>
      </c>
      <c r="E1304" t="s">
        <v>87</v>
      </c>
      <c r="F1304">
        <v>91</v>
      </c>
      <c r="G1304" t="s">
        <v>76</v>
      </c>
      <c r="H1304" t="s">
        <v>50</v>
      </c>
      <c r="K1304" t="s">
        <v>52</v>
      </c>
      <c r="L1304">
        <v>1</v>
      </c>
      <c r="M1304" t="s">
        <v>52</v>
      </c>
      <c r="N1304" t="s">
        <v>53</v>
      </c>
      <c r="R1304">
        <v>0.77</v>
      </c>
      <c r="S1304">
        <v>0.93</v>
      </c>
      <c r="T1304">
        <v>0</v>
      </c>
      <c r="U1304">
        <v>0</v>
      </c>
      <c r="V1304" s="1">
        <v>46548</v>
      </c>
      <c r="W1304" s="1">
        <v>46691</v>
      </c>
      <c r="X1304" s="1">
        <v>46295</v>
      </c>
      <c r="Z1304" t="s">
        <v>52</v>
      </c>
      <c r="AB1304" t="s">
        <v>52</v>
      </c>
      <c r="AC1304">
        <v>91</v>
      </c>
      <c r="AD1304">
        <v>2</v>
      </c>
      <c r="AK1304" t="s">
        <v>52</v>
      </c>
      <c r="AN1304" t="s">
        <v>52</v>
      </c>
      <c r="AO1304" t="s">
        <v>52</v>
      </c>
      <c r="AP1304" t="s">
        <v>52</v>
      </c>
      <c r="AQ1304" t="s">
        <v>52</v>
      </c>
      <c r="AR1304" t="s">
        <v>55</v>
      </c>
    </row>
    <row r="1305" spans="1:45" x14ac:dyDescent="0.25">
      <c r="A1305" t="s">
        <v>47</v>
      </c>
      <c r="B1305">
        <v>8</v>
      </c>
      <c r="C1305" t="s">
        <v>208</v>
      </c>
      <c r="D1305">
        <v>121</v>
      </c>
      <c r="E1305" t="s">
        <v>58</v>
      </c>
      <c r="F1305">
        <v>102</v>
      </c>
      <c r="G1305" t="s">
        <v>62</v>
      </c>
      <c r="H1305" t="s">
        <v>50</v>
      </c>
      <c r="K1305" t="s">
        <v>52</v>
      </c>
      <c r="L1305">
        <v>1</v>
      </c>
      <c r="M1305" t="s">
        <v>52</v>
      </c>
      <c r="N1305" t="s">
        <v>53</v>
      </c>
      <c r="R1305">
        <v>0</v>
      </c>
      <c r="S1305">
        <v>0.92</v>
      </c>
      <c r="T1305">
        <v>0</v>
      </c>
      <c r="U1305">
        <v>0</v>
      </c>
      <c r="W1305" s="1">
        <v>46731</v>
      </c>
      <c r="X1305" s="1">
        <v>46357</v>
      </c>
      <c r="Z1305" t="s">
        <v>52</v>
      </c>
      <c r="AB1305" t="s">
        <v>52</v>
      </c>
      <c r="AC1305">
        <v>102</v>
      </c>
      <c r="AD1305">
        <v>1</v>
      </c>
      <c r="AK1305" t="s">
        <v>52</v>
      </c>
      <c r="AN1305" t="s">
        <v>52</v>
      </c>
      <c r="AO1305" t="s">
        <v>52</v>
      </c>
      <c r="AP1305" t="s">
        <v>52</v>
      </c>
      <c r="AQ1305" t="s">
        <v>52</v>
      </c>
      <c r="AR1305" t="s">
        <v>55</v>
      </c>
    </row>
    <row r="1306" spans="1:45" x14ac:dyDescent="0.25">
      <c r="A1306" t="s">
        <v>47</v>
      </c>
      <c r="B1306">
        <v>8</v>
      </c>
      <c r="C1306" t="s">
        <v>208</v>
      </c>
      <c r="D1306">
        <v>121</v>
      </c>
      <c r="E1306" t="s">
        <v>68</v>
      </c>
      <c r="F1306">
        <v>80</v>
      </c>
      <c r="G1306" t="s">
        <v>69</v>
      </c>
      <c r="H1306" t="s">
        <v>50</v>
      </c>
      <c r="K1306" t="s">
        <v>51</v>
      </c>
      <c r="L1306">
        <v>1</v>
      </c>
      <c r="M1306" t="s">
        <v>52</v>
      </c>
      <c r="N1306" t="s">
        <v>53</v>
      </c>
      <c r="R1306">
        <v>0.5</v>
      </c>
      <c r="S1306">
        <v>0.75</v>
      </c>
      <c r="T1306">
        <v>0</v>
      </c>
      <c r="U1306">
        <v>0</v>
      </c>
      <c r="V1306" s="1">
        <v>46583</v>
      </c>
      <c r="W1306" s="1">
        <v>46675</v>
      </c>
      <c r="X1306" s="1">
        <v>46461</v>
      </c>
      <c r="Z1306" t="s">
        <v>52</v>
      </c>
      <c r="AB1306" t="s">
        <v>52</v>
      </c>
      <c r="AC1306">
        <v>80</v>
      </c>
      <c r="AD1306">
        <v>1</v>
      </c>
      <c r="AK1306" t="s">
        <v>52</v>
      </c>
      <c r="AN1306" t="s">
        <v>52</v>
      </c>
      <c r="AO1306" t="s">
        <v>52</v>
      </c>
      <c r="AP1306" t="s">
        <v>52</v>
      </c>
      <c r="AQ1306" t="s">
        <v>52</v>
      </c>
      <c r="AR1306" t="s">
        <v>55</v>
      </c>
    </row>
    <row r="1307" spans="1:45" x14ac:dyDescent="0.25">
      <c r="A1307" t="s">
        <v>47</v>
      </c>
      <c r="B1307">
        <v>8</v>
      </c>
      <c r="C1307" t="s">
        <v>208</v>
      </c>
      <c r="D1307">
        <v>121</v>
      </c>
      <c r="E1307" t="s">
        <v>68</v>
      </c>
      <c r="F1307">
        <v>80</v>
      </c>
      <c r="G1307" t="s">
        <v>69</v>
      </c>
      <c r="H1307" t="s">
        <v>50</v>
      </c>
      <c r="K1307" t="s">
        <v>52</v>
      </c>
      <c r="L1307">
        <v>1</v>
      </c>
      <c r="M1307" t="s">
        <v>52</v>
      </c>
      <c r="N1307" t="s">
        <v>53</v>
      </c>
      <c r="R1307">
        <v>0.5</v>
      </c>
      <c r="S1307">
        <v>0.75</v>
      </c>
      <c r="T1307">
        <v>0</v>
      </c>
      <c r="U1307">
        <v>0</v>
      </c>
      <c r="V1307" s="1">
        <v>46583</v>
      </c>
      <c r="W1307" s="1">
        <v>46675</v>
      </c>
      <c r="X1307" s="1">
        <v>46461</v>
      </c>
      <c r="Z1307" t="s">
        <v>52</v>
      </c>
      <c r="AB1307" t="s">
        <v>52</v>
      </c>
      <c r="AC1307">
        <v>80</v>
      </c>
      <c r="AD1307">
        <v>1</v>
      </c>
      <c r="AK1307" t="s">
        <v>52</v>
      </c>
      <c r="AN1307" t="s">
        <v>52</v>
      </c>
      <c r="AO1307" t="s">
        <v>52</v>
      </c>
      <c r="AP1307" t="s">
        <v>52</v>
      </c>
      <c r="AQ1307" t="s">
        <v>52</v>
      </c>
      <c r="AR1307" t="s">
        <v>55</v>
      </c>
    </row>
    <row r="1308" spans="1:45" x14ac:dyDescent="0.25">
      <c r="A1308" t="s">
        <v>47</v>
      </c>
      <c r="B1308">
        <v>8</v>
      </c>
      <c r="C1308" t="s">
        <v>208</v>
      </c>
      <c r="D1308">
        <v>121</v>
      </c>
      <c r="E1308" t="s">
        <v>70</v>
      </c>
      <c r="F1308">
        <v>296</v>
      </c>
      <c r="G1308" t="s">
        <v>71</v>
      </c>
      <c r="H1308" t="s">
        <v>50</v>
      </c>
      <c r="K1308" t="s">
        <v>51</v>
      </c>
      <c r="L1308">
        <v>1</v>
      </c>
      <c r="M1308" t="s">
        <v>52</v>
      </c>
      <c r="N1308" t="s">
        <v>53</v>
      </c>
      <c r="Q1308">
        <v>224.33330000000001</v>
      </c>
      <c r="R1308">
        <v>0</v>
      </c>
      <c r="S1308">
        <v>0.75</v>
      </c>
      <c r="T1308">
        <v>0</v>
      </c>
      <c r="U1308">
        <v>0</v>
      </c>
      <c r="W1308" s="1">
        <v>46675</v>
      </c>
      <c r="X1308" s="1">
        <v>46357</v>
      </c>
      <c r="Y1308" t="s">
        <v>54</v>
      </c>
      <c r="Z1308" t="s">
        <v>52</v>
      </c>
      <c r="AB1308" t="s">
        <v>52</v>
      </c>
      <c r="AC1308">
        <v>296</v>
      </c>
      <c r="AD1308">
        <v>1</v>
      </c>
      <c r="AK1308" t="s">
        <v>52</v>
      </c>
      <c r="AN1308" t="s">
        <v>52</v>
      </c>
      <c r="AO1308" t="s">
        <v>52</v>
      </c>
      <c r="AP1308" t="s">
        <v>52</v>
      </c>
      <c r="AQ1308" t="s">
        <v>52</v>
      </c>
      <c r="AR1308" t="s">
        <v>55</v>
      </c>
    </row>
    <row r="1309" spans="1:45" x14ac:dyDescent="0.25">
      <c r="A1309" t="s">
        <v>47</v>
      </c>
      <c r="B1309">
        <v>8</v>
      </c>
      <c r="C1309" t="s">
        <v>208</v>
      </c>
      <c r="D1309">
        <v>121</v>
      </c>
      <c r="E1309" t="s">
        <v>70</v>
      </c>
      <c r="F1309">
        <v>296</v>
      </c>
      <c r="G1309" t="s">
        <v>71</v>
      </c>
      <c r="H1309" t="s">
        <v>50</v>
      </c>
      <c r="K1309" t="s">
        <v>52</v>
      </c>
      <c r="L1309">
        <v>1</v>
      </c>
      <c r="M1309" t="s">
        <v>52</v>
      </c>
      <c r="N1309" t="s">
        <v>53</v>
      </c>
      <c r="Q1309">
        <v>224.33330000000001</v>
      </c>
      <c r="R1309">
        <v>0</v>
      </c>
      <c r="S1309">
        <v>0.75</v>
      </c>
      <c r="T1309">
        <v>0</v>
      </c>
      <c r="U1309">
        <v>0</v>
      </c>
      <c r="W1309" s="1">
        <v>46675</v>
      </c>
      <c r="X1309" s="1">
        <v>46357</v>
      </c>
      <c r="Y1309" t="s">
        <v>54</v>
      </c>
      <c r="Z1309" t="s">
        <v>52</v>
      </c>
      <c r="AB1309" t="s">
        <v>52</v>
      </c>
      <c r="AC1309">
        <v>296</v>
      </c>
      <c r="AD1309">
        <v>1</v>
      </c>
      <c r="AK1309" t="s">
        <v>52</v>
      </c>
      <c r="AN1309" t="s">
        <v>52</v>
      </c>
      <c r="AO1309" t="s">
        <v>52</v>
      </c>
      <c r="AP1309" t="s">
        <v>52</v>
      </c>
      <c r="AQ1309" t="s">
        <v>52</v>
      </c>
      <c r="AR1309" t="s">
        <v>55</v>
      </c>
    </row>
    <row r="1310" spans="1:45" x14ac:dyDescent="0.25">
      <c r="A1310" t="s">
        <v>47</v>
      </c>
      <c r="B1310">
        <v>8</v>
      </c>
      <c r="C1310" t="s">
        <v>208</v>
      </c>
      <c r="D1310">
        <v>121</v>
      </c>
      <c r="E1310" t="s">
        <v>70</v>
      </c>
      <c r="F1310">
        <v>296</v>
      </c>
      <c r="G1310" t="s">
        <v>72</v>
      </c>
      <c r="H1310" t="s">
        <v>50</v>
      </c>
      <c r="K1310" t="s">
        <v>51</v>
      </c>
      <c r="L1310">
        <v>1</v>
      </c>
      <c r="M1310" t="s">
        <v>52</v>
      </c>
      <c r="N1310" t="s">
        <v>53</v>
      </c>
      <c r="R1310">
        <v>0.5</v>
      </c>
      <c r="S1310">
        <v>0.75</v>
      </c>
      <c r="T1310">
        <v>0</v>
      </c>
      <c r="U1310">
        <v>0</v>
      </c>
      <c r="V1310" s="1">
        <v>46507</v>
      </c>
      <c r="W1310" s="1">
        <v>46675</v>
      </c>
      <c r="X1310" s="1">
        <v>46357</v>
      </c>
      <c r="Z1310" t="s">
        <v>52</v>
      </c>
      <c r="AB1310" t="s">
        <v>52</v>
      </c>
      <c r="AC1310">
        <v>296</v>
      </c>
      <c r="AD1310">
        <v>1</v>
      </c>
      <c r="AK1310" t="s">
        <v>52</v>
      </c>
      <c r="AN1310" t="s">
        <v>52</v>
      </c>
      <c r="AO1310" t="s">
        <v>52</v>
      </c>
      <c r="AP1310" t="s">
        <v>52</v>
      </c>
      <c r="AQ1310" t="s">
        <v>52</v>
      </c>
      <c r="AR1310" t="s">
        <v>55</v>
      </c>
    </row>
    <row r="1311" spans="1:45" x14ac:dyDescent="0.25">
      <c r="A1311" t="s">
        <v>47</v>
      </c>
      <c r="B1311">
        <v>8</v>
      </c>
      <c r="C1311" t="s">
        <v>208</v>
      </c>
      <c r="D1311">
        <v>121</v>
      </c>
      <c r="E1311" t="s">
        <v>70</v>
      </c>
      <c r="F1311">
        <v>296</v>
      </c>
      <c r="G1311" t="s">
        <v>72</v>
      </c>
      <c r="H1311" t="s">
        <v>50</v>
      </c>
      <c r="K1311" t="s">
        <v>52</v>
      </c>
      <c r="L1311">
        <v>1</v>
      </c>
      <c r="M1311" t="s">
        <v>52</v>
      </c>
      <c r="N1311" t="s">
        <v>53</v>
      </c>
      <c r="R1311">
        <v>0.5</v>
      </c>
      <c r="S1311">
        <v>0.75</v>
      </c>
      <c r="T1311">
        <v>0</v>
      </c>
      <c r="U1311">
        <v>0</v>
      </c>
      <c r="V1311" s="1">
        <v>46507</v>
      </c>
      <c r="W1311" s="1">
        <v>46675</v>
      </c>
      <c r="X1311" s="1">
        <v>46357</v>
      </c>
      <c r="Z1311" t="s">
        <v>52</v>
      </c>
      <c r="AB1311" t="s">
        <v>52</v>
      </c>
      <c r="AC1311">
        <v>296</v>
      </c>
      <c r="AD1311">
        <v>1</v>
      </c>
      <c r="AK1311" t="s">
        <v>52</v>
      </c>
      <c r="AN1311" t="s">
        <v>52</v>
      </c>
      <c r="AO1311" t="s">
        <v>52</v>
      </c>
      <c r="AP1311" t="s">
        <v>52</v>
      </c>
      <c r="AQ1311" t="s">
        <v>52</v>
      </c>
      <c r="AR1311" t="s">
        <v>55</v>
      </c>
    </row>
    <row r="1312" spans="1:45" x14ac:dyDescent="0.25">
      <c r="A1312" t="s">
        <v>47</v>
      </c>
      <c r="B1312">
        <v>8</v>
      </c>
      <c r="C1312" t="s">
        <v>208</v>
      </c>
      <c r="D1312">
        <v>121</v>
      </c>
      <c r="E1312" t="s">
        <v>70</v>
      </c>
      <c r="F1312">
        <v>296</v>
      </c>
      <c r="G1312" t="s">
        <v>73</v>
      </c>
      <c r="H1312" t="s">
        <v>50</v>
      </c>
      <c r="K1312" t="s">
        <v>51</v>
      </c>
      <c r="L1312">
        <v>1</v>
      </c>
      <c r="M1312" t="s">
        <v>52</v>
      </c>
      <c r="N1312" t="s">
        <v>53</v>
      </c>
      <c r="R1312">
        <v>0</v>
      </c>
      <c r="S1312">
        <v>0.75</v>
      </c>
      <c r="T1312">
        <v>0</v>
      </c>
      <c r="U1312">
        <v>0</v>
      </c>
      <c r="W1312" s="1">
        <v>46675</v>
      </c>
      <c r="X1312" s="1">
        <v>46357</v>
      </c>
      <c r="Z1312" t="s">
        <v>52</v>
      </c>
      <c r="AB1312" t="s">
        <v>52</v>
      </c>
      <c r="AC1312">
        <v>296</v>
      </c>
      <c r="AD1312">
        <v>1</v>
      </c>
      <c r="AK1312" t="s">
        <v>52</v>
      </c>
      <c r="AN1312" t="s">
        <v>52</v>
      </c>
      <c r="AO1312" t="s">
        <v>52</v>
      </c>
      <c r="AP1312" t="s">
        <v>52</v>
      </c>
      <c r="AQ1312" t="s">
        <v>52</v>
      </c>
      <c r="AR1312" t="s">
        <v>55</v>
      </c>
    </row>
    <row r="1313" spans="1:45" x14ac:dyDescent="0.25">
      <c r="A1313" t="s">
        <v>47</v>
      </c>
      <c r="B1313">
        <v>8</v>
      </c>
      <c r="C1313" t="s">
        <v>208</v>
      </c>
      <c r="D1313">
        <v>121</v>
      </c>
      <c r="E1313" t="s">
        <v>70</v>
      </c>
      <c r="F1313">
        <v>296</v>
      </c>
      <c r="G1313" t="s">
        <v>73</v>
      </c>
      <c r="H1313" t="s">
        <v>50</v>
      </c>
      <c r="K1313" t="s">
        <v>52</v>
      </c>
      <c r="L1313">
        <v>1</v>
      </c>
      <c r="M1313" t="s">
        <v>52</v>
      </c>
      <c r="N1313" t="s">
        <v>53</v>
      </c>
      <c r="R1313">
        <v>0</v>
      </c>
      <c r="S1313">
        <v>0.75</v>
      </c>
      <c r="T1313">
        <v>0</v>
      </c>
      <c r="U1313">
        <v>0</v>
      </c>
      <c r="W1313" s="1">
        <v>46675</v>
      </c>
      <c r="X1313" s="1">
        <v>46357</v>
      </c>
      <c r="Z1313" t="s">
        <v>52</v>
      </c>
      <c r="AB1313" t="s">
        <v>52</v>
      </c>
      <c r="AC1313">
        <v>296</v>
      </c>
      <c r="AD1313">
        <v>1</v>
      </c>
      <c r="AK1313" t="s">
        <v>52</v>
      </c>
      <c r="AN1313" t="s">
        <v>52</v>
      </c>
      <c r="AO1313" t="s">
        <v>52</v>
      </c>
      <c r="AP1313" t="s">
        <v>52</v>
      </c>
      <c r="AQ1313" t="s">
        <v>52</v>
      </c>
      <c r="AR1313" t="s">
        <v>55</v>
      </c>
    </row>
    <row r="1314" spans="1:45" x14ac:dyDescent="0.25">
      <c r="A1314" t="s">
        <v>47</v>
      </c>
      <c r="B1314">
        <v>8</v>
      </c>
      <c r="C1314" t="s">
        <v>208</v>
      </c>
      <c r="D1314">
        <v>121</v>
      </c>
      <c r="E1314" t="s">
        <v>70</v>
      </c>
      <c r="F1314">
        <v>296</v>
      </c>
      <c r="G1314" t="s">
        <v>115</v>
      </c>
      <c r="H1314" t="s">
        <v>50</v>
      </c>
      <c r="K1314" t="s">
        <v>51</v>
      </c>
      <c r="L1314">
        <v>1</v>
      </c>
      <c r="M1314" t="s">
        <v>52</v>
      </c>
      <c r="N1314" t="s">
        <v>53</v>
      </c>
      <c r="R1314">
        <v>0.5</v>
      </c>
      <c r="S1314">
        <v>0.75</v>
      </c>
      <c r="T1314">
        <v>0</v>
      </c>
      <c r="U1314">
        <v>0</v>
      </c>
      <c r="V1314" s="1">
        <v>46583</v>
      </c>
      <c r="W1314" s="1">
        <v>46675</v>
      </c>
      <c r="X1314" s="1">
        <v>46357</v>
      </c>
      <c r="Z1314" t="s">
        <v>52</v>
      </c>
      <c r="AB1314" t="s">
        <v>52</v>
      </c>
      <c r="AC1314">
        <v>102</v>
      </c>
      <c r="AD1314">
        <v>1</v>
      </c>
      <c r="AK1314" t="s">
        <v>52</v>
      </c>
      <c r="AN1314" t="s">
        <v>52</v>
      </c>
      <c r="AO1314" t="s">
        <v>52</v>
      </c>
      <c r="AP1314" t="s">
        <v>52</v>
      </c>
      <c r="AQ1314" t="s">
        <v>52</v>
      </c>
      <c r="AR1314" t="s">
        <v>55</v>
      </c>
    </row>
    <row r="1315" spans="1:45" x14ac:dyDescent="0.25">
      <c r="A1315" t="s">
        <v>47</v>
      </c>
      <c r="B1315">
        <v>8</v>
      </c>
      <c r="C1315" t="s">
        <v>208</v>
      </c>
      <c r="D1315">
        <v>121</v>
      </c>
      <c r="E1315" t="s">
        <v>70</v>
      </c>
      <c r="F1315">
        <v>296</v>
      </c>
      <c r="G1315" t="s">
        <v>115</v>
      </c>
      <c r="H1315" t="s">
        <v>50</v>
      </c>
      <c r="K1315" t="s">
        <v>52</v>
      </c>
      <c r="L1315">
        <v>1</v>
      </c>
      <c r="M1315" t="s">
        <v>52</v>
      </c>
      <c r="N1315" t="s">
        <v>53</v>
      </c>
      <c r="R1315">
        <v>0.5</v>
      </c>
      <c r="S1315">
        <v>0.75</v>
      </c>
      <c r="T1315">
        <v>0</v>
      </c>
      <c r="U1315">
        <v>0</v>
      </c>
      <c r="V1315" s="1">
        <v>46583</v>
      </c>
      <c r="W1315" s="1">
        <v>46675</v>
      </c>
      <c r="X1315" s="1">
        <v>46357</v>
      </c>
      <c r="Z1315" t="s">
        <v>52</v>
      </c>
      <c r="AB1315" t="s">
        <v>52</v>
      </c>
      <c r="AC1315">
        <v>102</v>
      </c>
      <c r="AD1315">
        <v>1</v>
      </c>
      <c r="AK1315" t="s">
        <v>52</v>
      </c>
      <c r="AN1315" t="s">
        <v>52</v>
      </c>
      <c r="AO1315" t="s">
        <v>52</v>
      </c>
      <c r="AP1315" t="s">
        <v>52</v>
      </c>
      <c r="AQ1315" t="s">
        <v>52</v>
      </c>
      <c r="AR1315" t="s">
        <v>55</v>
      </c>
    </row>
    <row r="1316" spans="1:45" x14ac:dyDescent="0.25">
      <c r="A1316" t="s">
        <v>47</v>
      </c>
      <c r="B1316">
        <v>8</v>
      </c>
      <c r="C1316" t="s">
        <v>208</v>
      </c>
      <c r="D1316">
        <v>121</v>
      </c>
      <c r="E1316" t="s">
        <v>70</v>
      </c>
      <c r="F1316">
        <v>296</v>
      </c>
      <c r="G1316" t="s">
        <v>74</v>
      </c>
      <c r="H1316" t="s">
        <v>50</v>
      </c>
      <c r="K1316" t="s">
        <v>51</v>
      </c>
      <c r="L1316">
        <v>1</v>
      </c>
      <c r="M1316" t="s">
        <v>52</v>
      </c>
      <c r="N1316" t="s">
        <v>53</v>
      </c>
      <c r="R1316">
        <v>0</v>
      </c>
      <c r="S1316">
        <v>0.75</v>
      </c>
      <c r="T1316">
        <v>0</v>
      </c>
      <c r="U1316">
        <v>0</v>
      </c>
      <c r="W1316" s="1">
        <v>46675</v>
      </c>
      <c r="X1316" s="1">
        <v>46357</v>
      </c>
      <c r="Z1316" t="s">
        <v>52</v>
      </c>
      <c r="AB1316" t="s">
        <v>52</v>
      </c>
      <c r="AC1316">
        <v>102</v>
      </c>
      <c r="AD1316">
        <v>1</v>
      </c>
      <c r="AK1316" t="s">
        <v>52</v>
      </c>
      <c r="AN1316" t="s">
        <v>52</v>
      </c>
      <c r="AO1316" t="s">
        <v>52</v>
      </c>
      <c r="AP1316" t="s">
        <v>52</v>
      </c>
      <c r="AQ1316" t="s">
        <v>52</v>
      </c>
      <c r="AR1316" t="s">
        <v>55</v>
      </c>
    </row>
    <row r="1317" spans="1:45" x14ac:dyDescent="0.25">
      <c r="A1317" t="s">
        <v>47</v>
      </c>
      <c r="B1317">
        <v>8</v>
      </c>
      <c r="C1317" t="s">
        <v>208</v>
      </c>
      <c r="D1317">
        <v>121</v>
      </c>
      <c r="E1317" t="s">
        <v>70</v>
      </c>
      <c r="F1317">
        <v>296</v>
      </c>
      <c r="G1317" t="s">
        <v>74</v>
      </c>
      <c r="H1317" t="s">
        <v>50</v>
      </c>
      <c r="K1317" t="s">
        <v>52</v>
      </c>
      <c r="L1317">
        <v>1</v>
      </c>
      <c r="M1317" t="s">
        <v>52</v>
      </c>
      <c r="N1317" t="s">
        <v>53</v>
      </c>
      <c r="R1317">
        <v>0</v>
      </c>
      <c r="S1317">
        <v>0.75</v>
      </c>
      <c r="T1317">
        <v>0</v>
      </c>
      <c r="U1317">
        <v>0</v>
      </c>
      <c r="W1317" s="1">
        <v>46675</v>
      </c>
      <c r="X1317" s="1">
        <v>46357</v>
      </c>
      <c r="Z1317" t="s">
        <v>52</v>
      </c>
      <c r="AB1317" t="s">
        <v>52</v>
      </c>
      <c r="AC1317">
        <v>102</v>
      </c>
      <c r="AD1317">
        <v>1</v>
      </c>
      <c r="AK1317" t="s">
        <v>52</v>
      </c>
      <c r="AN1317" t="s">
        <v>52</v>
      </c>
      <c r="AO1317" t="s">
        <v>52</v>
      </c>
      <c r="AP1317" t="s">
        <v>52</v>
      </c>
      <c r="AQ1317" t="s">
        <v>52</v>
      </c>
      <c r="AR1317" t="s">
        <v>55</v>
      </c>
      <c r="AS1317" t="s">
        <v>106</v>
      </c>
    </row>
    <row r="1318" spans="1:45" x14ac:dyDescent="0.25">
      <c r="A1318" t="s">
        <v>47</v>
      </c>
      <c r="B1318">
        <v>8</v>
      </c>
      <c r="C1318" t="s">
        <v>208</v>
      </c>
      <c r="D1318">
        <v>121</v>
      </c>
      <c r="E1318" t="s">
        <v>70</v>
      </c>
      <c r="F1318">
        <v>296</v>
      </c>
      <c r="G1318" t="s">
        <v>209</v>
      </c>
      <c r="H1318" t="s">
        <v>50</v>
      </c>
      <c r="K1318" t="s">
        <v>51</v>
      </c>
      <c r="L1318">
        <v>1</v>
      </c>
      <c r="M1318" t="s">
        <v>52</v>
      </c>
      <c r="N1318" t="s">
        <v>53</v>
      </c>
      <c r="R1318">
        <v>0.5</v>
      </c>
      <c r="S1318">
        <v>0.75</v>
      </c>
      <c r="T1318">
        <v>0</v>
      </c>
      <c r="U1318">
        <v>0</v>
      </c>
      <c r="V1318" s="1">
        <v>46553</v>
      </c>
      <c r="W1318" s="1">
        <v>46675</v>
      </c>
      <c r="X1318" s="1">
        <v>46357</v>
      </c>
      <c r="Z1318" t="s">
        <v>52</v>
      </c>
      <c r="AB1318" t="s">
        <v>52</v>
      </c>
      <c r="AC1318">
        <v>102</v>
      </c>
      <c r="AD1318">
        <v>1</v>
      </c>
      <c r="AK1318" t="s">
        <v>52</v>
      </c>
      <c r="AN1318" t="s">
        <v>52</v>
      </c>
      <c r="AO1318" t="s">
        <v>52</v>
      </c>
      <c r="AP1318" t="s">
        <v>52</v>
      </c>
      <c r="AQ1318" t="s">
        <v>52</v>
      </c>
      <c r="AR1318" t="s">
        <v>55</v>
      </c>
    </row>
    <row r="1319" spans="1:45" x14ac:dyDescent="0.25">
      <c r="A1319" t="s">
        <v>47</v>
      </c>
      <c r="B1319">
        <v>8</v>
      </c>
      <c r="C1319" t="s">
        <v>208</v>
      </c>
      <c r="D1319">
        <v>121</v>
      </c>
      <c r="E1319" t="s">
        <v>70</v>
      </c>
      <c r="F1319">
        <v>296</v>
      </c>
      <c r="G1319" t="s">
        <v>209</v>
      </c>
      <c r="H1319" t="s">
        <v>50</v>
      </c>
      <c r="K1319" t="s">
        <v>52</v>
      </c>
      <c r="L1319">
        <v>1</v>
      </c>
      <c r="M1319" t="s">
        <v>52</v>
      </c>
      <c r="N1319" t="s">
        <v>53</v>
      </c>
      <c r="R1319">
        <v>0.5</v>
      </c>
      <c r="S1319">
        <v>0.75</v>
      </c>
      <c r="T1319">
        <v>0</v>
      </c>
      <c r="U1319">
        <v>0</v>
      </c>
      <c r="V1319" s="1">
        <v>46553</v>
      </c>
      <c r="W1319" s="1">
        <v>46675</v>
      </c>
      <c r="X1319" s="1">
        <v>46357</v>
      </c>
      <c r="Z1319" t="s">
        <v>52</v>
      </c>
      <c r="AB1319" t="s">
        <v>52</v>
      </c>
      <c r="AC1319">
        <v>102</v>
      </c>
      <c r="AD1319">
        <v>1</v>
      </c>
      <c r="AK1319" t="s">
        <v>52</v>
      </c>
      <c r="AN1319" t="s">
        <v>52</v>
      </c>
      <c r="AO1319" t="s">
        <v>52</v>
      </c>
      <c r="AP1319" t="s">
        <v>52</v>
      </c>
      <c r="AQ1319" t="s">
        <v>52</v>
      </c>
      <c r="AR1319" t="s">
        <v>55</v>
      </c>
      <c r="AS1319" t="s">
        <v>60</v>
      </c>
    </row>
    <row r="1320" spans="1:45" x14ac:dyDescent="0.25">
      <c r="A1320" t="s">
        <v>47</v>
      </c>
      <c r="B1320">
        <v>8</v>
      </c>
      <c r="C1320" t="s">
        <v>208</v>
      </c>
      <c r="D1320">
        <v>121</v>
      </c>
      <c r="E1320" t="s">
        <v>70</v>
      </c>
      <c r="F1320">
        <v>296</v>
      </c>
      <c r="G1320" t="s">
        <v>129</v>
      </c>
      <c r="H1320" t="s">
        <v>50</v>
      </c>
      <c r="K1320" t="s">
        <v>51</v>
      </c>
      <c r="L1320">
        <v>1</v>
      </c>
      <c r="M1320" t="s">
        <v>52</v>
      </c>
      <c r="N1320" t="s">
        <v>53</v>
      </c>
      <c r="R1320">
        <v>0</v>
      </c>
      <c r="S1320">
        <v>0.75</v>
      </c>
      <c r="T1320">
        <v>0</v>
      </c>
      <c r="U1320">
        <v>0</v>
      </c>
      <c r="W1320" s="1">
        <v>46675</v>
      </c>
      <c r="X1320" s="1">
        <v>46357</v>
      </c>
      <c r="Z1320" t="s">
        <v>52</v>
      </c>
      <c r="AB1320" t="s">
        <v>52</v>
      </c>
      <c r="AC1320">
        <v>102</v>
      </c>
      <c r="AD1320">
        <v>1</v>
      </c>
      <c r="AK1320" t="s">
        <v>52</v>
      </c>
      <c r="AN1320" t="s">
        <v>52</v>
      </c>
      <c r="AO1320" t="s">
        <v>52</v>
      </c>
      <c r="AP1320" t="s">
        <v>52</v>
      </c>
      <c r="AQ1320" t="s">
        <v>52</v>
      </c>
      <c r="AR1320" t="s">
        <v>55</v>
      </c>
      <c r="AS1320" t="s">
        <v>60</v>
      </c>
    </row>
    <row r="1321" spans="1:45" x14ac:dyDescent="0.25">
      <c r="A1321" t="s">
        <v>47</v>
      </c>
      <c r="B1321">
        <v>8</v>
      </c>
      <c r="C1321" t="s">
        <v>208</v>
      </c>
      <c r="D1321">
        <v>121</v>
      </c>
      <c r="E1321" t="s">
        <v>70</v>
      </c>
      <c r="F1321">
        <v>296</v>
      </c>
      <c r="G1321" t="s">
        <v>129</v>
      </c>
      <c r="H1321" t="s">
        <v>50</v>
      </c>
      <c r="K1321" t="s">
        <v>52</v>
      </c>
      <c r="L1321">
        <v>1</v>
      </c>
      <c r="M1321" t="s">
        <v>52</v>
      </c>
      <c r="N1321" t="s">
        <v>53</v>
      </c>
      <c r="R1321">
        <v>0</v>
      </c>
      <c r="S1321">
        <v>0.75</v>
      </c>
      <c r="T1321">
        <v>0</v>
      </c>
      <c r="U1321">
        <v>0</v>
      </c>
      <c r="W1321" s="1">
        <v>46675</v>
      </c>
      <c r="X1321" s="1">
        <v>46357</v>
      </c>
      <c r="Z1321" t="s">
        <v>52</v>
      </c>
      <c r="AB1321" t="s">
        <v>52</v>
      </c>
      <c r="AC1321">
        <v>102</v>
      </c>
      <c r="AD1321">
        <v>1</v>
      </c>
      <c r="AK1321" t="s">
        <v>52</v>
      </c>
      <c r="AN1321" t="s">
        <v>52</v>
      </c>
      <c r="AO1321" t="s">
        <v>52</v>
      </c>
      <c r="AP1321" t="s">
        <v>52</v>
      </c>
      <c r="AQ1321" t="s">
        <v>52</v>
      </c>
      <c r="AR1321" t="s">
        <v>55</v>
      </c>
    </row>
    <row r="1322" spans="1:45" x14ac:dyDescent="0.25">
      <c r="A1322" t="s">
        <v>47</v>
      </c>
      <c r="B1322">
        <v>8</v>
      </c>
      <c r="C1322" t="s">
        <v>208</v>
      </c>
      <c r="D1322">
        <v>121</v>
      </c>
      <c r="E1322" t="s">
        <v>70</v>
      </c>
      <c r="F1322">
        <v>296</v>
      </c>
      <c r="G1322" t="s">
        <v>89</v>
      </c>
      <c r="H1322" t="s">
        <v>50</v>
      </c>
      <c r="K1322" t="s">
        <v>51</v>
      </c>
      <c r="L1322">
        <v>1</v>
      </c>
      <c r="M1322" t="s">
        <v>52</v>
      </c>
      <c r="N1322" t="s">
        <v>53</v>
      </c>
      <c r="R1322">
        <v>0.25</v>
      </c>
      <c r="S1322">
        <v>0.75</v>
      </c>
      <c r="T1322">
        <v>0</v>
      </c>
      <c r="U1322">
        <v>0</v>
      </c>
      <c r="V1322" s="1">
        <v>46569</v>
      </c>
      <c r="W1322" s="1">
        <v>46675</v>
      </c>
      <c r="X1322" s="1">
        <v>46357</v>
      </c>
      <c r="Z1322" t="s">
        <v>52</v>
      </c>
      <c r="AB1322" t="s">
        <v>52</v>
      </c>
      <c r="AC1322">
        <v>102</v>
      </c>
      <c r="AD1322">
        <v>1</v>
      </c>
      <c r="AK1322" t="s">
        <v>52</v>
      </c>
      <c r="AN1322" t="s">
        <v>52</v>
      </c>
      <c r="AO1322" t="s">
        <v>52</v>
      </c>
      <c r="AP1322" t="s">
        <v>52</v>
      </c>
      <c r="AQ1322" t="s">
        <v>52</v>
      </c>
      <c r="AR1322" t="s">
        <v>55</v>
      </c>
    </row>
    <row r="1323" spans="1:45" x14ac:dyDescent="0.25">
      <c r="A1323" t="s">
        <v>47</v>
      </c>
      <c r="B1323">
        <v>8</v>
      </c>
      <c r="C1323" t="s">
        <v>208</v>
      </c>
      <c r="D1323">
        <v>121</v>
      </c>
      <c r="E1323" t="s">
        <v>70</v>
      </c>
      <c r="F1323">
        <v>296</v>
      </c>
      <c r="G1323" t="s">
        <v>89</v>
      </c>
      <c r="H1323" t="s">
        <v>50</v>
      </c>
      <c r="K1323" t="s">
        <v>52</v>
      </c>
      <c r="L1323">
        <v>1</v>
      </c>
      <c r="M1323" t="s">
        <v>52</v>
      </c>
      <c r="N1323" t="s">
        <v>53</v>
      </c>
      <c r="R1323">
        <v>0.25</v>
      </c>
      <c r="S1323">
        <v>0.75</v>
      </c>
      <c r="T1323">
        <v>0</v>
      </c>
      <c r="U1323">
        <v>0</v>
      </c>
      <c r="V1323" s="1">
        <v>46569</v>
      </c>
      <c r="W1323" s="1">
        <v>46675</v>
      </c>
      <c r="X1323" s="1">
        <v>46357</v>
      </c>
      <c r="Z1323" t="s">
        <v>52</v>
      </c>
      <c r="AB1323" t="s">
        <v>52</v>
      </c>
      <c r="AC1323">
        <v>102</v>
      </c>
      <c r="AD1323">
        <v>1</v>
      </c>
      <c r="AK1323" t="s">
        <v>52</v>
      </c>
      <c r="AN1323" t="s">
        <v>52</v>
      </c>
      <c r="AO1323" t="s">
        <v>52</v>
      </c>
      <c r="AP1323" t="s">
        <v>52</v>
      </c>
      <c r="AQ1323" t="s">
        <v>52</v>
      </c>
      <c r="AR1323" t="s">
        <v>55</v>
      </c>
    </row>
    <row r="1324" spans="1:45" x14ac:dyDescent="0.25">
      <c r="A1324" t="s">
        <v>47</v>
      </c>
      <c r="B1324">
        <v>8</v>
      </c>
      <c r="C1324" t="s">
        <v>208</v>
      </c>
      <c r="D1324">
        <v>121</v>
      </c>
      <c r="E1324" t="s">
        <v>70</v>
      </c>
      <c r="F1324">
        <v>296</v>
      </c>
      <c r="G1324" t="s">
        <v>122</v>
      </c>
      <c r="H1324" t="s">
        <v>50</v>
      </c>
      <c r="K1324" t="s">
        <v>51</v>
      </c>
      <c r="L1324">
        <v>1</v>
      </c>
      <c r="M1324" t="s">
        <v>52</v>
      </c>
      <c r="N1324" t="s">
        <v>53</v>
      </c>
      <c r="R1324">
        <v>0</v>
      </c>
      <c r="S1324">
        <v>0.75</v>
      </c>
      <c r="T1324">
        <v>0</v>
      </c>
      <c r="U1324">
        <v>0</v>
      </c>
      <c r="W1324" s="1">
        <v>46675</v>
      </c>
      <c r="X1324" s="1">
        <v>46357</v>
      </c>
      <c r="Z1324" t="s">
        <v>52</v>
      </c>
      <c r="AB1324" t="s">
        <v>52</v>
      </c>
      <c r="AC1324">
        <v>102</v>
      </c>
      <c r="AD1324">
        <v>1</v>
      </c>
      <c r="AK1324" t="s">
        <v>52</v>
      </c>
      <c r="AN1324" t="s">
        <v>52</v>
      </c>
      <c r="AO1324" t="s">
        <v>52</v>
      </c>
      <c r="AP1324" t="s">
        <v>52</v>
      </c>
      <c r="AQ1324" t="s">
        <v>52</v>
      </c>
      <c r="AR1324" t="s">
        <v>55</v>
      </c>
    </row>
    <row r="1325" spans="1:45" x14ac:dyDescent="0.25">
      <c r="A1325" t="s">
        <v>47</v>
      </c>
      <c r="B1325">
        <v>8</v>
      </c>
      <c r="C1325" t="s">
        <v>208</v>
      </c>
      <c r="D1325">
        <v>121</v>
      </c>
      <c r="E1325" t="s">
        <v>70</v>
      </c>
      <c r="F1325">
        <v>296</v>
      </c>
      <c r="G1325" t="s">
        <v>122</v>
      </c>
      <c r="H1325" t="s">
        <v>50</v>
      </c>
      <c r="K1325" t="s">
        <v>52</v>
      </c>
      <c r="L1325">
        <v>1</v>
      </c>
      <c r="M1325" t="s">
        <v>52</v>
      </c>
      <c r="N1325" t="s">
        <v>53</v>
      </c>
      <c r="R1325">
        <v>0</v>
      </c>
      <c r="S1325">
        <v>0.75</v>
      </c>
      <c r="T1325">
        <v>0</v>
      </c>
      <c r="U1325">
        <v>0</v>
      </c>
      <c r="W1325" s="1">
        <v>46675</v>
      </c>
      <c r="X1325" s="1">
        <v>46357</v>
      </c>
      <c r="Z1325" t="s">
        <v>52</v>
      </c>
      <c r="AB1325" t="s">
        <v>52</v>
      </c>
      <c r="AC1325">
        <v>102</v>
      </c>
      <c r="AD1325">
        <v>1</v>
      </c>
      <c r="AK1325" t="s">
        <v>52</v>
      </c>
      <c r="AN1325" t="s">
        <v>52</v>
      </c>
      <c r="AO1325" t="s">
        <v>52</v>
      </c>
      <c r="AP1325" t="s">
        <v>52</v>
      </c>
      <c r="AQ1325" t="s">
        <v>52</v>
      </c>
      <c r="AR1325" t="s">
        <v>55</v>
      </c>
    </row>
    <row r="1326" spans="1:45" x14ac:dyDescent="0.25">
      <c r="A1326" t="s">
        <v>47</v>
      </c>
      <c r="B1326">
        <v>8</v>
      </c>
      <c r="C1326" t="s">
        <v>208</v>
      </c>
      <c r="D1326">
        <v>121</v>
      </c>
      <c r="E1326" t="s">
        <v>70</v>
      </c>
      <c r="F1326">
        <v>296</v>
      </c>
      <c r="G1326" t="s">
        <v>90</v>
      </c>
      <c r="H1326" t="s">
        <v>50</v>
      </c>
      <c r="K1326" t="s">
        <v>51</v>
      </c>
      <c r="L1326">
        <v>1</v>
      </c>
      <c r="M1326" t="s">
        <v>52</v>
      </c>
      <c r="N1326" t="s">
        <v>53</v>
      </c>
      <c r="R1326">
        <v>0.5</v>
      </c>
      <c r="S1326">
        <v>0.75</v>
      </c>
      <c r="T1326">
        <v>0</v>
      </c>
      <c r="U1326">
        <v>0</v>
      </c>
      <c r="V1326" s="1">
        <v>46593</v>
      </c>
      <c r="W1326" s="1">
        <v>46675</v>
      </c>
      <c r="X1326" s="1">
        <v>46357</v>
      </c>
      <c r="Z1326" t="s">
        <v>52</v>
      </c>
      <c r="AB1326" t="s">
        <v>52</v>
      </c>
      <c r="AC1326">
        <v>102</v>
      </c>
      <c r="AD1326">
        <v>1</v>
      </c>
      <c r="AK1326" t="s">
        <v>52</v>
      </c>
      <c r="AN1326" t="s">
        <v>52</v>
      </c>
      <c r="AO1326" t="s">
        <v>52</v>
      </c>
      <c r="AP1326" t="s">
        <v>52</v>
      </c>
      <c r="AQ1326" t="s">
        <v>52</v>
      </c>
      <c r="AR1326" t="s">
        <v>55</v>
      </c>
    </row>
    <row r="1327" spans="1:45" x14ac:dyDescent="0.25">
      <c r="A1327" t="s">
        <v>47</v>
      </c>
      <c r="B1327">
        <v>8</v>
      </c>
      <c r="C1327" t="s">
        <v>208</v>
      </c>
      <c r="D1327">
        <v>121</v>
      </c>
      <c r="E1327" t="s">
        <v>70</v>
      </c>
      <c r="F1327">
        <v>296</v>
      </c>
      <c r="G1327" t="s">
        <v>90</v>
      </c>
      <c r="H1327" t="s">
        <v>50</v>
      </c>
      <c r="K1327" t="s">
        <v>52</v>
      </c>
      <c r="L1327">
        <v>1</v>
      </c>
      <c r="M1327" t="s">
        <v>52</v>
      </c>
      <c r="N1327" t="s">
        <v>53</v>
      </c>
      <c r="R1327">
        <v>0.5</v>
      </c>
      <c r="S1327">
        <v>0.75</v>
      </c>
      <c r="T1327">
        <v>0</v>
      </c>
      <c r="U1327">
        <v>0</v>
      </c>
      <c r="V1327" s="1">
        <v>46593</v>
      </c>
      <c r="W1327" s="1">
        <v>46675</v>
      </c>
      <c r="X1327" s="1">
        <v>46357</v>
      </c>
      <c r="Z1327" t="s">
        <v>52</v>
      </c>
      <c r="AB1327" t="s">
        <v>52</v>
      </c>
      <c r="AC1327">
        <v>102</v>
      </c>
      <c r="AD1327">
        <v>1</v>
      </c>
      <c r="AK1327" t="s">
        <v>52</v>
      </c>
      <c r="AN1327" t="s">
        <v>52</v>
      </c>
      <c r="AO1327" t="s">
        <v>52</v>
      </c>
      <c r="AP1327" t="s">
        <v>52</v>
      </c>
      <c r="AQ1327" t="s">
        <v>52</v>
      </c>
      <c r="AR1327" t="s">
        <v>55</v>
      </c>
    </row>
    <row r="1328" spans="1:45" x14ac:dyDescent="0.25">
      <c r="A1328" t="s">
        <v>47</v>
      </c>
      <c r="B1328">
        <v>8</v>
      </c>
      <c r="C1328" t="s">
        <v>208</v>
      </c>
      <c r="D1328">
        <v>121</v>
      </c>
      <c r="E1328" t="s">
        <v>70</v>
      </c>
      <c r="F1328">
        <v>296</v>
      </c>
      <c r="G1328" t="s">
        <v>91</v>
      </c>
      <c r="H1328" t="s">
        <v>50</v>
      </c>
      <c r="K1328" t="s">
        <v>51</v>
      </c>
      <c r="L1328">
        <v>1</v>
      </c>
      <c r="M1328" t="s">
        <v>52</v>
      </c>
      <c r="N1328" t="s">
        <v>53</v>
      </c>
      <c r="R1328">
        <v>0.5</v>
      </c>
      <c r="S1328">
        <v>0.75</v>
      </c>
      <c r="T1328">
        <v>0</v>
      </c>
      <c r="U1328">
        <v>0</v>
      </c>
      <c r="V1328" s="1">
        <v>46507</v>
      </c>
      <c r="W1328" s="1">
        <v>46675</v>
      </c>
      <c r="X1328" s="1">
        <v>46357</v>
      </c>
      <c r="Z1328" t="s">
        <v>52</v>
      </c>
      <c r="AB1328" t="s">
        <v>52</v>
      </c>
      <c r="AC1328">
        <v>102</v>
      </c>
      <c r="AD1328">
        <v>1</v>
      </c>
      <c r="AK1328" t="s">
        <v>52</v>
      </c>
      <c r="AN1328" t="s">
        <v>52</v>
      </c>
      <c r="AO1328" t="s">
        <v>52</v>
      </c>
      <c r="AP1328" t="s">
        <v>52</v>
      </c>
      <c r="AQ1328" t="s">
        <v>52</v>
      </c>
      <c r="AR1328" t="s">
        <v>55</v>
      </c>
    </row>
    <row r="1329" spans="1:45" x14ac:dyDescent="0.25">
      <c r="A1329" t="s">
        <v>47</v>
      </c>
      <c r="B1329">
        <v>8</v>
      </c>
      <c r="C1329" t="s">
        <v>208</v>
      </c>
      <c r="D1329">
        <v>121</v>
      </c>
      <c r="E1329" t="s">
        <v>70</v>
      </c>
      <c r="F1329">
        <v>296</v>
      </c>
      <c r="G1329" t="s">
        <v>91</v>
      </c>
      <c r="H1329" t="s">
        <v>50</v>
      </c>
      <c r="K1329" t="s">
        <v>52</v>
      </c>
      <c r="L1329">
        <v>1</v>
      </c>
      <c r="M1329" t="s">
        <v>52</v>
      </c>
      <c r="N1329" t="s">
        <v>53</v>
      </c>
      <c r="R1329">
        <v>0.5</v>
      </c>
      <c r="S1329">
        <v>0.75</v>
      </c>
      <c r="T1329">
        <v>0</v>
      </c>
      <c r="U1329">
        <v>0</v>
      </c>
      <c r="V1329" s="1">
        <v>46507</v>
      </c>
      <c r="W1329" s="1">
        <v>46675</v>
      </c>
      <c r="X1329" s="1">
        <v>46357</v>
      </c>
      <c r="Z1329" t="s">
        <v>52</v>
      </c>
      <c r="AB1329" t="s">
        <v>52</v>
      </c>
      <c r="AC1329">
        <v>102</v>
      </c>
      <c r="AD1329">
        <v>1</v>
      </c>
      <c r="AK1329" t="s">
        <v>52</v>
      </c>
      <c r="AN1329" t="s">
        <v>52</v>
      </c>
      <c r="AO1329" t="s">
        <v>52</v>
      </c>
      <c r="AP1329" t="s">
        <v>52</v>
      </c>
      <c r="AQ1329" t="s">
        <v>52</v>
      </c>
      <c r="AR1329" t="s">
        <v>55</v>
      </c>
    </row>
    <row r="1330" spans="1:45" x14ac:dyDescent="0.25">
      <c r="A1330" t="s">
        <v>47</v>
      </c>
      <c r="B1330">
        <v>8</v>
      </c>
      <c r="C1330" t="s">
        <v>208</v>
      </c>
      <c r="D1330">
        <v>121</v>
      </c>
      <c r="E1330" t="s">
        <v>70</v>
      </c>
      <c r="F1330">
        <v>296</v>
      </c>
      <c r="G1330" t="s">
        <v>124</v>
      </c>
      <c r="H1330" t="s">
        <v>50</v>
      </c>
      <c r="K1330" t="s">
        <v>51</v>
      </c>
      <c r="L1330">
        <v>1</v>
      </c>
      <c r="M1330" t="s">
        <v>52</v>
      </c>
      <c r="N1330" t="s">
        <v>53</v>
      </c>
      <c r="R1330">
        <v>0</v>
      </c>
      <c r="S1330">
        <v>0.75</v>
      </c>
      <c r="T1330">
        <v>0</v>
      </c>
      <c r="U1330">
        <v>0</v>
      </c>
      <c r="W1330" s="1">
        <v>46675</v>
      </c>
      <c r="X1330" s="1">
        <v>46357</v>
      </c>
      <c r="Z1330" t="s">
        <v>52</v>
      </c>
      <c r="AB1330" t="s">
        <v>52</v>
      </c>
      <c r="AC1330">
        <v>102</v>
      </c>
      <c r="AD1330">
        <v>1</v>
      </c>
      <c r="AK1330" t="s">
        <v>52</v>
      </c>
      <c r="AN1330" t="s">
        <v>52</v>
      </c>
      <c r="AO1330" t="s">
        <v>52</v>
      </c>
      <c r="AP1330" t="s">
        <v>52</v>
      </c>
      <c r="AQ1330" t="s">
        <v>52</v>
      </c>
      <c r="AR1330" t="s">
        <v>55</v>
      </c>
    </row>
    <row r="1331" spans="1:45" x14ac:dyDescent="0.25">
      <c r="A1331" t="s">
        <v>47</v>
      </c>
      <c r="B1331">
        <v>8</v>
      </c>
      <c r="C1331" t="s">
        <v>208</v>
      </c>
      <c r="D1331">
        <v>121</v>
      </c>
      <c r="E1331" t="s">
        <v>70</v>
      </c>
      <c r="F1331">
        <v>296</v>
      </c>
      <c r="G1331" t="s">
        <v>124</v>
      </c>
      <c r="H1331" t="s">
        <v>50</v>
      </c>
      <c r="K1331" t="s">
        <v>52</v>
      </c>
      <c r="L1331">
        <v>1</v>
      </c>
      <c r="M1331" t="s">
        <v>52</v>
      </c>
      <c r="N1331" t="s">
        <v>53</v>
      </c>
      <c r="R1331">
        <v>0</v>
      </c>
      <c r="S1331">
        <v>0.75</v>
      </c>
      <c r="T1331">
        <v>0</v>
      </c>
      <c r="U1331">
        <v>0</v>
      </c>
      <c r="W1331" s="1">
        <v>46675</v>
      </c>
      <c r="X1331" s="1">
        <v>46357</v>
      </c>
      <c r="Z1331" t="s">
        <v>52</v>
      </c>
      <c r="AB1331" t="s">
        <v>52</v>
      </c>
      <c r="AC1331">
        <v>102</v>
      </c>
      <c r="AD1331">
        <v>1</v>
      </c>
      <c r="AK1331" t="s">
        <v>52</v>
      </c>
      <c r="AN1331" t="s">
        <v>52</v>
      </c>
      <c r="AO1331" t="s">
        <v>52</v>
      </c>
      <c r="AP1331" t="s">
        <v>52</v>
      </c>
      <c r="AQ1331" t="s">
        <v>52</v>
      </c>
      <c r="AR1331" t="s">
        <v>55</v>
      </c>
    </row>
    <row r="1332" spans="1:45" x14ac:dyDescent="0.25">
      <c r="A1332" t="s">
        <v>47</v>
      </c>
      <c r="B1332">
        <v>8</v>
      </c>
      <c r="C1332" t="s">
        <v>208</v>
      </c>
      <c r="D1332">
        <v>121</v>
      </c>
      <c r="E1332" t="s">
        <v>70</v>
      </c>
      <c r="F1332">
        <v>296</v>
      </c>
      <c r="G1332" t="s">
        <v>92</v>
      </c>
      <c r="H1332" t="s">
        <v>50</v>
      </c>
      <c r="K1332" t="s">
        <v>51</v>
      </c>
      <c r="L1332">
        <v>1</v>
      </c>
      <c r="M1332" t="s">
        <v>52</v>
      </c>
      <c r="N1332" t="s">
        <v>53</v>
      </c>
      <c r="R1332">
        <v>0.5</v>
      </c>
      <c r="S1332">
        <v>0.75</v>
      </c>
      <c r="T1332">
        <v>0</v>
      </c>
      <c r="U1332">
        <v>0</v>
      </c>
      <c r="V1332" s="1">
        <v>46583</v>
      </c>
      <c r="W1332" s="1">
        <v>46675</v>
      </c>
      <c r="X1332" s="1">
        <v>46357</v>
      </c>
      <c r="Z1332" t="s">
        <v>52</v>
      </c>
      <c r="AB1332" t="s">
        <v>52</v>
      </c>
      <c r="AC1332">
        <v>102</v>
      </c>
      <c r="AD1332">
        <v>1</v>
      </c>
      <c r="AK1332" t="s">
        <v>52</v>
      </c>
      <c r="AN1332" t="s">
        <v>52</v>
      </c>
      <c r="AO1332" t="s">
        <v>52</v>
      </c>
      <c r="AP1332" t="s">
        <v>52</v>
      </c>
      <c r="AQ1332" t="s">
        <v>52</v>
      </c>
      <c r="AR1332" t="s">
        <v>55</v>
      </c>
      <c r="AS1332" t="s">
        <v>60</v>
      </c>
    </row>
    <row r="1333" spans="1:45" x14ac:dyDescent="0.25">
      <c r="A1333" t="s">
        <v>47</v>
      </c>
      <c r="B1333">
        <v>8</v>
      </c>
      <c r="C1333" t="s">
        <v>208</v>
      </c>
      <c r="D1333">
        <v>121</v>
      </c>
      <c r="E1333" t="s">
        <v>70</v>
      </c>
      <c r="F1333">
        <v>296</v>
      </c>
      <c r="G1333" t="s">
        <v>92</v>
      </c>
      <c r="H1333" t="s">
        <v>50</v>
      </c>
      <c r="K1333" t="s">
        <v>52</v>
      </c>
      <c r="L1333">
        <v>1</v>
      </c>
      <c r="M1333" t="s">
        <v>52</v>
      </c>
      <c r="N1333" t="s">
        <v>53</v>
      </c>
      <c r="R1333">
        <v>0.5</v>
      </c>
      <c r="S1333">
        <v>0.75</v>
      </c>
      <c r="T1333">
        <v>0</v>
      </c>
      <c r="U1333">
        <v>0</v>
      </c>
      <c r="V1333" s="1">
        <v>46583</v>
      </c>
      <c r="W1333" s="1">
        <v>46675</v>
      </c>
      <c r="X1333" s="1">
        <v>46357</v>
      </c>
      <c r="Z1333" t="s">
        <v>52</v>
      </c>
      <c r="AB1333" t="s">
        <v>52</v>
      </c>
      <c r="AC1333">
        <v>102</v>
      </c>
      <c r="AD1333">
        <v>1</v>
      </c>
      <c r="AK1333" t="s">
        <v>52</v>
      </c>
      <c r="AN1333" t="s">
        <v>52</v>
      </c>
      <c r="AO1333" t="s">
        <v>52</v>
      </c>
      <c r="AP1333" t="s">
        <v>52</v>
      </c>
      <c r="AQ1333" t="s">
        <v>52</v>
      </c>
      <c r="AR1333" t="s">
        <v>55</v>
      </c>
      <c r="AS1333" t="s">
        <v>60</v>
      </c>
    </row>
    <row r="1334" spans="1:45" x14ac:dyDescent="0.25">
      <c r="A1334" t="s">
        <v>47</v>
      </c>
      <c r="B1334">
        <v>8</v>
      </c>
      <c r="C1334" t="s">
        <v>208</v>
      </c>
      <c r="D1334">
        <v>121</v>
      </c>
      <c r="E1334" t="s">
        <v>70</v>
      </c>
      <c r="F1334">
        <v>296</v>
      </c>
      <c r="G1334" t="s">
        <v>116</v>
      </c>
      <c r="H1334" t="s">
        <v>50</v>
      </c>
      <c r="K1334" t="s">
        <v>51</v>
      </c>
      <c r="L1334">
        <v>1</v>
      </c>
      <c r="M1334" t="s">
        <v>52</v>
      </c>
      <c r="N1334" t="s">
        <v>53</v>
      </c>
      <c r="R1334">
        <v>0.5</v>
      </c>
      <c r="S1334">
        <v>0.75</v>
      </c>
      <c r="T1334">
        <v>0</v>
      </c>
      <c r="U1334">
        <v>0</v>
      </c>
      <c r="W1334" s="1">
        <v>46675</v>
      </c>
      <c r="X1334" s="1">
        <v>46357</v>
      </c>
      <c r="Z1334" t="s">
        <v>52</v>
      </c>
      <c r="AB1334" t="s">
        <v>52</v>
      </c>
      <c r="AC1334">
        <v>102</v>
      </c>
      <c r="AD1334">
        <v>1</v>
      </c>
      <c r="AK1334" t="s">
        <v>52</v>
      </c>
      <c r="AN1334" t="s">
        <v>52</v>
      </c>
      <c r="AO1334" t="s">
        <v>52</v>
      </c>
      <c r="AP1334" t="s">
        <v>52</v>
      </c>
      <c r="AQ1334" t="s">
        <v>52</v>
      </c>
      <c r="AR1334" t="s">
        <v>55</v>
      </c>
      <c r="AS1334" t="s">
        <v>60</v>
      </c>
    </row>
    <row r="1335" spans="1:45" x14ac:dyDescent="0.25">
      <c r="A1335" t="s">
        <v>47</v>
      </c>
      <c r="B1335">
        <v>8</v>
      </c>
      <c r="C1335" t="s">
        <v>208</v>
      </c>
      <c r="D1335">
        <v>121</v>
      </c>
      <c r="E1335" t="s">
        <v>70</v>
      </c>
      <c r="F1335">
        <v>296</v>
      </c>
      <c r="G1335" t="s">
        <v>116</v>
      </c>
      <c r="H1335" t="s">
        <v>50</v>
      </c>
      <c r="K1335" t="s">
        <v>52</v>
      </c>
      <c r="L1335">
        <v>1</v>
      </c>
      <c r="M1335" t="s">
        <v>52</v>
      </c>
      <c r="N1335" t="s">
        <v>53</v>
      </c>
      <c r="R1335">
        <v>0.5</v>
      </c>
      <c r="S1335">
        <v>0.75</v>
      </c>
      <c r="T1335">
        <v>0</v>
      </c>
      <c r="U1335">
        <v>0</v>
      </c>
      <c r="W1335" s="1">
        <v>46675</v>
      </c>
      <c r="X1335" s="1">
        <v>46357</v>
      </c>
      <c r="Z1335" t="s">
        <v>52</v>
      </c>
      <c r="AB1335" t="s">
        <v>52</v>
      </c>
      <c r="AC1335">
        <v>102</v>
      </c>
      <c r="AD1335">
        <v>1</v>
      </c>
      <c r="AK1335" t="s">
        <v>52</v>
      </c>
      <c r="AN1335" t="s">
        <v>52</v>
      </c>
      <c r="AO1335" t="s">
        <v>52</v>
      </c>
      <c r="AP1335" t="s">
        <v>52</v>
      </c>
      <c r="AQ1335" t="s">
        <v>52</v>
      </c>
      <c r="AR1335" t="s">
        <v>55</v>
      </c>
      <c r="AS1335" t="s">
        <v>60</v>
      </c>
    </row>
    <row r="1336" spans="1:45" x14ac:dyDescent="0.25">
      <c r="A1336" t="s">
        <v>47</v>
      </c>
      <c r="B1336">
        <v>8</v>
      </c>
      <c r="C1336" t="s">
        <v>208</v>
      </c>
      <c r="D1336">
        <v>121</v>
      </c>
      <c r="E1336" t="s">
        <v>75</v>
      </c>
      <c r="F1336">
        <v>16</v>
      </c>
      <c r="G1336" t="s">
        <v>76</v>
      </c>
      <c r="H1336" t="s">
        <v>50</v>
      </c>
      <c r="K1336" t="s">
        <v>51</v>
      </c>
      <c r="L1336">
        <v>1</v>
      </c>
      <c r="M1336" t="s">
        <v>52</v>
      </c>
      <c r="N1336" t="s">
        <v>53</v>
      </c>
      <c r="R1336">
        <v>0.5</v>
      </c>
      <c r="S1336">
        <v>0.75</v>
      </c>
      <c r="T1336">
        <v>0</v>
      </c>
      <c r="U1336">
        <v>0</v>
      </c>
      <c r="V1336" s="1">
        <v>46507</v>
      </c>
      <c r="W1336" s="1">
        <v>46691</v>
      </c>
      <c r="X1336" s="1">
        <v>46461</v>
      </c>
      <c r="Z1336" t="s">
        <v>52</v>
      </c>
      <c r="AB1336" t="s">
        <v>52</v>
      </c>
      <c r="AC1336">
        <v>16</v>
      </c>
      <c r="AD1336">
        <v>2</v>
      </c>
      <c r="AK1336" t="s">
        <v>52</v>
      </c>
      <c r="AN1336" t="s">
        <v>52</v>
      </c>
      <c r="AO1336" t="s">
        <v>52</v>
      </c>
      <c r="AP1336" t="s">
        <v>52</v>
      </c>
      <c r="AQ1336" t="s">
        <v>52</v>
      </c>
      <c r="AR1336" t="s">
        <v>55</v>
      </c>
    </row>
    <row r="1337" spans="1:45" x14ac:dyDescent="0.25">
      <c r="A1337" t="s">
        <v>47</v>
      </c>
      <c r="B1337">
        <v>8</v>
      </c>
      <c r="C1337" t="s">
        <v>208</v>
      </c>
      <c r="D1337">
        <v>121</v>
      </c>
      <c r="E1337" t="s">
        <v>75</v>
      </c>
      <c r="F1337">
        <v>16</v>
      </c>
      <c r="G1337" t="s">
        <v>76</v>
      </c>
      <c r="H1337" t="s">
        <v>50</v>
      </c>
      <c r="K1337" t="s">
        <v>52</v>
      </c>
      <c r="L1337">
        <v>1</v>
      </c>
      <c r="M1337" t="s">
        <v>52</v>
      </c>
      <c r="N1337" t="s">
        <v>53</v>
      </c>
      <c r="R1337">
        <v>0.5</v>
      </c>
      <c r="S1337">
        <v>0.75</v>
      </c>
      <c r="T1337">
        <v>0</v>
      </c>
      <c r="U1337">
        <v>0</v>
      </c>
      <c r="V1337" s="1">
        <v>46507</v>
      </c>
      <c r="W1337" s="1">
        <v>46691</v>
      </c>
      <c r="X1337" s="1">
        <v>46461</v>
      </c>
      <c r="Z1337" t="s">
        <v>52</v>
      </c>
      <c r="AB1337" t="s">
        <v>52</v>
      </c>
      <c r="AC1337">
        <v>16</v>
      </c>
      <c r="AD1337">
        <v>2</v>
      </c>
      <c r="AK1337" t="s">
        <v>52</v>
      </c>
      <c r="AN1337" t="s">
        <v>52</v>
      </c>
      <c r="AO1337" t="s">
        <v>52</v>
      </c>
      <c r="AP1337" t="s">
        <v>52</v>
      </c>
      <c r="AQ1337" t="s">
        <v>52</v>
      </c>
      <c r="AR1337" t="s">
        <v>55</v>
      </c>
    </row>
    <row r="1338" spans="1:45" x14ac:dyDescent="0.25">
      <c r="A1338" t="s">
        <v>47</v>
      </c>
      <c r="B1338">
        <v>8</v>
      </c>
      <c r="C1338" t="s">
        <v>208</v>
      </c>
      <c r="D1338">
        <v>121</v>
      </c>
      <c r="E1338" t="s">
        <v>93</v>
      </c>
      <c r="F1338">
        <v>94</v>
      </c>
      <c r="H1338" t="s">
        <v>50</v>
      </c>
      <c r="K1338" t="s">
        <v>51</v>
      </c>
      <c r="L1338">
        <v>1</v>
      </c>
      <c r="M1338" t="s">
        <v>52</v>
      </c>
      <c r="N1338" t="s">
        <v>53</v>
      </c>
      <c r="R1338">
        <v>0.77</v>
      </c>
      <c r="S1338">
        <v>0.93</v>
      </c>
      <c r="T1338">
        <v>0</v>
      </c>
      <c r="U1338">
        <v>0</v>
      </c>
      <c r="V1338" s="1">
        <v>46326</v>
      </c>
      <c r="W1338" s="1">
        <v>46691</v>
      </c>
      <c r="X1338" s="1">
        <v>46266</v>
      </c>
      <c r="Z1338" t="s">
        <v>52</v>
      </c>
      <c r="AB1338" t="s">
        <v>52</v>
      </c>
      <c r="AC1338">
        <v>94</v>
      </c>
      <c r="AD1338">
        <v>2</v>
      </c>
      <c r="AK1338" t="s">
        <v>52</v>
      </c>
      <c r="AN1338" t="s">
        <v>52</v>
      </c>
      <c r="AO1338" t="s">
        <v>52</v>
      </c>
      <c r="AP1338" t="s">
        <v>52</v>
      </c>
      <c r="AQ1338" t="s">
        <v>52</v>
      </c>
      <c r="AR1338" t="s">
        <v>55</v>
      </c>
    </row>
    <row r="1339" spans="1:45" x14ac:dyDescent="0.25">
      <c r="A1339" t="s">
        <v>47</v>
      </c>
      <c r="B1339">
        <v>8</v>
      </c>
      <c r="C1339" t="s">
        <v>208</v>
      </c>
      <c r="D1339">
        <v>121</v>
      </c>
      <c r="E1339" t="s">
        <v>93</v>
      </c>
      <c r="F1339">
        <v>94</v>
      </c>
      <c r="H1339" t="s">
        <v>50</v>
      </c>
      <c r="K1339" t="s">
        <v>52</v>
      </c>
      <c r="L1339">
        <v>1</v>
      </c>
      <c r="M1339" t="s">
        <v>52</v>
      </c>
      <c r="N1339" t="s">
        <v>53</v>
      </c>
      <c r="R1339">
        <v>0.77</v>
      </c>
      <c r="S1339">
        <v>0.93</v>
      </c>
      <c r="T1339">
        <v>0</v>
      </c>
      <c r="U1339">
        <v>0</v>
      </c>
      <c r="V1339" s="1">
        <v>46326</v>
      </c>
      <c r="W1339" s="1">
        <v>46691</v>
      </c>
      <c r="X1339" s="1">
        <v>46266</v>
      </c>
      <c r="Z1339" t="s">
        <v>52</v>
      </c>
      <c r="AB1339" t="s">
        <v>52</v>
      </c>
      <c r="AC1339">
        <v>94</v>
      </c>
      <c r="AD1339">
        <v>2</v>
      </c>
      <c r="AK1339" t="s">
        <v>52</v>
      </c>
      <c r="AN1339" t="s">
        <v>52</v>
      </c>
      <c r="AO1339" t="s">
        <v>52</v>
      </c>
      <c r="AP1339" t="s">
        <v>52</v>
      </c>
      <c r="AQ1339" t="s">
        <v>52</v>
      </c>
      <c r="AR1339" t="s">
        <v>55</v>
      </c>
    </row>
    <row r="1340" spans="1:45" x14ac:dyDescent="0.25">
      <c r="A1340" t="s">
        <v>47</v>
      </c>
      <c r="B1340">
        <v>8</v>
      </c>
      <c r="C1340" t="s">
        <v>208</v>
      </c>
      <c r="D1340">
        <v>121</v>
      </c>
      <c r="E1340" t="s">
        <v>79</v>
      </c>
      <c r="F1340">
        <v>50</v>
      </c>
      <c r="G1340" t="s">
        <v>80</v>
      </c>
      <c r="H1340" t="s">
        <v>50</v>
      </c>
      <c r="K1340" t="s">
        <v>51</v>
      </c>
      <c r="L1340">
        <v>1</v>
      </c>
      <c r="M1340" t="s">
        <v>52</v>
      </c>
      <c r="N1340" t="s">
        <v>53</v>
      </c>
      <c r="R1340">
        <v>0.5</v>
      </c>
      <c r="S1340">
        <v>0.75</v>
      </c>
      <c r="T1340">
        <v>0</v>
      </c>
      <c r="U1340">
        <v>0</v>
      </c>
      <c r="V1340" s="1">
        <v>46583</v>
      </c>
      <c r="W1340" s="1">
        <v>46675</v>
      </c>
      <c r="X1340" s="1">
        <v>46461</v>
      </c>
      <c r="Z1340" t="s">
        <v>52</v>
      </c>
      <c r="AB1340" t="s">
        <v>52</v>
      </c>
      <c r="AC1340">
        <v>50</v>
      </c>
      <c r="AD1340">
        <v>1</v>
      </c>
      <c r="AK1340" t="s">
        <v>52</v>
      </c>
      <c r="AN1340" t="s">
        <v>52</v>
      </c>
      <c r="AO1340" t="s">
        <v>52</v>
      </c>
      <c r="AP1340" t="s">
        <v>52</v>
      </c>
      <c r="AQ1340" t="s">
        <v>52</v>
      </c>
      <c r="AR1340" t="s">
        <v>55</v>
      </c>
    </row>
    <row r="1341" spans="1:45" x14ac:dyDescent="0.25">
      <c r="A1341" t="s">
        <v>47</v>
      </c>
      <c r="B1341">
        <v>8</v>
      </c>
      <c r="C1341" t="s">
        <v>208</v>
      </c>
      <c r="D1341">
        <v>121</v>
      </c>
      <c r="E1341" t="s">
        <v>79</v>
      </c>
      <c r="F1341">
        <v>50</v>
      </c>
      <c r="G1341" t="s">
        <v>80</v>
      </c>
      <c r="H1341" t="s">
        <v>50</v>
      </c>
      <c r="K1341" t="s">
        <v>52</v>
      </c>
      <c r="L1341">
        <v>1</v>
      </c>
      <c r="M1341" t="s">
        <v>52</v>
      </c>
      <c r="N1341" t="s">
        <v>53</v>
      </c>
      <c r="R1341">
        <v>0.5</v>
      </c>
      <c r="S1341">
        <v>0.75</v>
      </c>
      <c r="T1341">
        <v>0</v>
      </c>
      <c r="U1341">
        <v>0</v>
      </c>
      <c r="V1341" s="1">
        <v>46583</v>
      </c>
      <c r="W1341" s="1">
        <v>46675</v>
      </c>
      <c r="X1341" s="1">
        <v>46461</v>
      </c>
      <c r="Z1341" t="s">
        <v>52</v>
      </c>
      <c r="AB1341" t="s">
        <v>52</v>
      </c>
      <c r="AC1341">
        <v>50</v>
      </c>
      <c r="AD1341">
        <v>1</v>
      </c>
      <c r="AK1341" t="s">
        <v>52</v>
      </c>
      <c r="AN1341" t="s">
        <v>52</v>
      </c>
      <c r="AO1341" t="s">
        <v>52</v>
      </c>
      <c r="AP1341" t="s">
        <v>52</v>
      </c>
      <c r="AQ1341" t="s">
        <v>52</v>
      </c>
      <c r="AR1341" t="s">
        <v>55</v>
      </c>
    </row>
    <row r="1342" spans="1:45" x14ac:dyDescent="0.25">
      <c r="A1342" t="s">
        <v>47</v>
      </c>
      <c r="B1342">
        <v>8</v>
      </c>
      <c r="C1342" t="s">
        <v>208</v>
      </c>
      <c r="D1342">
        <v>121</v>
      </c>
      <c r="E1342" t="s">
        <v>79</v>
      </c>
      <c r="F1342">
        <v>50</v>
      </c>
      <c r="G1342" t="s">
        <v>65</v>
      </c>
      <c r="H1342" t="s">
        <v>50</v>
      </c>
      <c r="K1342" t="s">
        <v>51</v>
      </c>
      <c r="L1342">
        <v>1</v>
      </c>
      <c r="M1342" t="s">
        <v>52</v>
      </c>
      <c r="N1342" t="s">
        <v>53</v>
      </c>
      <c r="R1342">
        <v>0.5</v>
      </c>
      <c r="S1342">
        <v>0.75</v>
      </c>
      <c r="T1342">
        <v>0</v>
      </c>
      <c r="U1342">
        <v>0</v>
      </c>
      <c r="V1342" s="1">
        <v>46583</v>
      </c>
      <c r="W1342" s="1">
        <v>46691</v>
      </c>
      <c r="X1342" s="1">
        <v>46461</v>
      </c>
      <c r="Z1342" t="s">
        <v>52</v>
      </c>
      <c r="AB1342" t="s">
        <v>52</v>
      </c>
      <c r="AC1342">
        <v>50</v>
      </c>
      <c r="AD1342">
        <v>1</v>
      </c>
      <c r="AK1342" t="s">
        <v>52</v>
      </c>
      <c r="AN1342" t="s">
        <v>52</v>
      </c>
      <c r="AO1342" t="s">
        <v>52</v>
      </c>
      <c r="AP1342" t="s">
        <v>52</v>
      </c>
      <c r="AQ1342" t="s">
        <v>52</v>
      </c>
      <c r="AR1342" t="s">
        <v>55</v>
      </c>
    </row>
    <row r="1343" spans="1:45" x14ac:dyDescent="0.25">
      <c r="A1343" t="s">
        <v>47</v>
      </c>
      <c r="B1343">
        <v>8</v>
      </c>
      <c r="C1343" t="s">
        <v>208</v>
      </c>
      <c r="D1343">
        <v>121</v>
      </c>
      <c r="E1343" t="s">
        <v>79</v>
      </c>
      <c r="F1343">
        <v>50</v>
      </c>
      <c r="G1343" t="s">
        <v>65</v>
      </c>
      <c r="H1343" t="s">
        <v>50</v>
      </c>
      <c r="K1343" t="s">
        <v>52</v>
      </c>
      <c r="L1343">
        <v>1</v>
      </c>
      <c r="M1343" t="s">
        <v>52</v>
      </c>
      <c r="N1343" t="s">
        <v>53</v>
      </c>
      <c r="R1343">
        <v>0.5</v>
      </c>
      <c r="S1343">
        <v>0.75</v>
      </c>
      <c r="T1343">
        <v>0</v>
      </c>
      <c r="U1343">
        <v>0</v>
      </c>
      <c r="V1343" s="1">
        <v>46583</v>
      </c>
      <c r="W1343" s="1">
        <v>46691</v>
      </c>
      <c r="X1343" s="1">
        <v>46461</v>
      </c>
      <c r="Z1343" t="s">
        <v>52</v>
      </c>
      <c r="AB1343" t="s">
        <v>52</v>
      </c>
      <c r="AC1343">
        <v>50</v>
      </c>
      <c r="AD1343">
        <v>1</v>
      </c>
      <c r="AK1343" t="s">
        <v>52</v>
      </c>
      <c r="AN1343" t="s">
        <v>52</v>
      </c>
      <c r="AO1343" t="s">
        <v>52</v>
      </c>
      <c r="AP1343" t="s">
        <v>52</v>
      </c>
      <c r="AQ1343" t="s">
        <v>52</v>
      </c>
      <c r="AR1343" t="s">
        <v>55</v>
      </c>
    </row>
    <row r="1344" spans="1:45" x14ac:dyDescent="0.25">
      <c r="A1344" t="s">
        <v>47</v>
      </c>
      <c r="B1344">
        <v>8</v>
      </c>
      <c r="C1344" t="s">
        <v>208</v>
      </c>
      <c r="D1344">
        <v>121</v>
      </c>
      <c r="E1344" t="s">
        <v>79</v>
      </c>
      <c r="F1344">
        <v>50</v>
      </c>
      <c r="G1344" t="s">
        <v>81</v>
      </c>
      <c r="H1344" t="s">
        <v>50</v>
      </c>
      <c r="K1344" t="s">
        <v>51</v>
      </c>
      <c r="L1344">
        <v>1</v>
      </c>
      <c r="M1344" t="s">
        <v>52</v>
      </c>
      <c r="N1344" t="s">
        <v>53</v>
      </c>
      <c r="R1344">
        <v>0.5</v>
      </c>
      <c r="S1344">
        <v>0.75</v>
      </c>
      <c r="T1344">
        <v>0</v>
      </c>
      <c r="U1344">
        <v>0</v>
      </c>
      <c r="V1344" s="1">
        <v>46583</v>
      </c>
      <c r="W1344" s="1">
        <v>46675</v>
      </c>
      <c r="X1344" s="1">
        <v>46461</v>
      </c>
      <c r="Z1344" t="s">
        <v>52</v>
      </c>
      <c r="AB1344" t="s">
        <v>52</v>
      </c>
      <c r="AC1344">
        <v>50</v>
      </c>
      <c r="AD1344">
        <v>1</v>
      </c>
      <c r="AK1344" t="s">
        <v>52</v>
      </c>
      <c r="AN1344" t="s">
        <v>52</v>
      </c>
      <c r="AO1344" t="s">
        <v>52</v>
      </c>
      <c r="AP1344" t="s">
        <v>52</v>
      </c>
      <c r="AQ1344" t="s">
        <v>52</v>
      </c>
      <c r="AR1344" t="s">
        <v>55</v>
      </c>
    </row>
    <row r="1345" spans="1:45" x14ac:dyDescent="0.25">
      <c r="A1345" t="s">
        <v>47</v>
      </c>
      <c r="B1345">
        <v>8</v>
      </c>
      <c r="C1345" t="s">
        <v>208</v>
      </c>
      <c r="D1345">
        <v>121</v>
      </c>
      <c r="E1345" t="s">
        <v>79</v>
      </c>
      <c r="F1345">
        <v>50</v>
      </c>
      <c r="G1345" t="s">
        <v>81</v>
      </c>
      <c r="H1345" t="s">
        <v>50</v>
      </c>
      <c r="K1345" t="s">
        <v>52</v>
      </c>
      <c r="L1345">
        <v>1</v>
      </c>
      <c r="M1345" t="s">
        <v>52</v>
      </c>
      <c r="N1345" t="s">
        <v>53</v>
      </c>
      <c r="R1345">
        <v>0.5</v>
      </c>
      <c r="S1345">
        <v>0.75</v>
      </c>
      <c r="T1345">
        <v>0</v>
      </c>
      <c r="U1345">
        <v>0</v>
      </c>
      <c r="V1345" s="1">
        <v>46583</v>
      </c>
      <c r="W1345" s="1">
        <v>46675</v>
      </c>
      <c r="X1345" s="1">
        <v>46461</v>
      </c>
      <c r="Z1345" t="s">
        <v>52</v>
      </c>
      <c r="AB1345" t="s">
        <v>52</v>
      </c>
      <c r="AC1345">
        <v>50</v>
      </c>
      <c r="AD1345">
        <v>1</v>
      </c>
      <c r="AK1345" t="s">
        <v>52</v>
      </c>
      <c r="AN1345" t="s">
        <v>52</v>
      </c>
      <c r="AO1345" t="s">
        <v>52</v>
      </c>
      <c r="AP1345" t="s">
        <v>52</v>
      </c>
      <c r="AQ1345" t="s">
        <v>52</v>
      </c>
      <c r="AR1345" t="s">
        <v>55</v>
      </c>
    </row>
    <row r="1346" spans="1:45" x14ac:dyDescent="0.25">
      <c r="A1346" t="s">
        <v>47</v>
      </c>
      <c r="B1346">
        <v>8</v>
      </c>
      <c r="C1346" t="s">
        <v>208</v>
      </c>
      <c r="D1346">
        <v>121</v>
      </c>
      <c r="E1346" t="s">
        <v>83</v>
      </c>
      <c r="F1346">
        <v>158</v>
      </c>
      <c r="H1346" t="s">
        <v>50</v>
      </c>
      <c r="K1346" t="s">
        <v>51</v>
      </c>
      <c r="L1346">
        <v>1</v>
      </c>
      <c r="M1346" t="s">
        <v>52</v>
      </c>
      <c r="N1346" t="s">
        <v>53</v>
      </c>
      <c r="P1346">
        <v>1.3</v>
      </c>
      <c r="R1346">
        <v>0.77</v>
      </c>
      <c r="S1346">
        <v>0.93</v>
      </c>
      <c r="T1346">
        <v>0</v>
      </c>
      <c r="U1346">
        <v>0</v>
      </c>
      <c r="V1346" s="1">
        <v>46326</v>
      </c>
      <c r="W1346" s="1">
        <v>46691</v>
      </c>
      <c r="X1346" s="1">
        <v>46266</v>
      </c>
      <c r="Z1346" t="s">
        <v>52</v>
      </c>
      <c r="AA1346" t="s">
        <v>54</v>
      </c>
      <c r="AB1346" t="s">
        <v>52</v>
      </c>
      <c r="AC1346">
        <v>158</v>
      </c>
      <c r="AD1346">
        <v>2</v>
      </c>
      <c r="AK1346" t="s">
        <v>52</v>
      </c>
      <c r="AN1346" t="s">
        <v>52</v>
      </c>
      <c r="AO1346" t="s">
        <v>52</v>
      </c>
      <c r="AP1346" t="s">
        <v>52</v>
      </c>
      <c r="AQ1346" t="s">
        <v>52</v>
      </c>
      <c r="AR1346" t="s">
        <v>95</v>
      </c>
      <c r="AS1346" t="s">
        <v>140</v>
      </c>
    </row>
    <row r="1347" spans="1:45" x14ac:dyDescent="0.25">
      <c r="A1347" t="s">
        <v>47</v>
      </c>
      <c r="B1347">
        <v>8</v>
      </c>
      <c r="C1347" t="s">
        <v>208</v>
      </c>
      <c r="D1347">
        <v>121</v>
      </c>
      <c r="E1347" t="s">
        <v>83</v>
      </c>
      <c r="F1347">
        <v>158</v>
      </c>
      <c r="H1347" t="s">
        <v>50</v>
      </c>
      <c r="K1347" t="s">
        <v>52</v>
      </c>
      <c r="L1347">
        <v>1</v>
      </c>
      <c r="M1347" t="s">
        <v>52</v>
      </c>
      <c r="N1347" t="s">
        <v>53</v>
      </c>
      <c r="R1347">
        <v>0.77</v>
      </c>
      <c r="S1347">
        <v>0.93</v>
      </c>
      <c r="T1347">
        <v>0</v>
      </c>
      <c r="U1347">
        <v>0</v>
      </c>
      <c r="V1347" s="1">
        <v>46326</v>
      </c>
      <c r="W1347" s="1">
        <v>46691</v>
      </c>
      <c r="X1347" s="1">
        <v>46266</v>
      </c>
      <c r="Z1347" t="s">
        <v>52</v>
      </c>
      <c r="AB1347" t="s">
        <v>52</v>
      </c>
      <c r="AC1347">
        <v>158</v>
      </c>
      <c r="AD1347">
        <v>2</v>
      </c>
      <c r="AK1347" t="s">
        <v>52</v>
      </c>
      <c r="AN1347" t="s">
        <v>52</v>
      </c>
      <c r="AO1347" t="s">
        <v>52</v>
      </c>
      <c r="AP1347" t="s">
        <v>52</v>
      </c>
      <c r="AQ1347" t="s">
        <v>52</v>
      </c>
      <c r="AR1347" t="s">
        <v>55</v>
      </c>
    </row>
    <row r="1348" spans="1:45" x14ac:dyDescent="0.25">
      <c r="A1348" t="s">
        <v>47</v>
      </c>
      <c r="B1348">
        <v>8</v>
      </c>
      <c r="C1348" t="s">
        <v>208</v>
      </c>
      <c r="D1348">
        <v>121</v>
      </c>
      <c r="E1348" t="s">
        <v>84</v>
      </c>
      <c r="F1348">
        <v>11</v>
      </c>
      <c r="G1348" t="s">
        <v>96</v>
      </c>
      <c r="H1348" t="s">
        <v>50</v>
      </c>
      <c r="K1348" t="s">
        <v>51</v>
      </c>
      <c r="L1348">
        <v>1</v>
      </c>
      <c r="M1348" t="s">
        <v>52</v>
      </c>
      <c r="N1348" t="s">
        <v>53</v>
      </c>
      <c r="R1348">
        <v>0.5</v>
      </c>
      <c r="S1348">
        <v>0.75</v>
      </c>
      <c r="T1348">
        <v>0</v>
      </c>
      <c r="U1348">
        <v>0</v>
      </c>
      <c r="V1348" s="1">
        <v>46310</v>
      </c>
      <c r="W1348" s="1">
        <v>46691</v>
      </c>
      <c r="X1348" s="1">
        <v>46295</v>
      </c>
      <c r="Z1348" t="s">
        <v>52</v>
      </c>
      <c r="AB1348" t="s">
        <v>52</v>
      </c>
      <c r="AC1348">
        <v>11</v>
      </c>
      <c r="AD1348">
        <v>2</v>
      </c>
      <c r="AK1348" t="s">
        <v>52</v>
      </c>
      <c r="AN1348" t="s">
        <v>52</v>
      </c>
      <c r="AO1348" t="s">
        <v>52</v>
      </c>
      <c r="AP1348" t="s">
        <v>52</v>
      </c>
      <c r="AQ1348" t="s">
        <v>52</v>
      </c>
      <c r="AR1348" t="s">
        <v>55</v>
      </c>
    </row>
    <row r="1349" spans="1:45" x14ac:dyDescent="0.25">
      <c r="A1349" t="s">
        <v>47</v>
      </c>
      <c r="B1349">
        <v>8</v>
      </c>
      <c r="C1349" t="s">
        <v>208</v>
      </c>
      <c r="D1349">
        <v>121</v>
      </c>
      <c r="E1349" t="s">
        <v>84</v>
      </c>
      <c r="F1349">
        <v>11</v>
      </c>
      <c r="G1349" t="s">
        <v>96</v>
      </c>
      <c r="H1349" t="s">
        <v>50</v>
      </c>
      <c r="K1349" t="s">
        <v>52</v>
      </c>
      <c r="L1349">
        <v>1</v>
      </c>
      <c r="M1349" t="s">
        <v>52</v>
      </c>
      <c r="N1349" t="s">
        <v>53</v>
      </c>
      <c r="R1349">
        <v>0.5</v>
      </c>
      <c r="S1349">
        <v>0.75</v>
      </c>
      <c r="T1349">
        <v>0</v>
      </c>
      <c r="U1349">
        <v>0</v>
      </c>
      <c r="V1349" s="1">
        <v>46310</v>
      </c>
      <c r="W1349" s="1">
        <v>46691</v>
      </c>
      <c r="X1349" s="1">
        <v>46295</v>
      </c>
      <c r="Z1349" t="s">
        <v>52</v>
      </c>
      <c r="AB1349" t="s">
        <v>52</v>
      </c>
      <c r="AC1349">
        <v>11</v>
      </c>
      <c r="AD1349">
        <v>2</v>
      </c>
      <c r="AK1349" t="s">
        <v>52</v>
      </c>
      <c r="AN1349" t="s">
        <v>52</v>
      </c>
      <c r="AO1349" t="s">
        <v>52</v>
      </c>
      <c r="AP1349" t="s">
        <v>52</v>
      </c>
      <c r="AQ1349" t="s">
        <v>52</v>
      </c>
      <c r="AR1349" t="s">
        <v>55</v>
      </c>
    </row>
    <row r="1350" spans="1:45" ht="360" x14ac:dyDescent="0.25">
      <c r="A1350" t="s">
        <v>47</v>
      </c>
      <c r="B1350">
        <v>8</v>
      </c>
      <c r="C1350" t="s">
        <v>210</v>
      </c>
      <c r="D1350">
        <v>123</v>
      </c>
      <c r="E1350" t="s">
        <v>49</v>
      </c>
      <c r="F1350">
        <v>27</v>
      </c>
      <c r="H1350" t="s">
        <v>50</v>
      </c>
      <c r="K1350" t="s">
        <v>51</v>
      </c>
      <c r="L1350">
        <v>1</v>
      </c>
      <c r="M1350" t="s">
        <v>52</v>
      </c>
      <c r="N1350" t="s">
        <v>53</v>
      </c>
      <c r="Q1350">
        <v>230</v>
      </c>
      <c r="R1350">
        <v>0</v>
      </c>
      <c r="S1350">
        <v>0.75</v>
      </c>
      <c r="T1350">
        <v>0</v>
      </c>
      <c r="U1350">
        <v>0</v>
      </c>
      <c r="W1350" s="1">
        <v>46675</v>
      </c>
      <c r="X1350" s="1">
        <v>46357</v>
      </c>
      <c r="Y1350" t="s">
        <v>54</v>
      </c>
      <c r="Z1350" t="s">
        <v>52</v>
      </c>
      <c r="AB1350" t="s">
        <v>52</v>
      </c>
      <c r="AC1350">
        <v>27</v>
      </c>
      <c r="AD1350">
        <v>1</v>
      </c>
      <c r="AE1350">
        <v>0.97</v>
      </c>
      <c r="AG1350">
        <v>0.97</v>
      </c>
      <c r="AK1350" t="s">
        <v>52</v>
      </c>
      <c r="AN1350" t="s">
        <v>52</v>
      </c>
      <c r="AO1350" t="s">
        <v>52</v>
      </c>
      <c r="AP1350" t="s">
        <v>52</v>
      </c>
      <c r="AQ1350" t="s">
        <v>52</v>
      </c>
      <c r="AR1350" t="s">
        <v>55</v>
      </c>
      <c r="AS1350" s="2" t="s">
        <v>211</v>
      </c>
    </row>
    <row r="1351" spans="1:45" ht="360" x14ac:dyDescent="0.25">
      <c r="A1351" t="s">
        <v>47</v>
      </c>
      <c r="B1351">
        <v>8</v>
      </c>
      <c r="C1351" t="s">
        <v>210</v>
      </c>
      <c r="D1351">
        <v>123</v>
      </c>
      <c r="E1351" t="s">
        <v>49</v>
      </c>
      <c r="F1351">
        <v>27</v>
      </c>
      <c r="H1351" t="s">
        <v>50</v>
      </c>
      <c r="K1351" t="s">
        <v>52</v>
      </c>
      <c r="L1351">
        <v>1</v>
      </c>
      <c r="M1351" t="s">
        <v>52</v>
      </c>
      <c r="N1351" t="s">
        <v>53</v>
      </c>
      <c r="Q1351">
        <v>230</v>
      </c>
      <c r="R1351">
        <v>0</v>
      </c>
      <c r="S1351">
        <v>0.75</v>
      </c>
      <c r="T1351">
        <v>0</v>
      </c>
      <c r="U1351">
        <v>0</v>
      </c>
      <c r="W1351" s="1">
        <v>46675</v>
      </c>
      <c r="X1351" s="1">
        <v>46357</v>
      </c>
      <c r="Y1351" t="s">
        <v>54</v>
      </c>
      <c r="Z1351" t="s">
        <v>52</v>
      </c>
      <c r="AB1351" t="s">
        <v>52</v>
      </c>
      <c r="AC1351">
        <v>27</v>
      </c>
      <c r="AD1351">
        <v>1</v>
      </c>
      <c r="AE1351">
        <v>0.97</v>
      </c>
      <c r="AG1351">
        <v>0.97</v>
      </c>
      <c r="AK1351" t="s">
        <v>52</v>
      </c>
      <c r="AN1351" t="s">
        <v>52</v>
      </c>
      <c r="AO1351" t="s">
        <v>52</v>
      </c>
      <c r="AP1351" t="s">
        <v>52</v>
      </c>
      <c r="AQ1351" t="s">
        <v>52</v>
      </c>
      <c r="AR1351" t="s">
        <v>55</v>
      </c>
      <c r="AS1351" s="2" t="s">
        <v>212</v>
      </c>
    </row>
    <row r="1352" spans="1:45" x14ac:dyDescent="0.25">
      <c r="A1352" t="s">
        <v>47</v>
      </c>
      <c r="B1352">
        <v>8</v>
      </c>
      <c r="C1352" t="s">
        <v>210</v>
      </c>
      <c r="D1352">
        <v>123</v>
      </c>
      <c r="E1352" t="s">
        <v>58</v>
      </c>
      <c r="F1352">
        <v>102</v>
      </c>
      <c r="G1352" t="s">
        <v>61</v>
      </c>
      <c r="H1352" t="s">
        <v>50</v>
      </c>
      <c r="K1352" t="s">
        <v>51</v>
      </c>
      <c r="L1352">
        <v>1</v>
      </c>
      <c r="M1352" t="s">
        <v>52</v>
      </c>
      <c r="N1352" t="s">
        <v>53</v>
      </c>
      <c r="R1352">
        <v>0</v>
      </c>
      <c r="S1352">
        <v>0.92</v>
      </c>
      <c r="T1352">
        <v>0</v>
      </c>
      <c r="U1352">
        <v>0</v>
      </c>
      <c r="W1352" s="1">
        <v>46731</v>
      </c>
      <c r="X1352" s="1">
        <v>46357</v>
      </c>
      <c r="Z1352" t="s">
        <v>52</v>
      </c>
      <c r="AB1352" t="s">
        <v>52</v>
      </c>
      <c r="AC1352">
        <v>102</v>
      </c>
      <c r="AD1352">
        <v>1</v>
      </c>
      <c r="AK1352" t="s">
        <v>52</v>
      </c>
      <c r="AN1352" t="s">
        <v>52</v>
      </c>
      <c r="AO1352" t="s">
        <v>52</v>
      </c>
      <c r="AP1352" t="s">
        <v>52</v>
      </c>
      <c r="AQ1352" t="s">
        <v>52</v>
      </c>
      <c r="AR1352" t="s">
        <v>55</v>
      </c>
    </row>
    <row r="1353" spans="1:45" x14ac:dyDescent="0.25">
      <c r="A1353" t="s">
        <v>47</v>
      </c>
      <c r="B1353">
        <v>8</v>
      </c>
      <c r="C1353" t="s">
        <v>210</v>
      </c>
      <c r="D1353">
        <v>123</v>
      </c>
      <c r="E1353" t="s">
        <v>58</v>
      </c>
      <c r="F1353">
        <v>102</v>
      </c>
      <c r="G1353" t="s">
        <v>61</v>
      </c>
      <c r="H1353" t="s">
        <v>50</v>
      </c>
      <c r="K1353" t="s">
        <v>52</v>
      </c>
      <c r="L1353">
        <v>1</v>
      </c>
      <c r="M1353" t="s">
        <v>52</v>
      </c>
      <c r="N1353" t="s">
        <v>53</v>
      </c>
      <c r="R1353">
        <v>0</v>
      </c>
      <c r="S1353">
        <v>0.92</v>
      </c>
      <c r="T1353">
        <v>0</v>
      </c>
      <c r="U1353">
        <v>0</v>
      </c>
      <c r="W1353" s="1">
        <v>46731</v>
      </c>
      <c r="X1353" s="1">
        <v>46357</v>
      </c>
      <c r="Z1353" t="s">
        <v>52</v>
      </c>
      <c r="AB1353" t="s">
        <v>52</v>
      </c>
      <c r="AC1353">
        <v>102</v>
      </c>
      <c r="AD1353">
        <v>1</v>
      </c>
      <c r="AK1353" t="s">
        <v>52</v>
      </c>
      <c r="AN1353" t="s">
        <v>52</v>
      </c>
      <c r="AO1353" t="s">
        <v>52</v>
      </c>
      <c r="AP1353" t="s">
        <v>52</v>
      </c>
      <c r="AQ1353" t="s">
        <v>52</v>
      </c>
      <c r="AR1353" t="s">
        <v>55</v>
      </c>
      <c r="AS1353" t="s">
        <v>60</v>
      </c>
    </row>
    <row r="1354" spans="1:45" x14ac:dyDescent="0.25">
      <c r="A1354" t="s">
        <v>47</v>
      </c>
      <c r="B1354">
        <v>8</v>
      </c>
      <c r="C1354" t="s">
        <v>210</v>
      </c>
      <c r="D1354">
        <v>123</v>
      </c>
      <c r="E1354" t="s">
        <v>58</v>
      </c>
      <c r="F1354">
        <v>102</v>
      </c>
      <c r="G1354" t="s">
        <v>113</v>
      </c>
      <c r="H1354" t="s">
        <v>50</v>
      </c>
      <c r="K1354" t="s">
        <v>51</v>
      </c>
      <c r="L1354">
        <v>1</v>
      </c>
      <c r="M1354" t="s">
        <v>52</v>
      </c>
      <c r="N1354" t="s">
        <v>53</v>
      </c>
      <c r="R1354">
        <v>0</v>
      </c>
      <c r="S1354">
        <v>0.92</v>
      </c>
      <c r="T1354">
        <v>0</v>
      </c>
      <c r="U1354">
        <v>0</v>
      </c>
      <c r="W1354" s="1">
        <v>46731</v>
      </c>
      <c r="X1354" s="1">
        <v>46357</v>
      </c>
      <c r="Z1354" t="s">
        <v>52</v>
      </c>
      <c r="AB1354" t="s">
        <v>52</v>
      </c>
      <c r="AC1354">
        <v>102</v>
      </c>
      <c r="AD1354">
        <v>1</v>
      </c>
      <c r="AK1354" t="s">
        <v>52</v>
      </c>
      <c r="AN1354" t="s">
        <v>52</v>
      </c>
      <c r="AO1354" t="s">
        <v>52</v>
      </c>
      <c r="AP1354" t="s">
        <v>52</v>
      </c>
      <c r="AQ1354" t="s">
        <v>52</v>
      </c>
      <c r="AR1354" t="s">
        <v>55</v>
      </c>
    </row>
    <row r="1355" spans="1:45" x14ac:dyDescent="0.25">
      <c r="A1355" t="s">
        <v>47</v>
      </c>
      <c r="B1355">
        <v>8</v>
      </c>
      <c r="C1355" t="s">
        <v>210</v>
      </c>
      <c r="D1355">
        <v>123</v>
      </c>
      <c r="E1355" t="s">
        <v>58</v>
      </c>
      <c r="F1355">
        <v>102</v>
      </c>
      <c r="G1355" t="s">
        <v>148</v>
      </c>
      <c r="H1355" t="s">
        <v>50</v>
      </c>
      <c r="K1355" t="s">
        <v>52</v>
      </c>
      <c r="L1355">
        <v>1</v>
      </c>
      <c r="M1355" t="s">
        <v>52</v>
      </c>
      <c r="N1355" t="s">
        <v>53</v>
      </c>
      <c r="R1355">
        <v>0</v>
      </c>
      <c r="S1355">
        <v>0.92</v>
      </c>
      <c r="T1355">
        <v>0</v>
      </c>
      <c r="U1355">
        <v>0</v>
      </c>
      <c r="W1355" s="1">
        <v>46731</v>
      </c>
      <c r="X1355" s="1">
        <v>46357</v>
      </c>
      <c r="Z1355" t="s">
        <v>52</v>
      </c>
      <c r="AB1355" t="s">
        <v>52</v>
      </c>
      <c r="AC1355">
        <v>102</v>
      </c>
      <c r="AD1355">
        <v>1</v>
      </c>
      <c r="AK1355" t="s">
        <v>52</v>
      </c>
      <c r="AN1355" t="s">
        <v>52</v>
      </c>
      <c r="AO1355" t="s">
        <v>52</v>
      </c>
      <c r="AP1355" t="s">
        <v>52</v>
      </c>
      <c r="AQ1355" t="s">
        <v>52</v>
      </c>
      <c r="AR1355" t="s">
        <v>55</v>
      </c>
      <c r="AS1355" t="s">
        <v>60</v>
      </c>
    </row>
    <row r="1356" spans="1:45" x14ac:dyDescent="0.25">
      <c r="A1356" t="s">
        <v>47</v>
      </c>
      <c r="B1356">
        <v>8</v>
      </c>
      <c r="C1356" t="s">
        <v>210</v>
      </c>
      <c r="D1356">
        <v>123</v>
      </c>
      <c r="E1356" t="s">
        <v>58</v>
      </c>
      <c r="F1356">
        <v>102</v>
      </c>
      <c r="G1356" t="s">
        <v>62</v>
      </c>
      <c r="H1356" t="s">
        <v>50</v>
      </c>
      <c r="K1356" t="s">
        <v>51</v>
      </c>
      <c r="L1356">
        <v>1</v>
      </c>
      <c r="M1356" t="s">
        <v>52</v>
      </c>
      <c r="N1356" t="s">
        <v>53</v>
      </c>
      <c r="R1356">
        <v>0</v>
      </c>
      <c r="S1356">
        <v>0.92</v>
      </c>
      <c r="T1356">
        <v>0</v>
      </c>
      <c r="U1356">
        <v>0</v>
      </c>
      <c r="W1356" s="1">
        <v>46731</v>
      </c>
      <c r="X1356" s="1">
        <v>46357</v>
      </c>
      <c r="Z1356" t="s">
        <v>52</v>
      </c>
      <c r="AB1356" t="s">
        <v>52</v>
      </c>
      <c r="AC1356">
        <v>102</v>
      </c>
      <c r="AD1356">
        <v>1</v>
      </c>
      <c r="AK1356" t="s">
        <v>52</v>
      </c>
      <c r="AN1356" t="s">
        <v>52</v>
      </c>
      <c r="AO1356" t="s">
        <v>52</v>
      </c>
      <c r="AP1356" t="s">
        <v>52</v>
      </c>
      <c r="AQ1356" t="s">
        <v>52</v>
      </c>
      <c r="AR1356" t="s">
        <v>55</v>
      </c>
    </row>
    <row r="1357" spans="1:45" x14ac:dyDescent="0.25">
      <c r="A1357" t="s">
        <v>47</v>
      </c>
      <c r="B1357">
        <v>8</v>
      </c>
      <c r="C1357" t="s">
        <v>210</v>
      </c>
      <c r="D1357">
        <v>123</v>
      </c>
      <c r="E1357" t="s">
        <v>58</v>
      </c>
      <c r="F1357">
        <v>102</v>
      </c>
      <c r="G1357" t="s">
        <v>62</v>
      </c>
      <c r="H1357" t="s">
        <v>50</v>
      </c>
      <c r="K1357" t="s">
        <v>52</v>
      </c>
      <c r="L1357">
        <v>1</v>
      </c>
      <c r="M1357" t="s">
        <v>52</v>
      </c>
      <c r="N1357" t="s">
        <v>53</v>
      </c>
      <c r="R1357">
        <v>0</v>
      </c>
      <c r="S1357">
        <v>0.92</v>
      </c>
      <c r="T1357">
        <v>0</v>
      </c>
      <c r="U1357">
        <v>0</v>
      </c>
      <c r="W1357" s="1">
        <v>46731</v>
      </c>
      <c r="X1357" s="1">
        <v>46357</v>
      </c>
      <c r="Z1357" t="s">
        <v>52</v>
      </c>
      <c r="AB1357" t="s">
        <v>52</v>
      </c>
      <c r="AC1357">
        <v>102</v>
      </c>
      <c r="AD1357">
        <v>1</v>
      </c>
      <c r="AK1357" t="s">
        <v>52</v>
      </c>
      <c r="AN1357" t="s">
        <v>52</v>
      </c>
      <c r="AO1357" t="s">
        <v>52</v>
      </c>
      <c r="AP1357" t="s">
        <v>52</v>
      </c>
      <c r="AQ1357" t="s">
        <v>52</v>
      </c>
      <c r="AR1357" t="s">
        <v>55</v>
      </c>
    </row>
    <row r="1358" spans="1:45" x14ac:dyDescent="0.25">
      <c r="A1358" t="s">
        <v>47</v>
      </c>
      <c r="B1358">
        <v>8</v>
      </c>
      <c r="C1358" t="s">
        <v>210</v>
      </c>
      <c r="D1358">
        <v>123</v>
      </c>
      <c r="E1358" t="s">
        <v>58</v>
      </c>
      <c r="F1358">
        <v>102</v>
      </c>
      <c r="G1358" t="s">
        <v>63</v>
      </c>
      <c r="H1358" t="s">
        <v>50</v>
      </c>
      <c r="K1358" t="s">
        <v>51</v>
      </c>
      <c r="L1358">
        <v>1</v>
      </c>
      <c r="M1358" t="s">
        <v>52</v>
      </c>
      <c r="N1358" t="s">
        <v>53</v>
      </c>
      <c r="R1358">
        <v>0</v>
      </c>
      <c r="S1358">
        <v>0.92</v>
      </c>
      <c r="T1358">
        <v>0</v>
      </c>
      <c r="U1358">
        <v>0</v>
      </c>
      <c r="W1358" s="1">
        <v>46731</v>
      </c>
      <c r="X1358" s="1">
        <v>46357</v>
      </c>
      <c r="Z1358" t="s">
        <v>52</v>
      </c>
      <c r="AB1358" t="s">
        <v>52</v>
      </c>
      <c r="AC1358">
        <v>102</v>
      </c>
      <c r="AD1358">
        <v>1</v>
      </c>
      <c r="AK1358" t="s">
        <v>52</v>
      </c>
      <c r="AN1358" t="s">
        <v>52</v>
      </c>
      <c r="AO1358" t="s">
        <v>52</v>
      </c>
      <c r="AP1358" t="s">
        <v>52</v>
      </c>
      <c r="AQ1358" t="s">
        <v>52</v>
      </c>
      <c r="AR1358" t="s">
        <v>55</v>
      </c>
    </row>
    <row r="1359" spans="1:45" x14ac:dyDescent="0.25">
      <c r="A1359" t="s">
        <v>47</v>
      </c>
      <c r="B1359">
        <v>8</v>
      </c>
      <c r="C1359" t="s">
        <v>210</v>
      </c>
      <c r="D1359">
        <v>123</v>
      </c>
      <c r="E1359" t="s">
        <v>58</v>
      </c>
      <c r="F1359">
        <v>102</v>
      </c>
      <c r="G1359" t="s">
        <v>63</v>
      </c>
      <c r="H1359" t="s">
        <v>50</v>
      </c>
      <c r="K1359" t="s">
        <v>52</v>
      </c>
      <c r="L1359">
        <v>1</v>
      </c>
      <c r="M1359" t="s">
        <v>52</v>
      </c>
      <c r="N1359" t="s">
        <v>53</v>
      </c>
      <c r="R1359">
        <v>0</v>
      </c>
      <c r="S1359">
        <v>0.92</v>
      </c>
      <c r="T1359">
        <v>0</v>
      </c>
      <c r="U1359">
        <v>0</v>
      </c>
      <c r="W1359" s="1">
        <v>46731</v>
      </c>
      <c r="X1359" s="1">
        <v>46357</v>
      </c>
      <c r="Z1359" t="s">
        <v>52</v>
      </c>
      <c r="AB1359" t="s">
        <v>52</v>
      </c>
      <c r="AC1359">
        <v>102</v>
      </c>
      <c r="AD1359">
        <v>1</v>
      </c>
      <c r="AK1359" t="s">
        <v>52</v>
      </c>
      <c r="AN1359" t="s">
        <v>52</v>
      </c>
      <c r="AO1359" t="s">
        <v>52</v>
      </c>
      <c r="AP1359" t="s">
        <v>52</v>
      </c>
      <c r="AQ1359" t="s">
        <v>52</v>
      </c>
      <c r="AR1359" t="s">
        <v>55</v>
      </c>
      <c r="AS1359" t="s">
        <v>60</v>
      </c>
    </row>
    <row r="1360" spans="1:45" x14ac:dyDescent="0.25">
      <c r="A1360" t="s">
        <v>47</v>
      </c>
      <c r="B1360">
        <v>8</v>
      </c>
      <c r="C1360" t="s">
        <v>210</v>
      </c>
      <c r="D1360">
        <v>123</v>
      </c>
      <c r="E1360" t="s">
        <v>58</v>
      </c>
      <c r="F1360">
        <v>102</v>
      </c>
      <c r="G1360" t="s">
        <v>64</v>
      </c>
      <c r="H1360" t="s">
        <v>50</v>
      </c>
      <c r="K1360" t="s">
        <v>51</v>
      </c>
      <c r="L1360">
        <v>1</v>
      </c>
      <c r="M1360" t="s">
        <v>52</v>
      </c>
      <c r="N1360" t="s">
        <v>53</v>
      </c>
      <c r="R1360">
        <v>0</v>
      </c>
      <c r="S1360">
        <v>0.92</v>
      </c>
      <c r="T1360">
        <v>0</v>
      </c>
      <c r="U1360">
        <v>0</v>
      </c>
      <c r="W1360" s="1">
        <v>46731</v>
      </c>
      <c r="X1360" s="1">
        <v>46357</v>
      </c>
      <c r="Z1360" t="s">
        <v>52</v>
      </c>
      <c r="AB1360" t="s">
        <v>52</v>
      </c>
      <c r="AC1360">
        <v>102</v>
      </c>
      <c r="AD1360">
        <v>1</v>
      </c>
      <c r="AK1360" t="s">
        <v>52</v>
      </c>
      <c r="AN1360" t="s">
        <v>52</v>
      </c>
      <c r="AO1360" t="s">
        <v>52</v>
      </c>
      <c r="AP1360" t="s">
        <v>52</v>
      </c>
      <c r="AQ1360" t="s">
        <v>52</v>
      </c>
      <c r="AR1360" t="s">
        <v>55</v>
      </c>
    </row>
    <row r="1361" spans="1:45" x14ac:dyDescent="0.25">
      <c r="A1361" t="s">
        <v>47</v>
      </c>
      <c r="B1361">
        <v>8</v>
      </c>
      <c r="C1361" t="s">
        <v>210</v>
      </c>
      <c r="D1361">
        <v>123</v>
      </c>
      <c r="E1361" t="s">
        <v>58</v>
      </c>
      <c r="F1361">
        <v>102</v>
      </c>
      <c r="G1361" t="s">
        <v>66</v>
      </c>
      <c r="H1361" t="s">
        <v>50</v>
      </c>
      <c r="K1361" t="s">
        <v>51</v>
      </c>
      <c r="L1361">
        <v>1</v>
      </c>
      <c r="M1361" t="s">
        <v>52</v>
      </c>
      <c r="N1361" t="s">
        <v>53</v>
      </c>
      <c r="R1361">
        <v>0</v>
      </c>
      <c r="S1361">
        <v>0.92</v>
      </c>
      <c r="T1361">
        <v>0</v>
      </c>
      <c r="U1361">
        <v>0</v>
      </c>
      <c r="W1361" s="1">
        <v>46731</v>
      </c>
      <c r="X1361" s="1">
        <v>46357</v>
      </c>
      <c r="Z1361" t="s">
        <v>52</v>
      </c>
      <c r="AB1361" t="s">
        <v>52</v>
      </c>
      <c r="AC1361">
        <v>102</v>
      </c>
      <c r="AD1361">
        <v>1</v>
      </c>
      <c r="AK1361" t="s">
        <v>52</v>
      </c>
      <c r="AN1361" t="s">
        <v>52</v>
      </c>
      <c r="AO1361" t="s">
        <v>52</v>
      </c>
      <c r="AP1361" t="s">
        <v>52</v>
      </c>
      <c r="AQ1361" t="s">
        <v>52</v>
      </c>
      <c r="AR1361" t="s">
        <v>55</v>
      </c>
    </row>
    <row r="1362" spans="1:45" x14ac:dyDescent="0.25">
      <c r="A1362" t="s">
        <v>47</v>
      </c>
      <c r="B1362">
        <v>8</v>
      </c>
      <c r="C1362" t="s">
        <v>210</v>
      </c>
      <c r="D1362">
        <v>123</v>
      </c>
      <c r="E1362" t="s">
        <v>58</v>
      </c>
      <c r="F1362">
        <v>102</v>
      </c>
      <c r="G1362" t="s">
        <v>66</v>
      </c>
      <c r="H1362" t="s">
        <v>50</v>
      </c>
      <c r="K1362" t="s">
        <v>52</v>
      </c>
      <c r="L1362">
        <v>1</v>
      </c>
      <c r="M1362" t="s">
        <v>52</v>
      </c>
      <c r="N1362" t="s">
        <v>53</v>
      </c>
      <c r="R1362">
        <v>0</v>
      </c>
      <c r="S1362">
        <v>0.92</v>
      </c>
      <c r="T1362">
        <v>0</v>
      </c>
      <c r="U1362">
        <v>0</v>
      </c>
      <c r="W1362" s="1">
        <v>46731</v>
      </c>
      <c r="X1362" s="1">
        <v>46357</v>
      </c>
      <c r="Z1362" t="s">
        <v>52</v>
      </c>
      <c r="AB1362" t="s">
        <v>52</v>
      </c>
      <c r="AC1362">
        <v>102</v>
      </c>
      <c r="AD1362">
        <v>1</v>
      </c>
      <c r="AK1362" t="s">
        <v>52</v>
      </c>
      <c r="AN1362" t="s">
        <v>52</v>
      </c>
      <c r="AO1362" t="s">
        <v>52</v>
      </c>
      <c r="AP1362" t="s">
        <v>52</v>
      </c>
      <c r="AQ1362" t="s">
        <v>52</v>
      </c>
      <c r="AR1362" t="s">
        <v>55</v>
      </c>
    </row>
    <row r="1363" spans="1:45" x14ac:dyDescent="0.25">
      <c r="A1363" t="s">
        <v>47</v>
      </c>
      <c r="B1363">
        <v>8</v>
      </c>
      <c r="C1363" t="s">
        <v>210</v>
      </c>
      <c r="D1363">
        <v>123</v>
      </c>
      <c r="E1363" t="s">
        <v>58</v>
      </c>
      <c r="F1363">
        <v>102</v>
      </c>
      <c r="G1363" t="s">
        <v>118</v>
      </c>
      <c r="H1363" t="s">
        <v>50</v>
      </c>
      <c r="K1363" t="s">
        <v>52</v>
      </c>
      <c r="L1363">
        <v>1</v>
      </c>
      <c r="M1363" t="s">
        <v>52</v>
      </c>
      <c r="N1363" t="s">
        <v>53</v>
      </c>
      <c r="R1363">
        <v>0</v>
      </c>
      <c r="S1363">
        <v>0.92</v>
      </c>
      <c r="T1363">
        <v>0</v>
      </c>
      <c r="U1363">
        <v>0</v>
      </c>
      <c r="W1363" s="1">
        <v>46731</v>
      </c>
      <c r="X1363" s="1">
        <v>46357</v>
      </c>
      <c r="Z1363" t="s">
        <v>52</v>
      </c>
      <c r="AB1363" t="s">
        <v>52</v>
      </c>
      <c r="AC1363">
        <v>102</v>
      </c>
      <c r="AD1363">
        <v>1</v>
      </c>
      <c r="AK1363" t="s">
        <v>52</v>
      </c>
      <c r="AN1363" t="s">
        <v>52</v>
      </c>
      <c r="AO1363" t="s">
        <v>52</v>
      </c>
      <c r="AP1363" t="s">
        <v>52</v>
      </c>
      <c r="AQ1363" t="s">
        <v>52</v>
      </c>
      <c r="AR1363" t="s">
        <v>55</v>
      </c>
    </row>
    <row r="1364" spans="1:45" x14ac:dyDescent="0.25">
      <c r="A1364" t="s">
        <v>47</v>
      </c>
      <c r="B1364">
        <v>8</v>
      </c>
      <c r="C1364" t="s">
        <v>210</v>
      </c>
      <c r="D1364">
        <v>123</v>
      </c>
      <c r="E1364" t="s">
        <v>58</v>
      </c>
      <c r="F1364">
        <v>102</v>
      </c>
      <c r="G1364" t="s">
        <v>67</v>
      </c>
      <c r="H1364" t="s">
        <v>50</v>
      </c>
      <c r="K1364" t="s">
        <v>51</v>
      </c>
      <c r="L1364">
        <v>1</v>
      </c>
      <c r="M1364" t="s">
        <v>52</v>
      </c>
      <c r="N1364" t="s">
        <v>53</v>
      </c>
      <c r="R1364">
        <v>0</v>
      </c>
      <c r="S1364">
        <v>0.92</v>
      </c>
      <c r="T1364">
        <v>0</v>
      </c>
      <c r="U1364">
        <v>0</v>
      </c>
      <c r="W1364" s="1">
        <v>46731</v>
      </c>
      <c r="X1364" s="1">
        <v>46357</v>
      </c>
      <c r="Z1364" t="s">
        <v>52</v>
      </c>
      <c r="AB1364" t="s">
        <v>52</v>
      </c>
      <c r="AC1364">
        <v>102</v>
      </c>
      <c r="AD1364">
        <v>1</v>
      </c>
      <c r="AK1364" t="s">
        <v>52</v>
      </c>
      <c r="AN1364" t="s">
        <v>52</v>
      </c>
      <c r="AO1364" t="s">
        <v>52</v>
      </c>
      <c r="AP1364" t="s">
        <v>52</v>
      </c>
      <c r="AQ1364" t="s">
        <v>52</v>
      </c>
      <c r="AR1364" t="s">
        <v>55</v>
      </c>
      <c r="AS1364" t="s">
        <v>60</v>
      </c>
    </row>
    <row r="1365" spans="1:45" x14ac:dyDescent="0.25">
      <c r="A1365" t="s">
        <v>47</v>
      </c>
      <c r="B1365">
        <v>8</v>
      </c>
      <c r="C1365" t="s">
        <v>210</v>
      </c>
      <c r="D1365">
        <v>123</v>
      </c>
      <c r="E1365" t="s">
        <v>58</v>
      </c>
      <c r="F1365">
        <v>102</v>
      </c>
      <c r="G1365" t="s">
        <v>67</v>
      </c>
      <c r="H1365" t="s">
        <v>50</v>
      </c>
      <c r="K1365" t="s">
        <v>52</v>
      </c>
      <c r="L1365">
        <v>1</v>
      </c>
      <c r="M1365" t="s">
        <v>52</v>
      </c>
      <c r="N1365" t="s">
        <v>53</v>
      </c>
      <c r="R1365">
        <v>0</v>
      </c>
      <c r="S1365">
        <v>0.92</v>
      </c>
      <c r="T1365">
        <v>0</v>
      </c>
      <c r="U1365">
        <v>0</v>
      </c>
      <c r="W1365" s="1">
        <v>46731</v>
      </c>
      <c r="X1365" s="1">
        <v>46357</v>
      </c>
      <c r="Z1365" t="s">
        <v>52</v>
      </c>
      <c r="AB1365" t="s">
        <v>52</v>
      </c>
      <c r="AC1365">
        <v>102</v>
      </c>
      <c r="AD1365">
        <v>1</v>
      </c>
      <c r="AK1365" t="s">
        <v>52</v>
      </c>
      <c r="AN1365" t="s">
        <v>52</v>
      </c>
      <c r="AO1365" t="s">
        <v>52</v>
      </c>
      <c r="AP1365" t="s">
        <v>52</v>
      </c>
      <c r="AQ1365" t="s">
        <v>52</v>
      </c>
      <c r="AR1365" t="s">
        <v>55</v>
      </c>
    </row>
    <row r="1366" spans="1:45" x14ac:dyDescent="0.25">
      <c r="A1366" t="s">
        <v>47</v>
      </c>
      <c r="B1366">
        <v>8</v>
      </c>
      <c r="C1366" t="s">
        <v>210</v>
      </c>
      <c r="D1366">
        <v>123</v>
      </c>
      <c r="E1366" t="s">
        <v>68</v>
      </c>
      <c r="F1366">
        <v>80</v>
      </c>
      <c r="G1366" t="s">
        <v>69</v>
      </c>
      <c r="H1366" t="s">
        <v>50</v>
      </c>
      <c r="K1366" t="s">
        <v>51</v>
      </c>
      <c r="L1366">
        <v>1</v>
      </c>
      <c r="M1366" t="s">
        <v>52</v>
      </c>
      <c r="N1366" t="s">
        <v>53</v>
      </c>
      <c r="R1366">
        <v>0.5</v>
      </c>
      <c r="S1366">
        <v>0.75</v>
      </c>
      <c r="U1366">
        <v>0</v>
      </c>
      <c r="V1366" s="1">
        <v>46583</v>
      </c>
      <c r="W1366" s="1">
        <v>46675</v>
      </c>
      <c r="X1366" s="1">
        <v>46461</v>
      </c>
      <c r="Z1366" t="s">
        <v>52</v>
      </c>
      <c r="AB1366" t="s">
        <v>52</v>
      </c>
      <c r="AC1366">
        <v>80</v>
      </c>
      <c r="AD1366">
        <v>1</v>
      </c>
      <c r="AK1366" t="s">
        <v>52</v>
      </c>
      <c r="AN1366" t="s">
        <v>52</v>
      </c>
      <c r="AO1366" t="s">
        <v>52</v>
      </c>
      <c r="AP1366" t="s">
        <v>52</v>
      </c>
      <c r="AQ1366" t="s">
        <v>52</v>
      </c>
      <c r="AR1366" t="s">
        <v>55</v>
      </c>
    </row>
    <row r="1367" spans="1:45" x14ac:dyDescent="0.25">
      <c r="A1367" t="s">
        <v>47</v>
      </c>
      <c r="B1367">
        <v>8</v>
      </c>
      <c r="C1367" t="s">
        <v>210</v>
      </c>
      <c r="D1367">
        <v>123</v>
      </c>
      <c r="E1367" t="s">
        <v>68</v>
      </c>
      <c r="F1367">
        <v>80</v>
      </c>
      <c r="G1367" t="s">
        <v>69</v>
      </c>
      <c r="H1367" t="s">
        <v>50</v>
      </c>
      <c r="K1367" t="s">
        <v>52</v>
      </c>
      <c r="L1367">
        <v>1</v>
      </c>
      <c r="M1367" t="s">
        <v>52</v>
      </c>
      <c r="N1367" t="s">
        <v>53</v>
      </c>
      <c r="R1367">
        <v>0.5</v>
      </c>
      <c r="S1367">
        <v>0.75</v>
      </c>
      <c r="T1367">
        <v>0</v>
      </c>
      <c r="U1367">
        <v>0</v>
      </c>
      <c r="V1367" s="1">
        <v>46583</v>
      </c>
      <c r="W1367" s="1">
        <v>46675</v>
      </c>
      <c r="X1367" s="1">
        <v>46461</v>
      </c>
      <c r="Z1367" t="s">
        <v>52</v>
      </c>
      <c r="AB1367" t="s">
        <v>52</v>
      </c>
      <c r="AC1367">
        <v>80</v>
      </c>
      <c r="AD1367">
        <v>1</v>
      </c>
      <c r="AK1367" t="s">
        <v>52</v>
      </c>
      <c r="AN1367" t="s">
        <v>52</v>
      </c>
      <c r="AO1367" t="s">
        <v>52</v>
      </c>
      <c r="AP1367" t="s">
        <v>52</v>
      </c>
      <c r="AQ1367" t="s">
        <v>52</v>
      </c>
      <c r="AR1367" t="s">
        <v>55</v>
      </c>
    </row>
    <row r="1368" spans="1:45" x14ac:dyDescent="0.25">
      <c r="A1368" t="s">
        <v>47</v>
      </c>
      <c r="B1368">
        <v>8</v>
      </c>
      <c r="C1368" t="s">
        <v>210</v>
      </c>
      <c r="D1368">
        <v>123</v>
      </c>
      <c r="E1368" t="s">
        <v>70</v>
      </c>
      <c r="F1368">
        <v>296</v>
      </c>
      <c r="G1368" t="s">
        <v>71</v>
      </c>
      <c r="H1368" t="s">
        <v>50</v>
      </c>
      <c r="K1368" t="s">
        <v>51</v>
      </c>
      <c r="L1368">
        <v>1</v>
      </c>
      <c r="M1368" t="s">
        <v>52</v>
      </c>
      <c r="N1368" t="s">
        <v>53</v>
      </c>
      <c r="Q1368">
        <v>224.33330000000001</v>
      </c>
      <c r="R1368">
        <v>0</v>
      </c>
      <c r="S1368">
        <v>0.75</v>
      </c>
      <c r="T1368">
        <v>0</v>
      </c>
      <c r="U1368">
        <v>0</v>
      </c>
      <c r="W1368" s="1">
        <v>46675</v>
      </c>
      <c r="X1368" s="1">
        <v>46357</v>
      </c>
      <c r="Y1368" t="s">
        <v>54</v>
      </c>
      <c r="Z1368" t="s">
        <v>52</v>
      </c>
      <c r="AB1368" t="s">
        <v>52</v>
      </c>
      <c r="AC1368">
        <v>296</v>
      </c>
      <c r="AD1368">
        <v>1</v>
      </c>
      <c r="AK1368" t="s">
        <v>52</v>
      </c>
      <c r="AN1368" t="s">
        <v>52</v>
      </c>
      <c r="AO1368" t="s">
        <v>52</v>
      </c>
      <c r="AP1368" t="s">
        <v>52</v>
      </c>
      <c r="AQ1368" t="s">
        <v>52</v>
      </c>
      <c r="AR1368" t="s">
        <v>55</v>
      </c>
    </row>
    <row r="1369" spans="1:45" x14ac:dyDescent="0.25">
      <c r="A1369" t="s">
        <v>47</v>
      </c>
      <c r="B1369">
        <v>8</v>
      </c>
      <c r="C1369" t="s">
        <v>210</v>
      </c>
      <c r="D1369">
        <v>123</v>
      </c>
      <c r="E1369" t="s">
        <v>70</v>
      </c>
      <c r="F1369">
        <v>296</v>
      </c>
      <c r="G1369" t="s">
        <v>71</v>
      </c>
      <c r="H1369" t="s">
        <v>50</v>
      </c>
      <c r="K1369" t="s">
        <v>52</v>
      </c>
      <c r="L1369">
        <v>1</v>
      </c>
      <c r="M1369" t="s">
        <v>52</v>
      </c>
      <c r="N1369" t="s">
        <v>53</v>
      </c>
      <c r="Q1369">
        <v>224.33330000000001</v>
      </c>
      <c r="R1369">
        <v>0</v>
      </c>
      <c r="S1369">
        <v>0.75</v>
      </c>
      <c r="T1369">
        <v>0</v>
      </c>
      <c r="U1369">
        <v>0</v>
      </c>
      <c r="W1369" s="1">
        <v>46675</v>
      </c>
      <c r="X1369" s="1">
        <v>46357</v>
      </c>
      <c r="Y1369" t="s">
        <v>54</v>
      </c>
      <c r="Z1369" t="s">
        <v>52</v>
      </c>
      <c r="AB1369" t="s">
        <v>52</v>
      </c>
      <c r="AC1369">
        <v>296</v>
      </c>
      <c r="AD1369">
        <v>1</v>
      </c>
      <c r="AK1369" t="s">
        <v>52</v>
      </c>
      <c r="AN1369" t="s">
        <v>52</v>
      </c>
      <c r="AO1369" t="s">
        <v>52</v>
      </c>
      <c r="AP1369" t="s">
        <v>52</v>
      </c>
      <c r="AQ1369" t="s">
        <v>52</v>
      </c>
      <c r="AR1369" t="s">
        <v>55</v>
      </c>
    </row>
    <row r="1370" spans="1:45" x14ac:dyDescent="0.25">
      <c r="A1370" t="s">
        <v>47</v>
      </c>
      <c r="B1370">
        <v>8</v>
      </c>
      <c r="C1370" t="s">
        <v>210</v>
      </c>
      <c r="D1370">
        <v>123</v>
      </c>
      <c r="E1370" t="s">
        <v>70</v>
      </c>
      <c r="F1370">
        <v>296</v>
      </c>
      <c r="G1370" t="s">
        <v>72</v>
      </c>
      <c r="H1370" t="s">
        <v>50</v>
      </c>
      <c r="K1370" t="s">
        <v>51</v>
      </c>
      <c r="L1370">
        <v>1</v>
      </c>
      <c r="M1370" t="s">
        <v>52</v>
      </c>
      <c r="N1370" t="s">
        <v>53</v>
      </c>
      <c r="R1370">
        <v>0.5</v>
      </c>
      <c r="S1370">
        <v>0.75</v>
      </c>
      <c r="T1370">
        <v>0</v>
      </c>
      <c r="U1370">
        <v>0</v>
      </c>
      <c r="W1370" s="1">
        <v>46675</v>
      </c>
      <c r="X1370" s="1">
        <v>46357</v>
      </c>
      <c r="Z1370" t="s">
        <v>52</v>
      </c>
      <c r="AB1370" t="s">
        <v>52</v>
      </c>
      <c r="AC1370">
        <v>296</v>
      </c>
      <c r="AD1370">
        <v>1</v>
      </c>
      <c r="AK1370" t="s">
        <v>52</v>
      </c>
      <c r="AN1370" t="s">
        <v>52</v>
      </c>
      <c r="AO1370" t="s">
        <v>52</v>
      </c>
      <c r="AP1370" t="s">
        <v>52</v>
      </c>
      <c r="AQ1370" t="s">
        <v>52</v>
      </c>
      <c r="AR1370" t="s">
        <v>55</v>
      </c>
    </row>
    <row r="1371" spans="1:45" x14ac:dyDescent="0.25">
      <c r="A1371" t="s">
        <v>47</v>
      </c>
      <c r="B1371">
        <v>8</v>
      </c>
      <c r="C1371" t="s">
        <v>210</v>
      </c>
      <c r="D1371">
        <v>123</v>
      </c>
      <c r="E1371" t="s">
        <v>70</v>
      </c>
      <c r="F1371">
        <v>296</v>
      </c>
      <c r="G1371" t="s">
        <v>72</v>
      </c>
      <c r="H1371" t="s">
        <v>50</v>
      </c>
      <c r="K1371" t="s">
        <v>52</v>
      </c>
      <c r="L1371">
        <v>1</v>
      </c>
      <c r="M1371" t="s">
        <v>52</v>
      </c>
      <c r="N1371" t="s">
        <v>53</v>
      </c>
      <c r="R1371">
        <v>0.5</v>
      </c>
      <c r="S1371">
        <v>0.75</v>
      </c>
      <c r="T1371">
        <v>0</v>
      </c>
      <c r="U1371">
        <v>0</v>
      </c>
      <c r="V1371" s="1">
        <v>46507</v>
      </c>
      <c r="W1371" s="1">
        <v>46675</v>
      </c>
      <c r="X1371" s="1">
        <v>46357</v>
      </c>
      <c r="Z1371" t="s">
        <v>52</v>
      </c>
      <c r="AB1371" t="s">
        <v>52</v>
      </c>
      <c r="AC1371">
        <v>296</v>
      </c>
      <c r="AD1371">
        <v>1</v>
      </c>
      <c r="AK1371" t="s">
        <v>52</v>
      </c>
      <c r="AN1371" t="s">
        <v>52</v>
      </c>
      <c r="AO1371" t="s">
        <v>52</v>
      </c>
      <c r="AP1371" t="s">
        <v>52</v>
      </c>
      <c r="AQ1371" t="s">
        <v>52</v>
      </c>
      <c r="AR1371" t="s">
        <v>55</v>
      </c>
    </row>
    <row r="1372" spans="1:45" x14ac:dyDescent="0.25">
      <c r="A1372" t="s">
        <v>47</v>
      </c>
      <c r="B1372">
        <v>8</v>
      </c>
      <c r="C1372" t="s">
        <v>210</v>
      </c>
      <c r="D1372">
        <v>123</v>
      </c>
      <c r="E1372" t="s">
        <v>70</v>
      </c>
      <c r="F1372">
        <v>296</v>
      </c>
      <c r="G1372" t="s">
        <v>73</v>
      </c>
      <c r="H1372" t="s">
        <v>50</v>
      </c>
      <c r="K1372" t="s">
        <v>51</v>
      </c>
      <c r="L1372">
        <v>1</v>
      </c>
      <c r="M1372" t="s">
        <v>52</v>
      </c>
      <c r="N1372" t="s">
        <v>53</v>
      </c>
      <c r="R1372">
        <v>0</v>
      </c>
      <c r="S1372">
        <v>0.75</v>
      </c>
      <c r="T1372">
        <v>0</v>
      </c>
      <c r="U1372">
        <v>0</v>
      </c>
      <c r="W1372" s="1">
        <v>46675</v>
      </c>
      <c r="X1372" s="1">
        <v>46357</v>
      </c>
      <c r="Z1372" t="s">
        <v>52</v>
      </c>
      <c r="AB1372" t="s">
        <v>52</v>
      </c>
      <c r="AC1372">
        <v>296</v>
      </c>
      <c r="AD1372">
        <v>1</v>
      </c>
      <c r="AK1372" t="s">
        <v>52</v>
      </c>
      <c r="AN1372" t="s">
        <v>52</v>
      </c>
      <c r="AO1372" t="s">
        <v>52</v>
      </c>
      <c r="AP1372" t="s">
        <v>52</v>
      </c>
      <c r="AQ1372" t="s">
        <v>52</v>
      </c>
      <c r="AR1372" t="s">
        <v>55</v>
      </c>
    </row>
    <row r="1373" spans="1:45" x14ac:dyDescent="0.25">
      <c r="A1373" t="s">
        <v>47</v>
      </c>
      <c r="B1373">
        <v>8</v>
      </c>
      <c r="C1373" t="s">
        <v>210</v>
      </c>
      <c r="D1373">
        <v>123</v>
      </c>
      <c r="E1373" t="s">
        <v>70</v>
      </c>
      <c r="F1373">
        <v>296</v>
      </c>
      <c r="G1373" t="s">
        <v>73</v>
      </c>
      <c r="H1373" t="s">
        <v>50</v>
      </c>
      <c r="K1373" t="s">
        <v>52</v>
      </c>
      <c r="L1373">
        <v>1</v>
      </c>
      <c r="M1373" t="s">
        <v>52</v>
      </c>
      <c r="N1373" t="s">
        <v>53</v>
      </c>
      <c r="R1373">
        <v>0</v>
      </c>
      <c r="S1373">
        <v>0.75</v>
      </c>
      <c r="T1373">
        <v>0</v>
      </c>
      <c r="U1373">
        <v>0</v>
      </c>
      <c r="W1373" s="1">
        <v>46675</v>
      </c>
      <c r="X1373" s="1">
        <v>46357</v>
      </c>
      <c r="Z1373" t="s">
        <v>52</v>
      </c>
      <c r="AB1373" t="s">
        <v>52</v>
      </c>
      <c r="AC1373">
        <v>296</v>
      </c>
      <c r="AD1373">
        <v>1</v>
      </c>
      <c r="AK1373" t="s">
        <v>52</v>
      </c>
      <c r="AN1373" t="s">
        <v>52</v>
      </c>
      <c r="AO1373" t="s">
        <v>52</v>
      </c>
      <c r="AP1373" t="s">
        <v>52</v>
      </c>
      <c r="AQ1373" t="s">
        <v>52</v>
      </c>
      <c r="AR1373" t="s">
        <v>55</v>
      </c>
    </row>
    <row r="1374" spans="1:45" x14ac:dyDescent="0.25">
      <c r="A1374" t="s">
        <v>47</v>
      </c>
      <c r="B1374">
        <v>8</v>
      </c>
      <c r="C1374" t="s">
        <v>210</v>
      </c>
      <c r="D1374">
        <v>123</v>
      </c>
      <c r="E1374" t="s">
        <v>70</v>
      </c>
      <c r="F1374">
        <v>296</v>
      </c>
      <c r="G1374" t="s">
        <v>74</v>
      </c>
      <c r="H1374" t="s">
        <v>50</v>
      </c>
      <c r="K1374" t="s">
        <v>51</v>
      </c>
      <c r="L1374">
        <v>1</v>
      </c>
      <c r="M1374" t="s">
        <v>52</v>
      </c>
      <c r="N1374" t="s">
        <v>53</v>
      </c>
      <c r="R1374">
        <v>0</v>
      </c>
      <c r="S1374">
        <v>0.75</v>
      </c>
      <c r="T1374">
        <v>0</v>
      </c>
      <c r="U1374">
        <v>0</v>
      </c>
      <c r="W1374" s="1">
        <v>46675</v>
      </c>
      <c r="X1374" s="1">
        <v>46357</v>
      </c>
      <c r="Z1374" t="s">
        <v>52</v>
      </c>
      <c r="AB1374" t="s">
        <v>52</v>
      </c>
      <c r="AC1374">
        <v>102</v>
      </c>
      <c r="AD1374">
        <v>1</v>
      </c>
      <c r="AK1374" t="s">
        <v>52</v>
      </c>
      <c r="AN1374" t="s">
        <v>52</v>
      </c>
      <c r="AO1374" t="s">
        <v>52</v>
      </c>
      <c r="AP1374" t="s">
        <v>52</v>
      </c>
      <c r="AQ1374" t="s">
        <v>52</v>
      </c>
      <c r="AR1374" t="s">
        <v>55</v>
      </c>
    </row>
    <row r="1375" spans="1:45" x14ac:dyDescent="0.25">
      <c r="A1375" t="s">
        <v>47</v>
      </c>
      <c r="B1375">
        <v>8</v>
      </c>
      <c r="C1375" t="s">
        <v>210</v>
      </c>
      <c r="D1375">
        <v>123</v>
      </c>
      <c r="E1375" t="s">
        <v>70</v>
      </c>
      <c r="F1375">
        <v>296</v>
      </c>
      <c r="G1375" t="s">
        <v>74</v>
      </c>
      <c r="H1375" t="s">
        <v>50</v>
      </c>
      <c r="K1375" t="s">
        <v>52</v>
      </c>
      <c r="L1375">
        <v>1</v>
      </c>
      <c r="M1375" t="s">
        <v>52</v>
      </c>
      <c r="N1375" t="s">
        <v>53</v>
      </c>
      <c r="R1375">
        <v>0</v>
      </c>
      <c r="S1375">
        <v>0.75</v>
      </c>
      <c r="T1375">
        <v>0</v>
      </c>
      <c r="U1375">
        <v>0</v>
      </c>
      <c r="W1375" s="1">
        <v>46675</v>
      </c>
      <c r="X1375" s="1">
        <v>46357</v>
      </c>
      <c r="Z1375" t="s">
        <v>52</v>
      </c>
      <c r="AB1375" t="s">
        <v>52</v>
      </c>
      <c r="AC1375">
        <v>102</v>
      </c>
      <c r="AD1375">
        <v>1</v>
      </c>
      <c r="AK1375" t="s">
        <v>52</v>
      </c>
      <c r="AN1375" t="s">
        <v>52</v>
      </c>
      <c r="AO1375" t="s">
        <v>52</v>
      </c>
      <c r="AP1375" t="s">
        <v>52</v>
      </c>
      <c r="AQ1375" t="s">
        <v>52</v>
      </c>
      <c r="AR1375" t="s">
        <v>55</v>
      </c>
      <c r="AS1375" t="s">
        <v>106</v>
      </c>
    </row>
    <row r="1376" spans="1:45" x14ac:dyDescent="0.25">
      <c r="A1376" t="s">
        <v>47</v>
      </c>
      <c r="B1376">
        <v>8</v>
      </c>
      <c r="C1376" t="s">
        <v>210</v>
      </c>
      <c r="D1376">
        <v>123</v>
      </c>
      <c r="E1376" t="s">
        <v>70</v>
      </c>
      <c r="F1376">
        <v>296</v>
      </c>
      <c r="G1376" t="s">
        <v>91</v>
      </c>
      <c r="H1376" t="s">
        <v>50</v>
      </c>
      <c r="K1376" t="s">
        <v>51</v>
      </c>
      <c r="L1376">
        <v>1</v>
      </c>
      <c r="M1376" t="s">
        <v>52</v>
      </c>
      <c r="N1376" t="s">
        <v>53</v>
      </c>
      <c r="R1376">
        <v>0.5</v>
      </c>
      <c r="S1376">
        <v>0.75</v>
      </c>
      <c r="T1376">
        <v>0</v>
      </c>
      <c r="U1376">
        <v>0</v>
      </c>
      <c r="W1376" s="1">
        <v>46675</v>
      </c>
      <c r="X1376" s="1">
        <v>46357</v>
      </c>
      <c r="Z1376" t="s">
        <v>52</v>
      </c>
      <c r="AB1376" t="s">
        <v>52</v>
      </c>
      <c r="AC1376">
        <v>102</v>
      </c>
      <c r="AD1376">
        <v>1</v>
      </c>
      <c r="AK1376" t="s">
        <v>52</v>
      </c>
      <c r="AN1376" t="s">
        <v>52</v>
      </c>
      <c r="AO1376" t="s">
        <v>52</v>
      </c>
      <c r="AP1376" t="s">
        <v>52</v>
      </c>
      <c r="AQ1376" t="s">
        <v>52</v>
      </c>
      <c r="AR1376" t="s">
        <v>55</v>
      </c>
    </row>
    <row r="1377" spans="1:45" x14ac:dyDescent="0.25">
      <c r="A1377" t="s">
        <v>47</v>
      </c>
      <c r="B1377">
        <v>8</v>
      </c>
      <c r="C1377" t="s">
        <v>210</v>
      </c>
      <c r="D1377">
        <v>123</v>
      </c>
      <c r="E1377" t="s">
        <v>70</v>
      </c>
      <c r="F1377">
        <v>296</v>
      </c>
      <c r="G1377" t="s">
        <v>91</v>
      </c>
      <c r="H1377" t="s">
        <v>50</v>
      </c>
      <c r="K1377" t="s">
        <v>52</v>
      </c>
      <c r="L1377">
        <v>1</v>
      </c>
      <c r="M1377" t="s">
        <v>52</v>
      </c>
      <c r="N1377" t="s">
        <v>53</v>
      </c>
      <c r="R1377">
        <v>0.5</v>
      </c>
      <c r="S1377">
        <v>0.75</v>
      </c>
      <c r="U1377">
        <v>0</v>
      </c>
      <c r="V1377" s="1">
        <v>46507</v>
      </c>
      <c r="W1377" s="1">
        <v>46675</v>
      </c>
      <c r="X1377" s="1">
        <v>46357</v>
      </c>
      <c r="Z1377" t="s">
        <v>52</v>
      </c>
      <c r="AB1377" t="s">
        <v>52</v>
      </c>
      <c r="AC1377">
        <v>102</v>
      </c>
      <c r="AD1377">
        <v>1</v>
      </c>
      <c r="AK1377" t="s">
        <v>52</v>
      </c>
      <c r="AN1377" t="s">
        <v>52</v>
      </c>
      <c r="AO1377" t="s">
        <v>52</v>
      </c>
      <c r="AP1377" t="s">
        <v>52</v>
      </c>
      <c r="AQ1377" t="s">
        <v>52</v>
      </c>
      <c r="AR1377" t="s">
        <v>55</v>
      </c>
    </row>
    <row r="1378" spans="1:45" x14ac:dyDescent="0.25">
      <c r="A1378" t="s">
        <v>47</v>
      </c>
      <c r="B1378">
        <v>8</v>
      </c>
      <c r="C1378" t="s">
        <v>210</v>
      </c>
      <c r="D1378">
        <v>123</v>
      </c>
      <c r="E1378" t="s">
        <v>70</v>
      </c>
      <c r="F1378">
        <v>296</v>
      </c>
      <c r="G1378" t="s">
        <v>92</v>
      </c>
      <c r="H1378" t="s">
        <v>50</v>
      </c>
      <c r="K1378" t="s">
        <v>51</v>
      </c>
      <c r="L1378">
        <v>1</v>
      </c>
      <c r="M1378" t="s">
        <v>52</v>
      </c>
      <c r="N1378" t="s">
        <v>53</v>
      </c>
      <c r="R1378">
        <v>0.5</v>
      </c>
      <c r="S1378">
        <v>0.75</v>
      </c>
      <c r="T1378">
        <v>0</v>
      </c>
      <c r="U1378">
        <v>0</v>
      </c>
      <c r="V1378" s="1">
        <v>46583</v>
      </c>
      <c r="W1378" s="1">
        <v>46675</v>
      </c>
      <c r="X1378" s="1">
        <v>46357</v>
      </c>
      <c r="Z1378" t="s">
        <v>52</v>
      </c>
      <c r="AB1378" t="s">
        <v>52</v>
      </c>
      <c r="AC1378">
        <v>102</v>
      </c>
      <c r="AD1378">
        <v>1</v>
      </c>
      <c r="AK1378" t="s">
        <v>52</v>
      </c>
      <c r="AN1378" t="s">
        <v>52</v>
      </c>
      <c r="AO1378" t="s">
        <v>52</v>
      </c>
      <c r="AP1378" t="s">
        <v>52</v>
      </c>
      <c r="AQ1378" t="s">
        <v>52</v>
      </c>
      <c r="AR1378" t="s">
        <v>55</v>
      </c>
    </row>
    <row r="1379" spans="1:45" x14ac:dyDescent="0.25">
      <c r="A1379" t="s">
        <v>47</v>
      </c>
      <c r="B1379">
        <v>8</v>
      </c>
      <c r="C1379" t="s">
        <v>210</v>
      </c>
      <c r="D1379">
        <v>123</v>
      </c>
      <c r="E1379" t="s">
        <v>70</v>
      </c>
      <c r="F1379">
        <v>296</v>
      </c>
      <c r="G1379" t="s">
        <v>92</v>
      </c>
      <c r="H1379" t="s">
        <v>50</v>
      </c>
      <c r="K1379" t="s">
        <v>52</v>
      </c>
      <c r="L1379">
        <v>1</v>
      </c>
      <c r="M1379" t="s">
        <v>52</v>
      </c>
      <c r="N1379" t="s">
        <v>53</v>
      </c>
      <c r="R1379">
        <v>0.5</v>
      </c>
      <c r="S1379">
        <v>0.75</v>
      </c>
      <c r="T1379">
        <v>0</v>
      </c>
      <c r="U1379">
        <v>0</v>
      </c>
      <c r="V1379" s="1">
        <v>46583</v>
      </c>
      <c r="W1379" s="1">
        <v>46675</v>
      </c>
      <c r="X1379" s="1">
        <v>46357</v>
      </c>
      <c r="Z1379" t="s">
        <v>52</v>
      </c>
      <c r="AB1379" t="s">
        <v>52</v>
      </c>
      <c r="AC1379">
        <v>102</v>
      </c>
      <c r="AD1379">
        <v>1</v>
      </c>
      <c r="AK1379" t="s">
        <v>52</v>
      </c>
      <c r="AN1379" t="s">
        <v>52</v>
      </c>
      <c r="AO1379" t="s">
        <v>52</v>
      </c>
      <c r="AP1379" t="s">
        <v>52</v>
      </c>
      <c r="AQ1379" t="s">
        <v>52</v>
      </c>
      <c r="AR1379" t="s">
        <v>55</v>
      </c>
    </row>
    <row r="1380" spans="1:45" x14ac:dyDescent="0.25">
      <c r="A1380" t="s">
        <v>47</v>
      </c>
      <c r="B1380">
        <v>8</v>
      </c>
      <c r="C1380" t="s">
        <v>210</v>
      </c>
      <c r="D1380">
        <v>123</v>
      </c>
      <c r="E1380" t="s">
        <v>75</v>
      </c>
      <c r="F1380">
        <v>16</v>
      </c>
      <c r="G1380" t="s">
        <v>76</v>
      </c>
      <c r="H1380" t="s">
        <v>50</v>
      </c>
      <c r="K1380" t="s">
        <v>51</v>
      </c>
      <c r="L1380">
        <v>1</v>
      </c>
      <c r="M1380" t="s">
        <v>52</v>
      </c>
      <c r="N1380" t="s">
        <v>53</v>
      </c>
      <c r="R1380">
        <v>0.5</v>
      </c>
      <c r="S1380">
        <v>0.75</v>
      </c>
      <c r="T1380">
        <v>0</v>
      </c>
      <c r="U1380">
        <v>0</v>
      </c>
      <c r="V1380" s="1">
        <v>46507</v>
      </c>
      <c r="W1380" s="1">
        <v>46691</v>
      </c>
      <c r="X1380" s="1">
        <v>46461</v>
      </c>
      <c r="Z1380" t="s">
        <v>52</v>
      </c>
      <c r="AB1380" t="s">
        <v>52</v>
      </c>
      <c r="AC1380">
        <v>16</v>
      </c>
      <c r="AD1380">
        <v>2</v>
      </c>
      <c r="AK1380" t="s">
        <v>52</v>
      </c>
      <c r="AN1380" t="s">
        <v>52</v>
      </c>
      <c r="AO1380" t="s">
        <v>52</v>
      </c>
      <c r="AP1380" t="s">
        <v>52</v>
      </c>
      <c r="AQ1380" t="s">
        <v>52</v>
      </c>
      <c r="AR1380" t="s">
        <v>55</v>
      </c>
    </row>
    <row r="1381" spans="1:45" x14ac:dyDescent="0.25">
      <c r="A1381" t="s">
        <v>47</v>
      </c>
      <c r="B1381">
        <v>8</v>
      </c>
      <c r="C1381" t="s">
        <v>210</v>
      </c>
      <c r="D1381">
        <v>123</v>
      </c>
      <c r="E1381" t="s">
        <v>75</v>
      </c>
      <c r="F1381">
        <v>16</v>
      </c>
      <c r="G1381" t="s">
        <v>76</v>
      </c>
      <c r="H1381" t="s">
        <v>50</v>
      </c>
      <c r="K1381" t="s">
        <v>52</v>
      </c>
      <c r="L1381">
        <v>1</v>
      </c>
      <c r="M1381" t="s">
        <v>52</v>
      </c>
      <c r="N1381" t="s">
        <v>53</v>
      </c>
      <c r="R1381">
        <v>0.5</v>
      </c>
      <c r="S1381">
        <v>0.75</v>
      </c>
      <c r="T1381">
        <v>0</v>
      </c>
      <c r="U1381">
        <v>0</v>
      </c>
      <c r="V1381" s="1">
        <v>46507</v>
      </c>
      <c r="W1381" s="1">
        <v>46691</v>
      </c>
      <c r="X1381" s="1">
        <v>46461</v>
      </c>
      <c r="Z1381" t="s">
        <v>52</v>
      </c>
      <c r="AB1381" t="s">
        <v>52</v>
      </c>
      <c r="AC1381">
        <v>16</v>
      </c>
      <c r="AD1381">
        <v>2</v>
      </c>
      <c r="AK1381" t="s">
        <v>52</v>
      </c>
      <c r="AN1381" t="s">
        <v>52</v>
      </c>
      <c r="AO1381" t="s">
        <v>52</v>
      </c>
      <c r="AP1381" t="s">
        <v>52</v>
      </c>
      <c r="AQ1381" t="s">
        <v>52</v>
      </c>
      <c r="AR1381" t="s">
        <v>55</v>
      </c>
    </row>
    <row r="1382" spans="1:45" x14ac:dyDescent="0.25">
      <c r="A1382" t="s">
        <v>47</v>
      </c>
      <c r="B1382">
        <v>8</v>
      </c>
      <c r="C1382" t="s">
        <v>210</v>
      </c>
      <c r="D1382">
        <v>123</v>
      </c>
      <c r="E1382" t="s">
        <v>93</v>
      </c>
      <c r="F1382">
        <v>94</v>
      </c>
      <c r="H1382" t="s">
        <v>50</v>
      </c>
      <c r="K1382" t="s">
        <v>51</v>
      </c>
      <c r="L1382">
        <v>1</v>
      </c>
      <c r="M1382" t="s">
        <v>52</v>
      </c>
      <c r="N1382" t="s">
        <v>53</v>
      </c>
      <c r="R1382">
        <v>0.77</v>
      </c>
      <c r="S1382">
        <v>0.93</v>
      </c>
      <c r="T1382">
        <v>0</v>
      </c>
      <c r="U1382">
        <v>0</v>
      </c>
      <c r="V1382" s="1">
        <v>46326</v>
      </c>
      <c r="W1382" s="1">
        <v>46691</v>
      </c>
      <c r="X1382" s="1">
        <v>46266</v>
      </c>
      <c r="Z1382" t="s">
        <v>52</v>
      </c>
      <c r="AB1382" t="s">
        <v>52</v>
      </c>
      <c r="AC1382">
        <v>94</v>
      </c>
      <c r="AD1382">
        <v>2</v>
      </c>
      <c r="AK1382" t="s">
        <v>52</v>
      </c>
      <c r="AN1382" t="s">
        <v>52</v>
      </c>
      <c r="AO1382" t="s">
        <v>52</v>
      </c>
      <c r="AP1382" t="s">
        <v>52</v>
      </c>
      <c r="AQ1382" t="s">
        <v>52</v>
      </c>
      <c r="AR1382" t="s">
        <v>55</v>
      </c>
    </row>
    <row r="1383" spans="1:45" x14ac:dyDescent="0.25">
      <c r="A1383" t="s">
        <v>47</v>
      </c>
      <c r="B1383">
        <v>8</v>
      </c>
      <c r="C1383" t="s">
        <v>210</v>
      </c>
      <c r="D1383">
        <v>123</v>
      </c>
      <c r="E1383" t="s">
        <v>93</v>
      </c>
      <c r="F1383">
        <v>94</v>
      </c>
      <c r="H1383" t="s">
        <v>50</v>
      </c>
      <c r="K1383" t="s">
        <v>52</v>
      </c>
      <c r="L1383">
        <v>1</v>
      </c>
      <c r="M1383" t="s">
        <v>52</v>
      </c>
      <c r="N1383" t="s">
        <v>53</v>
      </c>
      <c r="R1383">
        <v>0.77</v>
      </c>
      <c r="S1383">
        <v>0.93</v>
      </c>
      <c r="T1383">
        <v>0</v>
      </c>
      <c r="U1383">
        <v>0</v>
      </c>
      <c r="V1383" s="1">
        <v>46326</v>
      </c>
      <c r="W1383" s="1">
        <v>46691</v>
      </c>
      <c r="X1383" s="1">
        <v>46266</v>
      </c>
      <c r="Z1383" t="s">
        <v>52</v>
      </c>
      <c r="AB1383" t="s">
        <v>52</v>
      </c>
      <c r="AC1383">
        <v>94</v>
      </c>
      <c r="AD1383">
        <v>2</v>
      </c>
      <c r="AK1383" t="s">
        <v>52</v>
      </c>
      <c r="AN1383" t="s">
        <v>52</v>
      </c>
      <c r="AO1383" t="s">
        <v>52</v>
      </c>
      <c r="AP1383" t="s">
        <v>52</v>
      </c>
      <c r="AQ1383" t="s">
        <v>52</v>
      </c>
      <c r="AR1383" t="s">
        <v>55</v>
      </c>
    </row>
    <row r="1384" spans="1:45" x14ac:dyDescent="0.25">
      <c r="A1384" t="s">
        <v>47</v>
      </c>
      <c r="B1384">
        <v>8</v>
      </c>
      <c r="C1384" t="s">
        <v>210</v>
      </c>
      <c r="D1384">
        <v>123</v>
      </c>
      <c r="E1384" t="s">
        <v>77</v>
      </c>
      <c r="F1384">
        <v>51</v>
      </c>
      <c r="G1384" t="s">
        <v>78</v>
      </c>
      <c r="H1384" t="s">
        <v>50</v>
      </c>
      <c r="K1384" t="s">
        <v>51</v>
      </c>
      <c r="L1384">
        <v>1</v>
      </c>
      <c r="M1384" t="s">
        <v>52</v>
      </c>
      <c r="N1384" t="s">
        <v>53</v>
      </c>
      <c r="R1384">
        <v>0.5</v>
      </c>
      <c r="S1384">
        <v>0.73</v>
      </c>
      <c r="T1384">
        <v>0</v>
      </c>
      <c r="U1384">
        <v>0</v>
      </c>
      <c r="V1384" s="1">
        <v>46569</v>
      </c>
      <c r="W1384" s="1">
        <v>46675</v>
      </c>
      <c r="X1384" s="1">
        <v>46461</v>
      </c>
      <c r="Z1384" t="s">
        <v>52</v>
      </c>
      <c r="AB1384" t="s">
        <v>52</v>
      </c>
      <c r="AC1384">
        <v>51</v>
      </c>
      <c r="AD1384">
        <v>2</v>
      </c>
      <c r="AK1384" t="s">
        <v>52</v>
      </c>
      <c r="AN1384" t="s">
        <v>52</v>
      </c>
      <c r="AO1384" t="s">
        <v>52</v>
      </c>
      <c r="AP1384" t="s">
        <v>52</v>
      </c>
      <c r="AQ1384" t="s">
        <v>52</v>
      </c>
      <c r="AR1384" t="s">
        <v>55</v>
      </c>
      <c r="AS1384" t="s">
        <v>60</v>
      </c>
    </row>
    <row r="1385" spans="1:45" x14ac:dyDescent="0.25">
      <c r="A1385" t="s">
        <v>47</v>
      </c>
      <c r="B1385">
        <v>8</v>
      </c>
      <c r="C1385" t="s">
        <v>210</v>
      </c>
      <c r="D1385">
        <v>123</v>
      </c>
      <c r="E1385" t="s">
        <v>77</v>
      </c>
      <c r="F1385">
        <v>51</v>
      </c>
      <c r="G1385" t="s">
        <v>78</v>
      </c>
      <c r="H1385" t="s">
        <v>50</v>
      </c>
      <c r="K1385" t="s">
        <v>52</v>
      </c>
      <c r="L1385">
        <v>1</v>
      </c>
      <c r="M1385" t="s">
        <v>52</v>
      </c>
      <c r="N1385" t="s">
        <v>53</v>
      </c>
      <c r="R1385">
        <v>0.5</v>
      </c>
      <c r="S1385">
        <v>0.73</v>
      </c>
      <c r="T1385">
        <v>0</v>
      </c>
      <c r="U1385">
        <v>0</v>
      </c>
      <c r="V1385" s="1">
        <v>46569</v>
      </c>
      <c r="W1385" s="1">
        <v>46675</v>
      </c>
      <c r="X1385" s="1">
        <v>46461</v>
      </c>
      <c r="Z1385" t="s">
        <v>52</v>
      </c>
      <c r="AB1385" t="s">
        <v>52</v>
      </c>
      <c r="AC1385">
        <v>51</v>
      </c>
      <c r="AD1385">
        <v>2</v>
      </c>
      <c r="AK1385" t="s">
        <v>52</v>
      </c>
      <c r="AN1385" t="s">
        <v>52</v>
      </c>
      <c r="AO1385" t="s">
        <v>52</v>
      </c>
      <c r="AP1385" t="s">
        <v>52</v>
      </c>
      <c r="AQ1385" t="s">
        <v>52</v>
      </c>
      <c r="AR1385" t="s">
        <v>55</v>
      </c>
      <c r="AS1385" t="s">
        <v>60</v>
      </c>
    </row>
    <row r="1386" spans="1:45" x14ac:dyDescent="0.25">
      <c r="A1386" t="s">
        <v>47</v>
      </c>
      <c r="B1386">
        <v>8</v>
      </c>
      <c r="C1386" t="s">
        <v>210</v>
      </c>
      <c r="D1386">
        <v>123</v>
      </c>
      <c r="E1386" t="s">
        <v>79</v>
      </c>
      <c r="F1386">
        <v>50</v>
      </c>
      <c r="G1386" t="s">
        <v>80</v>
      </c>
      <c r="H1386" t="s">
        <v>50</v>
      </c>
      <c r="K1386" t="s">
        <v>51</v>
      </c>
      <c r="L1386">
        <v>1</v>
      </c>
      <c r="M1386" t="s">
        <v>52</v>
      </c>
      <c r="N1386" t="s">
        <v>53</v>
      </c>
      <c r="R1386">
        <v>0.5</v>
      </c>
      <c r="S1386">
        <v>0.75</v>
      </c>
      <c r="T1386">
        <v>0</v>
      </c>
      <c r="U1386">
        <v>0</v>
      </c>
      <c r="V1386" s="1">
        <v>46583</v>
      </c>
      <c r="W1386" s="1">
        <v>46675</v>
      </c>
      <c r="X1386" s="1">
        <v>46461</v>
      </c>
      <c r="Z1386" t="s">
        <v>52</v>
      </c>
      <c r="AB1386" t="s">
        <v>52</v>
      </c>
      <c r="AC1386">
        <v>50</v>
      </c>
      <c r="AD1386">
        <v>1</v>
      </c>
      <c r="AK1386" t="s">
        <v>52</v>
      </c>
      <c r="AN1386" t="s">
        <v>52</v>
      </c>
      <c r="AO1386" t="s">
        <v>52</v>
      </c>
      <c r="AP1386" t="s">
        <v>52</v>
      </c>
      <c r="AQ1386" t="s">
        <v>52</v>
      </c>
      <c r="AR1386" t="s">
        <v>55</v>
      </c>
    </row>
    <row r="1387" spans="1:45" x14ac:dyDescent="0.25">
      <c r="A1387" t="s">
        <v>47</v>
      </c>
      <c r="B1387">
        <v>8</v>
      </c>
      <c r="C1387" t="s">
        <v>210</v>
      </c>
      <c r="D1387">
        <v>123</v>
      </c>
      <c r="E1387" t="s">
        <v>79</v>
      </c>
      <c r="F1387">
        <v>50</v>
      </c>
      <c r="G1387" t="s">
        <v>80</v>
      </c>
      <c r="H1387" t="s">
        <v>50</v>
      </c>
      <c r="K1387" t="s">
        <v>52</v>
      </c>
      <c r="L1387">
        <v>1</v>
      </c>
      <c r="M1387" t="s">
        <v>52</v>
      </c>
      <c r="N1387" t="s">
        <v>53</v>
      </c>
      <c r="R1387">
        <v>0.5</v>
      </c>
      <c r="S1387">
        <v>0.75</v>
      </c>
      <c r="T1387">
        <v>0</v>
      </c>
      <c r="U1387">
        <v>0</v>
      </c>
      <c r="V1387" s="1">
        <v>46583</v>
      </c>
      <c r="W1387" s="1">
        <v>46675</v>
      </c>
      <c r="X1387" s="1">
        <v>46461</v>
      </c>
      <c r="Z1387" t="s">
        <v>52</v>
      </c>
      <c r="AB1387" t="s">
        <v>52</v>
      </c>
      <c r="AC1387">
        <v>50</v>
      </c>
      <c r="AD1387">
        <v>1</v>
      </c>
      <c r="AK1387" t="s">
        <v>52</v>
      </c>
      <c r="AN1387" t="s">
        <v>52</v>
      </c>
      <c r="AO1387" t="s">
        <v>52</v>
      </c>
      <c r="AP1387" t="s">
        <v>52</v>
      </c>
      <c r="AQ1387" t="s">
        <v>52</v>
      </c>
      <c r="AR1387" t="s">
        <v>55</v>
      </c>
    </row>
    <row r="1388" spans="1:45" x14ac:dyDescent="0.25">
      <c r="A1388" t="s">
        <v>47</v>
      </c>
      <c r="B1388">
        <v>8</v>
      </c>
      <c r="C1388" t="s">
        <v>210</v>
      </c>
      <c r="D1388">
        <v>123</v>
      </c>
      <c r="E1388" t="s">
        <v>79</v>
      </c>
      <c r="F1388">
        <v>50</v>
      </c>
      <c r="G1388" t="s">
        <v>65</v>
      </c>
      <c r="H1388" t="s">
        <v>50</v>
      </c>
      <c r="K1388" t="s">
        <v>51</v>
      </c>
      <c r="L1388">
        <v>1</v>
      </c>
      <c r="M1388" t="s">
        <v>52</v>
      </c>
      <c r="N1388" t="s">
        <v>53</v>
      </c>
      <c r="R1388">
        <v>0.5</v>
      </c>
      <c r="S1388">
        <v>0.75</v>
      </c>
      <c r="T1388">
        <v>0</v>
      </c>
      <c r="U1388">
        <v>0</v>
      </c>
      <c r="V1388" s="1">
        <v>46583</v>
      </c>
      <c r="W1388" s="1">
        <v>46675</v>
      </c>
      <c r="X1388" s="1">
        <v>46461</v>
      </c>
      <c r="Z1388" t="s">
        <v>52</v>
      </c>
      <c r="AB1388" t="s">
        <v>52</v>
      </c>
      <c r="AC1388">
        <v>50</v>
      </c>
      <c r="AD1388">
        <v>1</v>
      </c>
      <c r="AK1388" t="s">
        <v>52</v>
      </c>
      <c r="AN1388" t="s">
        <v>52</v>
      </c>
      <c r="AO1388" t="s">
        <v>52</v>
      </c>
      <c r="AP1388" t="s">
        <v>52</v>
      </c>
      <c r="AQ1388" t="s">
        <v>52</v>
      </c>
      <c r="AR1388" t="s">
        <v>55</v>
      </c>
    </row>
    <row r="1389" spans="1:45" x14ac:dyDescent="0.25">
      <c r="A1389" t="s">
        <v>47</v>
      </c>
      <c r="B1389">
        <v>8</v>
      </c>
      <c r="C1389" t="s">
        <v>210</v>
      </c>
      <c r="D1389">
        <v>123</v>
      </c>
      <c r="E1389" t="s">
        <v>79</v>
      </c>
      <c r="F1389">
        <v>50</v>
      </c>
      <c r="G1389" t="s">
        <v>65</v>
      </c>
      <c r="H1389" t="s">
        <v>50</v>
      </c>
      <c r="K1389" t="s">
        <v>52</v>
      </c>
      <c r="L1389">
        <v>1</v>
      </c>
      <c r="M1389" t="s">
        <v>52</v>
      </c>
      <c r="N1389" t="s">
        <v>53</v>
      </c>
      <c r="R1389">
        <v>0.5</v>
      </c>
      <c r="S1389">
        <v>0.75</v>
      </c>
      <c r="T1389">
        <v>0</v>
      </c>
      <c r="U1389">
        <v>0</v>
      </c>
      <c r="V1389" s="1">
        <v>46583</v>
      </c>
      <c r="W1389" s="1">
        <v>46675</v>
      </c>
      <c r="X1389" s="1">
        <v>46461</v>
      </c>
      <c r="Z1389" t="s">
        <v>52</v>
      </c>
      <c r="AB1389" t="s">
        <v>52</v>
      </c>
      <c r="AC1389">
        <v>50</v>
      </c>
      <c r="AD1389">
        <v>1</v>
      </c>
      <c r="AK1389" t="s">
        <v>52</v>
      </c>
      <c r="AN1389" t="s">
        <v>52</v>
      </c>
      <c r="AO1389" t="s">
        <v>52</v>
      </c>
      <c r="AP1389" t="s">
        <v>52</v>
      </c>
      <c r="AQ1389" t="s">
        <v>52</v>
      </c>
      <c r="AR1389" t="s">
        <v>55</v>
      </c>
    </row>
    <row r="1390" spans="1:45" x14ac:dyDescent="0.25">
      <c r="A1390" t="s">
        <v>47</v>
      </c>
      <c r="B1390">
        <v>8</v>
      </c>
      <c r="C1390" t="s">
        <v>210</v>
      </c>
      <c r="D1390">
        <v>123</v>
      </c>
      <c r="E1390" t="s">
        <v>79</v>
      </c>
      <c r="F1390">
        <v>50</v>
      </c>
      <c r="G1390" t="s">
        <v>81</v>
      </c>
      <c r="H1390" t="s">
        <v>50</v>
      </c>
      <c r="K1390" t="s">
        <v>51</v>
      </c>
      <c r="L1390">
        <v>1</v>
      </c>
      <c r="M1390" t="s">
        <v>52</v>
      </c>
      <c r="N1390" t="s">
        <v>53</v>
      </c>
      <c r="R1390">
        <v>0.5</v>
      </c>
      <c r="S1390">
        <v>0.75</v>
      </c>
      <c r="T1390">
        <v>0</v>
      </c>
      <c r="U1390">
        <v>0</v>
      </c>
      <c r="V1390" s="1">
        <v>46583</v>
      </c>
      <c r="W1390" s="1">
        <v>46675</v>
      </c>
      <c r="X1390" s="1">
        <v>46461</v>
      </c>
      <c r="Z1390" t="s">
        <v>52</v>
      </c>
      <c r="AB1390" t="s">
        <v>52</v>
      </c>
      <c r="AC1390">
        <v>50</v>
      </c>
      <c r="AD1390">
        <v>1</v>
      </c>
      <c r="AK1390" t="s">
        <v>52</v>
      </c>
      <c r="AN1390" t="s">
        <v>52</v>
      </c>
      <c r="AO1390" t="s">
        <v>52</v>
      </c>
      <c r="AP1390" t="s">
        <v>52</v>
      </c>
      <c r="AQ1390" t="s">
        <v>52</v>
      </c>
      <c r="AR1390" t="s">
        <v>55</v>
      </c>
    </row>
    <row r="1391" spans="1:45" x14ac:dyDescent="0.25">
      <c r="A1391" t="s">
        <v>47</v>
      </c>
      <c r="B1391">
        <v>8</v>
      </c>
      <c r="C1391" t="s">
        <v>210</v>
      </c>
      <c r="D1391">
        <v>123</v>
      </c>
      <c r="E1391" t="s">
        <v>79</v>
      </c>
      <c r="F1391">
        <v>50</v>
      </c>
      <c r="G1391" t="s">
        <v>81</v>
      </c>
      <c r="H1391" t="s">
        <v>50</v>
      </c>
      <c r="K1391" t="s">
        <v>52</v>
      </c>
      <c r="L1391">
        <v>1</v>
      </c>
      <c r="M1391" t="s">
        <v>52</v>
      </c>
      <c r="N1391" t="s">
        <v>53</v>
      </c>
      <c r="R1391">
        <v>0.5</v>
      </c>
      <c r="S1391">
        <v>0.75</v>
      </c>
      <c r="T1391">
        <v>0</v>
      </c>
      <c r="U1391">
        <v>0</v>
      </c>
      <c r="V1391" s="1">
        <v>46583</v>
      </c>
      <c r="W1391" s="1">
        <v>46675</v>
      </c>
      <c r="X1391" s="1">
        <v>46461</v>
      </c>
      <c r="Z1391" t="s">
        <v>52</v>
      </c>
      <c r="AB1391" t="s">
        <v>52</v>
      </c>
      <c r="AC1391">
        <v>50</v>
      </c>
      <c r="AD1391">
        <v>1</v>
      </c>
      <c r="AK1391" t="s">
        <v>52</v>
      </c>
      <c r="AN1391" t="s">
        <v>52</v>
      </c>
      <c r="AO1391" t="s">
        <v>52</v>
      </c>
      <c r="AP1391" t="s">
        <v>52</v>
      </c>
      <c r="AQ1391" t="s">
        <v>52</v>
      </c>
      <c r="AR1391" t="s">
        <v>55</v>
      </c>
    </row>
    <row r="1392" spans="1:45" x14ac:dyDescent="0.25">
      <c r="A1392" t="s">
        <v>47</v>
      </c>
      <c r="B1392">
        <v>8</v>
      </c>
      <c r="C1392" t="s">
        <v>210</v>
      </c>
      <c r="D1392">
        <v>123</v>
      </c>
      <c r="E1392" t="s">
        <v>83</v>
      </c>
      <c r="F1392">
        <v>158</v>
      </c>
      <c r="H1392" t="s">
        <v>50</v>
      </c>
      <c r="K1392" t="s">
        <v>51</v>
      </c>
      <c r="L1392">
        <v>1</v>
      </c>
      <c r="M1392" t="s">
        <v>52</v>
      </c>
      <c r="N1392" t="s">
        <v>53</v>
      </c>
      <c r="P1392">
        <v>1.3</v>
      </c>
      <c r="R1392">
        <v>0.77</v>
      </c>
      <c r="S1392">
        <v>0.93</v>
      </c>
      <c r="T1392">
        <v>0</v>
      </c>
      <c r="U1392">
        <v>0</v>
      </c>
      <c r="V1392" s="1">
        <v>46326</v>
      </c>
      <c r="W1392" s="1">
        <v>46691</v>
      </c>
      <c r="X1392" s="1">
        <v>46266</v>
      </c>
      <c r="Z1392" t="s">
        <v>52</v>
      </c>
      <c r="AA1392" t="s">
        <v>54</v>
      </c>
      <c r="AB1392" t="s">
        <v>52</v>
      </c>
      <c r="AC1392">
        <v>158</v>
      </c>
      <c r="AD1392">
        <v>2</v>
      </c>
      <c r="AK1392" t="s">
        <v>52</v>
      </c>
      <c r="AN1392" t="s">
        <v>52</v>
      </c>
      <c r="AO1392" t="s">
        <v>52</v>
      </c>
      <c r="AP1392" t="s">
        <v>52</v>
      </c>
      <c r="AQ1392" t="s">
        <v>52</v>
      </c>
      <c r="AR1392" t="s">
        <v>95</v>
      </c>
      <c r="AS1392" t="s">
        <v>140</v>
      </c>
    </row>
    <row r="1393" spans="1:45" x14ac:dyDescent="0.25">
      <c r="A1393" t="s">
        <v>47</v>
      </c>
      <c r="B1393">
        <v>8</v>
      </c>
      <c r="C1393" t="s">
        <v>210</v>
      </c>
      <c r="D1393">
        <v>123</v>
      </c>
      <c r="E1393" t="s">
        <v>83</v>
      </c>
      <c r="F1393">
        <v>158</v>
      </c>
      <c r="H1393" t="s">
        <v>50</v>
      </c>
      <c r="K1393" t="s">
        <v>52</v>
      </c>
      <c r="L1393">
        <v>1</v>
      </c>
      <c r="M1393" t="s">
        <v>52</v>
      </c>
      <c r="N1393" t="s">
        <v>53</v>
      </c>
      <c r="R1393">
        <v>0.77</v>
      </c>
      <c r="S1393">
        <v>0.93</v>
      </c>
      <c r="T1393">
        <v>0</v>
      </c>
      <c r="U1393">
        <v>0</v>
      </c>
      <c r="V1393" s="1">
        <v>46326</v>
      </c>
      <c r="W1393" s="1">
        <v>46691</v>
      </c>
      <c r="X1393" s="1">
        <v>46266</v>
      </c>
      <c r="Z1393" t="s">
        <v>52</v>
      </c>
      <c r="AB1393" t="s">
        <v>52</v>
      </c>
      <c r="AC1393">
        <v>158</v>
      </c>
      <c r="AD1393">
        <v>2</v>
      </c>
      <c r="AK1393" t="s">
        <v>52</v>
      </c>
      <c r="AN1393" t="s">
        <v>52</v>
      </c>
      <c r="AO1393" t="s">
        <v>52</v>
      </c>
      <c r="AP1393" t="s">
        <v>52</v>
      </c>
      <c r="AQ1393" t="s">
        <v>52</v>
      </c>
      <c r="AR1393" t="s">
        <v>55</v>
      </c>
    </row>
    <row r="1394" spans="1:45" x14ac:dyDescent="0.25">
      <c r="A1394" t="s">
        <v>47</v>
      </c>
      <c r="B1394">
        <v>8</v>
      </c>
      <c r="C1394" t="s">
        <v>210</v>
      </c>
      <c r="D1394">
        <v>123</v>
      </c>
      <c r="E1394" t="s">
        <v>84</v>
      </c>
      <c r="F1394">
        <v>11</v>
      </c>
      <c r="G1394" t="s">
        <v>85</v>
      </c>
      <c r="H1394" t="s">
        <v>50</v>
      </c>
      <c r="K1394" t="s">
        <v>51</v>
      </c>
      <c r="L1394">
        <v>1</v>
      </c>
      <c r="M1394" t="s">
        <v>52</v>
      </c>
      <c r="N1394" t="s">
        <v>53</v>
      </c>
      <c r="R1394">
        <v>0.5</v>
      </c>
      <c r="S1394">
        <v>0.75</v>
      </c>
      <c r="T1394">
        <v>0</v>
      </c>
      <c r="U1394">
        <v>0</v>
      </c>
      <c r="V1394" s="1">
        <v>46522</v>
      </c>
      <c r="W1394" s="1">
        <v>46691</v>
      </c>
      <c r="X1394" s="1">
        <v>46295</v>
      </c>
      <c r="Z1394" t="s">
        <v>52</v>
      </c>
      <c r="AB1394" t="s">
        <v>52</v>
      </c>
      <c r="AC1394">
        <v>11</v>
      </c>
      <c r="AD1394">
        <v>2</v>
      </c>
      <c r="AK1394" t="s">
        <v>52</v>
      </c>
      <c r="AN1394" t="s">
        <v>52</v>
      </c>
      <c r="AO1394" t="s">
        <v>52</v>
      </c>
      <c r="AP1394" t="s">
        <v>52</v>
      </c>
      <c r="AQ1394" t="s">
        <v>52</v>
      </c>
      <c r="AR1394" t="s">
        <v>55</v>
      </c>
      <c r="AS1394" t="s">
        <v>60</v>
      </c>
    </row>
    <row r="1395" spans="1:45" x14ac:dyDescent="0.25">
      <c r="A1395" t="s">
        <v>47</v>
      </c>
      <c r="B1395">
        <v>8</v>
      </c>
      <c r="C1395" t="s">
        <v>210</v>
      </c>
      <c r="D1395">
        <v>123</v>
      </c>
      <c r="E1395" t="s">
        <v>84</v>
      </c>
      <c r="F1395">
        <v>11</v>
      </c>
      <c r="G1395" t="s">
        <v>85</v>
      </c>
      <c r="H1395" t="s">
        <v>50</v>
      </c>
      <c r="K1395" t="s">
        <v>52</v>
      </c>
      <c r="L1395">
        <v>1</v>
      </c>
      <c r="M1395" t="s">
        <v>52</v>
      </c>
      <c r="N1395" t="s">
        <v>53</v>
      </c>
      <c r="R1395">
        <v>0.5</v>
      </c>
      <c r="S1395">
        <v>0.75</v>
      </c>
      <c r="T1395">
        <v>0</v>
      </c>
      <c r="U1395">
        <v>0</v>
      </c>
      <c r="V1395" s="1">
        <v>46522</v>
      </c>
      <c r="W1395" s="1">
        <v>46691</v>
      </c>
      <c r="X1395" s="1">
        <v>46295</v>
      </c>
      <c r="Z1395" t="s">
        <v>52</v>
      </c>
      <c r="AB1395" t="s">
        <v>52</v>
      </c>
      <c r="AC1395">
        <v>11</v>
      </c>
      <c r="AD1395">
        <v>2</v>
      </c>
      <c r="AK1395" t="s">
        <v>52</v>
      </c>
      <c r="AN1395" t="s">
        <v>52</v>
      </c>
      <c r="AO1395" t="s">
        <v>52</v>
      </c>
      <c r="AP1395" t="s">
        <v>52</v>
      </c>
      <c r="AQ1395" t="s">
        <v>52</v>
      </c>
      <c r="AR1395" t="s">
        <v>55</v>
      </c>
      <c r="AS1395" t="s">
        <v>60</v>
      </c>
    </row>
    <row r="1396" spans="1:45" x14ac:dyDescent="0.25">
      <c r="A1396" t="s">
        <v>47</v>
      </c>
      <c r="B1396">
        <v>8</v>
      </c>
      <c r="C1396" t="s">
        <v>210</v>
      </c>
      <c r="D1396">
        <v>123</v>
      </c>
      <c r="E1396" t="s">
        <v>84</v>
      </c>
      <c r="F1396">
        <v>11</v>
      </c>
      <c r="G1396" t="s">
        <v>96</v>
      </c>
      <c r="H1396" t="s">
        <v>50</v>
      </c>
      <c r="K1396" t="s">
        <v>51</v>
      </c>
      <c r="L1396">
        <v>1</v>
      </c>
      <c r="M1396" t="s">
        <v>52</v>
      </c>
      <c r="N1396" t="s">
        <v>53</v>
      </c>
      <c r="R1396">
        <v>0.5</v>
      </c>
      <c r="S1396">
        <v>0.75</v>
      </c>
      <c r="T1396">
        <v>0</v>
      </c>
      <c r="U1396">
        <v>0</v>
      </c>
      <c r="V1396" s="1">
        <v>46310</v>
      </c>
      <c r="W1396" s="1">
        <v>46691</v>
      </c>
      <c r="X1396" s="1">
        <v>46295</v>
      </c>
      <c r="Z1396" t="s">
        <v>52</v>
      </c>
      <c r="AB1396" t="s">
        <v>52</v>
      </c>
      <c r="AC1396">
        <v>11</v>
      </c>
      <c r="AD1396">
        <v>2</v>
      </c>
      <c r="AK1396" t="s">
        <v>52</v>
      </c>
      <c r="AN1396" t="s">
        <v>52</v>
      </c>
      <c r="AO1396" t="s">
        <v>52</v>
      </c>
      <c r="AP1396" t="s">
        <v>52</v>
      </c>
      <c r="AQ1396" t="s">
        <v>52</v>
      </c>
      <c r="AR1396" t="s">
        <v>55</v>
      </c>
      <c r="AS1396" t="s">
        <v>60</v>
      </c>
    </row>
    <row r="1397" spans="1:45" x14ac:dyDescent="0.25">
      <c r="A1397" t="s">
        <v>47</v>
      </c>
      <c r="B1397">
        <v>8</v>
      </c>
      <c r="C1397" t="s">
        <v>210</v>
      </c>
      <c r="D1397">
        <v>123</v>
      </c>
      <c r="E1397" t="s">
        <v>84</v>
      </c>
      <c r="F1397">
        <v>11</v>
      </c>
      <c r="G1397" t="s">
        <v>96</v>
      </c>
      <c r="H1397" t="s">
        <v>50</v>
      </c>
      <c r="K1397" t="s">
        <v>52</v>
      </c>
      <c r="L1397">
        <v>1</v>
      </c>
      <c r="M1397" t="s">
        <v>52</v>
      </c>
      <c r="N1397" t="s">
        <v>53</v>
      </c>
      <c r="R1397">
        <v>0.5</v>
      </c>
      <c r="S1397">
        <v>0.75</v>
      </c>
      <c r="T1397">
        <v>0</v>
      </c>
      <c r="U1397">
        <v>0</v>
      </c>
      <c r="V1397" s="1">
        <v>46310</v>
      </c>
      <c r="W1397" s="1">
        <v>46691</v>
      </c>
      <c r="X1397" s="1">
        <v>46295</v>
      </c>
      <c r="Z1397" t="s">
        <v>52</v>
      </c>
      <c r="AB1397" t="s">
        <v>52</v>
      </c>
      <c r="AC1397">
        <v>11</v>
      </c>
      <c r="AD1397">
        <v>2</v>
      </c>
      <c r="AK1397" t="s">
        <v>52</v>
      </c>
      <c r="AN1397" t="s">
        <v>52</v>
      </c>
      <c r="AO1397" t="s">
        <v>52</v>
      </c>
      <c r="AP1397" t="s">
        <v>52</v>
      </c>
      <c r="AQ1397" t="s">
        <v>52</v>
      </c>
      <c r="AR1397" t="s">
        <v>55</v>
      </c>
      <c r="AS1397" t="s">
        <v>60</v>
      </c>
    </row>
    <row r="1398" spans="1:45" ht="360" x14ac:dyDescent="0.25">
      <c r="A1398" t="s">
        <v>47</v>
      </c>
      <c r="B1398">
        <v>8</v>
      </c>
      <c r="C1398" t="s">
        <v>213</v>
      </c>
      <c r="D1398">
        <v>125</v>
      </c>
      <c r="E1398" t="s">
        <v>49</v>
      </c>
      <c r="F1398">
        <v>27</v>
      </c>
      <c r="H1398" t="s">
        <v>50</v>
      </c>
      <c r="K1398" t="s">
        <v>51</v>
      </c>
      <c r="L1398">
        <v>1</v>
      </c>
      <c r="M1398" t="s">
        <v>52</v>
      </c>
      <c r="N1398" t="s">
        <v>53</v>
      </c>
      <c r="Q1398">
        <v>230</v>
      </c>
      <c r="R1398">
        <v>0</v>
      </c>
      <c r="S1398">
        <v>0.75</v>
      </c>
      <c r="T1398">
        <v>0</v>
      </c>
      <c r="U1398">
        <v>0</v>
      </c>
      <c r="W1398" s="1">
        <v>46675</v>
      </c>
      <c r="X1398" s="1">
        <v>46357</v>
      </c>
      <c r="Y1398" t="s">
        <v>54</v>
      </c>
      <c r="Z1398" t="s">
        <v>52</v>
      </c>
      <c r="AB1398" t="s">
        <v>52</v>
      </c>
      <c r="AC1398">
        <v>27</v>
      </c>
      <c r="AD1398">
        <v>1</v>
      </c>
      <c r="AE1398">
        <v>0.97</v>
      </c>
      <c r="AG1398">
        <v>0.97</v>
      </c>
      <c r="AK1398" t="s">
        <v>52</v>
      </c>
      <c r="AN1398" t="s">
        <v>52</v>
      </c>
      <c r="AO1398" t="s">
        <v>52</v>
      </c>
      <c r="AP1398" t="s">
        <v>52</v>
      </c>
      <c r="AQ1398" t="s">
        <v>52</v>
      </c>
      <c r="AR1398" t="s">
        <v>55</v>
      </c>
      <c r="AS1398" s="2" t="s">
        <v>211</v>
      </c>
    </row>
    <row r="1399" spans="1:45" ht="360" x14ac:dyDescent="0.25">
      <c r="A1399" t="s">
        <v>47</v>
      </c>
      <c r="B1399">
        <v>8</v>
      </c>
      <c r="C1399" t="s">
        <v>213</v>
      </c>
      <c r="D1399">
        <v>125</v>
      </c>
      <c r="E1399" t="s">
        <v>49</v>
      </c>
      <c r="F1399">
        <v>27</v>
      </c>
      <c r="H1399" t="s">
        <v>50</v>
      </c>
      <c r="K1399" t="s">
        <v>52</v>
      </c>
      <c r="L1399">
        <v>1</v>
      </c>
      <c r="M1399" t="s">
        <v>52</v>
      </c>
      <c r="N1399" t="s">
        <v>53</v>
      </c>
      <c r="Q1399">
        <v>230</v>
      </c>
      <c r="R1399">
        <v>0</v>
      </c>
      <c r="S1399">
        <v>0.75</v>
      </c>
      <c r="T1399">
        <v>0</v>
      </c>
      <c r="U1399">
        <v>0</v>
      </c>
      <c r="W1399" s="1">
        <v>46675</v>
      </c>
      <c r="X1399" s="1">
        <v>46357</v>
      </c>
      <c r="Y1399" t="s">
        <v>54</v>
      </c>
      <c r="Z1399" t="s">
        <v>52</v>
      </c>
      <c r="AB1399" t="s">
        <v>52</v>
      </c>
      <c r="AC1399">
        <v>27</v>
      </c>
      <c r="AD1399">
        <v>1</v>
      </c>
      <c r="AE1399">
        <v>0.97</v>
      </c>
      <c r="AG1399">
        <v>0.97</v>
      </c>
      <c r="AK1399" t="s">
        <v>52</v>
      </c>
      <c r="AN1399" t="s">
        <v>52</v>
      </c>
      <c r="AO1399" t="s">
        <v>52</v>
      </c>
      <c r="AP1399" t="s">
        <v>52</v>
      </c>
      <c r="AQ1399" t="s">
        <v>52</v>
      </c>
      <c r="AR1399" t="s">
        <v>55</v>
      </c>
      <c r="AS1399" s="2" t="s">
        <v>212</v>
      </c>
    </row>
    <row r="1400" spans="1:45" x14ac:dyDescent="0.25">
      <c r="A1400" t="s">
        <v>47</v>
      </c>
      <c r="B1400">
        <v>8</v>
      </c>
      <c r="C1400" t="s">
        <v>213</v>
      </c>
      <c r="D1400">
        <v>125</v>
      </c>
      <c r="E1400" t="s">
        <v>87</v>
      </c>
      <c r="F1400">
        <v>91</v>
      </c>
      <c r="G1400" t="s">
        <v>76</v>
      </c>
      <c r="H1400" t="s">
        <v>50</v>
      </c>
      <c r="K1400" t="s">
        <v>51</v>
      </c>
      <c r="L1400">
        <v>1</v>
      </c>
      <c r="M1400" t="s">
        <v>52</v>
      </c>
      <c r="N1400" t="s">
        <v>53</v>
      </c>
      <c r="R1400">
        <v>0.77</v>
      </c>
      <c r="S1400">
        <v>0.93</v>
      </c>
      <c r="U1400">
        <v>0</v>
      </c>
      <c r="V1400" s="1">
        <v>46548</v>
      </c>
      <c r="W1400" s="1">
        <v>46691</v>
      </c>
      <c r="X1400" s="1">
        <v>46295</v>
      </c>
      <c r="Z1400" t="s">
        <v>52</v>
      </c>
      <c r="AB1400" t="s">
        <v>52</v>
      </c>
      <c r="AC1400">
        <v>91</v>
      </c>
      <c r="AD1400">
        <v>2</v>
      </c>
      <c r="AK1400" t="s">
        <v>52</v>
      </c>
      <c r="AN1400" t="s">
        <v>52</v>
      </c>
      <c r="AO1400" t="s">
        <v>52</v>
      </c>
      <c r="AP1400" t="s">
        <v>52</v>
      </c>
      <c r="AQ1400" t="s">
        <v>52</v>
      </c>
      <c r="AR1400" t="s">
        <v>55</v>
      </c>
    </row>
    <row r="1401" spans="1:45" x14ac:dyDescent="0.25">
      <c r="A1401" t="s">
        <v>47</v>
      </c>
      <c r="B1401">
        <v>8</v>
      </c>
      <c r="C1401" t="s">
        <v>213</v>
      </c>
      <c r="D1401">
        <v>125</v>
      </c>
      <c r="E1401" t="s">
        <v>87</v>
      </c>
      <c r="F1401">
        <v>91</v>
      </c>
      <c r="G1401" t="s">
        <v>76</v>
      </c>
      <c r="H1401" t="s">
        <v>50</v>
      </c>
      <c r="K1401" t="s">
        <v>52</v>
      </c>
      <c r="L1401">
        <v>1</v>
      </c>
      <c r="M1401" t="s">
        <v>52</v>
      </c>
      <c r="N1401" t="s">
        <v>53</v>
      </c>
      <c r="R1401">
        <v>0.77</v>
      </c>
      <c r="S1401">
        <v>0.93</v>
      </c>
      <c r="U1401">
        <v>0</v>
      </c>
      <c r="V1401" s="1">
        <v>46548</v>
      </c>
      <c r="W1401" s="1">
        <v>46691</v>
      </c>
      <c r="X1401" s="1">
        <v>46295</v>
      </c>
      <c r="Z1401" t="s">
        <v>52</v>
      </c>
      <c r="AB1401" t="s">
        <v>52</v>
      </c>
      <c r="AC1401">
        <v>91</v>
      </c>
      <c r="AD1401">
        <v>2</v>
      </c>
      <c r="AK1401" t="s">
        <v>52</v>
      </c>
      <c r="AN1401" t="s">
        <v>52</v>
      </c>
      <c r="AO1401" t="s">
        <v>52</v>
      </c>
      <c r="AP1401" t="s">
        <v>52</v>
      </c>
      <c r="AQ1401" t="s">
        <v>52</v>
      </c>
      <c r="AR1401" t="s">
        <v>55</v>
      </c>
    </row>
    <row r="1402" spans="1:45" x14ac:dyDescent="0.25">
      <c r="A1402" t="s">
        <v>47</v>
      </c>
      <c r="B1402">
        <v>8</v>
      </c>
      <c r="C1402" t="s">
        <v>213</v>
      </c>
      <c r="D1402">
        <v>125</v>
      </c>
      <c r="E1402" t="s">
        <v>110</v>
      </c>
      <c r="F1402">
        <v>265</v>
      </c>
      <c r="G1402" t="s">
        <v>214</v>
      </c>
      <c r="H1402" t="s">
        <v>50</v>
      </c>
      <c r="K1402" t="s">
        <v>51</v>
      </c>
      <c r="L1402">
        <v>1</v>
      </c>
      <c r="M1402" t="s">
        <v>52</v>
      </c>
      <c r="N1402" t="s">
        <v>53</v>
      </c>
      <c r="R1402">
        <v>0</v>
      </c>
      <c r="S1402">
        <v>0.87</v>
      </c>
      <c r="U1402">
        <v>0</v>
      </c>
      <c r="W1402" s="1">
        <v>46675</v>
      </c>
      <c r="X1402" s="1">
        <v>46357</v>
      </c>
      <c r="Z1402" t="s">
        <v>52</v>
      </c>
      <c r="AB1402" t="s">
        <v>52</v>
      </c>
      <c r="AC1402">
        <v>102</v>
      </c>
      <c r="AD1402">
        <v>1</v>
      </c>
      <c r="AK1402" t="s">
        <v>52</v>
      </c>
      <c r="AN1402" t="s">
        <v>52</v>
      </c>
      <c r="AO1402" t="s">
        <v>52</v>
      </c>
      <c r="AP1402" t="s">
        <v>52</v>
      </c>
      <c r="AQ1402" t="s">
        <v>52</v>
      </c>
      <c r="AR1402" t="s">
        <v>55</v>
      </c>
      <c r="AS1402" t="s">
        <v>60</v>
      </c>
    </row>
    <row r="1403" spans="1:45" x14ac:dyDescent="0.25">
      <c r="A1403" t="s">
        <v>47</v>
      </c>
      <c r="B1403">
        <v>8</v>
      </c>
      <c r="C1403" t="s">
        <v>213</v>
      </c>
      <c r="D1403">
        <v>125</v>
      </c>
      <c r="E1403" t="s">
        <v>110</v>
      </c>
      <c r="F1403">
        <v>265</v>
      </c>
      <c r="G1403" t="s">
        <v>214</v>
      </c>
      <c r="H1403" t="s">
        <v>50</v>
      </c>
      <c r="K1403" t="s">
        <v>52</v>
      </c>
      <c r="L1403">
        <v>1</v>
      </c>
      <c r="M1403" t="s">
        <v>52</v>
      </c>
      <c r="N1403" t="s">
        <v>53</v>
      </c>
      <c r="R1403">
        <v>0</v>
      </c>
      <c r="S1403">
        <v>0.87</v>
      </c>
      <c r="U1403">
        <v>0</v>
      </c>
      <c r="W1403" s="1">
        <v>46675</v>
      </c>
      <c r="X1403" s="1">
        <v>46357</v>
      </c>
      <c r="Z1403" t="s">
        <v>52</v>
      </c>
      <c r="AB1403" t="s">
        <v>52</v>
      </c>
      <c r="AC1403">
        <v>102</v>
      </c>
      <c r="AD1403">
        <v>1</v>
      </c>
      <c r="AK1403" t="s">
        <v>52</v>
      </c>
      <c r="AN1403" t="s">
        <v>52</v>
      </c>
      <c r="AO1403" t="s">
        <v>52</v>
      </c>
      <c r="AP1403" t="s">
        <v>52</v>
      </c>
      <c r="AQ1403" t="s">
        <v>52</v>
      </c>
      <c r="AR1403" t="s">
        <v>55</v>
      </c>
      <c r="AS1403" t="s">
        <v>60</v>
      </c>
    </row>
    <row r="1404" spans="1:45" x14ac:dyDescent="0.25">
      <c r="A1404" t="s">
        <v>47</v>
      </c>
      <c r="B1404">
        <v>8</v>
      </c>
      <c r="C1404" t="s">
        <v>213</v>
      </c>
      <c r="D1404">
        <v>125</v>
      </c>
      <c r="E1404" t="s">
        <v>58</v>
      </c>
      <c r="F1404">
        <v>102</v>
      </c>
      <c r="G1404" t="s">
        <v>62</v>
      </c>
      <c r="H1404" t="s">
        <v>50</v>
      </c>
      <c r="K1404" t="s">
        <v>51</v>
      </c>
      <c r="L1404">
        <v>1</v>
      </c>
      <c r="M1404" t="s">
        <v>52</v>
      </c>
      <c r="N1404" t="s">
        <v>53</v>
      </c>
      <c r="R1404">
        <v>0</v>
      </c>
      <c r="S1404">
        <v>0.92</v>
      </c>
      <c r="T1404">
        <v>0</v>
      </c>
      <c r="U1404">
        <v>0</v>
      </c>
      <c r="W1404" s="1">
        <v>46731</v>
      </c>
      <c r="X1404" s="1">
        <v>46357</v>
      </c>
      <c r="Z1404" t="s">
        <v>52</v>
      </c>
      <c r="AB1404" t="s">
        <v>52</v>
      </c>
      <c r="AC1404">
        <v>102</v>
      </c>
      <c r="AD1404">
        <v>1</v>
      </c>
      <c r="AK1404" t="s">
        <v>52</v>
      </c>
      <c r="AN1404" t="s">
        <v>52</v>
      </c>
      <c r="AO1404" t="s">
        <v>52</v>
      </c>
      <c r="AP1404" t="s">
        <v>52</v>
      </c>
      <c r="AQ1404" t="s">
        <v>52</v>
      </c>
      <c r="AR1404" t="s">
        <v>55</v>
      </c>
    </row>
    <row r="1405" spans="1:45" x14ac:dyDescent="0.25">
      <c r="A1405" t="s">
        <v>47</v>
      </c>
      <c r="B1405">
        <v>8</v>
      </c>
      <c r="C1405" t="s">
        <v>213</v>
      </c>
      <c r="D1405">
        <v>125</v>
      </c>
      <c r="E1405" t="s">
        <v>58</v>
      </c>
      <c r="F1405">
        <v>102</v>
      </c>
      <c r="G1405" t="s">
        <v>62</v>
      </c>
      <c r="H1405" t="s">
        <v>50</v>
      </c>
      <c r="K1405" t="s">
        <v>52</v>
      </c>
      <c r="L1405">
        <v>1</v>
      </c>
      <c r="M1405" t="s">
        <v>52</v>
      </c>
      <c r="N1405" t="s">
        <v>53</v>
      </c>
      <c r="R1405">
        <v>0</v>
      </c>
      <c r="S1405">
        <v>0.92</v>
      </c>
      <c r="T1405">
        <v>0</v>
      </c>
      <c r="U1405">
        <v>0</v>
      </c>
      <c r="W1405" s="1">
        <v>46731</v>
      </c>
      <c r="X1405" s="1">
        <v>46357</v>
      </c>
      <c r="Z1405" t="s">
        <v>52</v>
      </c>
      <c r="AB1405" t="s">
        <v>52</v>
      </c>
      <c r="AC1405">
        <v>102</v>
      </c>
      <c r="AD1405">
        <v>1</v>
      </c>
      <c r="AK1405" t="s">
        <v>52</v>
      </c>
      <c r="AN1405" t="s">
        <v>52</v>
      </c>
      <c r="AO1405" t="s">
        <v>52</v>
      </c>
      <c r="AP1405" t="s">
        <v>52</v>
      </c>
      <c r="AQ1405" t="s">
        <v>52</v>
      </c>
      <c r="AR1405" t="s">
        <v>55</v>
      </c>
    </row>
    <row r="1406" spans="1:45" x14ac:dyDescent="0.25">
      <c r="A1406" t="s">
        <v>47</v>
      </c>
      <c r="B1406">
        <v>8</v>
      </c>
      <c r="C1406" t="s">
        <v>213</v>
      </c>
      <c r="D1406">
        <v>125</v>
      </c>
      <c r="E1406" t="s">
        <v>68</v>
      </c>
      <c r="F1406">
        <v>80</v>
      </c>
      <c r="G1406" t="s">
        <v>69</v>
      </c>
      <c r="H1406" t="s">
        <v>50</v>
      </c>
      <c r="K1406" t="s">
        <v>51</v>
      </c>
      <c r="L1406">
        <v>1</v>
      </c>
      <c r="M1406" t="s">
        <v>52</v>
      </c>
      <c r="N1406" t="s">
        <v>53</v>
      </c>
      <c r="R1406">
        <v>0.5</v>
      </c>
      <c r="S1406">
        <v>0.75</v>
      </c>
      <c r="T1406">
        <v>0</v>
      </c>
      <c r="U1406">
        <v>0</v>
      </c>
      <c r="V1406" s="1">
        <v>46583</v>
      </c>
      <c r="W1406" s="1">
        <v>46675</v>
      </c>
      <c r="X1406" s="1">
        <v>46461</v>
      </c>
      <c r="Z1406" t="s">
        <v>52</v>
      </c>
      <c r="AB1406" t="s">
        <v>52</v>
      </c>
      <c r="AC1406">
        <v>80</v>
      </c>
      <c r="AD1406">
        <v>1</v>
      </c>
      <c r="AK1406" t="s">
        <v>52</v>
      </c>
      <c r="AN1406" t="s">
        <v>52</v>
      </c>
      <c r="AO1406" t="s">
        <v>52</v>
      </c>
      <c r="AP1406" t="s">
        <v>52</v>
      </c>
      <c r="AQ1406" t="s">
        <v>52</v>
      </c>
      <c r="AR1406" t="s">
        <v>55</v>
      </c>
    </row>
    <row r="1407" spans="1:45" x14ac:dyDescent="0.25">
      <c r="A1407" t="s">
        <v>47</v>
      </c>
      <c r="B1407">
        <v>8</v>
      </c>
      <c r="C1407" t="s">
        <v>213</v>
      </c>
      <c r="D1407">
        <v>125</v>
      </c>
      <c r="E1407" t="s">
        <v>68</v>
      </c>
      <c r="F1407">
        <v>80</v>
      </c>
      <c r="G1407" t="s">
        <v>69</v>
      </c>
      <c r="H1407" t="s">
        <v>50</v>
      </c>
      <c r="K1407" t="s">
        <v>52</v>
      </c>
      <c r="L1407">
        <v>1</v>
      </c>
      <c r="M1407" t="s">
        <v>52</v>
      </c>
      <c r="N1407" t="s">
        <v>53</v>
      </c>
      <c r="R1407">
        <v>0.5</v>
      </c>
      <c r="S1407">
        <v>0.75</v>
      </c>
      <c r="T1407">
        <v>0</v>
      </c>
      <c r="U1407">
        <v>0</v>
      </c>
      <c r="V1407" s="1">
        <v>46583</v>
      </c>
      <c r="W1407" s="1">
        <v>46675</v>
      </c>
      <c r="X1407" s="1">
        <v>46461</v>
      </c>
      <c r="Z1407" t="s">
        <v>52</v>
      </c>
      <c r="AB1407" t="s">
        <v>52</v>
      </c>
      <c r="AC1407">
        <v>80</v>
      </c>
      <c r="AD1407">
        <v>1</v>
      </c>
      <c r="AK1407" t="s">
        <v>52</v>
      </c>
      <c r="AN1407" t="s">
        <v>52</v>
      </c>
      <c r="AO1407" t="s">
        <v>52</v>
      </c>
      <c r="AP1407" t="s">
        <v>52</v>
      </c>
      <c r="AQ1407" t="s">
        <v>52</v>
      </c>
      <c r="AR1407" t="s">
        <v>55</v>
      </c>
    </row>
    <row r="1408" spans="1:45" x14ac:dyDescent="0.25">
      <c r="A1408" t="s">
        <v>47</v>
      </c>
      <c r="B1408">
        <v>8</v>
      </c>
      <c r="C1408" t="s">
        <v>213</v>
      </c>
      <c r="D1408">
        <v>125</v>
      </c>
      <c r="E1408" t="s">
        <v>70</v>
      </c>
      <c r="F1408">
        <v>296</v>
      </c>
      <c r="G1408" t="s">
        <v>71</v>
      </c>
      <c r="H1408" t="s">
        <v>50</v>
      </c>
      <c r="K1408" t="s">
        <v>51</v>
      </c>
      <c r="L1408">
        <v>1</v>
      </c>
      <c r="M1408" t="s">
        <v>52</v>
      </c>
      <c r="N1408" t="s">
        <v>53</v>
      </c>
      <c r="Q1408">
        <v>224.33330000000001</v>
      </c>
      <c r="R1408">
        <v>0</v>
      </c>
      <c r="S1408">
        <v>0.75</v>
      </c>
      <c r="T1408">
        <v>0</v>
      </c>
      <c r="U1408">
        <v>0</v>
      </c>
      <c r="W1408" s="1">
        <v>46675</v>
      </c>
      <c r="X1408" s="1">
        <v>46357</v>
      </c>
      <c r="Y1408" t="s">
        <v>54</v>
      </c>
      <c r="Z1408" t="s">
        <v>52</v>
      </c>
      <c r="AB1408" t="s">
        <v>52</v>
      </c>
      <c r="AC1408">
        <v>296</v>
      </c>
      <c r="AD1408">
        <v>1</v>
      </c>
      <c r="AK1408" t="s">
        <v>52</v>
      </c>
      <c r="AN1408" t="s">
        <v>52</v>
      </c>
      <c r="AO1408" t="s">
        <v>52</v>
      </c>
      <c r="AP1408" t="s">
        <v>52</v>
      </c>
      <c r="AQ1408" t="s">
        <v>52</v>
      </c>
      <c r="AR1408" t="s">
        <v>55</v>
      </c>
    </row>
    <row r="1409" spans="1:45" x14ac:dyDescent="0.25">
      <c r="A1409" t="s">
        <v>47</v>
      </c>
      <c r="B1409">
        <v>8</v>
      </c>
      <c r="C1409" t="s">
        <v>213</v>
      </c>
      <c r="D1409">
        <v>125</v>
      </c>
      <c r="E1409" t="s">
        <v>70</v>
      </c>
      <c r="F1409">
        <v>296</v>
      </c>
      <c r="G1409" t="s">
        <v>72</v>
      </c>
      <c r="H1409" t="s">
        <v>50</v>
      </c>
      <c r="K1409" t="s">
        <v>51</v>
      </c>
      <c r="L1409">
        <v>1</v>
      </c>
      <c r="M1409" t="s">
        <v>52</v>
      </c>
      <c r="N1409" t="s">
        <v>53</v>
      </c>
      <c r="R1409">
        <v>0.5</v>
      </c>
      <c r="S1409">
        <v>0.75</v>
      </c>
      <c r="T1409">
        <v>0</v>
      </c>
      <c r="U1409">
        <v>0</v>
      </c>
      <c r="V1409" s="1">
        <v>46507</v>
      </c>
      <c r="W1409" s="1">
        <v>46675</v>
      </c>
      <c r="X1409" s="1">
        <v>46357</v>
      </c>
      <c r="Z1409" t="s">
        <v>52</v>
      </c>
      <c r="AB1409" t="s">
        <v>52</v>
      </c>
      <c r="AC1409">
        <v>296</v>
      </c>
      <c r="AD1409">
        <v>1</v>
      </c>
      <c r="AK1409" t="s">
        <v>52</v>
      </c>
      <c r="AN1409" t="s">
        <v>52</v>
      </c>
      <c r="AO1409" t="s">
        <v>52</v>
      </c>
      <c r="AP1409" t="s">
        <v>52</v>
      </c>
      <c r="AQ1409" t="s">
        <v>52</v>
      </c>
      <c r="AR1409" t="s">
        <v>55</v>
      </c>
    </row>
    <row r="1410" spans="1:45" x14ac:dyDescent="0.25">
      <c r="A1410" t="s">
        <v>47</v>
      </c>
      <c r="B1410">
        <v>8</v>
      </c>
      <c r="C1410" t="s">
        <v>213</v>
      </c>
      <c r="D1410">
        <v>125</v>
      </c>
      <c r="E1410" t="s">
        <v>70</v>
      </c>
      <c r="F1410">
        <v>296</v>
      </c>
      <c r="G1410" t="s">
        <v>74</v>
      </c>
      <c r="H1410" t="s">
        <v>50</v>
      </c>
      <c r="K1410" t="s">
        <v>52</v>
      </c>
      <c r="L1410">
        <v>1</v>
      </c>
      <c r="M1410" t="s">
        <v>52</v>
      </c>
      <c r="N1410" t="s">
        <v>53</v>
      </c>
      <c r="R1410">
        <v>0</v>
      </c>
      <c r="S1410">
        <v>0.75</v>
      </c>
      <c r="T1410">
        <v>0</v>
      </c>
      <c r="U1410">
        <v>0</v>
      </c>
      <c r="W1410" s="1">
        <v>46675</v>
      </c>
      <c r="X1410" s="1">
        <v>46357</v>
      </c>
      <c r="Z1410" t="s">
        <v>52</v>
      </c>
      <c r="AB1410" t="s">
        <v>52</v>
      </c>
      <c r="AC1410">
        <v>102</v>
      </c>
      <c r="AD1410">
        <v>1</v>
      </c>
      <c r="AK1410" t="s">
        <v>52</v>
      </c>
      <c r="AN1410" t="s">
        <v>52</v>
      </c>
      <c r="AO1410" t="s">
        <v>52</v>
      </c>
      <c r="AP1410" t="s">
        <v>52</v>
      </c>
      <c r="AQ1410" t="s">
        <v>52</v>
      </c>
      <c r="AR1410" t="s">
        <v>55</v>
      </c>
      <c r="AS1410" t="s">
        <v>106</v>
      </c>
    </row>
    <row r="1411" spans="1:45" x14ac:dyDescent="0.25">
      <c r="A1411" t="s">
        <v>47</v>
      </c>
      <c r="B1411">
        <v>8</v>
      </c>
      <c r="C1411" t="s">
        <v>213</v>
      </c>
      <c r="D1411">
        <v>125</v>
      </c>
      <c r="E1411" t="s">
        <v>70</v>
      </c>
      <c r="F1411">
        <v>296</v>
      </c>
      <c r="G1411" t="s">
        <v>90</v>
      </c>
      <c r="H1411" t="s">
        <v>50</v>
      </c>
      <c r="K1411" t="s">
        <v>51</v>
      </c>
      <c r="L1411">
        <v>1</v>
      </c>
      <c r="M1411" t="s">
        <v>52</v>
      </c>
      <c r="N1411" t="s">
        <v>53</v>
      </c>
      <c r="R1411">
        <v>0.5</v>
      </c>
      <c r="S1411">
        <v>0.75</v>
      </c>
      <c r="T1411">
        <v>0</v>
      </c>
      <c r="U1411">
        <v>0</v>
      </c>
      <c r="V1411" s="1">
        <v>46593</v>
      </c>
      <c r="W1411" s="1">
        <v>46675</v>
      </c>
      <c r="X1411" s="1">
        <v>46357</v>
      </c>
      <c r="Z1411" t="s">
        <v>52</v>
      </c>
      <c r="AB1411" t="s">
        <v>52</v>
      </c>
      <c r="AC1411">
        <v>102</v>
      </c>
      <c r="AD1411">
        <v>1</v>
      </c>
      <c r="AK1411" t="s">
        <v>52</v>
      </c>
      <c r="AN1411" t="s">
        <v>52</v>
      </c>
      <c r="AO1411" t="s">
        <v>52</v>
      </c>
      <c r="AP1411" t="s">
        <v>52</v>
      </c>
      <c r="AQ1411" t="s">
        <v>52</v>
      </c>
      <c r="AR1411" t="s">
        <v>55</v>
      </c>
    </row>
    <row r="1412" spans="1:45" x14ac:dyDescent="0.25">
      <c r="A1412" t="s">
        <v>47</v>
      </c>
      <c r="B1412">
        <v>8</v>
      </c>
      <c r="C1412" t="s">
        <v>213</v>
      </c>
      <c r="D1412">
        <v>125</v>
      </c>
      <c r="E1412" t="s">
        <v>75</v>
      </c>
      <c r="F1412">
        <v>16</v>
      </c>
      <c r="G1412" t="s">
        <v>76</v>
      </c>
      <c r="H1412" t="s">
        <v>50</v>
      </c>
      <c r="K1412" t="s">
        <v>51</v>
      </c>
      <c r="L1412">
        <v>1</v>
      </c>
      <c r="M1412" t="s">
        <v>52</v>
      </c>
      <c r="N1412" t="s">
        <v>53</v>
      </c>
      <c r="R1412">
        <v>0.5</v>
      </c>
      <c r="S1412">
        <v>0.75</v>
      </c>
      <c r="T1412">
        <v>0</v>
      </c>
      <c r="U1412">
        <v>0</v>
      </c>
      <c r="V1412" s="1">
        <v>46507</v>
      </c>
      <c r="W1412" s="1">
        <v>46691</v>
      </c>
      <c r="X1412" s="1">
        <v>46461</v>
      </c>
      <c r="Z1412" t="s">
        <v>52</v>
      </c>
      <c r="AB1412" t="s">
        <v>52</v>
      </c>
      <c r="AC1412">
        <v>16</v>
      </c>
      <c r="AD1412">
        <v>2</v>
      </c>
      <c r="AK1412" t="s">
        <v>52</v>
      </c>
      <c r="AN1412" t="s">
        <v>52</v>
      </c>
      <c r="AO1412" t="s">
        <v>52</v>
      </c>
      <c r="AP1412" t="s">
        <v>52</v>
      </c>
      <c r="AQ1412" t="s">
        <v>52</v>
      </c>
      <c r="AR1412" t="s">
        <v>55</v>
      </c>
    </row>
    <row r="1413" spans="1:45" x14ac:dyDescent="0.25">
      <c r="A1413" t="s">
        <v>47</v>
      </c>
      <c r="B1413">
        <v>8</v>
      </c>
      <c r="C1413" t="s">
        <v>213</v>
      </c>
      <c r="D1413">
        <v>125</v>
      </c>
      <c r="E1413" t="s">
        <v>75</v>
      </c>
      <c r="F1413">
        <v>16</v>
      </c>
      <c r="G1413" t="s">
        <v>76</v>
      </c>
      <c r="H1413" t="s">
        <v>50</v>
      </c>
      <c r="K1413" t="s">
        <v>52</v>
      </c>
      <c r="L1413">
        <v>1</v>
      </c>
      <c r="M1413" t="s">
        <v>52</v>
      </c>
      <c r="N1413" t="s">
        <v>53</v>
      </c>
      <c r="R1413">
        <v>0.5</v>
      </c>
      <c r="S1413">
        <v>0.75</v>
      </c>
      <c r="T1413">
        <v>0</v>
      </c>
      <c r="U1413">
        <v>0</v>
      </c>
      <c r="V1413" s="1">
        <v>46507</v>
      </c>
      <c r="W1413" s="1">
        <v>46691</v>
      </c>
      <c r="X1413" s="1">
        <v>46461</v>
      </c>
      <c r="Z1413" t="s">
        <v>52</v>
      </c>
      <c r="AB1413" t="s">
        <v>52</v>
      </c>
      <c r="AC1413">
        <v>16</v>
      </c>
      <c r="AD1413">
        <v>2</v>
      </c>
      <c r="AK1413" t="s">
        <v>52</v>
      </c>
      <c r="AN1413" t="s">
        <v>52</v>
      </c>
      <c r="AO1413" t="s">
        <v>52</v>
      </c>
      <c r="AP1413" t="s">
        <v>52</v>
      </c>
      <c r="AQ1413" t="s">
        <v>52</v>
      </c>
      <c r="AR1413" t="s">
        <v>55</v>
      </c>
    </row>
    <row r="1414" spans="1:45" x14ac:dyDescent="0.25">
      <c r="A1414" t="s">
        <v>47</v>
      </c>
      <c r="B1414">
        <v>8</v>
      </c>
      <c r="C1414" t="s">
        <v>213</v>
      </c>
      <c r="D1414">
        <v>125</v>
      </c>
      <c r="E1414" t="s">
        <v>93</v>
      </c>
      <c r="F1414">
        <v>94</v>
      </c>
      <c r="H1414" t="s">
        <v>50</v>
      </c>
      <c r="K1414" t="s">
        <v>51</v>
      </c>
      <c r="L1414">
        <v>1</v>
      </c>
      <c r="M1414" t="s">
        <v>52</v>
      </c>
      <c r="N1414" t="s">
        <v>53</v>
      </c>
      <c r="R1414">
        <v>0.77</v>
      </c>
      <c r="S1414">
        <v>0.93</v>
      </c>
      <c r="T1414">
        <v>0</v>
      </c>
      <c r="U1414">
        <v>0</v>
      </c>
      <c r="V1414" s="1">
        <v>46326</v>
      </c>
      <c r="W1414" s="1">
        <v>46691</v>
      </c>
      <c r="X1414" s="1">
        <v>46266</v>
      </c>
      <c r="Z1414" t="s">
        <v>52</v>
      </c>
      <c r="AB1414" t="s">
        <v>52</v>
      </c>
      <c r="AC1414">
        <v>94</v>
      </c>
      <c r="AD1414">
        <v>2</v>
      </c>
      <c r="AK1414" t="s">
        <v>52</v>
      </c>
      <c r="AN1414" t="s">
        <v>52</v>
      </c>
      <c r="AO1414" t="s">
        <v>52</v>
      </c>
      <c r="AP1414" t="s">
        <v>52</v>
      </c>
      <c r="AQ1414" t="s">
        <v>52</v>
      </c>
      <c r="AR1414" t="s">
        <v>55</v>
      </c>
    </row>
    <row r="1415" spans="1:45" x14ac:dyDescent="0.25">
      <c r="A1415" t="s">
        <v>47</v>
      </c>
      <c r="B1415">
        <v>8</v>
      </c>
      <c r="C1415" t="s">
        <v>213</v>
      </c>
      <c r="D1415">
        <v>125</v>
      </c>
      <c r="E1415" t="s">
        <v>93</v>
      </c>
      <c r="F1415">
        <v>94</v>
      </c>
      <c r="H1415" t="s">
        <v>50</v>
      </c>
      <c r="K1415" t="s">
        <v>52</v>
      </c>
      <c r="L1415">
        <v>1</v>
      </c>
      <c r="M1415" t="s">
        <v>52</v>
      </c>
      <c r="N1415" t="s">
        <v>53</v>
      </c>
      <c r="R1415">
        <v>0.77</v>
      </c>
      <c r="S1415">
        <v>0.93</v>
      </c>
      <c r="T1415">
        <v>0</v>
      </c>
      <c r="U1415">
        <v>0</v>
      </c>
      <c r="V1415" s="1">
        <v>46326</v>
      </c>
      <c r="W1415" s="1">
        <v>46691</v>
      </c>
      <c r="X1415" s="1">
        <v>46266</v>
      </c>
      <c r="Z1415" t="s">
        <v>52</v>
      </c>
      <c r="AB1415" t="s">
        <v>52</v>
      </c>
      <c r="AC1415">
        <v>94</v>
      </c>
      <c r="AD1415">
        <v>2</v>
      </c>
      <c r="AK1415" t="s">
        <v>52</v>
      </c>
      <c r="AN1415" t="s">
        <v>52</v>
      </c>
      <c r="AO1415" t="s">
        <v>52</v>
      </c>
      <c r="AP1415" t="s">
        <v>52</v>
      </c>
      <c r="AQ1415" t="s">
        <v>52</v>
      </c>
      <c r="AR1415" t="s">
        <v>55</v>
      </c>
    </row>
    <row r="1416" spans="1:45" x14ac:dyDescent="0.25">
      <c r="A1416" t="s">
        <v>47</v>
      </c>
      <c r="B1416">
        <v>8</v>
      </c>
      <c r="C1416" t="s">
        <v>213</v>
      </c>
      <c r="D1416">
        <v>125</v>
      </c>
      <c r="E1416" t="s">
        <v>79</v>
      </c>
      <c r="F1416">
        <v>50</v>
      </c>
      <c r="G1416" t="s">
        <v>80</v>
      </c>
      <c r="H1416" t="s">
        <v>50</v>
      </c>
      <c r="K1416" t="s">
        <v>51</v>
      </c>
      <c r="L1416">
        <v>1</v>
      </c>
      <c r="M1416" t="s">
        <v>52</v>
      </c>
      <c r="N1416" t="s">
        <v>53</v>
      </c>
      <c r="R1416">
        <v>0.5</v>
      </c>
      <c r="S1416">
        <v>0.75</v>
      </c>
      <c r="T1416">
        <v>0</v>
      </c>
      <c r="U1416">
        <v>0</v>
      </c>
      <c r="V1416" s="1">
        <v>46583</v>
      </c>
      <c r="W1416" s="1">
        <v>46675</v>
      </c>
      <c r="X1416" s="1">
        <v>46461</v>
      </c>
      <c r="Z1416" t="s">
        <v>52</v>
      </c>
      <c r="AB1416" t="s">
        <v>52</v>
      </c>
      <c r="AC1416">
        <v>50</v>
      </c>
      <c r="AD1416">
        <v>1</v>
      </c>
      <c r="AK1416" t="s">
        <v>52</v>
      </c>
      <c r="AN1416" t="s">
        <v>52</v>
      </c>
      <c r="AO1416" t="s">
        <v>52</v>
      </c>
      <c r="AP1416" t="s">
        <v>52</v>
      </c>
      <c r="AQ1416" t="s">
        <v>52</v>
      </c>
      <c r="AR1416" t="s">
        <v>55</v>
      </c>
    </row>
    <row r="1417" spans="1:45" x14ac:dyDescent="0.25">
      <c r="A1417" t="s">
        <v>47</v>
      </c>
      <c r="B1417">
        <v>8</v>
      </c>
      <c r="C1417" t="s">
        <v>213</v>
      </c>
      <c r="D1417">
        <v>125</v>
      </c>
      <c r="E1417" t="s">
        <v>79</v>
      </c>
      <c r="F1417">
        <v>50</v>
      </c>
      <c r="G1417" t="s">
        <v>80</v>
      </c>
      <c r="H1417" t="s">
        <v>50</v>
      </c>
      <c r="K1417" t="s">
        <v>52</v>
      </c>
      <c r="L1417">
        <v>1</v>
      </c>
      <c r="M1417" t="s">
        <v>52</v>
      </c>
      <c r="N1417" t="s">
        <v>53</v>
      </c>
      <c r="R1417">
        <v>0.5</v>
      </c>
      <c r="S1417">
        <v>0.75</v>
      </c>
      <c r="T1417">
        <v>0</v>
      </c>
      <c r="U1417">
        <v>0</v>
      </c>
      <c r="V1417" s="1">
        <v>46583</v>
      </c>
      <c r="W1417" s="1">
        <v>46675</v>
      </c>
      <c r="X1417" s="1">
        <v>46461</v>
      </c>
      <c r="Z1417" t="s">
        <v>52</v>
      </c>
      <c r="AB1417" t="s">
        <v>52</v>
      </c>
      <c r="AC1417">
        <v>50</v>
      </c>
      <c r="AD1417">
        <v>1</v>
      </c>
      <c r="AK1417" t="s">
        <v>52</v>
      </c>
      <c r="AN1417" t="s">
        <v>52</v>
      </c>
      <c r="AO1417" t="s">
        <v>52</v>
      </c>
      <c r="AP1417" t="s">
        <v>52</v>
      </c>
      <c r="AQ1417" t="s">
        <v>52</v>
      </c>
      <c r="AR1417" t="s">
        <v>55</v>
      </c>
    </row>
    <row r="1418" spans="1:45" x14ac:dyDescent="0.25">
      <c r="A1418" t="s">
        <v>47</v>
      </c>
      <c r="B1418">
        <v>8</v>
      </c>
      <c r="C1418" t="s">
        <v>213</v>
      </c>
      <c r="D1418">
        <v>125</v>
      </c>
      <c r="E1418" t="s">
        <v>79</v>
      </c>
      <c r="F1418">
        <v>50</v>
      </c>
      <c r="G1418" t="s">
        <v>65</v>
      </c>
      <c r="H1418" t="s">
        <v>50</v>
      </c>
      <c r="K1418" t="s">
        <v>51</v>
      </c>
      <c r="L1418">
        <v>1</v>
      </c>
      <c r="M1418" t="s">
        <v>52</v>
      </c>
      <c r="N1418" t="s">
        <v>53</v>
      </c>
      <c r="R1418">
        <v>0.5</v>
      </c>
      <c r="S1418">
        <v>0.75</v>
      </c>
      <c r="T1418">
        <v>0</v>
      </c>
      <c r="U1418">
        <v>0</v>
      </c>
      <c r="V1418" s="1">
        <v>46583</v>
      </c>
      <c r="W1418" s="1">
        <v>46675</v>
      </c>
      <c r="X1418" s="1">
        <v>46461</v>
      </c>
      <c r="Z1418" t="s">
        <v>52</v>
      </c>
      <c r="AB1418" t="s">
        <v>52</v>
      </c>
      <c r="AC1418">
        <v>50</v>
      </c>
      <c r="AD1418">
        <v>1</v>
      </c>
      <c r="AK1418" t="s">
        <v>52</v>
      </c>
      <c r="AN1418" t="s">
        <v>52</v>
      </c>
      <c r="AO1418" t="s">
        <v>52</v>
      </c>
      <c r="AP1418" t="s">
        <v>52</v>
      </c>
      <c r="AQ1418" t="s">
        <v>52</v>
      </c>
      <c r="AR1418" t="s">
        <v>55</v>
      </c>
    </row>
    <row r="1419" spans="1:45" x14ac:dyDescent="0.25">
      <c r="A1419" t="s">
        <v>47</v>
      </c>
      <c r="B1419">
        <v>8</v>
      </c>
      <c r="C1419" t="s">
        <v>213</v>
      </c>
      <c r="D1419">
        <v>125</v>
      </c>
      <c r="E1419" t="s">
        <v>79</v>
      </c>
      <c r="F1419">
        <v>50</v>
      </c>
      <c r="G1419" t="s">
        <v>65</v>
      </c>
      <c r="H1419" t="s">
        <v>50</v>
      </c>
      <c r="K1419" t="s">
        <v>52</v>
      </c>
      <c r="L1419">
        <v>1</v>
      </c>
      <c r="M1419" t="s">
        <v>52</v>
      </c>
      <c r="N1419" t="s">
        <v>53</v>
      </c>
      <c r="R1419">
        <v>0.5</v>
      </c>
      <c r="S1419">
        <v>0.75</v>
      </c>
      <c r="T1419">
        <v>0</v>
      </c>
      <c r="U1419">
        <v>0</v>
      </c>
      <c r="V1419" s="1">
        <v>46583</v>
      </c>
      <c r="W1419" s="1">
        <v>46675</v>
      </c>
      <c r="X1419" s="1">
        <v>46461</v>
      </c>
      <c r="Z1419" t="s">
        <v>52</v>
      </c>
      <c r="AB1419" t="s">
        <v>52</v>
      </c>
      <c r="AC1419">
        <v>50</v>
      </c>
      <c r="AD1419">
        <v>1</v>
      </c>
      <c r="AK1419" t="s">
        <v>52</v>
      </c>
      <c r="AN1419" t="s">
        <v>52</v>
      </c>
      <c r="AO1419" t="s">
        <v>52</v>
      </c>
      <c r="AP1419" t="s">
        <v>52</v>
      </c>
      <c r="AQ1419" t="s">
        <v>52</v>
      </c>
      <c r="AR1419" t="s">
        <v>55</v>
      </c>
    </row>
    <row r="1420" spans="1:45" x14ac:dyDescent="0.25">
      <c r="A1420" t="s">
        <v>47</v>
      </c>
      <c r="B1420">
        <v>8</v>
      </c>
      <c r="C1420" t="s">
        <v>213</v>
      </c>
      <c r="D1420">
        <v>125</v>
      </c>
      <c r="E1420" t="s">
        <v>79</v>
      </c>
      <c r="F1420">
        <v>50</v>
      </c>
      <c r="G1420" t="s">
        <v>81</v>
      </c>
      <c r="H1420" t="s">
        <v>50</v>
      </c>
      <c r="K1420" t="s">
        <v>51</v>
      </c>
      <c r="L1420">
        <v>1</v>
      </c>
      <c r="M1420" t="s">
        <v>52</v>
      </c>
      <c r="N1420" t="s">
        <v>53</v>
      </c>
      <c r="R1420">
        <v>0.5</v>
      </c>
      <c r="S1420">
        <v>0.75</v>
      </c>
      <c r="T1420">
        <v>0</v>
      </c>
      <c r="U1420">
        <v>0</v>
      </c>
      <c r="V1420" s="1">
        <v>46583</v>
      </c>
      <c r="W1420" s="1">
        <v>46675</v>
      </c>
      <c r="X1420" s="1">
        <v>46461</v>
      </c>
      <c r="Z1420" t="s">
        <v>52</v>
      </c>
      <c r="AB1420" t="s">
        <v>52</v>
      </c>
      <c r="AC1420">
        <v>50</v>
      </c>
      <c r="AD1420">
        <v>1</v>
      </c>
      <c r="AK1420" t="s">
        <v>52</v>
      </c>
      <c r="AN1420" t="s">
        <v>52</v>
      </c>
      <c r="AO1420" t="s">
        <v>52</v>
      </c>
      <c r="AP1420" t="s">
        <v>52</v>
      </c>
      <c r="AQ1420" t="s">
        <v>52</v>
      </c>
      <c r="AR1420" t="s">
        <v>55</v>
      </c>
    </row>
    <row r="1421" spans="1:45" x14ac:dyDescent="0.25">
      <c r="A1421" t="s">
        <v>47</v>
      </c>
      <c r="B1421">
        <v>8</v>
      </c>
      <c r="C1421" t="s">
        <v>213</v>
      </c>
      <c r="D1421">
        <v>125</v>
      </c>
      <c r="E1421" t="s">
        <v>79</v>
      </c>
      <c r="F1421">
        <v>50</v>
      </c>
      <c r="G1421" t="s">
        <v>81</v>
      </c>
      <c r="H1421" t="s">
        <v>50</v>
      </c>
      <c r="K1421" t="s">
        <v>52</v>
      </c>
      <c r="L1421">
        <v>1</v>
      </c>
      <c r="M1421" t="s">
        <v>52</v>
      </c>
      <c r="N1421" t="s">
        <v>53</v>
      </c>
      <c r="R1421">
        <v>0.5</v>
      </c>
      <c r="S1421">
        <v>0.75</v>
      </c>
      <c r="T1421">
        <v>0</v>
      </c>
      <c r="U1421">
        <v>0</v>
      </c>
      <c r="V1421" s="1">
        <v>46583</v>
      </c>
      <c r="W1421" s="1">
        <v>46675</v>
      </c>
      <c r="X1421" s="1">
        <v>46461</v>
      </c>
      <c r="Z1421" t="s">
        <v>52</v>
      </c>
      <c r="AB1421" t="s">
        <v>52</v>
      </c>
      <c r="AC1421">
        <v>50</v>
      </c>
      <c r="AD1421">
        <v>1</v>
      </c>
      <c r="AK1421" t="s">
        <v>52</v>
      </c>
      <c r="AN1421" t="s">
        <v>52</v>
      </c>
      <c r="AO1421" t="s">
        <v>52</v>
      </c>
      <c r="AP1421" t="s">
        <v>52</v>
      </c>
      <c r="AQ1421" t="s">
        <v>52</v>
      </c>
      <c r="AR1421" t="s">
        <v>55</v>
      </c>
    </row>
    <row r="1422" spans="1:45" x14ac:dyDescent="0.25">
      <c r="A1422" t="s">
        <v>47</v>
      </c>
      <c r="B1422">
        <v>8</v>
      </c>
      <c r="C1422" t="s">
        <v>213</v>
      </c>
      <c r="D1422">
        <v>125</v>
      </c>
      <c r="E1422" t="s">
        <v>83</v>
      </c>
      <c r="F1422">
        <v>158</v>
      </c>
      <c r="H1422" t="s">
        <v>50</v>
      </c>
      <c r="K1422" t="s">
        <v>51</v>
      </c>
      <c r="L1422">
        <v>1</v>
      </c>
      <c r="M1422" t="s">
        <v>52</v>
      </c>
      <c r="N1422" t="s">
        <v>53</v>
      </c>
      <c r="P1422">
        <v>1.3</v>
      </c>
      <c r="R1422">
        <v>0.77</v>
      </c>
      <c r="S1422">
        <v>0.93</v>
      </c>
      <c r="T1422">
        <v>0</v>
      </c>
      <c r="U1422">
        <v>0</v>
      </c>
      <c r="V1422" s="1">
        <v>46326</v>
      </c>
      <c r="W1422" s="1">
        <v>46691</v>
      </c>
      <c r="X1422" s="1">
        <v>46266</v>
      </c>
      <c r="Z1422" t="s">
        <v>52</v>
      </c>
      <c r="AA1422" t="s">
        <v>54</v>
      </c>
      <c r="AB1422" t="s">
        <v>52</v>
      </c>
      <c r="AC1422">
        <v>158</v>
      </c>
      <c r="AD1422">
        <v>2</v>
      </c>
      <c r="AK1422" t="s">
        <v>52</v>
      </c>
      <c r="AN1422" t="s">
        <v>52</v>
      </c>
      <c r="AO1422" t="s">
        <v>52</v>
      </c>
      <c r="AP1422" t="s">
        <v>52</v>
      </c>
      <c r="AQ1422" t="s">
        <v>52</v>
      </c>
      <c r="AR1422" t="s">
        <v>95</v>
      </c>
      <c r="AS1422" t="s">
        <v>140</v>
      </c>
    </row>
    <row r="1423" spans="1:45" x14ac:dyDescent="0.25">
      <c r="A1423" t="s">
        <v>47</v>
      </c>
      <c r="B1423">
        <v>8</v>
      </c>
      <c r="C1423" t="s">
        <v>213</v>
      </c>
      <c r="D1423">
        <v>125</v>
      </c>
      <c r="E1423" t="s">
        <v>83</v>
      </c>
      <c r="F1423">
        <v>158</v>
      </c>
      <c r="H1423" t="s">
        <v>50</v>
      </c>
      <c r="K1423" t="s">
        <v>52</v>
      </c>
      <c r="L1423">
        <v>1</v>
      </c>
      <c r="M1423" t="s">
        <v>52</v>
      </c>
      <c r="N1423" t="s">
        <v>53</v>
      </c>
      <c r="R1423">
        <v>0.77</v>
      </c>
      <c r="S1423">
        <v>0.93</v>
      </c>
      <c r="T1423">
        <v>0</v>
      </c>
      <c r="U1423">
        <v>0</v>
      </c>
      <c r="V1423" s="1">
        <v>46326</v>
      </c>
      <c r="W1423" s="1">
        <v>46691</v>
      </c>
      <c r="X1423" s="1">
        <v>46266</v>
      </c>
      <c r="Z1423" t="s">
        <v>52</v>
      </c>
      <c r="AB1423" t="s">
        <v>52</v>
      </c>
      <c r="AC1423">
        <v>158</v>
      </c>
      <c r="AD1423">
        <v>2</v>
      </c>
      <c r="AK1423" t="s">
        <v>52</v>
      </c>
      <c r="AN1423" t="s">
        <v>52</v>
      </c>
      <c r="AO1423" t="s">
        <v>52</v>
      </c>
      <c r="AP1423" t="s">
        <v>52</v>
      </c>
      <c r="AQ1423" t="s">
        <v>52</v>
      </c>
      <c r="AR1423" t="s">
        <v>55</v>
      </c>
    </row>
    <row r="1424" spans="1:45" x14ac:dyDescent="0.25">
      <c r="A1424" t="s">
        <v>47</v>
      </c>
      <c r="B1424">
        <v>8</v>
      </c>
      <c r="C1424" t="s">
        <v>213</v>
      </c>
      <c r="D1424">
        <v>125</v>
      </c>
      <c r="E1424" t="s">
        <v>84</v>
      </c>
      <c r="F1424">
        <v>11</v>
      </c>
      <c r="G1424" t="s">
        <v>96</v>
      </c>
      <c r="H1424" t="s">
        <v>50</v>
      </c>
      <c r="K1424" t="s">
        <v>51</v>
      </c>
      <c r="L1424">
        <v>1</v>
      </c>
      <c r="M1424" t="s">
        <v>52</v>
      </c>
      <c r="N1424" t="s">
        <v>53</v>
      </c>
      <c r="R1424">
        <v>0.5</v>
      </c>
      <c r="S1424">
        <v>0.75</v>
      </c>
      <c r="U1424">
        <v>0</v>
      </c>
      <c r="V1424" s="1">
        <v>46310</v>
      </c>
      <c r="W1424" s="1">
        <v>46691</v>
      </c>
      <c r="X1424" s="1">
        <v>46295</v>
      </c>
      <c r="Z1424" t="s">
        <v>52</v>
      </c>
      <c r="AB1424" t="s">
        <v>52</v>
      </c>
      <c r="AC1424">
        <v>11</v>
      </c>
      <c r="AD1424">
        <v>2</v>
      </c>
      <c r="AK1424" t="s">
        <v>52</v>
      </c>
      <c r="AN1424" t="s">
        <v>52</v>
      </c>
      <c r="AO1424" t="s">
        <v>52</v>
      </c>
      <c r="AP1424" t="s">
        <v>52</v>
      </c>
      <c r="AQ1424" t="s">
        <v>52</v>
      </c>
      <c r="AR1424" t="s">
        <v>55</v>
      </c>
    </row>
    <row r="1425" spans="1:44" x14ac:dyDescent="0.25">
      <c r="A1425" t="s">
        <v>47</v>
      </c>
      <c r="B1425">
        <v>8</v>
      </c>
      <c r="C1425" t="s">
        <v>213</v>
      </c>
      <c r="D1425">
        <v>125</v>
      </c>
      <c r="E1425" t="s">
        <v>84</v>
      </c>
      <c r="F1425">
        <v>11</v>
      </c>
      <c r="G1425" t="s">
        <v>96</v>
      </c>
      <c r="H1425" t="s">
        <v>50</v>
      </c>
      <c r="K1425" t="s">
        <v>52</v>
      </c>
      <c r="L1425">
        <v>1</v>
      </c>
      <c r="M1425" t="s">
        <v>52</v>
      </c>
      <c r="N1425" t="s">
        <v>53</v>
      </c>
      <c r="R1425">
        <v>0.5</v>
      </c>
      <c r="S1425">
        <v>0.75</v>
      </c>
      <c r="U1425">
        <v>0</v>
      </c>
      <c r="V1425" s="1">
        <v>46310</v>
      </c>
      <c r="W1425" s="1">
        <v>46691</v>
      </c>
      <c r="X1425" s="1">
        <v>46295</v>
      </c>
      <c r="Z1425" t="s">
        <v>52</v>
      </c>
      <c r="AB1425" t="s">
        <v>52</v>
      </c>
      <c r="AC1425">
        <v>11</v>
      </c>
      <c r="AD1425">
        <v>2</v>
      </c>
      <c r="AK1425" t="s">
        <v>52</v>
      </c>
      <c r="AN1425" t="s">
        <v>52</v>
      </c>
      <c r="AO1425" t="s">
        <v>52</v>
      </c>
      <c r="AP1425" t="s">
        <v>52</v>
      </c>
      <c r="AQ1425" t="s">
        <v>52</v>
      </c>
      <c r="AR1425" t="s">
        <v>55</v>
      </c>
    </row>
  </sheetData>
  <autoFilter ref="A4:AS1425" xr:uid="{8C19D19F-523F-4DA0-9095-F004E39835F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6376-D95E-417C-B41B-7C5E60A77E30}">
  <dimension ref="A1:D80"/>
  <sheetViews>
    <sheetView workbookViewId="0">
      <selection activeCell="I20" sqref="I20"/>
    </sheetView>
  </sheetViews>
  <sheetFormatPr defaultRowHeight="15" x14ac:dyDescent="0.25"/>
  <sheetData>
    <row r="1" spans="1:4" x14ac:dyDescent="0.25">
      <c r="A1" t="s">
        <v>6</v>
      </c>
      <c r="B1" t="s">
        <v>8</v>
      </c>
      <c r="C1" t="s">
        <v>215</v>
      </c>
      <c r="D1" t="s">
        <v>216</v>
      </c>
    </row>
    <row r="2" spans="1:4" x14ac:dyDescent="0.25">
      <c r="A2" t="s">
        <v>49</v>
      </c>
    </row>
    <row r="3" spans="1:4" x14ac:dyDescent="0.25">
      <c r="A3" t="s">
        <v>87</v>
      </c>
      <c r="B3" t="s">
        <v>76</v>
      </c>
    </row>
    <row r="4" spans="1:4" x14ac:dyDescent="0.25">
      <c r="A4" t="s">
        <v>87</v>
      </c>
      <c r="B4" t="s">
        <v>103</v>
      </c>
    </row>
    <row r="5" spans="1:4" x14ac:dyDescent="0.25">
      <c r="A5" t="s">
        <v>132</v>
      </c>
      <c r="B5" t="s">
        <v>133</v>
      </c>
    </row>
    <row r="6" spans="1:4" x14ac:dyDescent="0.25">
      <c r="A6" t="s">
        <v>110</v>
      </c>
      <c r="B6" t="s">
        <v>214</v>
      </c>
    </row>
    <row r="7" spans="1:4" x14ac:dyDescent="0.25">
      <c r="A7" t="s">
        <v>110</v>
      </c>
      <c r="B7" t="s">
        <v>111</v>
      </c>
    </row>
    <row r="8" spans="1:4" x14ac:dyDescent="0.25">
      <c r="A8" t="s">
        <v>58</v>
      </c>
      <c r="B8" t="s">
        <v>173</v>
      </c>
    </row>
    <row r="9" spans="1:4" x14ac:dyDescent="0.25">
      <c r="A9" t="s">
        <v>58</v>
      </c>
      <c r="B9" t="s">
        <v>112</v>
      </c>
    </row>
    <row r="10" spans="1:4" x14ac:dyDescent="0.25">
      <c r="A10" t="s">
        <v>58</v>
      </c>
      <c r="B10" t="s">
        <v>191</v>
      </c>
    </row>
    <row r="11" spans="1:4" x14ac:dyDescent="0.25">
      <c r="A11" t="s">
        <v>58</v>
      </c>
      <c r="B11" t="s">
        <v>104</v>
      </c>
    </row>
    <row r="12" spans="1:4" x14ac:dyDescent="0.25">
      <c r="A12" t="s">
        <v>58</v>
      </c>
      <c r="B12" t="s">
        <v>147</v>
      </c>
    </row>
    <row r="13" spans="1:4" x14ac:dyDescent="0.25">
      <c r="A13" t="s">
        <v>58</v>
      </c>
      <c r="B13" t="s">
        <v>59</v>
      </c>
    </row>
    <row r="14" spans="1:4" x14ac:dyDescent="0.25">
      <c r="A14" t="s">
        <v>58</v>
      </c>
      <c r="B14" t="s">
        <v>61</v>
      </c>
    </row>
    <row r="15" spans="1:4" x14ac:dyDescent="0.25">
      <c r="A15" t="s">
        <v>58</v>
      </c>
      <c r="B15" t="s">
        <v>178</v>
      </c>
    </row>
    <row r="16" spans="1:4" x14ac:dyDescent="0.25">
      <c r="A16" t="s">
        <v>58</v>
      </c>
      <c r="B16" t="s">
        <v>113</v>
      </c>
    </row>
    <row r="17" spans="1:2" x14ac:dyDescent="0.25">
      <c r="A17" t="s">
        <v>58</v>
      </c>
      <c r="B17" t="s">
        <v>148</v>
      </c>
    </row>
    <row r="18" spans="1:2" x14ac:dyDescent="0.25">
      <c r="A18" t="s">
        <v>58</v>
      </c>
      <c r="B18" t="s">
        <v>200</v>
      </c>
    </row>
    <row r="19" spans="1:2" x14ac:dyDescent="0.25">
      <c r="A19" t="s">
        <v>58</v>
      </c>
      <c r="B19" t="s">
        <v>151</v>
      </c>
    </row>
    <row r="20" spans="1:2" x14ac:dyDescent="0.25">
      <c r="A20" t="s">
        <v>58</v>
      </c>
      <c r="B20" t="s">
        <v>62</v>
      </c>
    </row>
    <row r="21" spans="1:2" x14ac:dyDescent="0.25">
      <c r="A21" t="s">
        <v>58</v>
      </c>
      <c r="B21" t="s">
        <v>156</v>
      </c>
    </row>
    <row r="22" spans="1:2" x14ac:dyDescent="0.25">
      <c r="A22" t="s">
        <v>58</v>
      </c>
      <c r="B22" t="s">
        <v>63</v>
      </c>
    </row>
    <row r="23" spans="1:2" x14ac:dyDescent="0.25">
      <c r="A23" t="s">
        <v>58</v>
      </c>
      <c r="B23" t="s">
        <v>149</v>
      </c>
    </row>
    <row r="24" spans="1:2" x14ac:dyDescent="0.25">
      <c r="A24" t="s">
        <v>58</v>
      </c>
      <c r="B24" t="s">
        <v>64</v>
      </c>
    </row>
    <row r="25" spans="1:2" x14ac:dyDescent="0.25">
      <c r="A25" t="s">
        <v>58</v>
      </c>
      <c r="B25" t="s">
        <v>195</v>
      </c>
    </row>
    <row r="26" spans="1:2" x14ac:dyDescent="0.25">
      <c r="A26" t="s">
        <v>58</v>
      </c>
      <c r="B26" t="s">
        <v>184</v>
      </c>
    </row>
    <row r="27" spans="1:2" x14ac:dyDescent="0.25">
      <c r="A27" t="s">
        <v>58</v>
      </c>
      <c r="B27" t="s">
        <v>180</v>
      </c>
    </row>
    <row r="28" spans="1:2" x14ac:dyDescent="0.25">
      <c r="A28" t="s">
        <v>58</v>
      </c>
      <c r="B28" t="s">
        <v>127</v>
      </c>
    </row>
    <row r="29" spans="1:2" x14ac:dyDescent="0.25">
      <c r="A29" t="s">
        <v>58</v>
      </c>
      <c r="B29" t="s">
        <v>167</v>
      </c>
    </row>
    <row r="30" spans="1:2" x14ac:dyDescent="0.25">
      <c r="A30" t="s">
        <v>58</v>
      </c>
      <c r="B30" t="s">
        <v>128</v>
      </c>
    </row>
    <row r="31" spans="1:2" x14ac:dyDescent="0.25">
      <c r="A31" t="s">
        <v>58</v>
      </c>
      <c r="B31" t="s">
        <v>65</v>
      </c>
    </row>
    <row r="32" spans="1:2" x14ac:dyDescent="0.25">
      <c r="A32" t="s">
        <v>58</v>
      </c>
      <c r="B32" t="s">
        <v>136</v>
      </c>
    </row>
    <row r="33" spans="1:2" x14ac:dyDescent="0.25">
      <c r="A33" t="s">
        <v>58</v>
      </c>
      <c r="B33" t="s">
        <v>201</v>
      </c>
    </row>
    <row r="34" spans="1:2" x14ac:dyDescent="0.25">
      <c r="A34" t="s">
        <v>58</v>
      </c>
      <c r="B34" t="s">
        <v>66</v>
      </c>
    </row>
    <row r="35" spans="1:2" x14ac:dyDescent="0.25">
      <c r="A35" t="s">
        <v>58</v>
      </c>
      <c r="B35" t="s">
        <v>118</v>
      </c>
    </row>
    <row r="36" spans="1:2" x14ac:dyDescent="0.25">
      <c r="A36" t="s">
        <v>58</v>
      </c>
      <c r="B36" t="s">
        <v>67</v>
      </c>
    </row>
    <row r="37" spans="1:2" x14ac:dyDescent="0.25">
      <c r="A37" t="s">
        <v>58</v>
      </c>
      <c r="B37" t="s">
        <v>114</v>
      </c>
    </row>
    <row r="38" spans="1:2" x14ac:dyDescent="0.25">
      <c r="A38" t="s">
        <v>58</v>
      </c>
      <c r="B38" t="s">
        <v>119</v>
      </c>
    </row>
    <row r="39" spans="1:2" x14ac:dyDescent="0.25">
      <c r="A39" t="s">
        <v>68</v>
      </c>
      <c r="B39" t="s">
        <v>69</v>
      </c>
    </row>
    <row r="40" spans="1:2" x14ac:dyDescent="0.25">
      <c r="A40" t="s">
        <v>68</v>
      </c>
      <c r="B40" t="s">
        <v>105</v>
      </c>
    </row>
    <row r="41" spans="1:2" x14ac:dyDescent="0.25">
      <c r="A41" t="s">
        <v>68</v>
      </c>
      <c r="B41" t="s">
        <v>204</v>
      </c>
    </row>
    <row r="42" spans="1:2" x14ac:dyDescent="0.25">
      <c r="A42" t="s">
        <v>68</v>
      </c>
      <c r="B42" t="s">
        <v>163</v>
      </c>
    </row>
    <row r="43" spans="1:2" x14ac:dyDescent="0.25">
      <c r="A43" t="s">
        <v>70</v>
      </c>
      <c r="B43" t="s">
        <v>71</v>
      </c>
    </row>
    <row r="44" spans="1:2" x14ac:dyDescent="0.25">
      <c r="A44" t="s">
        <v>70</v>
      </c>
      <c r="B44" t="s">
        <v>72</v>
      </c>
    </row>
    <row r="45" spans="1:2" x14ac:dyDescent="0.25">
      <c r="A45" t="s">
        <v>70</v>
      </c>
      <c r="B45" t="s">
        <v>73</v>
      </c>
    </row>
    <row r="46" spans="1:2" x14ac:dyDescent="0.25">
      <c r="A46" t="s">
        <v>70</v>
      </c>
      <c r="B46" t="s">
        <v>115</v>
      </c>
    </row>
    <row r="47" spans="1:2" x14ac:dyDescent="0.25">
      <c r="A47" t="s">
        <v>70</v>
      </c>
      <c r="B47" t="s">
        <v>74</v>
      </c>
    </row>
    <row r="48" spans="1:2" x14ac:dyDescent="0.25">
      <c r="A48" t="s">
        <v>70</v>
      </c>
      <c r="B48" t="s">
        <v>209</v>
      </c>
    </row>
    <row r="49" spans="1:2" x14ac:dyDescent="0.25">
      <c r="A49" t="s">
        <v>70</v>
      </c>
      <c r="B49" t="s">
        <v>129</v>
      </c>
    </row>
    <row r="50" spans="1:2" x14ac:dyDescent="0.25">
      <c r="A50" t="s">
        <v>70</v>
      </c>
      <c r="B50" t="s">
        <v>89</v>
      </c>
    </row>
    <row r="51" spans="1:2" x14ac:dyDescent="0.25">
      <c r="A51" t="s">
        <v>70</v>
      </c>
      <c r="B51" t="s">
        <v>122</v>
      </c>
    </row>
    <row r="52" spans="1:2" x14ac:dyDescent="0.25">
      <c r="A52" t="s">
        <v>70</v>
      </c>
      <c r="B52" t="s">
        <v>90</v>
      </c>
    </row>
    <row r="53" spans="1:2" x14ac:dyDescent="0.25">
      <c r="A53" t="s">
        <v>70</v>
      </c>
      <c r="B53" t="s">
        <v>91</v>
      </c>
    </row>
    <row r="54" spans="1:2" x14ac:dyDescent="0.25">
      <c r="A54" t="s">
        <v>70</v>
      </c>
      <c r="B54" t="s">
        <v>124</v>
      </c>
    </row>
    <row r="55" spans="1:2" x14ac:dyDescent="0.25">
      <c r="A55" t="s">
        <v>70</v>
      </c>
      <c r="B55" t="s">
        <v>92</v>
      </c>
    </row>
    <row r="56" spans="1:2" x14ac:dyDescent="0.25">
      <c r="A56" t="s">
        <v>70</v>
      </c>
      <c r="B56" t="s">
        <v>116</v>
      </c>
    </row>
    <row r="57" spans="1:2" x14ac:dyDescent="0.25">
      <c r="A57" t="s">
        <v>75</v>
      </c>
      <c r="B57" t="s">
        <v>76</v>
      </c>
    </row>
    <row r="58" spans="1:2" x14ac:dyDescent="0.25">
      <c r="A58" t="s">
        <v>75</v>
      </c>
      <c r="B58" t="s">
        <v>103</v>
      </c>
    </row>
    <row r="59" spans="1:2" x14ac:dyDescent="0.25">
      <c r="A59" t="s">
        <v>125</v>
      </c>
      <c r="B59" t="s">
        <v>164</v>
      </c>
    </row>
    <row r="60" spans="1:2" x14ac:dyDescent="0.25">
      <c r="A60" t="s">
        <v>125</v>
      </c>
      <c r="B60" t="s">
        <v>160</v>
      </c>
    </row>
    <row r="61" spans="1:2" x14ac:dyDescent="0.25">
      <c r="A61" t="s">
        <v>125</v>
      </c>
      <c r="B61" t="s">
        <v>198</v>
      </c>
    </row>
    <row r="62" spans="1:2" x14ac:dyDescent="0.25">
      <c r="A62" t="s">
        <v>125</v>
      </c>
      <c r="B62" t="s">
        <v>111</v>
      </c>
    </row>
    <row r="63" spans="1:2" x14ac:dyDescent="0.25">
      <c r="A63" t="s">
        <v>93</v>
      </c>
    </row>
    <row r="64" spans="1:2" x14ac:dyDescent="0.25">
      <c r="A64" t="s">
        <v>94</v>
      </c>
    </row>
    <row r="65" spans="1:2" x14ac:dyDescent="0.25">
      <c r="A65" t="s">
        <v>77</v>
      </c>
      <c r="B65" t="s">
        <v>78</v>
      </c>
    </row>
    <row r="66" spans="1:2" x14ac:dyDescent="0.25">
      <c r="A66" t="s">
        <v>82</v>
      </c>
    </row>
    <row r="67" spans="1:2" x14ac:dyDescent="0.25">
      <c r="A67" t="s">
        <v>79</v>
      </c>
      <c r="B67" t="s">
        <v>100</v>
      </c>
    </row>
    <row r="68" spans="1:2" x14ac:dyDescent="0.25">
      <c r="A68" t="s">
        <v>79</v>
      </c>
      <c r="B68" t="s">
        <v>80</v>
      </c>
    </row>
    <row r="69" spans="1:2" x14ac:dyDescent="0.25">
      <c r="A69" t="s">
        <v>79</v>
      </c>
      <c r="B69" t="s">
        <v>65</v>
      </c>
    </row>
    <row r="70" spans="1:2" x14ac:dyDescent="0.25">
      <c r="A70" t="s">
        <v>79</v>
      </c>
      <c r="B70" t="s">
        <v>81</v>
      </c>
    </row>
    <row r="71" spans="1:2" x14ac:dyDescent="0.25">
      <c r="A71" t="s">
        <v>144</v>
      </c>
      <c r="B71" t="s">
        <v>69</v>
      </c>
    </row>
    <row r="72" spans="1:2" x14ac:dyDescent="0.25">
      <c r="A72" t="s">
        <v>144</v>
      </c>
      <c r="B72" t="s">
        <v>205</v>
      </c>
    </row>
    <row r="73" spans="1:2" x14ac:dyDescent="0.25">
      <c r="A73" t="s">
        <v>182</v>
      </c>
    </row>
    <row r="74" spans="1:2" x14ac:dyDescent="0.25">
      <c r="A74" t="s">
        <v>83</v>
      </c>
    </row>
    <row r="75" spans="1:2" x14ac:dyDescent="0.25">
      <c r="A75" t="s">
        <v>84</v>
      </c>
      <c r="B75" t="s">
        <v>85</v>
      </c>
    </row>
    <row r="76" spans="1:2" x14ac:dyDescent="0.25">
      <c r="A76" t="s">
        <v>84</v>
      </c>
      <c r="B76" t="s">
        <v>96</v>
      </c>
    </row>
    <row r="77" spans="1:2" x14ac:dyDescent="0.25">
      <c r="A77" t="s">
        <v>84</v>
      </c>
      <c r="B77" t="s">
        <v>108</v>
      </c>
    </row>
    <row r="78" spans="1:2" x14ac:dyDescent="0.25">
      <c r="A78" t="s">
        <v>84</v>
      </c>
      <c r="B78" t="s">
        <v>97</v>
      </c>
    </row>
    <row r="79" spans="1:2" x14ac:dyDescent="0.25">
      <c r="A79" t="s">
        <v>84</v>
      </c>
      <c r="B79" t="s">
        <v>98</v>
      </c>
    </row>
    <row r="80" spans="1:2" x14ac:dyDescent="0.25">
      <c r="A80" t="s">
        <v>84</v>
      </c>
      <c r="B80" t="s">
        <v>196</v>
      </c>
    </row>
  </sheetData>
  <autoFilter ref="A1:B80" xr:uid="{7B506376-D95E-417C-B41B-7C5E60A77E30}">
    <sortState xmlns:xlrd2="http://schemas.microsoft.com/office/spreadsheetml/2017/richdata2" ref="A2:B80">
      <sortCondition ref="A2:A80"/>
      <sortCondition ref="B2:B8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8685-650A-4BD8-AAD8-5A6AD367A104}">
  <dimension ref="A1:CH1443"/>
  <sheetViews>
    <sheetView workbookViewId="0"/>
  </sheetViews>
  <sheetFormatPr defaultRowHeight="15" x14ac:dyDescent="0.25"/>
  <sheetData>
    <row r="1" spans="1:86" x14ac:dyDescent="0.25">
      <c r="A1" t="s">
        <v>217</v>
      </c>
    </row>
    <row r="2" spans="1:86" x14ac:dyDescent="0.25">
      <c r="A2" t="s">
        <v>218</v>
      </c>
    </row>
    <row r="4" spans="1:8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15</v>
      </c>
      <c r="N4" t="s">
        <v>30</v>
      </c>
      <c r="O4" t="s">
        <v>31</v>
      </c>
      <c r="P4" t="s">
        <v>14</v>
      </c>
      <c r="Q4" t="s">
        <v>19</v>
      </c>
      <c r="R4" t="s">
        <v>20</v>
      </c>
      <c r="S4" t="s">
        <v>219</v>
      </c>
      <c r="T4" t="s">
        <v>220</v>
      </c>
      <c r="U4" t="s">
        <v>221</v>
      </c>
      <c r="V4" t="s">
        <v>222</v>
      </c>
      <c r="W4" t="s">
        <v>223</v>
      </c>
      <c r="X4" t="s">
        <v>224</v>
      </c>
      <c r="Y4" t="s">
        <v>225</v>
      </c>
      <c r="Z4" t="s">
        <v>226</v>
      </c>
      <c r="AA4" t="s">
        <v>227</v>
      </c>
      <c r="AB4" t="s">
        <v>228</v>
      </c>
      <c r="AC4" t="s">
        <v>229</v>
      </c>
      <c r="AD4" t="s">
        <v>230</v>
      </c>
      <c r="AE4" t="s">
        <v>231</v>
      </c>
      <c r="AF4" t="s">
        <v>232</v>
      </c>
      <c r="AG4" t="s">
        <v>215</v>
      </c>
      <c r="AH4" t="s">
        <v>26</v>
      </c>
      <c r="AI4" t="s">
        <v>27</v>
      </c>
      <c r="AJ4" t="s">
        <v>233</v>
      </c>
      <c r="AK4" t="s">
        <v>234</v>
      </c>
      <c r="AL4" t="s">
        <v>235</v>
      </c>
      <c r="AM4" t="s">
        <v>236</v>
      </c>
      <c r="AN4" t="s">
        <v>237</v>
      </c>
      <c r="AO4" t="s">
        <v>238</v>
      </c>
      <c r="AP4" t="s">
        <v>239</v>
      </c>
      <c r="AQ4" t="s">
        <v>240</v>
      </c>
      <c r="AR4" t="s">
        <v>241</v>
      </c>
      <c r="AS4" t="s">
        <v>242</v>
      </c>
      <c r="AT4" t="s">
        <v>243</v>
      </c>
      <c r="AU4" t="s">
        <v>244</v>
      </c>
      <c r="AV4" t="s">
        <v>245</v>
      </c>
      <c r="AW4" t="s">
        <v>246</v>
      </c>
      <c r="AX4" t="s">
        <v>247</v>
      </c>
      <c r="AY4" t="s">
        <v>248</v>
      </c>
      <c r="AZ4" t="s">
        <v>249</v>
      </c>
      <c r="BA4" t="s">
        <v>250</v>
      </c>
      <c r="BB4" t="s">
        <v>251</v>
      </c>
      <c r="BC4" t="s">
        <v>252</v>
      </c>
      <c r="BD4" t="s">
        <v>253</v>
      </c>
      <c r="BE4" t="s">
        <v>254</v>
      </c>
      <c r="BF4" t="s">
        <v>255</v>
      </c>
      <c r="BG4" t="s">
        <v>256</v>
      </c>
      <c r="BH4" t="s">
        <v>257</v>
      </c>
      <c r="BI4" t="s">
        <v>258</v>
      </c>
      <c r="BJ4" t="s">
        <v>259</v>
      </c>
      <c r="BK4" t="s">
        <v>260</v>
      </c>
      <c r="BL4" t="s">
        <v>261</v>
      </c>
      <c r="BM4" t="s">
        <v>262</v>
      </c>
      <c r="BN4" t="s">
        <v>263</v>
      </c>
      <c r="BO4" t="s">
        <v>264</v>
      </c>
      <c r="BP4" t="s">
        <v>265</v>
      </c>
      <c r="BQ4" t="s">
        <v>266</v>
      </c>
      <c r="BR4" t="s">
        <v>267</v>
      </c>
      <c r="BS4" t="s">
        <v>268</v>
      </c>
      <c r="BT4" t="s">
        <v>269</v>
      </c>
      <c r="BU4" t="s">
        <v>270</v>
      </c>
      <c r="BV4" t="s">
        <v>271</v>
      </c>
      <c r="BW4" t="s">
        <v>272</v>
      </c>
      <c r="BX4" t="s">
        <v>273</v>
      </c>
      <c r="BY4" t="s">
        <v>274</v>
      </c>
      <c r="BZ4" t="s">
        <v>275</v>
      </c>
      <c r="CA4" t="s">
        <v>276</v>
      </c>
      <c r="CB4" t="s">
        <v>277</v>
      </c>
      <c r="CC4" t="s">
        <v>278</v>
      </c>
      <c r="CD4" t="s">
        <v>279</v>
      </c>
      <c r="CE4" t="s">
        <v>280</v>
      </c>
      <c r="CF4" t="s">
        <v>281</v>
      </c>
      <c r="CG4" t="s">
        <v>282</v>
      </c>
      <c r="CH4" t="s">
        <v>283</v>
      </c>
    </row>
    <row r="5" spans="1:86" x14ac:dyDescent="0.25">
      <c r="A5" t="s">
        <v>47</v>
      </c>
      <c r="B5">
        <v>8</v>
      </c>
      <c r="C5" t="s">
        <v>48</v>
      </c>
      <c r="D5">
        <v>1</v>
      </c>
      <c r="E5" t="s">
        <v>49</v>
      </c>
      <c r="F5">
        <v>27</v>
      </c>
      <c r="H5" t="s">
        <v>50</v>
      </c>
      <c r="K5" t="s">
        <v>51</v>
      </c>
      <c r="L5">
        <v>1</v>
      </c>
      <c r="M5" t="s">
        <v>53</v>
      </c>
      <c r="N5">
        <v>27</v>
      </c>
      <c r="O5">
        <v>1</v>
      </c>
      <c r="P5" t="s">
        <v>52</v>
      </c>
      <c r="Q5">
        <v>0</v>
      </c>
      <c r="R5">
        <v>0.75</v>
      </c>
      <c r="S5">
        <v>231</v>
      </c>
      <c r="T5" t="s">
        <v>284</v>
      </c>
      <c r="U5">
        <v>208</v>
      </c>
      <c r="V5" t="s">
        <v>284</v>
      </c>
      <c r="W5">
        <v>224</v>
      </c>
      <c r="X5" t="s">
        <v>284</v>
      </c>
      <c r="Y5">
        <v>225</v>
      </c>
      <c r="Z5" t="s">
        <v>285</v>
      </c>
      <c r="AA5">
        <v>247</v>
      </c>
      <c r="AB5" t="s">
        <v>285</v>
      </c>
      <c r="AC5">
        <v>241</v>
      </c>
      <c r="AD5" t="s">
        <v>285</v>
      </c>
      <c r="AE5">
        <v>219</v>
      </c>
      <c r="AF5" t="s">
        <v>285</v>
      </c>
      <c r="AG5">
        <v>219</v>
      </c>
      <c r="AH5" t="s">
        <v>286</v>
      </c>
      <c r="AI5" t="s">
        <v>287</v>
      </c>
      <c r="AX5">
        <v>263</v>
      </c>
      <c r="AY5" t="s">
        <v>286</v>
      </c>
      <c r="AZ5" t="s">
        <v>287</v>
      </c>
      <c r="BQ5" t="s">
        <v>52</v>
      </c>
      <c r="BR5">
        <v>3.7</v>
      </c>
      <c r="BS5" t="s">
        <v>284</v>
      </c>
      <c r="BT5">
        <v>3.4</v>
      </c>
      <c r="BU5" t="s">
        <v>284</v>
      </c>
      <c r="CH5" t="s">
        <v>52</v>
      </c>
    </row>
    <row r="6" spans="1:86" x14ac:dyDescent="0.25">
      <c r="A6" t="s">
        <v>47</v>
      </c>
      <c r="B6">
        <v>8</v>
      </c>
      <c r="C6" t="s">
        <v>48</v>
      </c>
      <c r="D6">
        <v>1</v>
      </c>
      <c r="E6" t="s">
        <v>49</v>
      </c>
      <c r="F6">
        <v>27</v>
      </c>
      <c r="H6" t="s">
        <v>50</v>
      </c>
      <c r="K6" t="s">
        <v>52</v>
      </c>
      <c r="L6">
        <v>1</v>
      </c>
      <c r="M6" t="s">
        <v>53</v>
      </c>
      <c r="N6">
        <v>27</v>
      </c>
      <c r="O6">
        <v>1</v>
      </c>
      <c r="P6" t="s">
        <v>52</v>
      </c>
      <c r="Q6">
        <v>0</v>
      </c>
      <c r="R6">
        <v>0.75</v>
      </c>
      <c r="S6">
        <v>231</v>
      </c>
      <c r="T6" t="s">
        <v>284</v>
      </c>
      <c r="U6">
        <v>208</v>
      </c>
      <c r="V6" t="s">
        <v>284</v>
      </c>
      <c r="W6">
        <v>224</v>
      </c>
      <c r="X6" t="s">
        <v>284</v>
      </c>
      <c r="Y6">
        <v>225</v>
      </c>
      <c r="Z6" t="s">
        <v>285</v>
      </c>
      <c r="AA6">
        <v>247</v>
      </c>
      <c r="AB6" t="s">
        <v>285</v>
      </c>
      <c r="AC6">
        <v>241</v>
      </c>
      <c r="AD6" t="s">
        <v>285</v>
      </c>
      <c r="AE6">
        <v>219</v>
      </c>
      <c r="AF6" t="s">
        <v>285</v>
      </c>
      <c r="AG6">
        <v>219</v>
      </c>
      <c r="AH6" t="s">
        <v>286</v>
      </c>
      <c r="AI6" t="s">
        <v>287</v>
      </c>
      <c r="AX6">
        <v>263</v>
      </c>
      <c r="AY6" t="s">
        <v>286</v>
      </c>
      <c r="AZ6" t="s">
        <v>287</v>
      </c>
      <c r="BQ6" t="s">
        <v>52</v>
      </c>
      <c r="BR6">
        <v>1.3</v>
      </c>
      <c r="BS6" t="s">
        <v>284</v>
      </c>
      <c r="BT6">
        <v>1.2</v>
      </c>
      <c r="BU6" t="s">
        <v>284</v>
      </c>
      <c r="CH6" t="s">
        <v>52</v>
      </c>
    </row>
    <row r="7" spans="1:86" x14ac:dyDescent="0.25">
      <c r="A7" t="s">
        <v>47</v>
      </c>
      <c r="B7">
        <v>8</v>
      </c>
      <c r="C7" t="s">
        <v>48</v>
      </c>
      <c r="D7">
        <v>1</v>
      </c>
      <c r="E7" t="s">
        <v>58</v>
      </c>
      <c r="F7">
        <v>102</v>
      </c>
      <c r="G7" t="s">
        <v>59</v>
      </c>
      <c r="H7" t="s">
        <v>50</v>
      </c>
      <c r="K7" t="s">
        <v>51</v>
      </c>
      <c r="L7">
        <v>1</v>
      </c>
      <c r="M7" t="s">
        <v>53</v>
      </c>
      <c r="N7">
        <v>102</v>
      </c>
      <c r="O7">
        <v>1</v>
      </c>
      <c r="P7" t="s">
        <v>52</v>
      </c>
      <c r="Q7">
        <v>0</v>
      </c>
      <c r="R7">
        <v>0.92</v>
      </c>
      <c r="S7">
        <v>131.69999999999999</v>
      </c>
      <c r="T7" t="s">
        <v>284</v>
      </c>
      <c r="U7">
        <v>126.5</v>
      </c>
      <c r="V7" t="s">
        <v>284</v>
      </c>
      <c r="W7">
        <v>170</v>
      </c>
      <c r="X7" t="s">
        <v>284</v>
      </c>
      <c r="Y7">
        <v>207</v>
      </c>
      <c r="Z7" t="s">
        <v>284</v>
      </c>
      <c r="AA7">
        <v>315</v>
      </c>
      <c r="AB7" t="s">
        <v>285</v>
      </c>
      <c r="AG7">
        <v>169.5667</v>
      </c>
      <c r="AH7" t="s">
        <v>54</v>
      </c>
      <c r="AI7" t="s">
        <v>52</v>
      </c>
      <c r="AZ7" t="s">
        <v>52</v>
      </c>
      <c r="BQ7" t="s">
        <v>52</v>
      </c>
      <c r="CH7" t="s">
        <v>52</v>
      </c>
    </row>
    <row r="8" spans="1:86" x14ac:dyDescent="0.25">
      <c r="A8" t="s">
        <v>47</v>
      </c>
      <c r="B8">
        <v>8</v>
      </c>
      <c r="C8" t="s">
        <v>48</v>
      </c>
      <c r="D8">
        <v>1</v>
      </c>
      <c r="E8" t="s">
        <v>58</v>
      </c>
      <c r="F8">
        <v>102</v>
      </c>
      <c r="G8" t="s">
        <v>59</v>
      </c>
      <c r="H8" t="s">
        <v>50</v>
      </c>
      <c r="K8" t="s">
        <v>52</v>
      </c>
      <c r="L8">
        <v>1</v>
      </c>
      <c r="M8" t="s">
        <v>53</v>
      </c>
      <c r="N8">
        <v>102</v>
      </c>
      <c r="O8">
        <v>1</v>
      </c>
      <c r="P8" t="s">
        <v>52</v>
      </c>
      <c r="Q8">
        <v>0</v>
      </c>
      <c r="R8">
        <v>0.92</v>
      </c>
      <c r="S8">
        <v>131.69999999999999</v>
      </c>
      <c r="T8" t="s">
        <v>284</v>
      </c>
      <c r="U8">
        <v>126.5</v>
      </c>
      <c r="V8" t="s">
        <v>284</v>
      </c>
      <c r="W8">
        <v>170</v>
      </c>
      <c r="X8" t="s">
        <v>284</v>
      </c>
      <c r="Y8">
        <v>207</v>
      </c>
      <c r="Z8" t="s">
        <v>284</v>
      </c>
      <c r="AA8">
        <v>315</v>
      </c>
      <c r="AB8" t="s">
        <v>285</v>
      </c>
      <c r="AG8">
        <v>169.5667</v>
      </c>
      <c r="AH8" t="s">
        <v>54</v>
      </c>
      <c r="AI8" t="s">
        <v>52</v>
      </c>
      <c r="AZ8" t="s">
        <v>52</v>
      </c>
      <c r="BQ8" t="s">
        <v>52</v>
      </c>
      <c r="BR8">
        <v>0.85</v>
      </c>
      <c r="BS8" t="s">
        <v>285</v>
      </c>
      <c r="BT8">
        <v>0.7</v>
      </c>
      <c r="BU8" t="s">
        <v>284</v>
      </c>
      <c r="BV8">
        <v>0.54</v>
      </c>
      <c r="BW8" t="s">
        <v>285</v>
      </c>
      <c r="BX8">
        <v>0.38</v>
      </c>
      <c r="BY8" t="s">
        <v>285</v>
      </c>
      <c r="BZ8">
        <v>0.33</v>
      </c>
      <c r="CA8" t="s">
        <v>284</v>
      </c>
      <c r="CF8">
        <v>0.54</v>
      </c>
      <c r="CG8" t="s">
        <v>54</v>
      </c>
      <c r="CH8" t="s">
        <v>52</v>
      </c>
    </row>
    <row r="9" spans="1:86" x14ac:dyDescent="0.25">
      <c r="A9" t="s">
        <v>47</v>
      </c>
      <c r="B9">
        <v>8</v>
      </c>
      <c r="C9" t="s">
        <v>48</v>
      </c>
      <c r="D9">
        <v>1</v>
      </c>
      <c r="E9" t="s">
        <v>58</v>
      </c>
      <c r="F9">
        <v>102</v>
      </c>
      <c r="G9" t="s">
        <v>61</v>
      </c>
      <c r="H9" t="s">
        <v>50</v>
      </c>
      <c r="K9" t="s">
        <v>51</v>
      </c>
      <c r="L9">
        <v>1</v>
      </c>
      <c r="M9" t="s">
        <v>53</v>
      </c>
      <c r="N9">
        <v>102</v>
      </c>
      <c r="O9">
        <v>1</v>
      </c>
      <c r="P9" t="s">
        <v>52</v>
      </c>
      <c r="Q9">
        <v>0</v>
      </c>
      <c r="R9">
        <v>0.92</v>
      </c>
      <c r="S9">
        <v>131.69999999999999</v>
      </c>
      <c r="T9" t="s">
        <v>284</v>
      </c>
      <c r="U9">
        <v>170</v>
      </c>
      <c r="V9" t="s">
        <v>284</v>
      </c>
      <c r="W9">
        <v>191</v>
      </c>
      <c r="X9" t="s">
        <v>284</v>
      </c>
      <c r="Y9">
        <v>207</v>
      </c>
      <c r="Z9" t="s">
        <v>284</v>
      </c>
      <c r="AA9">
        <v>315</v>
      </c>
      <c r="AB9" t="s">
        <v>285</v>
      </c>
      <c r="AG9">
        <v>189.33330000000001</v>
      </c>
      <c r="AH9" t="s">
        <v>54</v>
      </c>
      <c r="AI9" t="s">
        <v>52</v>
      </c>
      <c r="AZ9" t="s">
        <v>52</v>
      </c>
      <c r="BQ9" t="s">
        <v>52</v>
      </c>
      <c r="BR9">
        <v>1.85</v>
      </c>
      <c r="BS9" t="s">
        <v>284</v>
      </c>
      <c r="BT9">
        <v>1.1299999999999999</v>
      </c>
      <c r="BU9" t="s">
        <v>284</v>
      </c>
      <c r="BV9">
        <v>0.88</v>
      </c>
      <c r="BW9" t="s">
        <v>285</v>
      </c>
      <c r="BX9">
        <v>0.62</v>
      </c>
      <c r="BY9" t="s">
        <v>285</v>
      </c>
      <c r="BZ9">
        <v>0.53</v>
      </c>
      <c r="CA9" t="s">
        <v>284</v>
      </c>
      <c r="CF9">
        <v>0.88</v>
      </c>
      <c r="CG9" t="s">
        <v>54</v>
      </c>
      <c r="CH9" t="s">
        <v>52</v>
      </c>
    </row>
    <row r="10" spans="1:86" x14ac:dyDescent="0.25">
      <c r="A10" t="s">
        <v>47</v>
      </c>
      <c r="B10">
        <v>8</v>
      </c>
      <c r="C10" t="s">
        <v>48</v>
      </c>
      <c r="D10">
        <v>1</v>
      </c>
      <c r="E10" t="s">
        <v>58</v>
      </c>
      <c r="F10">
        <v>102</v>
      </c>
      <c r="G10" t="s">
        <v>61</v>
      </c>
      <c r="H10" t="s">
        <v>50</v>
      </c>
      <c r="K10" t="s">
        <v>52</v>
      </c>
      <c r="L10">
        <v>1</v>
      </c>
      <c r="M10" t="s">
        <v>53</v>
      </c>
      <c r="N10">
        <v>102</v>
      </c>
      <c r="O10">
        <v>1</v>
      </c>
      <c r="P10" t="s">
        <v>52</v>
      </c>
      <c r="Q10">
        <v>0</v>
      </c>
      <c r="R10">
        <v>0.92</v>
      </c>
      <c r="S10">
        <v>131.69999999999999</v>
      </c>
      <c r="T10" t="s">
        <v>284</v>
      </c>
      <c r="U10">
        <v>170</v>
      </c>
      <c r="V10" t="s">
        <v>284</v>
      </c>
      <c r="W10">
        <v>191</v>
      </c>
      <c r="X10" t="s">
        <v>284</v>
      </c>
      <c r="Y10">
        <v>207</v>
      </c>
      <c r="Z10" t="s">
        <v>284</v>
      </c>
      <c r="AA10">
        <v>315</v>
      </c>
      <c r="AB10" t="s">
        <v>285</v>
      </c>
      <c r="AG10">
        <v>189.33330000000001</v>
      </c>
      <c r="AH10" t="s">
        <v>54</v>
      </c>
      <c r="AI10" t="s">
        <v>52</v>
      </c>
      <c r="AZ10" t="s">
        <v>52</v>
      </c>
      <c r="BQ10" t="s">
        <v>52</v>
      </c>
      <c r="CH10" t="s">
        <v>52</v>
      </c>
    </row>
    <row r="11" spans="1:86" x14ac:dyDescent="0.25">
      <c r="A11" t="s">
        <v>47</v>
      </c>
      <c r="B11">
        <v>8</v>
      </c>
      <c r="C11" t="s">
        <v>48</v>
      </c>
      <c r="D11">
        <v>1</v>
      </c>
      <c r="E11" t="s">
        <v>58</v>
      </c>
      <c r="F11">
        <v>102</v>
      </c>
      <c r="G11" t="s">
        <v>62</v>
      </c>
      <c r="H11" t="s">
        <v>50</v>
      </c>
      <c r="K11" t="s">
        <v>51</v>
      </c>
      <c r="L11">
        <v>1</v>
      </c>
      <c r="M11" t="s">
        <v>53</v>
      </c>
      <c r="N11">
        <v>102</v>
      </c>
      <c r="O11">
        <v>1</v>
      </c>
      <c r="P11" t="s">
        <v>52</v>
      </c>
      <c r="Q11">
        <v>0</v>
      </c>
      <c r="R11">
        <v>0.92</v>
      </c>
      <c r="S11">
        <v>131.69999999999999</v>
      </c>
      <c r="T11" t="s">
        <v>284</v>
      </c>
      <c r="U11">
        <v>170</v>
      </c>
      <c r="V11" t="s">
        <v>284</v>
      </c>
      <c r="W11">
        <v>191</v>
      </c>
      <c r="X11" t="s">
        <v>284</v>
      </c>
      <c r="Y11">
        <v>207</v>
      </c>
      <c r="Z11" t="s">
        <v>284</v>
      </c>
      <c r="AA11">
        <v>205</v>
      </c>
      <c r="AB11" t="s">
        <v>285</v>
      </c>
      <c r="AG11">
        <v>188.66669999999999</v>
      </c>
      <c r="AH11" t="s">
        <v>54</v>
      </c>
      <c r="AI11" t="s">
        <v>52</v>
      </c>
      <c r="AX11">
        <v>271.60000000000002</v>
      </c>
      <c r="AY11" t="s">
        <v>285</v>
      </c>
      <c r="AZ11" t="s">
        <v>287</v>
      </c>
      <c r="BQ11" t="s">
        <v>52</v>
      </c>
      <c r="BR11">
        <v>1.85</v>
      </c>
      <c r="BS11" t="s">
        <v>284</v>
      </c>
      <c r="BT11">
        <v>1.1399999999999999</v>
      </c>
      <c r="BU11" t="s">
        <v>284</v>
      </c>
      <c r="BV11">
        <v>0.53</v>
      </c>
      <c r="BW11" t="s">
        <v>285</v>
      </c>
      <c r="BX11">
        <v>0.47</v>
      </c>
      <c r="BY11" t="s">
        <v>285</v>
      </c>
      <c r="BZ11">
        <v>0.4</v>
      </c>
      <c r="CA11" t="s">
        <v>284</v>
      </c>
      <c r="CF11">
        <v>0.71</v>
      </c>
      <c r="CG11" t="s">
        <v>54</v>
      </c>
      <c r="CH11" t="s">
        <v>52</v>
      </c>
    </row>
    <row r="12" spans="1:86" x14ac:dyDescent="0.25">
      <c r="A12" t="s">
        <v>47</v>
      </c>
      <c r="B12">
        <v>8</v>
      </c>
      <c r="C12" t="s">
        <v>48</v>
      </c>
      <c r="D12">
        <v>1</v>
      </c>
      <c r="E12" t="s">
        <v>58</v>
      </c>
      <c r="F12">
        <v>102</v>
      </c>
      <c r="G12" t="s">
        <v>62</v>
      </c>
      <c r="H12" t="s">
        <v>50</v>
      </c>
      <c r="K12" t="s">
        <v>52</v>
      </c>
      <c r="L12">
        <v>1</v>
      </c>
      <c r="M12" t="s">
        <v>53</v>
      </c>
      <c r="N12">
        <v>102</v>
      </c>
      <c r="O12">
        <v>1</v>
      </c>
      <c r="P12" t="s">
        <v>52</v>
      </c>
      <c r="Q12">
        <v>0</v>
      </c>
      <c r="R12">
        <v>0.92</v>
      </c>
      <c r="S12">
        <v>131.69999999999999</v>
      </c>
      <c r="T12" t="s">
        <v>284</v>
      </c>
      <c r="U12">
        <v>170</v>
      </c>
      <c r="V12" t="s">
        <v>284</v>
      </c>
      <c r="W12">
        <v>191</v>
      </c>
      <c r="X12" t="s">
        <v>284</v>
      </c>
      <c r="Y12">
        <v>207</v>
      </c>
      <c r="Z12" t="s">
        <v>284</v>
      </c>
      <c r="AA12">
        <v>205</v>
      </c>
      <c r="AB12" t="s">
        <v>285</v>
      </c>
      <c r="AG12">
        <v>188.66669999999999</v>
      </c>
      <c r="AH12" t="s">
        <v>54</v>
      </c>
      <c r="AI12" t="s">
        <v>52</v>
      </c>
      <c r="AX12">
        <v>271.60000000000002</v>
      </c>
      <c r="AY12" t="s">
        <v>285</v>
      </c>
      <c r="AZ12" t="s">
        <v>287</v>
      </c>
      <c r="BQ12" t="s">
        <v>52</v>
      </c>
      <c r="BR12">
        <v>0.83</v>
      </c>
      <c r="BS12" t="s">
        <v>285</v>
      </c>
      <c r="BT12">
        <v>0.72</v>
      </c>
      <c r="BU12" t="s">
        <v>284</v>
      </c>
      <c r="BV12">
        <v>0.21</v>
      </c>
      <c r="BW12" t="s">
        <v>285</v>
      </c>
      <c r="BX12">
        <v>0.39</v>
      </c>
      <c r="BY12" t="s">
        <v>285</v>
      </c>
      <c r="BZ12">
        <v>0.34</v>
      </c>
      <c r="CA12" t="s">
        <v>284</v>
      </c>
      <c r="CF12">
        <v>0.48</v>
      </c>
      <c r="CG12" t="s">
        <v>54</v>
      </c>
      <c r="CH12" t="s">
        <v>52</v>
      </c>
    </row>
    <row r="13" spans="1:86" x14ac:dyDescent="0.25">
      <c r="A13" t="s">
        <v>47</v>
      </c>
      <c r="B13">
        <v>8</v>
      </c>
      <c r="C13" t="s">
        <v>48</v>
      </c>
      <c r="D13">
        <v>1</v>
      </c>
      <c r="E13" t="s">
        <v>58</v>
      </c>
      <c r="F13">
        <v>102</v>
      </c>
      <c r="G13" t="s">
        <v>63</v>
      </c>
      <c r="H13" t="s">
        <v>50</v>
      </c>
      <c r="K13" t="s">
        <v>51</v>
      </c>
      <c r="L13">
        <v>1</v>
      </c>
      <c r="M13" t="s">
        <v>53</v>
      </c>
      <c r="N13">
        <v>102</v>
      </c>
      <c r="O13">
        <v>1</v>
      </c>
      <c r="P13" t="s">
        <v>52</v>
      </c>
      <c r="Q13">
        <v>0</v>
      </c>
      <c r="R13">
        <v>0.92</v>
      </c>
      <c r="S13">
        <v>131.69999999999999</v>
      </c>
      <c r="T13" t="s">
        <v>284</v>
      </c>
      <c r="U13">
        <v>170</v>
      </c>
      <c r="V13" t="s">
        <v>284</v>
      </c>
      <c r="W13">
        <v>191</v>
      </c>
      <c r="X13" t="s">
        <v>285</v>
      </c>
      <c r="Y13">
        <v>207</v>
      </c>
      <c r="Z13" t="s">
        <v>285</v>
      </c>
      <c r="AA13">
        <v>265</v>
      </c>
      <c r="AB13" t="s">
        <v>285</v>
      </c>
      <c r="AG13">
        <v>189.33330000000001</v>
      </c>
      <c r="AH13" t="s">
        <v>54</v>
      </c>
      <c r="AI13" t="s">
        <v>52</v>
      </c>
      <c r="AZ13" t="s">
        <v>52</v>
      </c>
      <c r="BQ13" t="s">
        <v>52</v>
      </c>
      <c r="BR13">
        <v>2.1</v>
      </c>
      <c r="BS13" t="s">
        <v>285</v>
      </c>
      <c r="BT13">
        <v>1.1399999999999999</v>
      </c>
      <c r="BU13" t="s">
        <v>284</v>
      </c>
      <c r="BV13">
        <v>0.88</v>
      </c>
      <c r="BW13" t="s">
        <v>285</v>
      </c>
      <c r="BX13">
        <v>0.62</v>
      </c>
      <c r="BY13" t="s">
        <v>285</v>
      </c>
      <c r="BZ13">
        <v>0.53</v>
      </c>
      <c r="CA13" t="s">
        <v>284</v>
      </c>
      <c r="CF13">
        <v>0.88</v>
      </c>
      <c r="CG13" t="s">
        <v>54</v>
      </c>
      <c r="CH13" t="s">
        <v>52</v>
      </c>
    </row>
    <row r="14" spans="1:86" x14ac:dyDescent="0.25">
      <c r="A14" t="s">
        <v>47</v>
      </c>
      <c r="B14">
        <v>8</v>
      </c>
      <c r="C14" t="s">
        <v>48</v>
      </c>
      <c r="D14">
        <v>1</v>
      </c>
      <c r="E14" t="s">
        <v>58</v>
      </c>
      <c r="F14">
        <v>102</v>
      </c>
      <c r="G14" t="s">
        <v>63</v>
      </c>
      <c r="H14" t="s">
        <v>50</v>
      </c>
      <c r="K14" t="s">
        <v>52</v>
      </c>
      <c r="L14">
        <v>1</v>
      </c>
      <c r="M14" t="s">
        <v>53</v>
      </c>
      <c r="N14">
        <v>102</v>
      </c>
      <c r="O14">
        <v>1</v>
      </c>
      <c r="P14" t="s">
        <v>52</v>
      </c>
      <c r="Q14">
        <v>0</v>
      </c>
      <c r="R14">
        <v>0.92</v>
      </c>
      <c r="S14">
        <v>131.69999999999999</v>
      </c>
      <c r="T14" t="s">
        <v>284</v>
      </c>
      <c r="U14">
        <v>170</v>
      </c>
      <c r="V14" t="s">
        <v>284</v>
      </c>
      <c r="W14">
        <v>191</v>
      </c>
      <c r="X14" t="s">
        <v>285</v>
      </c>
      <c r="Y14">
        <v>207</v>
      </c>
      <c r="Z14" t="s">
        <v>285</v>
      </c>
      <c r="AA14">
        <v>265</v>
      </c>
      <c r="AB14" t="s">
        <v>285</v>
      </c>
      <c r="AG14">
        <v>189.33330000000001</v>
      </c>
      <c r="AH14" t="s">
        <v>54</v>
      </c>
      <c r="AI14" t="s">
        <v>52</v>
      </c>
      <c r="AZ14" t="s">
        <v>52</v>
      </c>
      <c r="BQ14" t="s">
        <v>52</v>
      </c>
      <c r="BR14">
        <v>0.93</v>
      </c>
      <c r="BS14" t="s">
        <v>285</v>
      </c>
      <c r="BT14">
        <v>0.59</v>
      </c>
      <c r="BU14" t="s">
        <v>284</v>
      </c>
      <c r="BV14">
        <v>0.46</v>
      </c>
      <c r="BW14" t="s">
        <v>285</v>
      </c>
      <c r="BX14">
        <v>0.32</v>
      </c>
      <c r="BY14" t="s">
        <v>285</v>
      </c>
      <c r="BZ14">
        <v>0.28000000000000003</v>
      </c>
      <c r="CA14" t="s">
        <v>284</v>
      </c>
      <c r="CF14">
        <v>0.46</v>
      </c>
      <c r="CG14" t="s">
        <v>54</v>
      </c>
      <c r="CH14" t="s">
        <v>52</v>
      </c>
    </row>
    <row r="15" spans="1:86" x14ac:dyDescent="0.25">
      <c r="A15" t="s">
        <v>47</v>
      </c>
      <c r="B15">
        <v>8</v>
      </c>
      <c r="C15" t="s">
        <v>48</v>
      </c>
      <c r="D15">
        <v>1</v>
      </c>
      <c r="E15" t="s">
        <v>58</v>
      </c>
      <c r="F15">
        <v>102</v>
      </c>
      <c r="G15" t="s">
        <v>64</v>
      </c>
      <c r="H15" t="s">
        <v>50</v>
      </c>
      <c r="K15" t="s">
        <v>52</v>
      </c>
      <c r="L15">
        <v>1</v>
      </c>
      <c r="M15" t="s">
        <v>53</v>
      </c>
      <c r="N15">
        <v>102</v>
      </c>
      <c r="O15">
        <v>1</v>
      </c>
      <c r="P15" t="s">
        <v>52</v>
      </c>
      <c r="Q15">
        <v>0</v>
      </c>
      <c r="R15">
        <v>0.92</v>
      </c>
      <c r="S15">
        <v>131.69999999999999</v>
      </c>
      <c r="T15" t="s">
        <v>284</v>
      </c>
      <c r="U15">
        <v>170</v>
      </c>
      <c r="V15" t="s">
        <v>284</v>
      </c>
      <c r="W15">
        <v>191</v>
      </c>
      <c r="X15" t="s">
        <v>284</v>
      </c>
      <c r="Y15">
        <v>207</v>
      </c>
      <c r="Z15" t="s">
        <v>284</v>
      </c>
      <c r="AA15">
        <v>205</v>
      </c>
      <c r="AB15" t="s">
        <v>285</v>
      </c>
      <c r="AG15">
        <v>188.66669999999999</v>
      </c>
      <c r="AH15" t="s">
        <v>54</v>
      </c>
      <c r="AI15" t="s">
        <v>52</v>
      </c>
      <c r="AZ15" t="s">
        <v>52</v>
      </c>
      <c r="BQ15" t="s">
        <v>52</v>
      </c>
      <c r="BR15">
        <v>0.93</v>
      </c>
      <c r="BS15" t="s">
        <v>285</v>
      </c>
      <c r="BT15">
        <v>0.59</v>
      </c>
      <c r="BU15" t="s">
        <v>284</v>
      </c>
      <c r="BV15">
        <v>0.17</v>
      </c>
      <c r="BW15" t="s">
        <v>285</v>
      </c>
      <c r="BX15">
        <v>0.32</v>
      </c>
      <c r="BY15" t="s">
        <v>285</v>
      </c>
      <c r="BZ15">
        <v>0.28000000000000003</v>
      </c>
      <c r="CA15" t="s">
        <v>284</v>
      </c>
      <c r="CF15">
        <v>0.4</v>
      </c>
      <c r="CG15" t="s">
        <v>54</v>
      </c>
      <c r="CH15" t="s">
        <v>52</v>
      </c>
    </row>
    <row r="16" spans="1:86" x14ac:dyDescent="0.25">
      <c r="A16" t="s">
        <v>47</v>
      </c>
      <c r="B16">
        <v>8</v>
      </c>
      <c r="C16" t="s">
        <v>48</v>
      </c>
      <c r="D16">
        <v>1</v>
      </c>
      <c r="E16" t="s">
        <v>58</v>
      </c>
      <c r="F16">
        <v>102</v>
      </c>
      <c r="G16" t="s">
        <v>65</v>
      </c>
      <c r="H16" t="s">
        <v>50</v>
      </c>
      <c r="K16" t="s">
        <v>51</v>
      </c>
      <c r="L16">
        <v>1</v>
      </c>
      <c r="M16" t="s">
        <v>53</v>
      </c>
      <c r="N16">
        <v>102</v>
      </c>
      <c r="O16">
        <v>1</v>
      </c>
      <c r="P16" t="s">
        <v>52</v>
      </c>
      <c r="Q16">
        <v>0</v>
      </c>
      <c r="R16">
        <v>0.92</v>
      </c>
      <c r="S16">
        <v>131.69999999999999</v>
      </c>
      <c r="T16" t="s">
        <v>284</v>
      </c>
      <c r="U16">
        <v>170</v>
      </c>
      <c r="V16" t="s">
        <v>284</v>
      </c>
      <c r="W16">
        <v>191</v>
      </c>
      <c r="X16" t="s">
        <v>284</v>
      </c>
      <c r="Y16">
        <v>207</v>
      </c>
      <c r="Z16" t="s">
        <v>284</v>
      </c>
      <c r="AA16">
        <v>155</v>
      </c>
      <c r="AB16" t="s">
        <v>285</v>
      </c>
      <c r="AG16">
        <v>172</v>
      </c>
      <c r="AH16" t="s">
        <v>54</v>
      </c>
      <c r="AI16" t="s">
        <v>52</v>
      </c>
      <c r="AZ16" t="s">
        <v>52</v>
      </c>
      <c r="BQ16" t="s">
        <v>52</v>
      </c>
      <c r="BR16">
        <v>1.85</v>
      </c>
      <c r="BS16" t="s">
        <v>284</v>
      </c>
      <c r="BT16">
        <v>1.1399999999999999</v>
      </c>
      <c r="BU16" t="s">
        <v>284</v>
      </c>
      <c r="BV16">
        <v>0.88</v>
      </c>
      <c r="BW16" t="s">
        <v>285</v>
      </c>
      <c r="BX16">
        <v>0.62</v>
      </c>
      <c r="BY16" t="s">
        <v>285</v>
      </c>
      <c r="BZ16">
        <v>0.53</v>
      </c>
      <c r="CA16" t="s">
        <v>284</v>
      </c>
      <c r="CF16">
        <v>0.88</v>
      </c>
      <c r="CG16" t="s">
        <v>54</v>
      </c>
      <c r="CH16" t="s">
        <v>52</v>
      </c>
    </row>
    <row r="17" spans="1:86" x14ac:dyDescent="0.25">
      <c r="A17" t="s">
        <v>47</v>
      </c>
      <c r="B17">
        <v>8</v>
      </c>
      <c r="C17" t="s">
        <v>48</v>
      </c>
      <c r="D17">
        <v>1</v>
      </c>
      <c r="E17" t="s">
        <v>58</v>
      </c>
      <c r="F17">
        <v>102</v>
      </c>
      <c r="G17" t="s">
        <v>65</v>
      </c>
      <c r="H17" t="s">
        <v>50</v>
      </c>
      <c r="K17" t="s">
        <v>52</v>
      </c>
      <c r="L17">
        <v>1</v>
      </c>
      <c r="M17" t="s">
        <v>53</v>
      </c>
      <c r="N17">
        <v>102</v>
      </c>
      <c r="O17">
        <v>1</v>
      </c>
      <c r="P17" t="s">
        <v>52</v>
      </c>
      <c r="Q17">
        <v>0</v>
      </c>
      <c r="R17">
        <v>0.92</v>
      </c>
      <c r="S17">
        <v>131.69999999999999</v>
      </c>
      <c r="T17" t="s">
        <v>284</v>
      </c>
      <c r="U17">
        <v>170</v>
      </c>
      <c r="V17" t="s">
        <v>284</v>
      </c>
      <c r="W17">
        <v>191</v>
      </c>
      <c r="X17" t="s">
        <v>284</v>
      </c>
      <c r="Y17">
        <v>207</v>
      </c>
      <c r="Z17" t="s">
        <v>284</v>
      </c>
      <c r="AA17">
        <v>155</v>
      </c>
      <c r="AB17" t="s">
        <v>285</v>
      </c>
      <c r="AG17">
        <v>172</v>
      </c>
      <c r="AH17" t="s">
        <v>54</v>
      </c>
      <c r="AI17" t="s">
        <v>52</v>
      </c>
      <c r="AZ17" t="s">
        <v>52</v>
      </c>
      <c r="BQ17" t="s">
        <v>52</v>
      </c>
      <c r="BR17">
        <v>0.93</v>
      </c>
      <c r="BS17" t="s">
        <v>285</v>
      </c>
      <c r="BT17">
        <v>0.59</v>
      </c>
      <c r="BU17" t="s">
        <v>284</v>
      </c>
      <c r="BV17">
        <v>0.46</v>
      </c>
      <c r="BW17" t="s">
        <v>285</v>
      </c>
      <c r="BX17">
        <v>0.32</v>
      </c>
      <c r="BY17" t="s">
        <v>285</v>
      </c>
      <c r="BZ17">
        <v>0.28000000000000003</v>
      </c>
      <c r="CA17" t="s">
        <v>284</v>
      </c>
      <c r="CF17">
        <v>0.46</v>
      </c>
      <c r="CG17" t="s">
        <v>54</v>
      </c>
      <c r="CH17" t="s">
        <v>52</v>
      </c>
    </row>
    <row r="18" spans="1:86" x14ac:dyDescent="0.25">
      <c r="A18" t="s">
        <v>47</v>
      </c>
      <c r="B18">
        <v>8</v>
      </c>
      <c r="C18" t="s">
        <v>48</v>
      </c>
      <c r="D18">
        <v>1</v>
      </c>
      <c r="E18" t="s">
        <v>58</v>
      </c>
      <c r="F18">
        <v>102</v>
      </c>
      <c r="G18" t="s">
        <v>66</v>
      </c>
      <c r="H18" t="s">
        <v>50</v>
      </c>
      <c r="K18" t="s">
        <v>51</v>
      </c>
      <c r="L18">
        <v>1</v>
      </c>
      <c r="M18" t="s">
        <v>53</v>
      </c>
      <c r="N18">
        <v>102</v>
      </c>
      <c r="O18">
        <v>1</v>
      </c>
      <c r="P18" t="s">
        <v>52</v>
      </c>
      <c r="Q18">
        <v>0</v>
      </c>
      <c r="R18">
        <v>0.92</v>
      </c>
      <c r="S18">
        <v>131.69999999999999</v>
      </c>
      <c r="T18" t="s">
        <v>284</v>
      </c>
      <c r="U18">
        <v>170</v>
      </c>
      <c r="V18" t="s">
        <v>284</v>
      </c>
      <c r="W18">
        <v>191</v>
      </c>
      <c r="X18" t="s">
        <v>284</v>
      </c>
      <c r="Y18">
        <v>207</v>
      </c>
      <c r="Z18" t="s">
        <v>284</v>
      </c>
      <c r="AA18">
        <v>205</v>
      </c>
      <c r="AB18" t="s">
        <v>285</v>
      </c>
      <c r="AG18">
        <v>188.66669999999999</v>
      </c>
      <c r="AH18" t="s">
        <v>54</v>
      </c>
      <c r="AI18" t="s">
        <v>52</v>
      </c>
      <c r="AZ18" t="s">
        <v>52</v>
      </c>
      <c r="BQ18" t="s">
        <v>52</v>
      </c>
      <c r="BR18">
        <v>1.32</v>
      </c>
      <c r="BS18" t="s">
        <v>285</v>
      </c>
      <c r="BT18">
        <v>1.1399999999999999</v>
      </c>
      <c r="BU18" t="s">
        <v>284</v>
      </c>
      <c r="BV18">
        <v>0.88</v>
      </c>
      <c r="BW18" t="s">
        <v>285</v>
      </c>
      <c r="BX18">
        <v>0.62</v>
      </c>
      <c r="BY18" t="s">
        <v>285</v>
      </c>
      <c r="BZ18">
        <v>0.62</v>
      </c>
      <c r="CA18" t="s">
        <v>285</v>
      </c>
      <c r="CF18">
        <v>0.88</v>
      </c>
      <c r="CG18" t="s">
        <v>54</v>
      </c>
      <c r="CH18" t="s">
        <v>52</v>
      </c>
    </row>
    <row r="19" spans="1:86" x14ac:dyDescent="0.25">
      <c r="A19" t="s">
        <v>47</v>
      </c>
      <c r="B19">
        <v>8</v>
      </c>
      <c r="C19" t="s">
        <v>48</v>
      </c>
      <c r="D19">
        <v>1</v>
      </c>
      <c r="E19" t="s">
        <v>58</v>
      </c>
      <c r="F19">
        <v>102</v>
      </c>
      <c r="G19" t="s">
        <v>66</v>
      </c>
      <c r="H19" t="s">
        <v>50</v>
      </c>
      <c r="K19" t="s">
        <v>52</v>
      </c>
      <c r="L19">
        <v>1</v>
      </c>
      <c r="M19" t="s">
        <v>53</v>
      </c>
      <c r="N19">
        <v>102</v>
      </c>
      <c r="O19">
        <v>1</v>
      </c>
      <c r="P19" t="s">
        <v>52</v>
      </c>
      <c r="Q19">
        <v>0</v>
      </c>
      <c r="R19">
        <v>0.92</v>
      </c>
      <c r="S19">
        <v>131.69999999999999</v>
      </c>
      <c r="T19" t="s">
        <v>284</v>
      </c>
      <c r="U19">
        <v>170</v>
      </c>
      <c r="V19" t="s">
        <v>284</v>
      </c>
      <c r="W19">
        <v>191</v>
      </c>
      <c r="X19" t="s">
        <v>284</v>
      </c>
      <c r="Y19">
        <v>207</v>
      </c>
      <c r="Z19" t="s">
        <v>284</v>
      </c>
      <c r="AA19">
        <v>205</v>
      </c>
      <c r="AB19" t="s">
        <v>285</v>
      </c>
      <c r="AG19">
        <v>188.66669999999999</v>
      </c>
      <c r="AH19" t="s">
        <v>54</v>
      </c>
      <c r="AI19" t="s">
        <v>52</v>
      </c>
      <c r="AZ19" t="s">
        <v>52</v>
      </c>
      <c r="BQ19" t="s">
        <v>52</v>
      </c>
      <c r="BR19">
        <v>0.93</v>
      </c>
      <c r="BS19" t="s">
        <v>285</v>
      </c>
      <c r="BT19">
        <v>0.59</v>
      </c>
      <c r="BU19" t="s">
        <v>284</v>
      </c>
      <c r="BV19">
        <v>0.46</v>
      </c>
      <c r="BW19" t="s">
        <v>285</v>
      </c>
      <c r="BX19">
        <v>0.32</v>
      </c>
      <c r="BY19" t="s">
        <v>285</v>
      </c>
      <c r="BZ19">
        <v>0.28000000000000003</v>
      </c>
      <c r="CA19" t="s">
        <v>284</v>
      </c>
      <c r="CF19">
        <v>0.46</v>
      </c>
      <c r="CG19" t="s">
        <v>54</v>
      </c>
      <c r="CH19" t="s">
        <v>52</v>
      </c>
    </row>
    <row r="20" spans="1:86" x14ac:dyDescent="0.25">
      <c r="A20" t="s">
        <v>47</v>
      </c>
      <c r="B20">
        <v>8</v>
      </c>
      <c r="C20" t="s">
        <v>48</v>
      </c>
      <c r="D20">
        <v>1</v>
      </c>
      <c r="E20" t="s">
        <v>58</v>
      </c>
      <c r="F20">
        <v>102</v>
      </c>
      <c r="G20" t="s">
        <v>67</v>
      </c>
      <c r="H20" t="s">
        <v>50</v>
      </c>
      <c r="K20" t="s">
        <v>51</v>
      </c>
      <c r="L20">
        <v>1</v>
      </c>
      <c r="M20" t="s">
        <v>53</v>
      </c>
      <c r="N20">
        <v>102</v>
      </c>
      <c r="O20">
        <v>1</v>
      </c>
      <c r="P20" t="s">
        <v>52</v>
      </c>
      <c r="Q20">
        <v>0</v>
      </c>
      <c r="R20">
        <v>0.92</v>
      </c>
      <c r="S20">
        <v>131.69999999999999</v>
      </c>
      <c r="T20" t="s">
        <v>284</v>
      </c>
      <c r="U20">
        <v>170</v>
      </c>
      <c r="V20" t="s">
        <v>284</v>
      </c>
      <c r="W20">
        <v>191</v>
      </c>
      <c r="X20" t="s">
        <v>284</v>
      </c>
      <c r="Y20">
        <v>207</v>
      </c>
      <c r="Z20" t="s">
        <v>285</v>
      </c>
      <c r="AA20">
        <v>205</v>
      </c>
      <c r="AB20" t="s">
        <v>285</v>
      </c>
      <c r="AG20">
        <v>188.66669999999999</v>
      </c>
      <c r="AH20" t="s">
        <v>54</v>
      </c>
      <c r="AI20" t="s">
        <v>52</v>
      </c>
      <c r="AZ20" t="s">
        <v>52</v>
      </c>
      <c r="BQ20" t="s">
        <v>52</v>
      </c>
      <c r="BR20">
        <v>1.85</v>
      </c>
      <c r="BS20" t="s">
        <v>284</v>
      </c>
      <c r="BT20">
        <v>1.1399999999999999</v>
      </c>
      <c r="BU20" t="s">
        <v>284</v>
      </c>
      <c r="BV20">
        <v>0.88</v>
      </c>
      <c r="BW20" t="s">
        <v>285</v>
      </c>
      <c r="BX20">
        <v>0.62</v>
      </c>
      <c r="BY20" t="s">
        <v>285</v>
      </c>
      <c r="BZ20">
        <v>0.53</v>
      </c>
      <c r="CA20" t="s">
        <v>284</v>
      </c>
      <c r="CF20">
        <v>0.88</v>
      </c>
      <c r="CG20" t="s">
        <v>54</v>
      </c>
      <c r="CH20" t="s">
        <v>52</v>
      </c>
    </row>
    <row r="21" spans="1:86" x14ac:dyDescent="0.25">
      <c r="A21" t="s">
        <v>47</v>
      </c>
      <c r="B21">
        <v>8</v>
      </c>
      <c r="C21" t="s">
        <v>48</v>
      </c>
      <c r="D21">
        <v>1</v>
      </c>
      <c r="E21" t="s">
        <v>58</v>
      </c>
      <c r="F21">
        <v>102</v>
      </c>
      <c r="G21" t="s">
        <v>67</v>
      </c>
      <c r="H21" t="s">
        <v>50</v>
      </c>
      <c r="K21" t="s">
        <v>52</v>
      </c>
      <c r="L21">
        <v>1</v>
      </c>
      <c r="M21" t="s">
        <v>53</v>
      </c>
      <c r="N21">
        <v>102</v>
      </c>
      <c r="O21">
        <v>1</v>
      </c>
      <c r="P21" t="s">
        <v>52</v>
      </c>
      <c r="Q21">
        <v>0</v>
      </c>
      <c r="R21">
        <v>0.92</v>
      </c>
      <c r="S21">
        <v>131.69999999999999</v>
      </c>
      <c r="T21" t="s">
        <v>284</v>
      </c>
      <c r="U21">
        <v>170</v>
      </c>
      <c r="V21" t="s">
        <v>284</v>
      </c>
      <c r="W21">
        <v>191</v>
      </c>
      <c r="X21" t="s">
        <v>284</v>
      </c>
      <c r="Y21">
        <v>207</v>
      </c>
      <c r="Z21" t="s">
        <v>285</v>
      </c>
      <c r="AA21">
        <v>205</v>
      </c>
      <c r="AB21" t="s">
        <v>285</v>
      </c>
      <c r="AG21">
        <v>188.66669999999999</v>
      </c>
      <c r="AH21" t="s">
        <v>54</v>
      </c>
      <c r="AI21" t="s">
        <v>52</v>
      </c>
      <c r="AZ21" t="s">
        <v>52</v>
      </c>
      <c r="BQ21" t="s">
        <v>52</v>
      </c>
      <c r="BR21">
        <v>0.67</v>
      </c>
      <c r="BS21" t="s">
        <v>285</v>
      </c>
      <c r="BT21">
        <v>0.59</v>
      </c>
      <c r="BU21" t="s">
        <v>284</v>
      </c>
      <c r="BV21">
        <v>0.17</v>
      </c>
      <c r="BW21" t="s">
        <v>285</v>
      </c>
      <c r="BX21">
        <v>0.32</v>
      </c>
      <c r="BY21" t="s">
        <v>285</v>
      </c>
      <c r="BZ21">
        <v>0.28000000000000003</v>
      </c>
      <c r="CA21" t="s">
        <v>284</v>
      </c>
      <c r="CF21">
        <v>0.4</v>
      </c>
      <c r="CG21" t="s">
        <v>54</v>
      </c>
      <c r="CH21" t="s">
        <v>52</v>
      </c>
    </row>
    <row r="22" spans="1:86" x14ac:dyDescent="0.25">
      <c r="A22" t="s">
        <v>47</v>
      </c>
      <c r="B22">
        <v>8</v>
      </c>
      <c r="C22" t="s">
        <v>48</v>
      </c>
      <c r="D22">
        <v>1</v>
      </c>
      <c r="E22" t="s">
        <v>68</v>
      </c>
      <c r="F22">
        <v>80</v>
      </c>
      <c r="G22" t="s">
        <v>69</v>
      </c>
      <c r="H22" t="s">
        <v>50</v>
      </c>
      <c r="K22" t="s">
        <v>51</v>
      </c>
      <c r="L22">
        <v>1</v>
      </c>
      <c r="M22" t="s">
        <v>53</v>
      </c>
      <c r="N22">
        <v>80</v>
      </c>
      <c r="O22">
        <v>1</v>
      </c>
      <c r="P22" t="s">
        <v>52</v>
      </c>
      <c r="Q22">
        <v>0.5</v>
      </c>
      <c r="R22">
        <v>0.75</v>
      </c>
      <c r="S22">
        <v>202.92</v>
      </c>
      <c r="T22" t="s">
        <v>284</v>
      </c>
      <c r="U22">
        <v>198.9</v>
      </c>
      <c r="V22" t="s">
        <v>284</v>
      </c>
      <c r="W22">
        <v>212.4</v>
      </c>
      <c r="X22" t="s">
        <v>284</v>
      </c>
      <c r="Y22">
        <v>219.6</v>
      </c>
      <c r="Z22" t="s">
        <v>284</v>
      </c>
      <c r="AA22">
        <v>178</v>
      </c>
      <c r="AB22" t="s">
        <v>284</v>
      </c>
      <c r="AG22">
        <v>204.74</v>
      </c>
      <c r="AH22" t="s">
        <v>54</v>
      </c>
      <c r="AI22" t="s">
        <v>52</v>
      </c>
      <c r="AZ22" t="s">
        <v>52</v>
      </c>
      <c r="BQ22" t="s">
        <v>52</v>
      </c>
      <c r="BR22">
        <v>1.85</v>
      </c>
      <c r="BS22" t="s">
        <v>284</v>
      </c>
      <c r="BT22">
        <v>1.1399999999999999</v>
      </c>
      <c r="BU22" t="s">
        <v>284</v>
      </c>
      <c r="BV22">
        <v>1.24</v>
      </c>
      <c r="BW22" t="s">
        <v>284</v>
      </c>
      <c r="BX22">
        <v>1.55</v>
      </c>
      <c r="BY22" t="s">
        <v>284</v>
      </c>
      <c r="BZ22">
        <v>1.35</v>
      </c>
      <c r="CA22" t="s">
        <v>285</v>
      </c>
      <c r="CF22">
        <v>1.38</v>
      </c>
      <c r="CG22" t="s">
        <v>54</v>
      </c>
      <c r="CH22" t="s">
        <v>52</v>
      </c>
    </row>
    <row r="23" spans="1:86" x14ac:dyDescent="0.25">
      <c r="A23" t="s">
        <v>47</v>
      </c>
      <c r="B23">
        <v>8</v>
      </c>
      <c r="C23" t="s">
        <v>48</v>
      </c>
      <c r="D23">
        <v>1</v>
      </c>
      <c r="E23" t="s">
        <v>68</v>
      </c>
      <c r="F23">
        <v>80</v>
      </c>
      <c r="G23" t="s">
        <v>69</v>
      </c>
      <c r="H23" t="s">
        <v>50</v>
      </c>
      <c r="K23" t="s">
        <v>52</v>
      </c>
      <c r="L23">
        <v>1</v>
      </c>
      <c r="M23" t="s">
        <v>53</v>
      </c>
      <c r="N23">
        <v>80</v>
      </c>
      <c r="O23">
        <v>1</v>
      </c>
      <c r="P23" t="s">
        <v>52</v>
      </c>
      <c r="Q23">
        <v>0.5</v>
      </c>
      <c r="R23">
        <v>0.75</v>
      </c>
      <c r="S23">
        <v>202.92</v>
      </c>
      <c r="T23" t="s">
        <v>284</v>
      </c>
      <c r="U23">
        <v>198.9</v>
      </c>
      <c r="V23" t="s">
        <v>284</v>
      </c>
      <c r="W23">
        <v>212.4</v>
      </c>
      <c r="X23" t="s">
        <v>284</v>
      </c>
      <c r="Y23">
        <v>219.6</v>
      </c>
      <c r="Z23" t="s">
        <v>284</v>
      </c>
      <c r="AA23">
        <v>178</v>
      </c>
      <c r="AB23" t="s">
        <v>284</v>
      </c>
      <c r="AG23">
        <v>204.74</v>
      </c>
      <c r="AH23" t="s">
        <v>54</v>
      </c>
      <c r="AI23" t="s">
        <v>52</v>
      </c>
      <c r="AZ23" t="s">
        <v>52</v>
      </c>
      <c r="BQ23" t="s">
        <v>52</v>
      </c>
      <c r="BR23">
        <v>0.65</v>
      </c>
      <c r="BS23" t="s">
        <v>285</v>
      </c>
      <c r="BT23">
        <v>0.59</v>
      </c>
      <c r="BU23" t="s">
        <v>284</v>
      </c>
      <c r="BV23">
        <v>0.85</v>
      </c>
      <c r="BW23" t="s">
        <v>284</v>
      </c>
      <c r="BX23">
        <v>0.81</v>
      </c>
      <c r="BY23" t="s">
        <v>288</v>
      </c>
      <c r="BZ23">
        <v>0.7</v>
      </c>
      <c r="CA23" t="s">
        <v>285</v>
      </c>
      <c r="CF23">
        <v>0.72</v>
      </c>
      <c r="CG23" t="s">
        <v>54</v>
      </c>
      <c r="CH23" t="s">
        <v>52</v>
      </c>
    </row>
    <row r="24" spans="1:86" x14ac:dyDescent="0.25">
      <c r="A24" t="s">
        <v>47</v>
      </c>
      <c r="B24">
        <v>8</v>
      </c>
      <c r="C24" t="s">
        <v>48</v>
      </c>
      <c r="D24">
        <v>1</v>
      </c>
      <c r="E24" t="s">
        <v>70</v>
      </c>
      <c r="F24">
        <v>296</v>
      </c>
      <c r="G24" t="s">
        <v>71</v>
      </c>
      <c r="H24" t="s">
        <v>50</v>
      </c>
      <c r="K24" t="s">
        <v>51</v>
      </c>
      <c r="L24">
        <v>1</v>
      </c>
      <c r="M24" t="s">
        <v>53</v>
      </c>
      <c r="N24">
        <v>296</v>
      </c>
      <c r="O24">
        <v>1</v>
      </c>
      <c r="P24" t="s">
        <v>52</v>
      </c>
      <c r="Q24">
        <v>0</v>
      </c>
      <c r="R24">
        <v>0.75</v>
      </c>
      <c r="S24">
        <v>228</v>
      </c>
      <c r="T24" t="s">
        <v>284</v>
      </c>
      <c r="U24">
        <v>190</v>
      </c>
      <c r="V24" t="s">
        <v>285</v>
      </c>
      <c r="W24">
        <v>194</v>
      </c>
      <c r="X24" t="s">
        <v>285</v>
      </c>
      <c r="Y24">
        <v>225</v>
      </c>
      <c r="Z24" t="s">
        <v>285</v>
      </c>
      <c r="AA24">
        <v>247</v>
      </c>
      <c r="AB24" t="s">
        <v>285</v>
      </c>
      <c r="AC24">
        <v>241</v>
      </c>
      <c r="AD24" t="s">
        <v>285</v>
      </c>
      <c r="AE24">
        <v>219</v>
      </c>
      <c r="AF24" t="s">
        <v>285</v>
      </c>
      <c r="AG24">
        <v>219</v>
      </c>
      <c r="AH24" t="s">
        <v>286</v>
      </c>
      <c r="AI24" t="s">
        <v>287</v>
      </c>
      <c r="AX24">
        <v>263</v>
      </c>
      <c r="AY24" t="s">
        <v>286</v>
      </c>
      <c r="AZ24" t="s">
        <v>287</v>
      </c>
      <c r="BQ24" t="s">
        <v>52</v>
      </c>
      <c r="CH24" t="s">
        <v>52</v>
      </c>
    </row>
    <row r="25" spans="1:86" x14ac:dyDescent="0.25">
      <c r="A25" t="s">
        <v>47</v>
      </c>
      <c r="B25">
        <v>8</v>
      </c>
      <c r="C25" t="s">
        <v>48</v>
      </c>
      <c r="D25">
        <v>1</v>
      </c>
      <c r="E25" t="s">
        <v>70</v>
      </c>
      <c r="F25">
        <v>296</v>
      </c>
      <c r="G25" t="s">
        <v>71</v>
      </c>
      <c r="H25" t="s">
        <v>50</v>
      </c>
      <c r="K25" t="s">
        <v>52</v>
      </c>
      <c r="L25">
        <v>1</v>
      </c>
      <c r="M25" t="s">
        <v>53</v>
      </c>
      <c r="N25">
        <v>296</v>
      </c>
      <c r="O25">
        <v>1</v>
      </c>
      <c r="P25" t="s">
        <v>52</v>
      </c>
      <c r="Q25">
        <v>0</v>
      </c>
      <c r="R25">
        <v>0.75</v>
      </c>
      <c r="S25">
        <v>228</v>
      </c>
      <c r="T25" t="s">
        <v>284</v>
      </c>
      <c r="U25">
        <v>190</v>
      </c>
      <c r="V25" t="s">
        <v>285</v>
      </c>
      <c r="W25">
        <v>194</v>
      </c>
      <c r="X25" t="s">
        <v>285</v>
      </c>
      <c r="Y25">
        <v>225</v>
      </c>
      <c r="Z25" t="s">
        <v>285</v>
      </c>
      <c r="AA25">
        <v>247</v>
      </c>
      <c r="AB25" t="s">
        <v>285</v>
      </c>
      <c r="AC25">
        <v>241</v>
      </c>
      <c r="AD25" t="s">
        <v>285</v>
      </c>
      <c r="AE25">
        <v>219</v>
      </c>
      <c r="AF25" t="s">
        <v>285</v>
      </c>
      <c r="AG25">
        <v>219</v>
      </c>
      <c r="AH25" t="s">
        <v>286</v>
      </c>
      <c r="AI25" t="s">
        <v>287</v>
      </c>
      <c r="AX25">
        <v>263</v>
      </c>
      <c r="AY25" t="s">
        <v>286</v>
      </c>
      <c r="AZ25" t="s">
        <v>287</v>
      </c>
      <c r="BQ25" t="s">
        <v>52</v>
      </c>
      <c r="CH25" t="s">
        <v>52</v>
      </c>
    </row>
    <row r="26" spans="1:86" x14ac:dyDescent="0.25">
      <c r="A26" t="s">
        <v>47</v>
      </c>
      <c r="B26">
        <v>8</v>
      </c>
      <c r="C26" t="s">
        <v>48</v>
      </c>
      <c r="D26">
        <v>1</v>
      </c>
      <c r="E26" t="s">
        <v>70</v>
      </c>
      <c r="F26">
        <v>296</v>
      </c>
      <c r="G26" t="s">
        <v>72</v>
      </c>
      <c r="H26" t="s">
        <v>50</v>
      </c>
      <c r="K26" t="s">
        <v>51</v>
      </c>
      <c r="L26">
        <v>1</v>
      </c>
      <c r="M26" t="s">
        <v>53</v>
      </c>
      <c r="N26">
        <v>296</v>
      </c>
      <c r="O26">
        <v>1</v>
      </c>
      <c r="P26" t="s">
        <v>52</v>
      </c>
      <c r="Q26">
        <v>0.5</v>
      </c>
      <c r="R26">
        <v>0.75</v>
      </c>
      <c r="S26">
        <v>228</v>
      </c>
      <c r="T26" t="s">
        <v>284</v>
      </c>
      <c r="U26">
        <v>221</v>
      </c>
      <c r="V26" t="s">
        <v>284</v>
      </c>
      <c r="W26">
        <v>236</v>
      </c>
      <c r="X26" t="s">
        <v>284</v>
      </c>
      <c r="Y26">
        <v>244</v>
      </c>
      <c r="Z26" t="s">
        <v>284</v>
      </c>
      <c r="AA26">
        <v>215</v>
      </c>
      <c r="AB26" t="s">
        <v>285</v>
      </c>
      <c r="AG26">
        <v>228.33330000000001</v>
      </c>
      <c r="AH26" t="s">
        <v>54</v>
      </c>
      <c r="AI26" t="s">
        <v>52</v>
      </c>
      <c r="AZ26" t="s">
        <v>52</v>
      </c>
      <c r="BQ26" t="s">
        <v>52</v>
      </c>
      <c r="CH26" t="s">
        <v>52</v>
      </c>
    </row>
    <row r="27" spans="1:86" x14ac:dyDescent="0.25">
      <c r="A27" t="s">
        <v>47</v>
      </c>
      <c r="B27">
        <v>8</v>
      </c>
      <c r="C27" t="s">
        <v>48</v>
      </c>
      <c r="D27">
        <v>1</v>
      </c>
      <c r="E27" t="s">
        <v>70</v>
      </c>
      <c r="F27">
        <v>296</v>
      </c>
      <c r="G27" t="s">
        <v>72</v>
      </c>
      <c r="H27" t="s">
        <v>50</v>
      </c>
      <c r="K27" t="s">
        <v>52</v>
      </c>
      <c r="L27">
        <v>1</v>
      </c>
      <c r="M27" t="s">
        <v>53</v>
      </c>
      <c r="N27">
        <v>296</v>
      </c>
      <c r="O27">
        <v>1</v>
      </c>
      <c r="P27" t="s">
        <v>52</v>
      </c>
      <c r="Q27">
        <v>0.5</v>
      </c>
      <c r="R27">
        <v>0.75</v>
      </c>
      <c r="S27">
        <v>228</v>
      </c>
      <c r="T27" t="s">
        <v>284</v>
      </c>
      <c r="U27">
        <v>221</v>
      </c>
      <c r="V27" t="s">
        <v>284</v>
      </c>
      <c r="W27">
        <v>236</v>
      </c>
      <c r="X27" t="s">
        <v>284</v>
      </c>
      <c r="Y27">
        <v>244</v>
      </c>
      <c r="Z27" t="s">
        <v>284</v>
      </c>
      <c r="AA27">
        <v>215</v>
      </c>
      <c r="AB27" t="s">
        <v>285</v>
      </c>
      <c r="AG27">
        <v>228.33330000000001</v>
      </c>
      <c r="AH27" t="s">
        <v>54</v>
      </c>
      <c r="AI27" t="s">
        <v>52</v>
      </c>
      <c r="AZ27" t="s">
        <v>52</v>
      </c>
      <c r="BQ27" t="s">
        <v>52</v>
      </c>
      <c r="CH27" t="s">
        <v>52</v>
      </c>
    </row>
    <row r="28" spans="1:86" x14ac:dyDescent="0.25">
      <c r="A28" t="s">
        <v>47</v>
      </c>
      <c r="B28">
        <v>8</v>
      </c>
      <c r="C28" t="s">
        <v>48</v>
      </c>
      <c r="D28">
        <v>1</v>
      </c>
      <c r="E28" t="s">
        <v>70</v>
      </c>
      <c r="F28">
        <v>296</v>
      </c>
      <c r="G28" t="s">
        <v>73</v>
      </c>
      <c r="H28" t="s">
        <v>50</v>
      </c>
      <c r="K28" t="s">
        <v>51</v>
      </c>
      <c r="L28">
        <v>1</v>
      </c>
      <c r="M28" t="s">
        <v>53</v>
      </c>
      <c r="N28">
        <v>296</v>
      </c>
      <c r="O28">
        <v>1</v>
      </c>
      <c r="P28" t="s">
        <v>52</v>
      </c>
      <c r="Q28">
        <v>0</v>
      </c>
      <c r="R28">
        <v>0.75</v>
      </c>
      <c r="S28">
        <v>228</v>
      </c>
      <c r="T28" t="s">
        <v>284</v>
      </c>
      <c r="U28">
        <v>221</v>
      </c>
      <c r="V28" t="s">
        <v>284</v>
      </c>
      <c r="W28">
        <v>236</v>
      </c>
      <c r="X28" t="s">
        <v>284</v>
      </c>
      <c r="Y28">
        <v>244</v>
      </c>
      <c r="Z28" t="s">
        <v>284</v>
      </c>
      <c r="AA28">
        <v>225</v>
      </c>
      <c r="AB28" t="s">
        <v>285</v>
      </c>
      <c r="AG28">
        <v>229.66669999999999</v>
      </c>
      <c r="AH28" t="s">
        <v>54</v>
      </c>
      <c r="AI28" t="s">
        <v>52</v>
      </c>
      <c r="AZ28" t="s">
        <v>52</v>
      </c>
      <c r="BQ28" t="s">
        <v>52</v>
      </c>
      <c r="CH28" t="s">
        <v>52</v>
      </c>
    </row>
    <row r="29" spans="1:86" x14ac:dyDescent="0.25">
      <c r="A29" t="s">
        <v>47</v>
      </c>
      <c r="B29">
        <v>8</v>
      </c>
      <c r="C29" t="s">
        <v>48</v>
      </c>
      <c r="D29">
        <v>1</v>
      </c>
      <c r="E29" t="s">
        <v>70</v>
      </c>
      <c r="F29">
        <v>296</v>
      </c>
      <c r="G29" t="s">
        <v>73</v>
      </c>
      <c r="H29" t="s">
        <v>50</v>
      </c>
      <c r="K29" t="s">
        <v>52</v>
      </c>
      <c r="L29">
        <v>1</v>
      </c>
      <c r="M29" t="s">
        <v>53</v>
      </c>
      <c r="N29">
        <v>296</v>
      </c>
      <c r="O29">
        <v>1</v>
      </c>
      <c r="P29" t="s">
        <v>52</v>
      </c>
      <c r="Q29">
        <v>0</v>
      </c>
      <c r="R29">
        <v>0.75</v>
      </c>
      <c r="S29">
        <v>228</v>
      </c>
      <c r="T29" t="s">
        <v>284</v>
      </c>
      <c r="U29">
        <v>221</v>
      </c>
      <c r="V29" t="s">
        <v>284</v>
      </c>
      <c r="W29">
        <v>236</v>
      </c>
      <c r="X29" t="s">
        <v>284</v>
      </c>
      <c r="Y29">
        <v>244</v>
      </c>
      <c r="Z29" t="s">
        <v>284</v>
      </c>
      <c r="AA29">
        <v>225</v>
      </c>
      <c r="AB29" t="s">
        <v>285</v>
      </c>
      <c r="AG29">
        <v>229.66669999999999</v>
      </c>
      <c r="AH29" t="s">
        <v>54</v>
      </c>
      <c r="AI29" t="s">
        <v>52</v>
      </c>
      <c r="AZ29" t="s">
        <v>52</v>
      </c>
      <c r="BQ29" t="s">
        <v>52</v>
      </c>
      <c r="CH29" t="s">
        <v>52</v>
      </c>
    </row>
    <row r="30" spans="1:86" x14ac:dyDescent="0.25">
      <c r="A30" t="s">
        <v>47</v>
      </c>
      <c r="B30">
        <v>8</v>
      </c>
      <c r="C30" t="s">
        <v>48</v>
      </c>
      <c r="D30">
        <v>1</v>
      </c>
      <c r="E30" t="s">
        <v>70</v>
      </c>
      <c r="F30">
        <v>296</v>
      </c>
      <c r="G30" t="s">
        <v>74</v>
      </c>
      <c r="H30" t="s">
        <v>50</v>
      </c>
      <c r="K30" t="s">
        <v>51</v>
      </c>
      <c r="L30">
        <v>1</v>
      </c>
      <c r="M30" t="s">
        <v>53</v>
      </c>
      <c r="N30">
        <v>102</v>
      </c>
      <c r="O30">
        <v>1</v>
      </c>
      <c r="P30" t="s">
        <v>52</v>
      </c>
      <c r="Q30">
        <v>0</v>
      </c>
      <c r="R30">
        <v>0.75</v>
      </c>
      <c r="S30">
        <v>135</v>
      </c>
      <c r="T30" t="s">
        <v>284</v>
      </c>
      <c r="U30">
        <v>132</v>
      </c>
      <c r="V30" t="s">
        <v>284</v>
      </c>
      <c r="W30">
        <v>147</v>
      </c>
      <c r="X30" t="s">
        <v>284</v>
      </c>
      <c r="Y30">
        <v>170</v>
      </c>
      <c r="Z30" t="s">
        <v>284</v>
      </c>
      <c r="AA30">
        <v>205</v>
      </c>
      <c r="AB30" t="s">
        <v>285</v>
      </c>
      <c r="AG30">
        <v>150.66669999999999</v>
      </c>
      <c r="AH30" t="s">
        <v>54</v>
      </c>
      <c r="AI30" t="s">
        <v>52</v>
      </c>
      <c r="AZ30" t="s">
        <v>52</v>
      </c>
      <c r="BQ30" t="s">
        <v>52</v>
      </c>
      <c r="CH30" t="s">
        <v>52</v>
      </c>
    </row>
    <row r="31" spans="1:86" x14ac:dyDescent="0.25">
      <c r="A31" t="s">
        <v>47</v>
      </c>
      <c r="B31">
        <v>8</v>
      </c>
      <c r="C31" t="s">
        <v>48</v>
      </c>
      <c r="D31">
        <v>1</v>
      </c>
      <c r="E31" t="s">
        <v>70</v>
      </c>
      <c r="F31">
        <v>296</v>
      </c>
      <c r="G31" t="s">
        <v>74</v>
      </c>
      <c r="H31" t="s">
        <v>50</v>
      </c>
      <c r="K31" t="s">
        <v>52</v>
      </c>
      <c r="L31">
        <v>1</v>
      </c>
      <c r="M31" t="s">
        <v>53</v>
      </c>
      <c r="N31">
        <v>102</v>
      </c>
      <c r="O31">
        <v>1</v>
      </c>
      <c r="P31" t="s">
        <v>52</v>
      </c>
      <c r="Q31">
        <v>0</v>
      </c>
      <c r="R31">
        <v>0.75</v>
      </c>
      <c r="S31">
        <v>135</v>
      </c>
      <c r="T31" t="s">
        <v>284</v>
      </c>
      <c r="U31">
        <v>132</v>
      </c>
      <c r="V31" t="s">
        <v>284</v>
      </c>
      <c r="W31">
        <v>147</v>
      </c>
      <c r="X31" t="s">
        <v>284</v>
      </c>
      <c r="Y31">
        <v>170</v>
      </c>
      <c r="Z31" t="s">
        <v>284</v>
      </c>
      <c r="AA31">
        <v>205</v>
      </c>
      <c r="AB31" t="s">
        <v>285</v>
      </c>
      <c r="AG31">
        <v>150.66669999999999</v>
      </c>
      <c r="AH31" t="s">
        <v>54</v>
      </c>
      <c r="AI31" t="s">
        <v>52</v>
      </c>
      <c r="AZ31" t="s">
        <v>52</v>
      </c>
      <c r="BQ31" t="s">
        <v>52</v>
      </c>
      <c r="CH31" t="s">
        <v>52</v>
      </c>
    </row>
    <row r="32" spans="1:86" x14ac:dyDescent="0.25">
      <c r="A32" t="s">
        <v>47</v>
      </c>
      <c r="B32">
        <v>8</v>
      </c>
      <c r="C32" t="s">
        <v>48</v>
      </c>
      <c r="D32">
        <v>1</v>
      </c>
      <c r="E32" t="s">
        <v>75</v>
      </c>
      <c r="F32">
        <v>16</v>
      </c>
      <c r="G32" t="s">
        <v>76</v>
      </c>
      <c r="H32" t="s">
        <v>50</v>
      </c>
      <c r="K32" t="s">
        <v>51</v>
      </c>
      <c r="L32">
        <v>1</v>
      </c>
      <c r="M32" t="s">
        <v>53</v>
      </c>
      <c r="N32">
        <v>16</v>
      </c>
      <c r="O32">
        <v>2</v>
      </c>
      <c r="P32" t="s">
        <v>52</v>
      </c>
      <c r="Q32">
        <v>0.5</v>
      </c>
      <c r="R32">
        <v>0.75</v>
      </c>
      <c r="S32">
        <v>83.35</v>
      </c>
      <c r="T32" t="s">
        <v>285</v>
      </c>
      <c r="U32">
        <v>96.14</v>
      </c>
      <c r="V32" t="s">
        <v>284</v>
      </c>
      <c r="W32">
        <v>103.37</v>
      </c>
      <c r="X32" t="s">
        <v>284</v>
      </c>
      <c r="Y32">
        <v>106.14</v>
      </c>
      <c r="Z32" t="s">
        <v>284</v>
      </c>
      <c r="AA32">
        <v>128</v>
      </c>
      <c r="AB32" t="s">
        <v>285</v>
      </c>
      <c r="AG32">
        <v>101.88330000000001</v>
      </c>
      <c r="AH32" t="s">
        <v>54</v>
      </c>
      <c r="AI32" t="s">
        <v>52</v>
      </c>
      <c r="AX32">
        <v>146.69999999999999</v>
      </c>
      <c r="AY32" t="s">
        <v>285</v>
      </c>
      <c r="AZ32" t="s">
        <v>287</v>
      </c>
      <c r="BQ32" t="s">
        <v>52</v>
      </c>
      <c r="BR32">
        <v>1.85</v>
      </c>
      <c r="BS32" t="s">
        <v>284</v>
      </c>
      <c r="BT32">
        <v>1.1399999999999999</v>
      </c>
      <c r="BU32" t="s">
        <v>284</v>
      </c>
      <c r="BV32">
        <v>0.95</v>
      </c>
      <c r="BW32" t="s">
        <v>284</v>
      </c>
      <c r="BX32">
        <v>1.55</v>
      </c>
      <c r="BY32" t="s">
        <v>284</v>
      </c>
      <c r="BZ32">
        <v>1.81</v>
      </c>
      <c r="CA32" t="s">
        <v>289</v>
      </c>
      <c r="CF32">
        <v>1.5</v>
      </c>
      <c r="CG32" t="s">
        <v>54</v>
      </c>
      <c r="CH32" t="s">
        <v>52</v>
      </c>
    </row>
    <row r="33" spans="1:86" x14ac:dyDescent="0.25">
      <c r="A33" t="s">
        <v>47</v>
      </c>
      <c r="B33">
        <v>8</v>
      </c>
      <c r="C33" t="s">
        <v>48</v>
      </c>
      <c r="D33">
        <v>1</v>
      </c>
      <c r="E33" t="s">
        <v>75</v>
      </c>
      <c r="F33">
        <v>16</v>
      </c>
      <c r="G33" t="s">
        <v>76</v>
      </c>
      <c r="H33" t="s">
        <v>50</v>
      </c>
      <c r="K33" t="s">
        <v>52</v>
      </c>
      <c r="L33">
        <v>1</v>
      </c>
      <c r="M33" t="s">
        <v>53</v>
      </c>
      <c r="N33">
        <v>16</v>
      </c>
      <c r="O33">
        <v>2</v>
      </c>
      <c r="P33" t="s">
        <v>52</v>
      </c>
      <c r="Q33">
        <v>0.5</v>
      </c>
      <c r="R33">
        <v>0.75</v>
      </c>
      <c r="S33">
        <v>83.35</v>
      </c>
      <c r="T33" t="s">
        <v>285</v>
      </c>
      <c r="U33">
        <v>96.14</v>
      </c>
      <c r="V33" t="s">
        <v>284</v>
      </c>
      <c r="W33">
        <v>103.37</v>
      </c>
      <c r="X33" t="s">
        <v>284</v>
      </c>
      <c r="Y33">
        <v>106.14</v>
      </c>
      <c r="Z33" t="s">
        <v>284</v>
      </c>
      <c r="AA33">
        <v>128</v>
      </c>
      <c r="AB33" t="s">
        <v>285</v>
      </c>
      <c r="AG33">
        <v>101.88330000000001</v>
      </c>
      <c r="AH33" t="s">
        <v>54</v>
      </c>
      <c r="AI33" t="s">
        <v>52</v>
      </c>
      <c r="AX33">
        <v>146.69999999999999</v>
      </c>
      <c r="AY33" t="s">
        <v>285</v>
      </c>
      <c r="AZ33" t="s">
        <v>287</v>
      </c>
      <c r="BQ33" t="s">
        <v>52</v>
      </c>
      <c r="BR33">
        <v>0.65</v>
      </c>
      <c r="BS33" t="s">
        <v>284</v>
      </c>
      <c r="BT33">
        <v>0.79</v>
      </c>
      <c r="BU33" t="s">
        <v>285</v>
      </c>
      <c r="BV33">
        <v>1.06</v>
      </c>
      <c r="BW33" t="s">
        <v>285</v>
      </c>
      <c r="BX33">
        <v>1.1499999999999999</v>
      </c>
      <c r="BY33" t="s">
        <v>284</v>
      </c>
      <c r="BZ33">
        <v>0.1</v>
      </c>
      <c r="CA33" t="s">
        <v>288</v>
      </c>
      <c r="CF33">
        <v>0.83</v>
      </c>
      <c r="CG33" t="s">
        <v>54</v>
      </c>
      <c r="CH33" t="s">
        <v>52</v>
      </c>
    </row>
    <row r="34" spans="1:86" x14ac:dyDescent="0.25">
      <c r="A34" t="s">
        <v>47</v>
      </c>
      <c r="B34">
        <v>8</v>
      </c>
      <c r="C34" t="s">
        <v>48</v>
      </c>
      <c r="D34">
        <v>1</v>
      </c>
      <c r="E34" t="s">
        <v>77</v>
      </c>
      <c r="F34">
        <v>51</v>
      </c>
      <c r="G34" t="s">
        <v>78</v>
      </c>
      <c r="H34" t="s">
        <v>50</v>
      </c>
      <c r="K34" t="s">
        <v>52</v>
      </c>
      <c r="L34">
        <v>1</v>
      </c>
      <c r="M34" t="s">
        <v>53</v>
      </c>
      <c r="N34">
        <v>51</v>
      </c>
      <c r="O34">
        <v>2</v>
      </c>
      <c r="P34" t="s">
        <v>52</v>
      </c>
      <c r="Q34">
        <v>0.5</v>
      </c>
      <c r="R34">
        <v>0.73</v>
      </c>
      <c r="S34">
        <v>228</v>
      </c>
      <c r="T34" t="s">
        <v>284</v>
      </c>
      <c r="U34">
        <v>218</v>
      </c>
      <c r="V34" t="s">
        <v>284</v>
      </c>
      <c r="W34">
        <v>147</v>
      </c>
      <c r="X34" t="s">
        <v>284</v>
      </c>
      <c r="Y34">
        <v>170</v>
      </c>
      <c r="Z34" t="s">
        <v>284</v>
      </c>
      <c r="AA34">
        <v>109</v>
      </c>
      <c r="AB34" t="s">
        <v>285</v>
      </c>
      <c r="AG34">
        <v>178.33330000000001</v>
      </c>
      <c r="AH34" t="s">
        <v>54</v>
      </c>
      <c r="AI34" t="s">
        <v>52</v>
      </c>
      <c r="AZ34" t="s">
        <v>52</v>
      </c>
      <c r="BQ34" t="s">
        <v>52</v>
      </c>
      <c r="BR34">
        <v>0.8</v>
      </c>
      <c r="BS34" t="s">
        <v>284</v>
      </c>
      <c r="BT34">
        <v>0.8</v>
      </c>
      <c r="BU34" t="s">
        <v>285</v>
      </c>
      <c r="BV34">
        <v>0.8</v>
      </c>
      <c r="BW34" t="s">
        <v>285</v>
      </c>
      <c r="BX34">
        <v>0.8</v>
      </c>
      <c r="BY34" t="s">
        <v>285</v>
      </c>
      <c r="BZ34">
        <v>0.18</v>
      </c>
      <c r="CA34" t="s">
        <v>285</v>
      </c>
      <c r="CF34">
        <v>0.8</v>
      </c>
      <c r="CG34" t="s">
        <v>54</v>
      </c>
      <c r="CH34" t="s">
        <v>52</v>
      </c>
    </row>
    <row r="35" spans="1:86" x14ac:dyDescent="0.25">
      <c r="A35" t="s">
        <v>47</v>
      </c>
      <c r="B35">
        <v>8</v>
      </c>
      <c r="C35" t="s">
        <v>48</v>
      </c>
      <c r="D35">
        <v>1</v>
      </c>
      <c r="E35" t="s">
        <v>79</v>
      </c>
      <c r="F35">
        <v>50</v>
      </c>
      <c r="G35" t="s">
        <v>80</v>
      </c>
      <c r="H35" t="s">
        <v>50</v>
      </c>
      <c r="K35" t="s">
        <v>51</v>
      </c>
      <c r="L35">
        <v>1</v>
      </c>
      <c r="M35" t="s">
        <v>53</v>
      </c>
      <c r="N35">
        <v>50</v>
      </c>
      <c r="O35">
        <v>1</v>
      </c>
      <c r="P35" t="s">
        <v>52</v>
      </c>
      <c r="Q35">
        <v>0.5</v>
      </c>
      <c r="R35">
        <v>0.75</v>
      </c>
      <c r="S35">
        <v>85</v>
      </c>
      <c r="T35" t="s">
        <v>285</v>
      </c>
      <c r="U35">
        <v>93</v>
      </c>
      <c r="V35" t="s">
        <v>284</v>
      </c>
      <c r="W35">
        <v>89.7</v>
      </c>
      <c r="X35" t="s">
        <v>284</v>
      </c>
      <c r="Y35">
        <v>92.72</v>
      </c>
      <c r="Z35" t="s">
        <v>284</v>
      </c>
      <c r="AA35">
        <v>109</v>
      </c>
      <c r="AB35" t="s">
        <v>285</v>
      </c>
      <c r="AG35">
        <v>91.806700000000006</v>
      </c>
      <c r="AH35" t="s">
        <v>54</v>
      </c>
      <c r="AI35" t="s">
        <v>52</v>
      </c>
      <c r="AZ35" t="s">
        <v>52</v>
      </c>
      <c r="BQ35" t="s">
        <v>52</v>
      </c>
      <c r="BR35">
        <v>4.4800000000000004</v>
      </c>
      <c r="BS35" t="s">
        <v>289</v>
      </c>
      <c r="BT35">
        <v>2.0299999999999998</v>
      </c>
      <c r="BU35" t="s">
        <v>284</v>
      </c>
      <c r="BV35">
        <v>2.93</v>
      </c>
      <c r="BW35" t="s">
        <v>284</v>
      </c>
      <c r="BX35">
        <v>2.78</v>
      </c>
      <c r="BY35" t="s">
        <v>284</v>
      </c>
      <c r="BZ35">
        <v>3.64</v>
      </c>
      <c r="CA35" t="s">
        <v>289</v>
      </c>
      <c r="CF35">
        <v>3.12</v>
      </c>
      <c r="CG35" t="s">
        <v>54</v>
      </c>
      <c r="CH35" t="s">
        <v>52</v>
      </c>
    </row>
    <row r="36" spans="1:86" x14ac:dyDescent="0.25">
      <c r="A36" t="s">
        <v>47</v>
      </c>
      <c r="B36">
        <v>8</v>
      </c>
      <c r="C36" t="s">
        <v>48</v>
      </c>
      <c r="D36">
        <v>1</v>
      </c>
      <c r="E36" t="s">
        <v>79</v>
      </c>
      <c r="F36">
        <v>50</v>
      </c>
      <c r="G36" t="s">
        <v>80</v>
      </c>
      <c r="H36" t="s">
        <v>50</v>
      </c>
      <c r="K36" t="s">
        <v>52</v>
      </c>
      <c r="L36">
        <v>1</v>
      </c>
      <c r="M36" t="s">
        <v>53</v>
      </c>
      <c r="N36">
        <v>50</v>
      </c>
      <c r="O36">
        <v>1</v>
      </c>
      <c r="P36" t="s">
        <v>52</v>
      </c>
      <c r="Q36">
        <v>0.5</v>
      </c>
      <c r="R36">
        <v>0.75</v>
      </c>
      <c r="S36">
        <v>85</v>
      </c>
      <c r="T36" t="s">
        <v>285</v>
      </c>
      <c r="U36">
        <v>93</v>
      </c>
      <c r="V36" t="s">
        <v>284</v>
      </c>
      <c r="W36">
        <v>89.7</v>
      </c>
      <c r="X36" t="s">
        <v>284</v>
      </c>
      <c r="Y36">
        <v>92.72</v>
      </c>
      <c r="Z36" t="s">
        <v>284</v>
      </c>
      <c r="AA36">
        <v>109</v>
      </c>
      <c r="AB36" t="s">
        <v>285</v>
      </c>
      <c r="AG36">
        <v>91.806700000000006</v>
      </c>
      <c r="AH36" t="s">
        <v>54</v>
      </c>
      <c r="AI36" t="s">
        <v>52</v>
      </c>
      <c r="AZ36" t="s">
        <v>52</v>
      </c>
      <c r="BQ36" t="s">
        <v>52</v>
      </c>
      <c r="BR36">
        <v>0.75</v>
      </c>
      <c r="BS36" t="s">
        <v>289</v>
      </c>
      <c r="BT36">
        <v>0.54</v>
      </c>
      <c r="BU36" t="s">
        <v>285</v>
      </c>
      <c r="BV36">
        <v>1.21</v>
      </c>
      <c r="BW36" t="s">
        <v>285</v>
      </c>
      <c r="BX36">
        <v>1.07</v>
      </c>
      <c r="BY36" t="s">
        <v>285</v>
      </c>
      <c r="BZ36">
        <v>0.05</v>
      </c>
      <c r="CA36" t="s">
        <v>289</v>
      </c>
      <c r="CF36">
        <v>0.79</v>
      </c>
      <c r="CG36" t="s">
        <v>54</v>
      </c>
      <c r="CH36" t="s">
        <v>52</v>
      </c>
    </row>
    <row r="37" spans="1:86" x14ac:dyDescent="0.25">
      <c r="A37" t="s">
        <v>47</v>
      </c>
      <c r="B37">
        <v>8</v>
      </c>
      <c r="C37" t="s">
        <v>48</v>
      </c>
      <c r="D37">
        <v>1</v>
      </c>
      <c r="E37" t="s">
        <v>79</v>
      </c>
      <c r="F37">
        <v>50</v>
      </c>
      <c r="G37" t="s">
        <v>65</v>
      </c>
      <c r="H37" t="s">
        <v>50</v>
      </c>
      <c r="K37" t="s">
        <v>51</v>
      </c>
      <c r="L37">
        <v>1</v>
      </c>
      <c r="M37" t="s">
        <v>53</v>
      </c>
      <c r="N37">
        <v>50</v>
      </c>
      <c r="O37">
        <v>1</v>
      </c>
      <c r="P37" t="s">
        <v>52</v>
      </c>
      <c r="Q37">
        <v>0.5</v>
      </c>
      <c r="R37">
        <v>0.75</v>
      </c>
      <c r="S37">
        <v>85</v>
      </c>
      <c r="T37" t="s">
        <v>285</v>
      </c>
      <c r="U37">
        <v>93</v>
      </c>
      <c r="V37" t="s">
        <v>284</v>
      </c>
      <c r="W37">
        <v>89.7</v>
      </c>
      <c r="X37" t="s">
        <v>284</v>
      </c>
      <c r="Y37">
        <v>92.72</v>
      </c>
      <c r="Z37" t="s">
        <v>284</v>
      </c>
      <c r="AA37">
        <v>109</v>
      </c>
      <c r="AB37" t="s">
        <v>285</v>
      </c>
      <c r="AG37">
        <v>91.806700000000006</v>
      </c>
      <c r="AH37" t="s">
        <v>54</v>
      </c>
      <c r="AI37" t="s">
        <v>52</v>
      </c>
      <c r="AZ37" t="s">
        <v>52</v>
      </c>
      <c r="BQ37" t="s">
        <v>52</v>
      </c>
      <c r="BR37">
        <v>3.57</v>
      </c>
      <c r="BS37" t="s">
        <v>289</v>
      </c>
      <c r="BT37">
        <v>1.74</v>
      </c>
      <c r="BU37" t="s">
        <v>284</v>
      </c>
      <c r="BV37">
        <v>2.5099999999999998</v>
      </c>
      <c r="BW37" t="s">
        <v>284</v>
      </c>
      <c r="BX37">
        <v>2.38</v>
      </c>
      <c r="BY37" t="s">
        <v>284</v>
      </c>
      <c r="BZ37">
        <v>3.12</v>
      </c>
      <c r="CA37" t="s">
        <v>289</v>
      </c>
      <c r="CF37">
        <v>2.67</v>
      </c>
      <c r="CG37" t="s">
        <v>54</v>
      </c>
      <c r="CH37" t="s">
        <v>52</v>
      </c>
    </row>
    <row r="38" spans="1:86" x14ac:dyDescent="0.25">
      <c r="A38" t="s">
        <v>47</v>
      </c>
      <c r="B38">
        <v>8</v>
      </c>
      <c r="C38" t="s">
        <v>48</v>
      </c>
      <c r="D38">
        <v>1</v>
      </c>
      <c r="E38" t="s">
        <v>79</v>
      </c>
      <c r="F38">
        <v>50</v>
      </c>
      <c r="G38" t="s">
        <v>65</v>
      </c>
      <c r="H38" t="s">
        <v>50</v>
      </c>
      <c r="K38" t="s">
        <v>52</v>
      </c>
      <c r="L38">
        <v>1</v>
      </c>
      <c r="M38" t="s">
        <v>53</v>
      </c>
      <c r="N38">
        <v>50</v>
      </c>
      <c r="O38">
        <v>1</v>
      </c>
      <c r="P38" t="s">
        <v>52</v>
      </c>
      <c r="Q38">
        <v>0.5</v>
      </c>
      <c r="R38">
        <v>0.75</v>
      </c>
      <c r="S38">
        <v>85</v>
      </c>
      <c r="T38" t="s">
        <v>285</v>
      </c>
      <c r="U38">
        <v>93</v>
      </c>
      <c r="V38" t="s">
        <v>284</v>
      </c>
      <c r="W38">
        <v>89.7</v>
      </c>
      <c r="X38" t="s">
        <v>284</v>
      </c>
      <c r="Y38">
        <v>92.72</v>
      </c>
      <c r="Z38" t="s">
        <v>284</v>
      </c>
      <c r="AA38">
        <v>109</v>
      </c>
      <c r="AB38" t="s">
        <v>285</v>
      </c>
      <c r="AG38">
        <v>91.806700000000006</v>
      </c>
      <c r="AH38" t="s">
        <v>54</v>
      </c>
      <c r="AI38" t="s">
        <v>52</v>
      </c>
      <c r="AZ38" t="s">
        <v>52</v>
      </c>
      <c r="BQ38" t="s">
        <v>52</v>
      </c>
      <c r="BR38">
        <v>0.43</v>
      </c>
      <c r="BS38" t="s">
        <v>289</v>
      </c>
      <c r="BT38">
        <v>0.44</v>
      </c>
      <c r="BU38" t="s">
        <v>285</v>
      </c>
      <c r="BV38">
        <v>0.93</v>
      </c>
      <c r="BW38" t="s">
        <v>285</v>
      </c>
      <c r="BX38">
        <v>0.99</v>
      </c>
      <c r="BY38" t="s">
        <v>285</v>
      </c>
      <c r="BZ38">
        <v>0.05</v>
      </c>
      <c r="CA38" t="s">
        <v>289</v>
      </c>
      <c r="CF38">
        <v>0.6</v>
      </c>
      <c r="CG38" t="s">
        <v>54</v>
      </c>
      <c r="CH38" t="s">
        <v>52</v>
      </c>
    </row>
    <row r="39" spans="1:86" x14ac:dyDescent="0.25">
      <c r="A39" t="s">
        <v>47</v>
      </c>
      <c r="B39">
        <v>8</v>
      </c>
      <c r="C39" t="s">
        <v>48</v>
      </c>
      <c r="D39">
        <v>1</v>
      </c>
      <c r="E39" t="s">
        <v>79</v>
      </c>
      <c r="F39">
        <v>50</v>
      </c>
      <c r="G39" t="s">
        <v>81</v>
      </c>
      <c r="H39" t="s">
        <v>50</v>
      </c>
      <c r="K39" t="s">
        <v>51</v>
      </c>
      <c r="L39">
        <v>1</v>
      </c>
      <c r="M39" t="s">
        <v>53</v>
      </c>
      <c r="N39">
        <v>50</v>
      </c>
      <c r="O39">
        <v>1</v>
      </c>
      <c r="P39" t="s">
        <v>52</v>
      </c>
      <c r="Q39">
        <v>0.5</v>
      </c>
      <c r="R39">
        <v>0.75</v>
      </c>
      <c r="S39">
        <v>85</v>
      </c>
      <c r="T39" t="s">
        <v>285</v>
      </c>
      <c r="U39">
        <v>93</v>
      </c>
      <c r="V39" t="s">
        <v>284</v>
      </c>
      <c r="W39">
        <v>89.7</v>
      </c>
      <c r="X39" t="s">
        <v>284</v>
      </c>
      <c r="Y39">
        <v>92.72</v>
      </c>
      <c r="Z39" t="s">
        <v>284</v>
      </c>
      <c r="AA39">
        <v>109</v>
      </c>
      <c r="AB39" t="s">
        <v>285</v>
      </c>
      <c r="AG39">
        <v>91.806700000000006</v>
      </c>
      <c r="AH39" t="s">
        <v>54</v>
      </c>
      <c r="AI39" t="s">
        <v>52</v>
      </c>
      <c r="AZ39" t="s">
        <v>52</v>
      </c>
      <c r="BQ39" t="s">
        <v>52</v>
      </c>
      <c r="BR39">
        <v>2.74</v>
      </c>
      <c r="BS39" t="s">
        <v>289</v>
      </c>
      <c r="BT39">
        <v>1.59</v>
      </c>
      <c r="BU39" t="s">
        <v>284</v>
      </c>
      <c r="BV39">
        <v>2.29</v>
      </c>
      <c r="BW39" t="s">
        <v>284</v>
      </c>
      <c r="BX39">
        <v>2.17</v>
      </c>
      <c r="BY39" t="s">
        <v>284</v>
      </c>
      <c r="BZ39">
        <v>2.84</v>
      </c>
      <c r="CA39" t="s">
        <v>289</v>
      </c>
      <c r="CF39">
        <v>2.4</v>
      </c>
      <c r="CG39" t="s">
        <v>54</v>
      </c>
      <c r="CH39" t="s">
        <v>52</v>
      </c>
    </row>
    <row r="40" spans="1:86" x14ac:dyDescent="0.25">
      <c r="A40" t="s">
        <v>47</v>
      </c>
      <c r="B40">
        <v>8</v>
      </c>
      <c r="C40" t="s">
        <v>48</v>
      </c>
      <c r="D40">
        <v>1</v>
      </c>
      <c r="E40" t="s">
        <v>79</v>
      </c>
      <c r="F40">
        <v>50</v>
      </c>
      <c r="G40" t="s">
        <v>81</v>
      </c>
      <c r="H40" t="s">
        <v>50</v>
      </c>
      <c r="K40" t="s">
        <v>52</v>
      </c>
      <c r="L40">
        <v>1</v>
      </c>
      <c r="M40" t="s">
        <v>53</v>
      </c>
      <c r="N40">
        <v>50</v>
      </c>
      <c r="O40">
        <v>1</v>
      </c>
      <c r="P40" t="s">
        <v>52</v>
      </c>
      <c r="Q40">
        <v>0.5</v>
      </c>
      <c r="R40">
        <v>0.75</v>
      </c>
      <c r="S40">
        <v>85</v>
      </c>
      <c r="T40" t="s">
        <v>285</v>
      </c>
      <c r="U40">
        <v>93</v>
      </c>
      <c r="V40" t="s">
        <v>284</v>
      </c>
      <c r="W40">
        <v>89.7</v>
      </c>
      <c r="X40" t="s">
        <v>284</v>
      </c>
      <c r="Y40">
        <v>92.72</v>
      </c>
      <c r="Z40" t="s">
        <v>284</v>
      </c>
      <c r="AA40">
        <v>109</v>
      </c>
      <c r="AB40" t="s">
        <v>285</v>
      </c>
      <c r="AG40">
        <v>91.806700000000006</v>
      </c>
      <c r="AH40" t="s">
        <v>54</v>
      </c>
      <c r="AI40" t="s">
        <v>52</v>
      </c>
      <c r="AZ40" t="s">
        <v>52</v>
      </c>
      <c r="BQ40" t="s">
        <v>52</v>
      </c>
      <c r="BR40">
        <v>2.74</v>
      </c>
      <c r="BS40" t="s">
        <v>289</v>
      </c>
      <c r="BT40">
        <v>0.46</v>
      </c>
      <c r="BU40" t="s">
        <v>285</v>
      </c>
      <c r="BV40">
        <v>0.98</v>
      </c>
      <c r="BW40" t="s">
        <v>285</v>
      </c>
      <c r="BX40">
        <v>0.87</v>
      </c>
      <c r="BY40" t="s">
        <v>285</v>
      </c>
      <c r="BZ40">
        <v>0.48</v>
      </c>
      <c r="CA40" t="s">
        <v>289</v>
      </c>
      <c r="CF40">
        <v>0.78</v>
      </c>
      <c r="CG40" t="s">
        <v>54</v>
      </c>
      <c r="CH40" t="s">
        <v>52</v>
      </c>
    </row>
    <row r="41" spans="1:86" x14ac:dyDescent="0.25">
      <c r="A41" t="s">
        <v>47</v>
      </c>
      <c r="B41">
        <v>8</v>
      </c>
      <c r="C41" t="s">
        <v>48</v>
      </c>
      <c r="D41">
        <v>1</v>
      </c>
      <c r="E41" t="s">
        <v>82</v>
      </c>
      <c r="F41">
        <v>52</v>
      </c>
      <c r="H41" t="s">
        <v>50</v>
      </c>
      <c r="K41" t="s">
        <v>52</v>
      </c>
      <c r="L41">
        <v>1</v>
      </c>
      <c r="M41" t="s">
        <v>53</v>
      </c>
      <c r="N41">
        <v>50</v>
      </c>
      <c r="O41">
        <v>1</v>
      </c>
      <c r="P41" t="s">
        <v>52</v>
      </c>
      <c r="Q41">
        <v>0.5</v>
      </c>
      <c r="R41">
        <v>0.75</v>
      </c>
      <c r="S41">
        <v>85</v>
      </c>
      <c r="T41" t="s">
        <v>285</v>
      </c>
      <c r="U41">
        <v>93</v>
      </c>
      <c r="V41" t="s">
        <v>284</v>
      </c>
      <c r="W41">
        <v>191.5</v>
      </c>
      <c r="X41" t="s">
        <v>284</v>
      </c>
      <c r="Y41">
        <v>198</v>
      </c>
      <c r="Z41" t="s">
        <v>284</v>
      </c>
      <c r="AA41">
        <v>109</v>
      </c>
      <c r="AB41" t="s">
        <v>285</v>
      </c>
      <c r="AG41">
        <v>131.16669999999999</v>
      </c>
      <c r="AH41" t="s">
        <v>54</v>
      </c>
      <c r="AI41" t="s">
        <v>52</v>
      </c>
      <c r="AZ41" t="s">
        <v>52</v>
      </c>
      <c r="BQ41" t="s">
        <v>52</v>
      </c>
      <c r="CH41" t="s">
        <v>52</v>
      </c>
    </row>
    <row r="42" spans="1:86" x14ac:dyDescent="0.25">
      <c r="A42" t="s">
        <v>47</v>
      </c>
      <c r="B42">
        <v>8</v>
      </c>
      <c r="C42" t="s">
        <v>48</v>
      </c>
      <c r="D42">
        <v>1</v>
      </c>
      <c r="E42" t="s">
        <v>83</v>
      </c>
      <c r="F42">
        <v>158</v>
      </c>
      <c r="H42" t="s">
        <v>50</v>
      </c>
      <c r="K42" t="s">
        <v>52</v>
      </c>
      <c r="L42">
        <v>1</v>
      </c>
      <c r="M42" t="s">
        <v>53</v>
      </c>
      <c r="N42">
        <v>158</v>
      </c>
      <c r="O42">
        <v>2</v>
      </c>
      <c r="P42" t="s">
        <v>52</v>
      </c>
      <c r="Q42">
        <v>0.77</v>
      </c>
      <c r="R42">
        <v>0.93</v>
      </c>
      <c r="S42">
        <v>228</v>
      </c>
      <c r="T42" t="s">
        <v>284</v>
      </c>
      <c r="U42">
        <v>221</v>
      </c>
      <c r="V42" t="s">
        <v>284</v>
      </c>
      <c r="W42">
        <v>236</v>
      </c>
      <c r="X42" t="s">
        <v>284</v>
      </c>
      <c r="Y42">
        <v>244</v>
      </c>
      <c r="Z42" t="s">
        <v>284</v>
      </c>
      <c r="AA42">
        <v>252</v>
      </c>
      <c r="AB42" t="s">
        <v>284</v>
      </c>
      <c r="AG42">
        <v>236</v>
      </c>
      <c r="AH42" t="s">
        <v>54</v>
      </c>
      <c r="AI42" t="s">
        <v>52</v>
      </c>
      <c r="AX42">
        <v>339</v>
      </c>
      <c r="AY42" t="s">
        <v>285</v>
      </c>
      <c r="AZ42" t="s">
        <v>287</v>
      </c>
      <c r="BQ42" t="s">
        <v>52</v>
      </c>
      <c r="BR42">
        <v>1.31</v>
      </c>
      <c r="BS42" t="s">
        <v>285</v>
      </c>
      <c r="BT42">
        <v>1.01</v>
      </c>
      <c r="BU42" t="s">
        <v>284</v>
      </c>
      <c r="BV42">
        <v>0.33</v>
      </c>
      <c r="BW42" t="s">
        <v>288</v>
      </c>
      <c r="BX42">
        <v>0.56999999999999995</v>
      </c>
      <c r="BY42" t="s">
        <v>285</v>
      </c>
      <c r="BZ42">
        <v>0.1</v>
      </c>
      <c r="CA42" t="s">
        <v>289</v>
      </c>
      <c r="CF42">
        <v>0.64</v>
      </c>
      <c r="CG42" t="s">
        <v>54</v>
      </c>
      <c r="CH42" t="s">
        <v>52</v>
      </c>
    </row>
    <row r="43" spans="1:86" x14ac:dyDescent="0.25">
      <c r="A43" t="s">
        <v>47</v>
      </c>
      <c r="B43">
        <v>8</v>
      </c>
      <c r="C43" t="s">
        <v>48</v>
      </c>
      <c r="D43">
        <v>1</v>
      </c>
      <c r="E43" t="s">
        <v>84</v>
      </c>
      <c r="F43">
        <v>11</v>
      </c>
      <c r="G43" t="s">
        <v>85</v>
      </c>
      <c r="H43" t="s">
        <v>50</v>
      </c>
      <c r="K43" t="s">
        <v>51</v>
      </c>
      <c r="L43">
        <v>1</v>
      </c>
      <c r="M43" t="s">
        <v>53</v>
      </c>
      <c r="N43">
        <v>11</v>
      </c>
      <c r="O43">
        <v>2</v>
      </c>
      <c r="P43" t="s">
        <v>52</v>
      </c>
      <c r="Q43">
        <v>0.5</v>
      </c>
      <c r="R43">
        <v>0.75</v>
      </c>
      <c r="S43">
        <v>155</v>
      </c>
      <c r="T43" t="s">
        <v>284</v>
      </c>
      <c r="U43">
        <v>110</v>
      </c>
      <c r="V43" t="s">
        <v>284</v>
      </c>
      <c r="W43">
        <v>118</v>
      </c>
      <c r="X43" t="s">
        <v>284</v>
      </c>
      <c r="Y43">
        <v>122</v>
      </c>
      <c r="Z43" t="s">
        <v>284</v>
      </c>
      <c r="AA43">
        <v>126</v>
      </c>
      <c r="AB43" t="s">
        <v>284</v>
      </c>
      <c r="AG43">
        <v>122</v>
      </c>
      <c r="AH43" t="s">
        <v>54</v>
      </c>
      <c r="AI43" t="s">
        <v>52</v>
      </c>
      <c r="AZ43" t="s">
        <v>52</v>
      </c>
      <c r="BQ43" t="s">
        <v>52</v>
      </c>
      <c r="CH43" t="s">
        <v>52</v>
      </c>
    </row>
    <row r="44" spans="1:86" x14ac:dyDescent="0.25">
      <c r="A44" t="s">
        <v>47</v>
      </c>
      <c r="B44">
        <v>8</v>
      </c>
      <c r="C44" t="s">
        <v>86</v>
      </c>
      <c r="D44">
        <v>3</v>
      </c>
      <c r="E44" t="s">
        <v>49</v>
      </c>
      <c r="F44">
        <v>27</v>
      </c>
      <c r="H44" t="s">
        <v>50</v>
      </c>
      <c r="K44" t="s">
        <v>51</v>
      </c>
      <c r="L44">
        <v>1</v>
      </c>
      <c r="M44" t="s">
        <v>53</v>
      </c>
      <c r="N44">
        <v>27</v>
      </c>
      <c r="O44">
        <v>1</v>
      </c>
      <c r="P44" t="s">
        <v>52</v>
      </c>
      <c r="Q44">
        <v>0</v>
      </c>
      <c r="R44">
        <v>0.75</v>
      </c>
      <c r="S44">
        <v>231</v>
      </c>
      <c r="T44" t="s">
        <v>284</v>
      </c>
      <c r="U44">
        <v>208</v>
      </c>
      <c r="V44" t="s">
        <v>284</v>
      </c>
      <c r="W44">
        <v>224</v>
      </c>
      <c r="X44" t="s">
        <v>284</v>
      </c>
      <c r="Y44">
        <v>225</v>
      </c>
      <c r="Z44" t="s">
        <v>285</v>
      </c>
      <c r="AA44">
        <v>247</v>
      </c>
      <c r="AB44" t="s">
        <v>285</v>
      </c>
      <c r="AC44">
        <v>241</v>
      </c>
      <c r="AD44" t="s">
        <v>285</v>
      </c>
      <c r="AE44">
        <v>219</v>
      </c>
      <c r="AF44" t="s">
        <v>285</v>
      </c>
      <c r="AG44">
        <v>219</v>
      </c>
      <c r="AH44" t="s">
        <v>286</v>
      </c>
      <c r="AI44" t="s">
        <v>287</v>
      </c>
      <c r="AX44">
        <v>263</v>
      </c>
      <c r="AY44" t="s">
        <v>286</v>
      </c>
      <c r="AZ44" t="s">
        <v>287</v>
      </c>
      <c r="BQ44" t="s">
        <v>52</v>
      </c>
      <c r="BR44">
        <v>3.7</v>
      </c>
      <c r="BS44" t="s">
        <v>284</v>
      </c>
      <c r="BT44">
        <v>3.4</v>
      </c>
      <c r="BU44" t="s">
        <v>284</v>
      </c>
      <c r="BV44">
        <v>3.4</v>
      </c>
      <c r="BW44" t="s">
        <v>284</v>
      </c>
      <c r="BX44">
        <v>3.2</v>
      </c>
      <c r="BY44" t="s">
        <v>284</v>
      </c>
      <c r="BZ44">
        <v>3.92</v>
      </c>
      <c r="CA44" t="s">
        <v>288</v>
      </c>
      <c r="CF44">
        <v>3.5</v>
      </c>
      <c r="CG44" t="s">
        <v>54</v>
      </c>
      <c r="CH44" t="s">
        <v>52</v>
      </c>
    </row>
    <row r="45" spans="1:86" x14ac:dyDescent="0.25">
      <c r="A45" t="s">
        <v>47</v>
      </c>
      <c r="B45">
        <v>8</v>
      </c>
      <c r="C45" t="s">
        <v>86</v>
      </c>
      <c r="D45">
        <v>3</v>
      </c>
      <c r="E45" t="s">
        <v>87</v>
      </c>
      <c r="F45">
        <v>91</v>
      </c>
      <c r="G45" t="s">
        <v>76</v>
      </c>
      <c r="H45" t="s">
        <v>50</v>
      </c>
      <c r="K45" t="s">
        <v>51</v>
      </c>
      <c r="L45">
        <v>1</v>
      </c>
      <c r="M45" t="s">
        <v>53</v>
      </c>
      <c r="N45">
        <v>91</v>
      </c>
      <c r="O45">
        <v>2</v>
      </c>
      <c r="P45" t="s">
        <v>52</v>
      </c>
      <c r="Q45">
        <v>0.77</v>
      </c>
      <c r="R45">
        <v>0.93</v>
      </c>
      <c r="S45">
        <v>135</v>
      </c>
      <c r="T45" t="s">
        <v>284</v>
      </c>
      <c r="U45">
        <v>133</v>
      </c>
      <c r="V45" t="s">
        <v>284</v>
      </c>
      <c r="W45">
        <v>147</v>
      </c>
      <c r="X45" t="s">
        <v>284</v>
      </c>
      <c r="Y45">
        <v>170</v>
      </c>
      <c r="Z45" t="s">
        <v>284</v>
      </c>
      <c r="AA45">
        <v>167</v>
      </c>
      <c r="AB45" t="s">
        <v>284</v>
      </c>
      <c r="AG45">
        <v>149.66669999999999</v>
      </c>
      <c r="AH45" t="s">
        <v>54</v>
      </c>
      <c r="AI45" t="s">
        <v>52</v>
      </c>
      <c r="AZ45" t="s">
        <v>52</v>
      </c>
      <c r="BQ45" t="s">
        <v>52</v>
      </c>
      <c r="BR45">
        <v>1.42</v>
      </c>
      <c r="BS45" t="s">
        <v>285</v>
      </c>
      <c r="BT45">
        <v>1.35</v>
      </c>
      <c r="BU45" t="s">
        <v>284</v>
      </c>
      <c r="BV45">
        <v>0.83</v>
      </c>
      <c r="BW45" t="s">
        <v>288</v>
      </c>
      <c r="BX45">
        <v>1.85</v>
      </c>
      <c r="BY45" t="s">
        <v>284</v>
      </c>
      <c r="BZ45">
        <v>1.01</v>
      </c>
      <c r="CA45" t="s">
        <v>285</v>
      </c>
      <c r="CF45">
        <v>1.26</v>
      </c>
      <c r="CG45" t="s">
        <v>54</v>
      </c>
      <c r="CH45" t="s">
        <v>52</v>
      </c>
    </row>
    <row r="46" spans="1:86" x14ac:dyDescent="0.25">
      <c r="A46" t="s">
        <v>47</v>
      </c>
      <c r="B46">
        <v>8</v>
      </c>
      <c r="C46" t="s">
        <v>86</v>
      </c>
      <c r="D46">
        <v>3</v>
      </c>
      <c r="E46" t="s">
        <v>58</v>
      </c>
      <c r="F46">
        <v>102</v>
      </c>
      <c r="G46" t="s">
        <v>62</v>
      </c>
      <c r="H46" t="s">
        <v>50</v>
      </c>
      <c r="K46" t="s">
        <v>51</v>
      </c>
      <c r="L46">
        <v>1</v>
      </c>
      <c r="M46" t="s">
        <v>53</v>
      </c>
      <c r="N46">
        <v>102</v>
      </c>
      <c r="O46">
        <v>1</v>
      </c>
      <c r="P46" t="s">
        <v>52</v>
      </c>
      <c r="Q46">
        <v>0</v>
      </c>
      <c r="R46">
        <v>0.92</v>
      </c>
      <c r="S46">
        <v>131.69999999999999</v>
      </c>
      <c r="T46" t="s">
        <v>284</v>
      </c>
      <c r="U46">
        <v>170</v>
      </c>
      <c r="V46" t="s">
        <v>284</v>
      </c>
      <c r="W46">
        <v>191</v>
      </c>
      <c r="X46" t="s">
        <v>284</v>
      </c>
      <c r="Y46">
        <v>207</v>
      </c>
      <c r="Z46" t="s">
        <v>284</v>
      </c>
      <c r="AA46">
        <v>205</v>
      </c>
      <c r="AB46" t="s">
        <v>285</v>
      </c>
      <c r="AG46">
        <v>188.66669999999999</v>
      </c>
      <c r="AH46" t="s">
        <v>54</v>
      </c>
      <c r="AI46" t="s">
        <v>52</v>
      </c>
      <c r="AX46">
        <v>271.60000000000002</v>
      </c>
      <c r="AY46" t="s">
        <v>285</v>
      </c>
      <c r="AZ46" t="s">
        <v>287</v>
      </c>
      <c r="BQ46" t="s">
        <v>52</v>
      </c>
      <c r="BR46">
        <v>1.85</v>
      </c>
      <c r="BS46" t="s">
        <v>284</v>
      </c>
      <c r="BT46">
        <v>1.66</v>
      </c>
      <c r="BU46" t="s">
        <v>285</v>
      </c>
      <c r="BV46">
        <v>0.71</v>
      </c>
      <c r="BW46" t="s">
        <v>285</v>
      </c>
      <c r="BX46">
        <v>0.76</v>
      </c>
      <c r="BY46" t="s">
        <v>285</v>
      </c>
      <c r="BZ46">
        <v>1.47</v>
      </c>
      <c r="CA46" t="s">
        <v>288</v>
      </c>
      <c r="CF46">
        <v>1.3</v>
      </c>
      <c r="CG46" t="s">
        <v>54</v>
      </c>
      <c r="CH46" t="s">
        <v>52</v>
      </c>
    </row>
    <row r="47" spans="1:86" x14ac:dyDescent="0.25">
      <c r="A47" t="s">
        <v>47</v>
      </c>
      <c r="B47">
        <v>8</v>
      </c>
      <c r="C47" t="s">
        <v>86</v>
      </c>
      <c r="D47">
        <v>3</v>
      </c>
      <c r="E47" t="s">
        <v>58</v>
      </c>
      <c r="F47">
        <v>102</v>
      </c>
      <c r="G47" t="s">
        <v>62</v>
      </c>
      <c r="H47" t="s">
        <v>50</v>
      </c>
      <c r="K47" t="s">
        <v>52</v>
      </c>
      <c r="L47">
        <v>1</v>
      </c>
      <c r="M47" t="s">
        <v>53</v>
      </c>
      <c r="N47">
        <v>102</v>
      </c>
      <c r="O47">
        <v>1</v>
      </c>
      <c r="P47" t="s">
        <v>52</v>
      </c>
      <c r="Q47">
        <v>0</v>
      </c>
      <c r="R47">
        <v>0.92</v>
      </c>
      <c r="S47">
        <v>131.69999999999999</v>
      </c>
      <c r="T47" t="s">
        <v>284</v>
      </c>
      <c r="U47">
        <v>170</v>
      </c>
      <c r="V47" t="s">
        <v>284</v>
      </c>
      <c r="W47">
        <v>191</v>
      </c>
      <c r="X47" t="s">
        <v>284</v>
      </c>
      <c r="Y47">
        <v>207</v>
      </c>
      <c r="Z47" t="s">
        <v>284</v>
      </c>
      <c r="AA47">
        <v>205</v>
      </c>
      <c r="AB47" t="s">
        <v>285</v>
      </c>
      <c r="AG47">
        <v>188.66669999999999</v>
      </c>
      <c r="AH47" t="s">
        <v>54</v>
      </c>
      <c r="AI47" t="s">
        <v>52</v>
      </c>
      <c r="AX47">
        <v>271.60000000000002</v>
      </c>
      <c r="AY47" t="s">
        <v>285</v>
      </c>
      <c r="AZ47" t="s">
        <v>287</v>
      </c>
      <c r="BQ47" t="s">
        <v>52</v>
      </c>
      <c r="BR47">
        <v>0.83</v>
      </c>
      <c r="BS47" t="s">
        <v>285</v>
      </c>
      <c r="BT47">
        <v>1.0900000000000001</v>
      </c>
      <c r="BU47" t="s">
        <v>284</v>
      </c>
      <c r="BV47">
        <v>0.32</v>
      </c>
      <c r="BW47" t="s">
        <v>285</v>
      </c>
      <c r="BX47">
        <v>0.57999999999999996</v>
      </c>
      <c r="BY47" t="s">
        <v>285</v>
      </c>
      <c r="BZ47">
        <v>0.5</v>
      </c>
      <c r="CA47" t="s">
        <v>284</v>
      </c>
      <c r="CF47">
        <v>0.64</v>
      </c>
      <c r="CG47" t="s">
        <v>54</v>
      </c>
      <c r="CH47" t="s">
        <v>52</v>
      </c>
    </row>
    <row r="48" spans="1:86" x14ac:dyDescent="0.25">
      <c r="A48" t="s">
        <v>47</v>
      </c>
      <c r="B48">
        <v>8</v>
      </c>
      <c r="C48" t="s">
        <v>86</v>
      </c>
      <c r="D48">
        <v>3</v>
      </c>
      <c r="E48" t="s">
        <v>58</v>
      </c>
      <c r="F48">
        <v>102</v>
      </c>
      <c r="G48" t="s">
        <v>65</v>
      </c>
      <c r="H48" t="s">
        <v>50</v>
      </c>
      <c r="K48" t="s">
        <v>51</v>
      </c>
      <c r="L48">
        <v>1</v>
      </c>
      <c r="M48" t="s">
        <v>53</v>
      </c>
      <c r="N48">
        <v>102</v>
      </c>
      <c r="O48">
        <v>1</v>
      </c>
      <c r="P48" t="s">
        <v>52</v>
      </c>
      <c r="Q48">
        <v>0</v>
      </c>
      <c r="R48">
        <v>0.92</v>
      </c>
      <c r="S48">
        <v>131.69999999999999</v>
      </c>
      <c r="T48" t="s">
        <v>284</v>
      </c>
      <c r="U48">
        <v>170</v>
      </c>
      <c r="V48" t="s">
        <v>284</v>
      </c>
      <c r="W48">
        <v>191</v>
      </c>
      <c r="X48" t="s">
        <v>284</v>
      </c>
      <c r="Y48">
        <v>207</v>
      </c>
      <c r="Z48" t="s">
        <v>284</v>
      </c>
      <c r="AA48">
        <v>155</v>
      </c>
      <c r="AB48" t="s">
        <v>285</v>
      </c>
      <c r="AG48">
        <v>172</v>
      </c>
      <c r="AH48" t="s">
        <v>54</v>
      </c>
      <c r="AI48" t="s">
        <v>52</v>
      </c>
      <c r="AZ48" t="s">
        <v>52</v>
      </c>
      <c r="BQ48" t="s">
        <v>52</v>
      </c>
      <c r="BR48">
        <v>1.85</v>
      </c>
      <c r="BS48" t="s">
        <v>284</v>
      </c>
      <c r="BT48">
        <v>2.09</v>
      </c>
      <c r="BU48" t="s">
        <v>284</v>
      </c>
      <c r="BV48">
        <v>1.62</v>
      </c>
      <c r="BW48" t="s">
        <v>285</v>
      </c>
      <c r="BX48">
        <v>1.1200000000000001</v>
      </c>
      <c r="BY48" t="s">
        <v>285</v>
      </c>
      <c r="BZ48">
        <v>0.96</v>
      </c>
      <c r="CA48" t="s">
        <v>284</v>
      </c>
      <c r="CF48">
        <v>1.53</v>
      </c>
      <c r="CG48" t="s">
        <v>54</v>
      </c>
      <c r="CH48" t="s">
        <v>52</v>
      </c>
    </row>
    <row r="49" spans="1:86" x14ac:dyDescent="0.25">
      <c r="A49" t="s">
        <v>47</v>
      </c>
      <c r="B49">
        <v>8</v>
      </c>
      <c r="C49" t="s">
        <v>86</v>
      </c>
      <c r="D49">
        <v>3</v>
      </c>
      <c r="E49" t="s">
        <v>68</v>
      </c>
      <c r="F49">
        <v>80</v>
      </c>
      <c r="G49" t="s">
        <v>69</v>
      </c>
      <c r="H49" t="s">
        <v>50</v>
      </c>
      <c r="K49" t="s">
        <v>52</v>
      </c>
      <c r="L49">
        <v>1</v>
      </c>
      <c r="M49" t="s">
        <v>53</v>
      </c>
      <c r="N49">
        <v>80</v>
      </c>
      <c r="O49">
        <v>1</v>
      </c>
      <c r="P49" t="s">
        <v>52</v>
      </c>
      <c r="Q49">
        <v>0.5</v>
      </c>
      <c r="R49">
        <v>0.75</v>
      </c>
      <c r="S49">
        <v>202.92</v>
      </c>
      <c r="T49" t="s">
        <v>284</v>
      </c>
      <c r="U49">
        <v>198.9</v>
      </c>
      <c r="V49" t="s">
        <v>284</v>
      </c>
      <c r="W49">
        <v>212.4</v>
      </c>
      <c r="X49" t="s">
        <v>284</v>
      </c>
      <c r="Y49">
        <v>219.6</v>
      </c>
      <c r="Z49" t="s">
        <v>284</v>
      </c>
      <c r="AA49">
        <v>178</v>
      </c>
      <c r="AB49" t="s">
        <v>284</v>
      </c>
      <c r="AG49">
        <v>204.74</v>
      </c>
      <c r="AH49" t="s">
        <v>54</v>
      </c>
      <c r="AI49" t="s">
        <v>52</v>
      </c>
      <c r="AZ49" t="s">
        <v>52</v>
      </c>
      <c r="BQ49" t="s">
        <v>52</v>
      </c>
      <c r="CH49" t="s">
        <v>52</v>
      </c>
    </row>
    <row r="50" spans="1:86" x14ac:dyDescent="0.25">
      <c r="A50" t="s">
        <v>47</v>
      </c>
      <c r="B50">
        <v>8</v>
      </c>
      <c r="C50" t="s">
        <v>86</v>
      </c>
      <c r="D50">
        <v>3</v>
      </c>
      <c r="E50" t="s">
        <v>70</v>
      </c>
      <c r="F50">
        <v>296</v>
      </c>
      <c r="G50" t="s">
        <v>71</v>
      </c>
      <c r="H50" t="s">
        <v>50</v>
      </c>
      <c r="K50" t="s">
        <v>51</v>
      </c>
      <c r="L50">
        <v>1</v>
      </c>
      <c r="M50" t="s">
        <v>53</v>
      </c>
      <c r="N50">
        <v>296</v>
      </c>
      <c r="O50">
        <v>1</v>
      </c>
      <c r="P50" t="s">
        <v>52</v>
      </c>
      <c r="Q50">
        <v>0</v>
      </c>
      <c r="R50">
        <v>0.75</v>
      </c>
      <c r="S50">
        <v>228</v>
      </c>
      <c r="T50" t="s">
        <v>284</v>
      </c>
      <c r="U50">
        <v>190</v>
      </c>
      <c r="V50" t="s">
        <v>285</v>
      </c>
      <c r="W50">
        <v>194</v>
      </c>
      <c r="X50" t="s">
        <v>285</v>
      </c>
      <c r="Y50">
        <v>225</v>
      </c>
      <c r="Z50" t="s">
        <v>285</v>
      </c>
      <c r="AA50">
        <v>247</v>
      </c>
      <c r="AB50" t="s">
        <v>285</v>
      </c>
      <c r="AC50">
        <v>241</v>
      </c>
      <c r="AD50" t="s">
        <v>285</v>
      </c>
      <c r="AE50">
        <v>219</v>
      </c>
      <c r="AF50" t="s">
        <v>285</v>
      </c>
      <c r="AG50">
        <v>219</v>
      </c>
      <c r="AH50" t="s">
        <v>286</v>
      </c>
      <c r="AI50" t="s">
        <v>287</v>
      </c>
      <c r="AX50">
        <v>263</v>
      </c>
      <c r="AY50" t="s">
        <v>286</v>
      </c>
      <c r="AZ50" t="s">
        <v>287</v>
      </c>
      <c r="BQ50" t="s">
        <v>52</v>
      </c>
      <c r="BR50">
        <v>1.85</v>
      </c>
      <c r="BS50" t="s">
        <v>284</v>
      </c>
      <c r="BT50">
        <v>2.0099999999999998</v>
      </c>
      <c r="BU50" t="s">
        <v>284</v>
      </c>
      <c r="BV50">
        <v>0.93</v>
      </c>
      <c r="BW50" t="s">
        <v>288</v>
      </c>
      <c r="BX50">
        <v>1.6</v>
      </c>
      <c r="BY50" t="s">
        <v>288</v>
      </c>
      <c r="BZ50">
        <v>1.6</v>
      </c>
      <c r="CA50" t="s">
        <v>284</v>
      </c>
      <c r="CF50">
        <v>1.68</v>
      </c>
      <c r="CG50" t="s">
        <v>54</v>
      </c>
      <c r="CH50" t="s">
        <v>52</v>
      </c>
    </row>
    <row r="51" spans="1:86" x14ac:dyDescent="0.25">
      <c r="A51" t="s">
        <v>47</v>
      </c>
      <c r="B51">
        <v>8</v>
      </c>
      <c r="C51" t="s">
        <v>86</v>
      </c>
      <c r="D51">
        <v>3</v>
      </c>
      <c r="E51" t="s">
        <v>70</v>
      </c>
      <c r="F51">
        <v>296</v>
      </c>
      <c r="G51" t="s">
        <v>72</v>
      </c>
      <c r="H51" t="s">
        <v>50</v>
      </c>
      <c r="K51" t="s">
        <v>51</v>
      </c>
      <c r="L51">
        <v>1</v>
      </c>
      <c r="M51" t="s">
        <v>53</v>
      </c>
      <c r="N51">
        <v>296</v>
      </c>
      <c r="O51">
        <v>1</v>
      </c>
      <c r="P51" t="s">
        <v>52</v>
      </c>
      <c r="Q51">
        <v>0.5</v>
      </c>
      <c r="R51">
        <v>0.75</v>
      </c>
      <c r="S51">
        <v>228</v>
      </c>
      <c r="T51" t="s">
        <v>284</v>
      </c>
      <c r="U51">
        <v>221</v>
      </c>
      <c r="V51" t="s">
        <v>284</v>
      </c>
      <c r="W51">
        <v>236</v>
      </c>
      <c r="X51" t="s">
        <v>284</v>
      </c>
      <c r="Y51">
        <v>244</v>
      </c>
      <c r="Z51" t="s">
        <v>284</v>
      </c>
      <c r="AA51">
        <v>215</v>
      </c>
      <c r="AB51" t="s">
        <v>285</v>
      </c>
      <c r="AG51">
        <v>228.33330000000001</v>
      </c>
      <c r="AH51" t="s">
        <v>54</v>
      </c>
      <c r="AI51" t="s">
        <v>52</v>
      </c>
      <c r="AZ51" t="s">
        <v>52</v>
      </c>
      <c r="BQ51" t="s">
        <v>52</v>
      </c>
      <c r="BR51">
        <v>1.85</v>
      </c>
      <c r="BS51" t="s">
        <v>284</v>
      </c>
      <c r="BT51">
        <v>2.0699999999999998</v>
      </c>
      <c r="BU51" t="s">
        <v>284</v>
      </c>
      <c r="BV51">
        <v>1.96</v>
      </c>
      <c r="BW51" t="s">
        <v>285</v>
      </c>
      <c r="BX51">
        <v>1.57</v>
      </c>
      <c r="BY51" t="s">
        <v>285</v>
      </c>
      <c r="BZ51">
        <v>1.57</v>
      </c>
      <c r="CA51" t="s">
        <v>284</v>
      </c>
      <c r="CF51">
        <v>1.79</v>
      </c>
      <c r="CG51" t="s">
        <v>54</v>
      </c>
      <c r="CH51" t="s">
        <v>52</v>
      </c>
    </row>
    <row r="52" spans="1:86" x14ac:dyDescent="0.25">
      <c r="A52" t="s">
        <v>47</v>
      </c>
      <c r="B52">
        <v>8</v>
      </c>
      <c r="C52" t="s">
        <v>86</v>
      </c>
      <c r="D52">
        <v>3</v>
      </c>
      <c r="E52" t="s">
        <v>70</v>
      </c>
      <c r="F52">
        <v>296</v>
      </c>
      <c r="G52" t="s">
        <v>74</v>
      </c>
      <c r="H52" t="s">
        <v>50</v>
      </c>
      <c r="K52" t="s">
        <v>51</v>
      </c>
      <c r="L52">
        <v>1</v>
      </c>
      <c r="M52" t="s">
        <v>53</v>
      </c>
      <c r="N52">
        <v>102</v>
      </c>
      <c r="O52">
        <v>1</v>
      </c>
      <c r="P52" t="s">
        <v>52</v>
      </c>
      <c r="Q52">
        <v>0</v>
      </c>
      <c r="R52">
        <v>0.75</v>
      </c>
      <c r="S52">
        <v>135</v>
      </c>
      <c r="T52" t="s">
        <v>284</v>
      </c>
      <c r="U52">
        <v>132</v>
      </c>
      <c r="V52" t="s">
        <v>284</v>
      </c>
      <c r="W52">
        <v>147</v>
      </c>
      <c r="X52" t="s">
        <v>284</v>
      </c>
      <c r="Y52">
        <v>170</v>
      </c>
      <c r="Z52" t="s">
        <v>284</v>
      </c>
      <c r="AA52">
        <v>205</v>
      </c>
      <c r="AB52" t="s">
        <v>285</v>
      </c>
      <c r="AG52">
        <v>150.66669999999999</v>
      </c>
      <c r="AH52" t="s">
        <v>54</v>
      </c>
      <c r="AI52" t="s">
        <v>52</v>
      </c>
      <c r="AZ52" t="s">
        <v>52</v>
      </c>
      <c r="BQ52" t="s">
        <v>52</v>
      </c>
      <c r="BR52">
        <v>1.85</v>
      </c>
      <c r="BS52" t="s">
        <v>284</v>
      </c>
      <c r="BT52">
        <v>2.0699999999999998</v>
      </c>
      <c r="BU52" t="s">
        <v>284</v>
      </c>
      <c r="BV52">
        <v>1.36</v>
      </c>
      <c r="BW52" t="s">
        <v>285</v>
      </c>
      <c r="BX52">
        <v>1.37</v>
      </c>
      <c r="BY52" t="s">
        <v>290</v>
      </c>
      <c r="BZ52">
        <v>1.3</v>
      </c>
      <c r="CA52" t="s">
        <v>289</v>
      </c>
      <c r="CF52">
        <v>1.53</v>
      </c>
      <c r="CG52" t="s">
        <v>54</v>
      </c>
      <c r="CH52" t="s">
        <v>52</v>
      </c>
    </row>
    <row r="53" spans="1:86" x14ac:dyDescent="0.25">
      <c r="A53" t="s">
        <v>47</v>
      </c>
      <c r="B53">
        <v>8</v>
      </c>
      <c r="C53" t="s">
        <v>86</v>
      </c>
      <c r="D53">
        <v>3</v>
      </c>
      <c r="E53" t="s">
        <v>70</v>
      </c>
      <c r="F53">
        <v>296</v>
      </c>
      <c r="G53" t="s">
        <v>89</v>
      </c>
      <c r="H53" t="s">
        <v>50</v>
      </c>
      <c r="K53" t="s">
        <v>51</v>
      </c>
      <c r="L53">
        <v>1</v>
      </c>
      <c r="M53" t="s">
        <v>53</v>
      </c>
      <c r="N53">
        <v>102</v>
      </c>
      <c r="O53">
        <v>1</v>
      </c>
      <c r="P53" t="s">
        <v>52</v>
      </c>
      <c r="Q53">
        <v>0.25</v>
      </c>
      <c r="R53">
        <v>0.75</v>
      </c>
      <c r="S53">
        <v>228</v>
      </c>
      <c r="T53" t="s">
        <v>284</v>
      </c>
      <c r="U53">
        <v>168</v>
      </c>
      <c r="V53" t="s">
        <v>285</v>
      </c>
      <c r="W53">
        <v>202</v>
      </c>
      <c r="X53" t="s">
        <v>285</v>
      </c>
      <c r="Y53">
        <v>206</v>
      </c>
      <c r="Z53" t="s">
        <v>285</v>
      </c>
      <c r="AA53">
        <v>215</v>
      </c>
      <c r="AB53" t="s">
        <v>285</v>
      </c>
      <c r="AG53">
        <v>207.66669999999999</v>
      </c>
      <c r="AH53" t="s">
        <v>54</v>
      </c>
      <c r="AI53" t="s">
        <v>52</v>
      </c>
      <c r="AZ53" t="s">
        <v>52</v>
      </c>
      <c r="BQ53" t="s">
        <v>52</v>
      </c>
      <c r="BR53">
        <v>1.85</v>
      </c>
      <c r="BS53" t="s">
        <v>284</v>
      </c>
      <c r="BT53">
        <v>1.65</v>
      </c>
      <c r="BU53" t="s">
        <v>284</v>
      </c>
      <c r="BV53">
        <v>0.99</v>
      </c>
      <c r="BW53" t="s">
        <v>284</v>
      </c>
      <c r="BX53">
        <v>1.28</v>
      </c>
      <c r="BY53" t="s">
        <v>284</v>
      </c>
      <c r="BZ53">
        <v>1.28</v>
      </c>
      <c r="CA53" t="s">
        <v>284</v>
      </c>
      <c r="CF53">
        <v>1.4</v>
      </c>
      <c r="CG53" t="s">
        <v>54</v>
      </c>
      <c r="CH53" t="s">
        <v>52</v>
      </c>
    </row>
    <row r="54" spans="1:86" x14ac:dyDescent="0.25">
      <c r="A54" t="s">
        <v>47</v>
      </c>
      <c r="B54">
        <v>8</v>
      </c>
      <c r="C54" t="s">
        <v>86</v>
      </c>
      <c r="D54">
        <v>3</v>
      </c>
      <c r="E54" t="s">
        <v>70</v>
      </c>
      <c r="F54">
        <v>296</v>
      </c>
      <c r="G54" t="s">
        <v>90</v>
      </c>
      <c r="H54" t="s">
        <v>50</v>
      </c>
      <c r="K54" t="s">
        <v>51</v>
      </c>
      <c r="L54">
        <v>1</v>
      </c>
      <c r="M54" t="s">
        <v>53</v>
      </c>
      <c r="N54">
        <v>102</v>
      </c>
      <c r="O54">
        <v>1</v>
      </c>
      <c r="P54" t="s">
        <v>52</v>
      </c>
      <c r="Q54">
        <v>0.5</v>
      </c>
      <c r="R54">
        <v>0.75</v>
      </c>
      <c r="S54">
        <v>228</v>
      </c>
      <c r="T54" t="s">
        <v>284</v>
      </c>
      <c r="U54">
        <v>190</v>
      </c>
      <c r="V54" t="s">
        <v>285</v>
      </c>
      <c r="W54">
        <v>236</v>
      </c>
      <c r="X54" t="s">
        <v>284</v>
      </c>
      <c r="Y54">
        <v>244</v>
      </c>
      <c r="Z54" t="s">
        <v>284</v>
      </c>
      <c r="AA54">
        <v>215</v>
      </c>
      <c r="AB54" t="s">
        <v>285</v>
      </c>
      <c r="AG54">
        <v>226.33330000000001</v>
      </c>
      <c r="AH54" t="s">
        <v>54</v>
      </c>
      <c r="AI54" t="s">
        <v>52</v>
      </c>
      <c r="AZ54" t="s">
        <v>52</v>
      </c>
      <c r="BQ54" t="s">
        <v>52</v>
      </c>
      <c r="BR54">
        <v>1.85</v>
      </c>
      <c r="BS54" t="s">
        <v>284</v>
      </c>
      <c r="BT54">
        <v>2.0699999999999998</v>
      </c>
      <c r="BU54" t="s">
        <v>284</v>
      </c>
      <c r="BV54">
        <v>1.96</v>
      </c>
      <c r="BW54" t="s">
        <v>284</v>
      </c>
      <c r="BX54">
        <v>1.57</v>
      </c>
      <c r="BY54" t="s">
        <v>284</v>
      </c>
      <c r="BZ54">
        <v>1.57</v>
      </c>
      <c r="CA54" t="s">
        <v>284</v>
      </c>
      <c r="CF54">
        <v>1.79</v>
      </c>
      <c r="CG54" t="s">
        <v>54</v>
      </c>
      <c r="CH54" t="s">
        <v>52</v>
      </c>
    </row>
    <row r="55" spans="1:86" x14ac:dyDescent="0.25">
      <c r="A55" t="s">
        <v>47</v>
      </c>
      <c r="B55">
        <v>8</v>
      </c>
      <c r="C55" t="s">
        <v>86</v>
      </c>
      <c r="D55">
        <v>3</v>
      </c>
      <c r="E55" t="s">
        <v>70</v>
      </c>
      <c r="F55">
        <v>296</v>
      </c>
      <c r="G55" t="s">
        <v>91</v>
      </c>
      <c r="H55" t="s">
        <v>50</v>
      </c>
      <c r="K55" t="s">
        <v>51</v>
      </c>
      <c r="L55">
        <v>1</v>
      </c>
      <c r="M55" t="s">
        <v>53</v>
      </c>
      <c r="N55">
        <v>102</v>
      </c>
      <c r="O55">
        <v>1</v>
      </c>
      <c r="P55" t="s">
        <v>52</v>
      </c>
      <c r="Q55">
        <v>0.5</v>
      </c>
      <c r="R55">
        <v>0.75</v>
      </c>
      <c r="S55">
        <v>228</v>
      </c>
      <c r="T55" t="s">
        <v>284</v>
      </c>
      <c r="U55">
        <v>190</v>
      </c>
      <c r="V55" t="s">
        <v>285</v>
      </c>
      <c r="W55">
        <v>236</v>
      </c>
      <c r="X55" t="s">
        <v>284</v>
      </c>
      <c r="Y55">
        <v>244</v>
      </c>
      <c r="Z55" t="s">
        <v>284</v>
      </c>
      <c r="AA55">
        <v>215</v>
      </c>
      <c r="AB55" t="s">
        <v>285</v>
      </c>
      <c r="AG55">
        <v>226.33330000000001</v>
      </c>
      <c r="AH55" t="s">
        <v>54</v>
      </c>
      <c r="AI55" t="s">
        <v>52</v>
      </c>
      <c r="AZ55" t="s">
        <v>52</v>
      </c>
      <c r="BQ55" t="s">
        <v>52</v>
      </c>
      <c r="BR55">
        <v>1.85</v>
      </c>
      <c r="BS55" t="s">
        <v>284</v>
      </c>
      <c r="BT55">
        <v>2.0699999999999998</v>
      </c>
      <c r="BU55" t="s">
        <v>284</v>
      </c>
      <c r="BV55">
        <v>1.96</v>
      </c>
      <c r="BW55" t="s">
        <v>284</v>
      </c>
      <c r="BX55">
        <v>1.57</v>
      </c>
      <c r="BY55" t="s">
        <v>284</v>
      </c>
      <c r="BZ55">
        <v>1.57</v>
      </c>
      <c r="CA55" t="s">
        <v>284</v>
      </c>
      <c r="CF55">
        <v>1.79</v>
      </c>
      <c r="CG55" t="s">
        <v>54</v>
      </c>
      <c r="CH55" t="s">
        <v>52</v>
      </c>
    </row>
    <row r="56" spans="1:86" x14ac:dyDescent="0.25">
      <c r="A56" t="s">
        <v>47</v>
      </c>
      <c r="B56">
        <v>8</v>
      </c>
      <c r="C56" t="s">
        <v>86</v>
      </c>
      <c r="D56">
        <v>3</v>
      </c>
      <c r="E56" t="s">
        <v>70</v>
      </c>
      <c r="F56">
        <v>296</v>
      </c>
      <c r="G56" t="s">
        <v>92</v>
      </c>
      <c r="H56" t="s">
        <v>50</v>
      </c>
      <c r="K56" t="s">
        <v>51</v>
      </c>
      <c r="L56">
        <v>1</v>
      </c>
      <c r="M56" t="s">
        <v>53</v>
      </c>
      <c r="N56">
        <v>102</v>
      </c>
      <c r="O56">
        <v>1</v>
      </c>
      <c r="P56" t="s">
        <v>52</v>
      </c>
      <c r="Q56">
        <v>0.5</v>
      </c>
      <c r="R56">
        <v>0.75</v>
      </c>
      <c r="S56">
        <v>228</v>
      </c>
      <c r="T56" t="s">
        <v>284</v>
      </c>
      <c r="U56">
        <v>189</v>
      </c>
      <c r="V56" t="s">
        <v>285</v>
      </c>
      <c r="W56">
        <v>199</v>
      </c>
      <c r="X56" t="s">
        <v>285</v>
      </c>
      <c r="Y56">
        <v>206</v>
      </c>
      <c r="Z56" t="s">
        <v>285</v>
      </c>
      <c r="AA56">
        <v>128</v>
      </c>
      <c r="AB56" t="s">
        <v>285</v>
      </c>
      <c r="AG56">
        <v>198</v>
      </c>
      <c r="AH56" t="s">
        <v>54</v>
      </c>
      <c r="AI56" t="s">
        <v>52</v>
      </c>
      <c r="AZ56" t="s">
        <v>52</v>
      </c>
      <c r="BQ56" t="s">
        <v>52</v>
      </c>
      <c r="BR56">
        <v>1.85</v>
      </c>
      <c r="BS56" t="s">
        <v>284</v>
      </c>
      <c r="BT56">
        <v>2.0699999999999998</v>
      </c>
      <c r="BU56" t="s">
        <v>284</v>
      </c>
      <c r="BV56">
        <v>2.06</v>
      </c>
      <c r="BW56" t="s">
        <v>284</v>
      </c>
      <c r="BX56">
        <v>2.06</v>
      </c>
      <c r="BY56" t="s">
        <v>284</v>
      </c>
      <c r="BZ56">
        <v>4.75</v>
      </c>
      <c r="CA56" t="s">
        <v>285</v>
      </c>
      <c r="CF56">
        <v>2.06</v>
      </c>
      <c r="CG56" t="s">
        <v>54</v>
      </c>
      <c r="CH56" t="s">
        <v>52</v>
      </c>
    </row>
    <row r="57" spans="1:86" x14ac:dyDescent="0.25">
      <c r="A57" t="s">
        <v>47</v>
      </c>
      <c r="B57">
        <v>8</v>
      </c>
      <c r="C57" t="s">
        <v>86</v>
      </c>
      <c r="D57">
        <v>3</v>
      </c>
      <c r="E57" t="s">
        <v>75</v>
      </c>
      <c r="F57">
        <v>16</v>
      </c>
      <c r="G57" t="s">
        <v>76</v>
      </c>
      <c r="H57" t="s">
        <v>50</v>
      </c>
      <c r="K57" t="s">
        <v>51</v>
      </c>
      <c r="L57">
        <v>1</v>
      </c>
      <c r="M57" t="s">
        <v>53</v>
      </c>
      <c r="N57">
        <v>16</v>
      </c>
      <c r="O57">
        <v>2</v>
      </c>
      <c r="P57" t="s">
        <v>52</v>
      </c>
      <c r="Q57">
        <v>0.5</v>
      </c>
      <c r="R57">
        <v>0.75</v>
      </c>
      <c r="S57">
        <v>83.35</v>
      </c>
      <c r="T57" t="s">
        <v>285</v>
      </c>
      <c r="U57">
        <v>96.14</v>
      </c>
      <c r="V57" t="s">
        <v>284</v>
      </c>
      <c r="W57">
        <v>103.37</v>
      </c>
      <c r="X57" t="s">
        <v>284</v>
      </c>
      <c r="Y57">
        <v>106.14</v>
      </c>
      <c r="Z57" t="s">
        <v>284</v>
      </c>
      <c r="AA57">
        <v>128</v>
      </c>
      <c r="AB57" t="s">
        <v>285</v>
      </c>
      <c r="AG57">
        <v>101.88330000000001</v>
      </c>
      <c r="AH57" t="s">
        <v>54</v>
      </c>
      <c r="AI57" t="s">
        <v>52</v>
      </c>
      <c r="AX57">
        <v>146.69999999999999</v>
      </c>
      <c r="AY57" t="s">
        <v>285</v>
      </c>
      <c r="AZ57" t="s">
        <v>287</v>
      </c>
      <c r="BQ57" t="s">
        <v>52</v>
      </c>
      <c r="BR57">
        <v>1.85</v>
      </c>
      <c r="BS57" t="s">
        <v>284</v>
      </c>
      <c r="BT57">
        <v>2.33</v>
      </c>
      <c r="BU57" t="s">
        <v>285</v>
      </c>
      <c r="BV57">
        <v>1.98</v>
      </c>
      <c r="BW57" t="s">
        <v>285</v>
      </c>
      <c r="BX57">
        <v>3.5</v>
      </c>
      <c r="BY57" t="s">
        <v>288</v>
      </c>
      <c r="BZ57">
        <v>4.24</v>
      </c>
      <c r="CA57" t="s">
        <v>288</v>
      </c>
      <c r="CF57">
        <v>2.6</v>
      </c>
      <c r="CG57" t="s">
        <v>54</v>
      </c>
      <c r="CH57" t="s">
        <v>52</v>
      </c>
    </row>
    <row r="58" spans="1:86" x14ac:dyDescent="0.25">
      <c r="A58" t="s">
        <v>47</v>
      </c>
      <c r="B58">
        <v>8</v>
      </c>
      <c r="C58" t="s">
        <v>86</v>
      </c>
      <c r="D58">
        <v>3</v>
      </c>
      <c r="E58" t="s">
        <v>93</v>
      </c>
      <c r="F58">
        <v>94</v>
      </c>
      <c r="H58" t="s">
        <v>50</v>
      </c>
      <c r="K58" t="s">
        <v>51</v>
      </c>
      <c r="L58">
        <v>1</v>
      </c>
      <c r="M58" t="s">
        <v>53</v>
      </c>
      <c r="N58">
        <v>94</v>
      </c>
      <c r="O58">
        <v>2</v>
      </c>
      <c r="P58" t="s">
        <v>52</v>
      </c>
      <c r="Q58">
        <v>0.77</v>
      </c>
      <c r="R58">
        <v>0.93</v>
      </c>
      <c r="S58">
        <v>205</v>
      </c>
      <c r="T58" t="s">
        <v>284</v>
      </c>
      <c r="U58">
        <v>175</v>
      </c>
      <c r="V58" t="s">
        <v>284</v>
      </c>
      <c r="W58">
        <v>188</v>
      </c>
      <c r="X58" t="s">
        <v>284</v>
      </c>
      <c r="Y58">
        <v>202.32</v>
      </c>
      <c r="Z58" t="s">
        <v>284</v>
      </c>
      <c r="AA58">
        <v>209.16</v>
      </c>
      <c r="AB58" t="s">
        <v>284</v>
      </c>
      <c r="AG58">
        <v>198.44</v>
      </c>
      <c r="AH58" t="s">
        <v>54</v>
      </c>
      <c r="AI58" t="s">
        <v>52</v>
      </c>
      <c r="AZ58" t="s">
        <v>52</v>
      </c>
      <c r="BQ58" t="s">
        <v>52</v>
      </c>
      <c r="CH58" t="s">
        <v>52</v>
      </c>
    </row>
    <row r="59" spans="1:86" x14ac:dyDescent="0.25">
      <c r="A59" t="s">
        <v>47</v>
      </c>
      <c r="B59">
        <v>8</v>
      </c>
      <c r="C59" t="s">
        <v>86</v>
      </c>
      <c r="D59">
        <v>3</v>
      </c>
      <c r="E59" t="s">
        <v>94</v>
      </c>
      <c r="F59">
        <v>26</v>
      </c>
      <c r="H59" t="s">
        <v>50</v>
      </c>
      <c r="K59" t="s">
        <v>51</v>
      </c>
      <c r="L59">
        <v>1</v>
      </c>
      <c r="M59" t="s">
        <v>53</v>
      </c>
      <c r="N59">
        <v>102</v>
      </c>
      <c r="O59">
        <v>1</v>
      </c>
      <c r="P59" t="s">
        <v>52</v>
      </c>
      <c r="Q59">
        <v>0</v>
      </c>
      <c r="R59">
        <v>0.92</v>
      </c>
      <c r="S59">
        <v>131.69999999999999</v>
      </c>
      <c r="T59" t="s">
        <v>284</v>
      </c>
      <c r="U59">
        <v>170</v>
      </c>
      <c r="V59" t="s">
        <v>284</v>
      </c>
      <c r="W59">
        <v>191</v>
      </c>
      <c r="X59" t="s">
        <v>284</v>
      </c>
      <c r="Y59">
        <v>207</v>
      </c>
      <c r="Z59" t="s">
        <v>284</v>
      </c>
      <c r="AA59">
        <v>186</v>
      </c>
      <c r="AB59" t="s">
        <v>284</v>
      </c>
      <c r="AG59">
        <v>182.33330000000001</v>
      </c>
      <c r="AH59" t="s">
        <v>54</v>
      </c>
      <c r="AI59" t="s">
        <v>52</v>
      </c>
      <c r="AZ59" t="s">
        <v>52</v>
      </c>
      <c r="BQ59" t="s">
        <v>52</v>
      </c>
      <c r="BR59">
        <v>1.53</v>
      </c>
      <c r="BS59" t="s">
        <v>285</v>
      </c>
      <c r="BT59">
        <v>1.48</v>
      </c>
      <c r="BU59" t="s">
        <v>285</v>
      </c>
      <c r="BV59">
        <v>1.1499999999999999</v>
      </c>
      <c r="BW59" t="s">
        <v>285</v>
      </c>
      <c r="BX59">
        <v>1.1200000000000001</v>
      </c>
      <c r="BY59" t="s">
        <v>285</v>
      </c>
      <c r="BZ59">
        <v>1.04</v>
      </c>
      <c r="CA59" t="s">
        <v>289</v>
      </c>
      <c r="CF59">
        <v>1.25</v>
      </c>
      <c r="CG59" t="s">
        <v>54</v>
      </c>
      <c r="CH59" t="s">
        <v>52</v>
      </c>
    </row>
    <row r="60" spans="1:86" x14ac:dyDescent="0.25">
      <c r="A60" t="s">
        <v>47</v>
      </c>
      <c r="B60">
        <v>8</v>
      </c>
      <c r="C60" t="s">
        <v>86</v>
      </c>
      <c r="D60">
        <v>3</v>
      </c>
      <c r="E60" t="s">
        <v>77</v>
      </c>
      <c r="F60">
        <v>51</v>
      </c>
      <c r="G60" t="s">
        <v>78</v>
      </c>
      <c r="H60" t="s">
        <v>50</v>
      </c>
      <c r="K60" t="s">
        <v>51</v>
      </c>
      <c r="L60">
        <v>1</v>
      </c>
      <c r="M60" t="s">
        <v>53</v>
      </c>
      <c r="N60">
        <v>51</v>
      </c>
      <c r="O60">
        <v>2</v>
      </c>
      <c r="P60" t="s">
        <v>52</v>
      </c>
      <c r="Q60">
        <v>0.5</v>
      </c>
      <c r="R60">
        <v>0.73</v>
      </c>
      <c r="S60">
        <v>228</v>
      </c>
      <c r="T60" t="s">
        <v>284</v>
      </c>
      <c r="U60">
        <v>218</v>
      </c>
      <c r="V60" t="s">
        <v>284</v>
      </c>
      <c r="W60">
        <v>147</v>
      </c>
      <c r="X60" t="s">
        <v>284</v>
      </c>
      <c r="Y60">
        <v>170</v>
      </c>
      <c r="Z60" t="s">
        <v>284</v>
      </c>
      <c r="AA60">
        <v>109</v>
      </c>
      <c r="AB60" t="s">
        <v>285</v>
      </c>
      <c r="AG60">
        <v>178.33330000000001</v>
      </c>
      <c r="AH60" t="s">
        <v>54</v>
      </c>
      <c r="AI60" t="s">
        <v>52</v>
      </c>
      <c r="AZ60" t="s">
        <v>52</v>
      </c>
      <c r="BQ60" t="s">
        <v>52</v>
      </c>
      <c r="CH60" t="s">
        <v>52</v>
      </c>
    </row>
    <row r="61" spans="1:86" x14ac:dyDescent="0.25">
      <c r="A61" t="s">
        <v>47</v>
      </c>
      <c r="B61">
        <v>8</v>
      </c>
      <c r="C61" t="s">
        <v>86</v>
      </c>
      <c r="D61">
        <v>3</v>
      </c>
      <c r="E61" t="s">
        <v>79</v>
      </c>
      <c r="F61">
        <v>50</v>
      </c>
      <c r="G61" t="s">
        <v>65</v>
      </c>
      <c r="H61" t="s">
        <v>50</v>
      </c>
      <c r="K61" t="s">
        <v>51</v>
      </c>
      <c r="L61">
        <v>1</v>
      </c>
      <c r="M61" t="s">
        <v>53</v>
      </c>
      <c r="N61">
        <v>50</v>
      </c>
      <c r="O61">
        <v>1</v>
      </c>
      <c r="P61" t="s">
        <v>52</v>
      </c>
      <c r="Q61">
        <v>0.5</v>
      </c>
      <c r="R61">
        <v>0.75</v>
      </c>
      <c r="S61">
        <v>85</v>
      </c>
      <c r="T61" t="s">
        <v>285</v>
      </c>
      <c r="U61">
        <v>93</v>
      </c>
      <c r="V61" t="s">
        <v>284</v>
      </c>
      <c r="W61">
        <v>89.7</v>
      </c>
      <c r="X61" t="s">
        <v>284</v>
      </c>
      <c r="Y61">
        <v>92.72</v>
      </c>
      <c r="Z61" t="s">
        <v>284</v>
      </c>
      <c r="AA61">
        <v>109</v>
      </c>
      <c r="AB61" t="s">
        <v>285</v>
      </c>
      <c r="AG61">
        <v>91.806700000000006</v>
      </c>
      <c r="AH61" t="s">
        <v>54</v>
      </c>
      <c r="AI61" t="s">
        <v>52</v>
      </c>
      <c r="AZ61" t="s">
        <v>52</v>
      </c>
      <c r="BQ61" t="s">
        <v>52</v>
      </c>
      <c r="BR61">
        <v>3.57</v>
      </c>
      <c r="BS61" t="s">
        <v>289</v>
      </c>
      <c r="BT61">
        <v>1.92</v>
      </c>
      <c r="BU61" t="s">
        <v>284</v>
      </c>
      <c r="BV61">
        <v>2.77</v>
      </c>
      <c r="BW61" t="s">
        <v>284</v>
      </c>
      <c r="BX61">
        <v>2.63</v>
      </c>
      <c r="BY61" t="s">
        <v>284</v>
      </c>
      <c r="BZ61">
        <v>3.45</v>
      </c>
      <c r="CA61" t="s">
        <v>289</v>
      </c>
      <c r="CF61">
        <v>2.95</v>
      </c>
      <c r="CG61" t="s">
        <v>54</v>
      </c>
      <c r="CH61" t="s">
        <v>52</v>
      </c>
    </row>
    <row r="62" spans="1:86" x14ac:dyDescent="0.25">
      <c r="A62" t="s">
        <v>47</v>
      </c>
      <c r="B62">
        <v>8</v>
      </c>
      <c r="C62" t="s">
        <v>86</v>
      </c>
      <c r="D62">
        <v>3</v>
      </c>
      <c r="E62" t="s">
        <v>83</v>
      </c>
      <c r="F62">
        <v>158</v>
      </c>
      <c r="H62" t="s">
        <v>50</v>
      </c>
      <c r="K62" t="s">
        <v>51</v>
      </c>
      <c r="L62">
        <v>1</v>
      </c>
      <c r="M62" t="s">
        <v>53</v>
      </c>
      <c r="N62">
        <v>158</v>
      </c>
      <c r="O62">
        <v>2</v>
      </c>
      <c r="P62" t="s">
        <v>52</v>
      </c>
      <c r="Q62">
        <v>0.77</v>
      </c>
      <c r="R62">
        <v>0.93</v>
      </c>
      <c r="S62">
        <v>228</v>
      </c>
      <c r="T62" t="s">
        <v>284</v>
      </c>
      <c r="U62">
        <v>221</v>
      </c>
      <c r="V62" t="s">
        <v>284</v>
      </c>
      <c r="W62">
        <v>236</v>
      </c>
      <c r="X62" t="s">
        <v>284</v>
      </c>
      <c r="Y62">
        <v>244</v>
      </c>
      <c r="Z62" t="s">
        <v>284</v>
      </c>
      <c r="AA62">
        <v>252</v>
      </c>
      <c r="AB62" t="s">
        <v>284</v>
      </c>
      <c r="AG62">
        <v>236</v>
      </c>
      <c r="AH62" t="s">
        <v>54</v>
      </c>
      <c r="AI62" t="s">
        <v>52</v>
      </c>
      <c r="AX62">
        <v>339</v>
      </c>
      <c r="AY62" t="s">
        <v>285</v>
      </c>
      <c r="AZ62" t="s">
        <v>287</v>
      </c>
      <c r="BQ62" t="s">
        <v>52</v>
      </c>
      <c r="BR62">
        <v>1.85</v>
      </c>
      <c r="BS62" t="s">
        <v>284</v>
      </c>
      <c r="BT62">
        <v>1.35</v>
      </c>
      <c r="BU62" t="s">
        <v>284</v>
      </c>
      <c r="BV62">
        <v>1.03</v>
      </c>
      <c r="BW62" t="s">
        <v>288</v>
      </c>
      <c r="BX62">
        <v>1.34</v>
      </c>
      <c r="BY62" t="s">
        <v>289</v>
      </c>
      <c r="BZ62">
        <v>1.22</v>
      </c>
      <c r="CA62" t="s">
        <v>289</v>
      </c>
      <c r="CF62">
        <v>1.3</v>
      </c>
      <c r="CG62" t="s">
        <v>54</v>
      </c>
      <c r="CH62" t="s">
        <v>52</v>
      </c>
    </row>
    <row r="63" spans="1:86" x14ac:dyDescent="0.25">
      <c r="A63" t="s">
        <v>47</v>
      </c>
      <c r="B63">
        <v>8</v>
      </c>
      <c r="C63" t="s">
        <v>86</v>
      </c>
      <c r="D63">
        <v>3</v>
      </c>
      <c r="E63" t="s">
        <v>84</v>
      </c>
      <c r="F63">
        <v>11</v>
      </c>
      <c r="G63" t="s">
        <v>85</v>
      </c>
      <c r="H63" t="s">
        <v>50</v>
      </c>
      <c r="K63" t="s">
        <v>51</v>
      </c>
      <c r="L63">
        <v>1</v>
      </c>
      <c r="M63" t="s">
        <v>53</v>
      </c>
      <c r="N63">
        <v>11</v>
      </c>
      <c r="O63">
        <v>2</v>
      </c>
      <c r="P63" t="s">
        <v>52</v>
      </c>
      <c r="Q63">
        <v>0.5</v>
      </c>
      <c r="R63">
        <v>0.75</v>
      </c>
      <c r="S63">
        <v>155</v>
      </c>
      <c r="T63" t="s">
        <v>284</v>
      </c>
      <c r="U63">
        <v>110</v>
      </c>
      <c r="V63" t="s">
        <v>284</v>
      </c>
      <c r="W63">
        <v>118</v>
      </c>
      <c r="X63" t="s">
        <v>284</v>
      </c>
      <c r="Y63">
        <v>122</v>
      </c>
      <c r="Z63" t="s">
        <v>284</v>
      </c>
      <c r="AA63">
        <v>126</v>
      </c>
      <c r="AB63" t="s">
        <v>284</v>
      </c>
      <c r="AG63">
        <v>122</v>
      </c>
      <c r="AH63" t="s">
        <v>54</v>
      </c>
      <c r="AI63" t="s">
        <v>52</v>
      </c>
      <c r="AZ63" t="s">
        <v>52</v>
      </c>
      <c r="BQ63" t="s">
        <v>52</v>
      </c>
      <c r="BR63">
        <v>2.64</v>
      </c>
      <c r="BS63" t="s">
        <v>285</v>
      </c>
      <c r="BT63">
        <v>2.2799999999999998</v>
      </c>
      <c r="BU63" t="s">
        <v>284</v>
      </c>
      <c r="BV63">
        <v>2.78</v>
      </c>
      <c r="BW63" t="s">
        <v>284</v>
      </c>
      <c r="BX63">
        <v>2.42</v>
      </c>
      <c r="BY63" t="s">
        <v>284</v>
      </c>
      <c r="BZ63">
        <v>2.2799999999999998</v>
      </c>
      <c r="CA63" t="s">
        <v>284</v>
      </c>
      <c r="CF63">
        <v>2.4500000000000002</v>
      </c>
      <c r="CG63" t="s">
        <v>54</v>
      </c>
      <c r="CH63" t="s">
        <v>52</v>
      </c>
    </row>
    <row r="64" spans="1:86" x14ac:dyDescent="0.25">
      <c r="A64" t="s">
        <v>47</v>
      </c>
      <c r="B64">
        <v>8</v>
      </c>
      <c r="C64" t="s">
        <v>86</v>
      </c>
      <c r="D64">
        <v>3</v>
      </c>
      <c r="E64" t="s">
        <v>84</v>
      </c>
      <c r="F64">
        <v>11</v>
      </c>
      <c r="G64" t="s">
        <v>96</v>
      </c>
      <c r="H64" t="s">
        <v>50</v>
      </c>
      <c r="K64" t="s">
        <v>51</v>
      </c>
      <c r="L64">
        <v>1</v>
      </c>
      <c r="M64" t="s">
        <v>53</v>
      </c>
      <c r="N64">
        <v>11</v>
      </c>
      <c r="O64">
        <v>2</v>
      </c>
      <c r="P64" t="s">
        <v>52</v>
      </c>
      <c r="Q64">
        <v>0.5</v>
      </c>
      <c r="R64">
        <v>0.75</v>
      </c>
      <c r="S64">
        <v>124</v>
      </c>
      <c r="T64" t="s">
        <v>284</v>
      </c>
      <c r="U64">
        <v>110</v>
      </c>
      <c r="V64" t="s">
        <v>284</v>
      </c>
      <c r="W64">
        <v>118</v>
      </c>
      <c r="X64" t="s">
        <v>284</v>
      </c>
      <c r="Y64">
        <v>122</v>
      </c>
      <c r="Z64" t="s">
        <v>284</v>
      </c>
      <c r="AA64">
        <v>126</v>
      </c>
      <c r="AB64" t="s">
        <v>284</v>
      </c>
      <c r="AG64">
        <v>121.33329999999999</v>
      </c>
      <c r="AH64" t="s">
        <v>54</v>
      </c>
      <c r="AI64" t="s">
        <v>52</v>
      </c>
      <c r="AZ64" t="s">
        <v>52</v>
      </c>
      <c r="BQ64" t="s">
        <v>52</v>
      </c>
      <c r="BR64">
        <v>2.64</v>
      </c>
      <c r="BS64" t="s">
        <v>285</v>
      </c>
      <c r="BT64">
        <v>2.2799999999999998</v>
      </c>
      <c r="BU64" t="s">
        <v>284</v>
      </c>
      <c r="BV64">
        <v>2.78</v>
      </c>
      <c r="BW64" t="s">
        <v>284</v>
      </c>
      <c r="BX64">
        <v>2.42</v>
      </c>
      <c r="BY64" t="s">
        <v>284</v>
      </c>
      <c r="BZ64">
        <v>2.08</v>
      </c>
      <c r="CA64" t="s">
        <v>284</v>
      </c>
      <c r="CF64">
        <v>2.4500000000000002</v>
      </c>
      <c r="CG64" t="s">
        <v>54</v>
      </c>
      <c r="CH64" t="s">
        <v>52</v>
      </c>
    </row>
    <row r="65" spans="1:86" x14ac:dyDescent="0.25">
      <c r="A65" t="s">
        <v>47</v>
      </c>
      <c r="B65">
        <v>8</v>
      </c>
      <c r="C65" t="s">
        <v>86</v>
      </c>
      <c r="D65">
        <v>3</v>
      </c>
      <c r="E65" t="s">
        <v>84</v>
      </c>
      <c r="F65">
        <v>11</v>
      </c>
      <c r="G65" t="s">
        <v>97</v>
      </c>
      <c r="H65" t="s">
        <v>50</v>
      </c>
      <c r="K65" t="s">
        <v>51</v>
      </c>
      <c r="L65">
        <v>1</v>
      </c>
      <c r="M65" t="s">
        <v>53</v>
      </c>
      <c r="N65">
        <v>11</v>
      </c>
      <c r="O65">
        <v>2</v>
      </c>
      <c r="P65" t="s">
        <v>52</v>
      </c>
      <c r="Q65">
        <v>0.5</v>
      </c>
      <c r="R65">
        <v>0.75</v>
      </c>
      <c r="S65">
        <v>124</v>
      </c>
      <c r="T65" t="s">
        <v>284</v>
      </c>
      <c r="U65">
        <v>110</v>
      </c>
      <c r="V65" t="s">
        <v>284</v>
      </c>
      <c r="W65">
        <v>118</v>
      </c>
      <c r="X65" t="s">
        <v>284</v>
      </c>
      <c r="Y65">
        <v>122</v>
      </c>
      <c r="Z65" t="s">
        <v>284</v>
      </c>
      <c r="AA65">
        <v>126</v>
      </c>
      <c r="AB65" t="s">
        <v>284</v>
      </c>
      <c r="AG65">
        <v>121.33329999999999</v>
      </c>
      <c r="AH65" t="s">
        <v>54</v>
      </c>
      <c r="AI65" t="s">
        <v>52</v>
      </c>
      <c r="AZ65" t="s">
        <v>52</v>
      </c>
      <c r="BQ65" t="s">
        <v>52</v>
      </c>
      <c r="BR65">
        <v>2.64</v>
      </c>
      <c r="BS65" t="s">
        <v>285</v>
      </c>
      <c r="BT65">
        <v>2.2799999999999998</v>
      </c>
      <c r="BU65" t="s">
        <v>284</v>
      </c>
      <c r="BV65">
        <v>2.78</v>
      </c>
      <c r="BW65" t="s">
        <v>284</v>
      </c>
      <c r="BX65">
        <v>2.42</v>
      </c>
      <c r="BY65" t="s">
        <v>284</v>
      </c>
      <c r="BZ65">
        <v>2.2799999999999998</v>
      </c>
      <c r="CA65" t="s">
        <v>284</v>
      </c>
      <c r="CF65">
        <v>2.4500000000000002</v>
      </c>
      <c r="CG65" t="s">
        <v>54</v>
      </c>
      <c r="CH65" t="s">
        <v>52</v>
      </c>
    </row>
    <row r="66" spans="1:86" x14ac:dyDescent="0.25">
      <c r="A66" t="s">
        <v>47</v>
      </c>
      <c r="B66">
        <v>8</v>
      </c>
      <c r="C66" t="s">
        <v>86</v>
      </c>
      <c r="D66">
        <v>3</v>
      </c>
      <c r="E66" t="s">
        <v>84</v>
      </c>
      <c r="F66">
        <v>11</v>
      </c>
      <c r="G66" t="s">
        <v>98</v>
      </c>
      <c r="H66" t="s">
        <v>50</v>
      </c>
      <c r="K66" t="s">
        <v>51</v>
      </c>
      <c r="L66">
        <v>1</v>
      </c>
      <c r="M66" t="s">
        <v>53</v>
      </c>
      <c r="N66">
        <v>11</v>
      </c>
      <c r="O66">
        <v>2</v>
      </c>
      <c r="P66" t="s">
        <v>52</v>
      </c>
      <c r="Q66">
        <v>0.5</v>
      </c>
      <c r="R66">
        <v>0.75</v>
      </c>
      <c r="S66">
        <v>124</v>
      </c>
      <c r="T66" t="s">
        <v>284</v>
      </c>
      <c r="U66">
        <v>110</v>
      </c>
      <c r="V66" t="s">
        <v>284</v>
      </c>
      <c r="W66">
        <v>118</v>
      </c>
      <c r="X66" t="s">
        <v>284</v>
      </c>
      <c r="Y66">
        <v>122</v>
      </c>
      <c r="Z66" t="s">
        <v>284</v>
      </c>
      <c r="AA66">
        <v>126</v>
      </c>
      <c r="AB66" t="s">
        <v>284</v>
      </c>
      <c r="AG66">
        <v>121.33329999999999</v>
      </c>
      <c r="AH66" t="s">
        <v>54</v>
      </c>
      <c r="AI66" t="s">
        <v>52</v>
      </c>
      <c r="AZ66" t="s">
        <v>52</v>
      </c>
      <c r="BQ66" t="s">
        <v>52</v>
      </c>
      <c r="BR66">
        <v>2.64</v>
      </c>
      <c r="BS66" t="s">
        <v>285</v>
      </c>
      <c r="BT66">
        <v>2.2799999999999998</v>
      </c>
      <c r="BU66" t="s">
        <v>284</v>
      </c>
      <c r="BV66">
        <v>2.78</v>
      </c>
      <c r="BW66" t="s">
        <v>284</v>
      </c>
      <c r="BX66">
        <v>2.42</v>
      </c>
      <c r="BY66" t="s">
        <v>284</v>
      </c>
      <c r="BZ66">
        <v>2.2799999999999998</v>
      </c>
      <c r="CA66" t="s">
        <v>284</v>
      </c>
      <c r="CF66">
        <v>2.4500000000000002</v>
      </c>
      <c r="CG66" t="s">
        <v>54</v>
      </c>
      <c r="CH66" t="s">
        <v>52</v>
      </c>
    </row>
    <row r="67" spans="1:86" x14ac:dyDescent="0.25">
      <c r="A67" t="s">
        <v>47</v>
      </c>
      <c r="B67">
        <v>8</v>
      </c>
      <c r="C67" t="s">
        <v>99</v>
      </c>
      <c r="D67">
        <v>5</v>
      </c>
      <c r="E67" t="s">
        <v>49</v>
      </c>
      <c r="F67">
        <v>27</v>
      </c>
      <c r="H67" t="s">
        <v>50</v>
      </c>
      <c r="K67" t="s">
        <v>51</v>
      </c>
      <c r="L67">
        <v>1</v>
      </c>
      <c r="M67" t="s">
        <v>53</v>
      </c>
      <c r="N67">
        <v>27</v>
      </c>
      <c r="O67">
        <v>1</v>
      </c>
      <c r="P67" t="s">
        <v>52</v>
      </c>
      <c r="Q67">
        <v>0</v>
      </c>
      <c r="R67">
        <v>0.75</v>
      </c>
      <c r="S67">
        <v>231</v>
      </c>
      <c r="T67" t="s">
        <v>284</v>
      </c>
      <c r="U67">
        <v>208</v>
      </c>
      <c r="V67" t="s">
        <v>284</v>
      </c>
      <c r="W67">
        <v>224</v>
      </c>
      <c r="X67" t="s">
        <v>284</v>
      </c>
      <c r="Y67">
        <v>225</v>
      </c>
      <c r="Z67" t="s">
        <v>285</v>
      </c>
      <c r="AA67">
        <v>247</v>
      </c>
      <c r="AB67" t="s">
        <v>285</v>
      </c>
      <c r="AC67">
        <v>241</v>
      </c>
      <c r="AD67" t="s">
        <v>285</v>
      </c>
      <c r="AE67">
        <v>219</v>
      </c>
      <c r="AF67" t="s">
        <v>285</v>
      </c>
      <c r="AG67">
        <v>219</v>
      </c>
      <c r="AH67" t="s">
        <v>286</v>
      </c>
      <c r="AI67" t="s">
        <v>287</v>
      </c>
      <c r="AX67">
        <v>263</v>
      </c>
      <c r="AY67" t="s">
        <v>286</v>
      </c>
      <c r="AZ67" t="s">
        <v>287</v>
      </c>
      <c r="BQ67" t="s">
        <v>52</v>
      </c>
      <c r="BR67">
        <v>3.7</v>
      </c>
      <c r="BS67" t="s">
        <v>284</v>
      </c>
      <c r="BT67">
        <v>3.4</v>
      </c>
      <c r="BU67" t="s">
        <v>284</v>
      </c>
      <c r="BV67">
        <v>2.11</v>
      </c>
      <c r="BW67" t="s">
        <v>284</v>
      </c>
      <c r="BX67">
        <v>2.74</v>
      </c>
      <c r="BY67" t="s">
        <v>284</v>
      </c>
      <c r="BZ67">
        <v>2.2999999999999998</v>
      </c>
      <c r="CA67" t="s">
        <v>285</v>
      </c>
      <c r="CF67">
        <v>2.81</v>
      </c>
      <c r="CG67" t="s">
        <v>54</v>
      </c>
      <c r="CH67" t="s">
        <v>52</v>
      </c>
    </row>
    <row r="68" spans="1:86" x14ac:dyDescent="0.25">
      <c r="A68" t="s">
        <v>47</v>
      </c>
      <c r="B68">
        <v>8</v>
      </c>
      <c r="C68" t="s">
        <v>99</v>
      </c>
      <c r="D68">
        <v>5</v>
      </c>
      <c r="E68" t="s">
        <v>49</v>
      </c>
      <c r="F68">
        <v>27</v>
      </c>
      <c r="H68" t="s">
        <v>50</v>
      </c>
      <c r="K68" t="s">
        <v>52</v>
      </c>
      <c r="L68">
        <v>1</v>
      </c>
      <c r="M68" t="s">
        <v>53</v>
      </c>
      <c r="N68">
        <v>27</v>
      </c>
      <c r="O68">
        <v>1</v>
      </c>
      <c r="P68" t="s">
        <v>52</v>
      </c>
      <c r="Q68">
        <v>0</v>
      </c>
      <c r="R68">
        <v>0.75</v>
      </c>
      <c r="S68">
        <v>231</v>
      </c>
      <c r="T68" t="s">
        <v>284</v>
      </c>
      <c r="U68">
        <v>208</v>
      </c>
      <c r="V68" t="s">
        <v>284</v>
      </c>
      <c r="W68">
        <v>224</v>
      </c>
      <c r="X68" t="s">
        <v>284</v>
      </c>
      <c r="Y68">
        <v>225</v>
      </c>
      <c r="Z68" t="s">
        <v>285</v>
      </c>
      <c r="AA68">
        <v>247</v>
      </c>
      <c r="AB68" t="s">
        <v>285</v>
      </c>
      <c r="AC68">
        <v>241</v>
      </c>
      <c r="AD68" t="s">
        <v>285</v>
      </c>
      <c r="AE68">
        <v>219</v>
      </c>
      <c r="AF68" t="s">
        <v>285</v>
      </c>
      <c r="AG68">
        <v>219</v>
      </c>
      <c r="AH68" t="s">
        <v>286</v>
      </c>
      <c r="AI68" t="s">
        <v>287</v>
      </c>
      <c r="AX68">
        <v>263</v>
      </c>
      <c r="AY68" t="s">
        <v>286</v>
      </c>
      <c r="AZ68" t="s">
        <v>287</v>
      </c>
      <c r="BQ68" t="s">
        <v>52</v>
      </c>
      <c r="BR68">
        <v>1.3</v>
      </c>
      <c r="BS68" t="s">
        <v>284</v>
      </c>
      <c r="BT68">
        <v>1.2</v>
      </c>
      <c r="BU68" t="s">
        <v>284</v>
      </c>
      <c r="BV68">
        <v>0.3</v>
      </c>
      <c r="BW68" t="s">
        <v>284</v>
      </c>
      <c r="BX68">
        <v>0.3</v>
      </c>
      <c r="BY68" t="s">
        <v>284</v>
      </c>
      <c r="BZ68">
        <v>0.3</v>
      </c>
      <c r="CA68" t="s">
        <v>289</v>
      </c>
      <c r="CF68">
        <v>0.6</v>
      </c>
      <c r="CG68" t="s">
        <v>54</v>
      </c>
      <c r="CH68" t="s">
        <v>52</v>
      </c>
    </row>
    <row r="69" spans="1:86" x14ac:dyDescent="0.25">
      <c r="A69" t="s">
        <v>47</v>
      </c>
      <c r="B69">
        <v>8</v>
      </c>
      <c r="C69" t="s">
        <v>99</v>
      </c>
      <c r="D69">
        <v>5</v>
      </c>
      <c r="E69" t="s">
        <v>58</v>
      </c>
      <c r="F69">
        <v>102</v>
      </c>
      <c r="G69" t="s">
        <v>62</v>
      </c>
      <c r="H69" t="s">
        <v>50</v>
      </c>
      <c r="K69" t="s">
        <v>51</v>
      </c>
      <c r="L69">
        <v>1</v>
      </c>
      <c r="M69" t="s">
        <v>53</v>
      </c>
      <c r="N69">
        <v>102</v>
      </c>
      <c r="O69">
        <v>1</v>
      </c>
      <c r="P69" t="s">
        <v>52</v>
      </c>
      <c r="Q69">
        <v>0</v>
      </c>
      <c r="R69">
        <v>0.92</v>
      </c>
      <c r="S69">
        <v>131.69999999999999</v>
      </c>
      <c r="T69" t="s">
        <v>284</v>
      </c>
      <c r="U69">
        <v>170</v>
      </c>
      <c r="V69" t="s">
        <v>284</v>
      </c>
      <c r="W69">
        <v>191</v>
      </c>
      <c r="X69" t="s">
        <v>284</v>
      </c>
      <c r="Y69">
        <v>207</v>
      </c>
      <c r="Z69" t="s">
        <v>284</v>
      </c>
      <c r="AA69">
        <v>205</v>
      </c>
      <c r="AB69" t="s">
        <v>285</v>
      </c>
      <c r="AG69">
        <v>188.66669999999999</v>
      </c>
      <c r="AH69" t="s">
        <v>54</v>
      </c>
      <c r="AI69" t="s">
        <v>52</v>
      </c>
      <c r="AX69">
        <v>271.60000000000002</v>
      </c>
      <c r="AY69" t="s">
        <v>285</v>
      </c>
      <c r="AZ69" t="s">
        <v>287</v>
      </c>
      <c r="BQ69" t="s">
        <v>52</v>
      </c>
      <c r="BR69">
        <v>1.85</v>
      </c>
      <c r="BS69" t="s">
        <v>284</v>
      </c>
      <c r="BT69">
        <v>1.67</v>
      </c>
      <c r="BU69" t="s">
        <v>284</v>
      </c>
      <c r="BV69">
        <v>0.53</v>
      </c>
      <c r="BW69" t="s">
        <v>285</v>
      </c>
      <c r="BX69">
        <v>0.63</v>
      </c>
      <c r="BY69" t="s">
        <v>285</v>
      </c>
      <c r="BZ69">
        <v>0.54</v>
      </c>
      <c r="CA69" t="s">
        <v>284</v>
      </c>
      <c r="CF69">
        <v>0.95</v>
      </c>
      <c r="CG69" t="s">
        <v>54</v>
      </c>
      <c r="CH69" t="s">
        <v>52</v>
      </c>
    </row>
    <row r="70" spans="1:86" x14ac:dyDescent="0.25">
      <c r="A70" t="s">
        <v>47</v>
      </c>
      <c r="B70">
        <v>8</v>
      </c>
      <c r="C70" t="s">
        <v>99</v>
      </c>
      <c r="D70">
        <v>5</v>
      </c>
      <c r="E70" t="s">
        <v>58</v>
      </c>
      <c r="F70">
        <v>102</v>
      </c>
      <c r="G70" t="s">
        <v>62</v>
      </c>
      <c r="H70" t="s">
        <v>50</v>
      </c>
      <c r="K70" t="s">
        <v>52</v>
      </c>
      <c r="L70">
        <v>1</v>
      </c>
      <c r="M70" t="s">
        <v>53</v>
      </c>
      <c r="N70">
        <v>102</v>
      </c>
      <c r="O70">
        <v>1</v>
      </c>
      <c r="P70" t="s">
        <v>52</v>
      </c>
      <c r="Q70">
        <v>0</v>
      </c>
      <c r="R70">
        <v>0.92</v>
      </c>
      <c r="S70">
        <v>131.69999999999999</v>
      </c>
      <c r="T70" t="s">
        <v>284</v>
      </c>
      <c r="U70">
        <v>170</v>
      </c>
      <c r="V70" t="s">
        <v>284</v>
      </c>
      <c r="W70">
        <v>191</v>
      </c>
      <c r="X70" t="s">
        <v>284</v>
      </c>
      <c r="Y70">
        <v>207</v>
      </c>
      <c r="Z70" t="s">
        <v>284</v>
      </c>
      <c r="AA70">
        <v>205</v>
      </c>
      <c r="AB70" t="s">
        <v>285</v>
      </c>
      <c r="AG70">
        <v>188.66669999999999</v>
      </c>
      <c r="AH70" t="s">
        <v>54</v>
      </c>
      <c r="AI70" t="s">
        <v>52</v>
      </c>
      <c r="AX70">
        <v>271.60000000000002</v>
      </c>
      <c r="AY70" t="s">
        <v>285</v>
      </c>
      <c r="AZ70" t="s">
        <v>287</v>
      </c>
      <c r="BQ70" t="s">
        <v>52</v>
      </c>
      <c r="BR70">
        <v>0.83</v>
      </c>
      <c r="BS70" t="s">
        <v>285</v>
      </c>
      <c r="BT70">
        <v>0.94</v>
      </c>
      <c r="BU70" t="s">
        <v>284</v>
      </c>
      <c r="BV70">
        <v>0.28000000000000003</v>
      </c>
      <c r="BW70" t="s">
        <v>285</v>
      </c>
      <c r="BX70">
        <v>0.5</v>
      </c>
      <c r="BY70" t="s">
        <v>285</v>
      </c>
      <c r="BZ70">
        <v>0.43</v>
      </c>
      <c r="CA70" t="s">
        <v>284</v>
      </c>
      <c r="CF70">
        <v>0.59</v>
      </c>
      <c r="CG70" t="s">
        <v>54</v>
      </c>
      <c r="CH70" t="s">
        <v>52</v>
      </c>
    </row>
    <row r="71" spans="1:86" x14ac:dyDescent="0.25">
      <c r="A71" t="s">
        <v>47</v>
      </c>
      <c r="B71">
        <v>8</v>
      </c>
      <c r="C71" t="s">
        <v>99</v>
      </c>
      <c r="D71">
        <v>5</v>
      </c>
      <c r="E71" t="s">
        <v>68</v>
      </c>
      <c r="F71">
        <v>80</v>
      </c>
      <c r="G71" t="s">
        <v>69</v>
      </c>
      <c r="H71" t="s">
        <v>50</v>
      </c>
      <c r="K71" t="s">
        <v>51</v>
      </c>
      <c r="L71">
        <v>1</v>
      </c>
      <c r="M71" t="s">
        <v>53</v>
      </c>
      <c r="N71">
        <v>80</v>
      </c>
      <c r="O71">
        <v>1</v>
      </c>
      <c r="P71" t="s">
        <v>52</v>
      </c>
      <c r="Q71">
        <v>0.5</v>
      </c>
      <c r="R71">
        <v>0.75</v>
      </c>
      <c r="S71">
        <v>202.92</v>
      </c>
      <c r="T71" t="s">
        <v>284</v>
      </c>
      <c r="U71">
        <v>198.9</v>
      </c>
      <c r="V71" t="s">
        <v>284</v>
      </c>
      <c r="W71">
        <v>212.4</v>
      </c>
      <c r="X71" t="s">
        <v>284</v>
      </c>
      <c r="Y71">
        <v>219.6</v>
      </c>
      <c r="Z71" t="s">
        <v>284</v>
      </c>
      <c r="AA71">
        <v>178</v>
      </c>
      <c r="AB71" t="s">
        <v>284</v>
      </c>
      <c r="AG71">
        <v>204.74</v>
      </c>
      <c r="AH71" t="s">
        <v>54</v>
      </c>
      <c r="AI71" t="s">
        <v>52</v>
      </c>
      <c r="AZ71" t="s">
        <v>52</v>
      </c>
      <c r="BQ71" t="s">
        <v>52</v>
      </c>
      <c r="BR71">
        <v>1.85</v>
      </c>
      <c r="BS71" t="s">
        <v>284</v>
      </c>
      <c r="BT71">
        <v>1.67</v>
      </c>
      <c r="BU71" t="s">
        <v>284</v>
      </c>
      <c r="BV71">
        <v>1.83</v>
      </c>
      <c r="BW71" t="s">
        <v>284</v>
      </c>
      <c r="BX71">
        <v>2.2999999999999998</v>
      </c>
      <c r="BY71" t="s">
        <v>284</v>
      </c>
      <c r="BZ71">
        <v>2</v>
      </c>
      <c r="CA71" t="s">
        <v>285</v>
      </c>
      <c r="CF71">
        <v>1.89</v>
      </c>
      <c r="CG71" t="s">
        <v>54</v>
      </c>
      <c r="CH71" t="s">
        <v>52</v>
      </c>
    </row>
    <row r="72" spans="1:86" x14ac:dyDescent="0.25">
      <c r="A72" t="s">
        <v>47</v>
      </c>
      <c r="B72">
        <v>8</v>
      </c>
      <c r="C72" t="s">
        <v>99</v>
      </c>
      <c r="D72">
        <v>5</v>
      </c>
      <c r="E72" t="s">
        <v>68</v>
      </c>
      <c r="F72">
        <v>80</v>
      </c>
      <c r="G72" t="s">
        <v>69</v>
      </c>
      <c r="H72" t="s">
        <v>50</v>
      </c>
      <c r="K72" t="s">
        <v>52</v>
      </c>
      <c r="L72">
        <v>1</v>
      </c>
      <c r="M72" t="s">
        <v>53</v>
      </c>
      <c r="N72">
        <v>80</v>
      </c>
      <c r="O72">
        <v>1</v>
      </c>
      <c r="P72" t="s">
        <v>52</v>
      </c>
      <c r="Q72">
        <v>0.5</v>
      </c>
      <c r="R72">
        <v>0.75</v>
      </c>
      <c r="S72">
        <v>202.92</v>
      </c>
      <c r="T72" t="s">
        <v>284</v>
      </c>
      <c r="U72">
        <v>198.9</v>
      </c>
      <c r="V72" t="s">
        <v>284</v>
      </c>
      <c r="W72">
        <v>212.4</v>
      </c>
      <c r="X72" t="s">
        <v>284</v>
      </c>
      <c r="Y72">
        <v>219.6</v>
      </c>
      <c r="Z72" t="s">
        <v>284</v>
      </c>
      <c r="AA72">
        <v>178</v>
      </c>
      <c r="AB72" t="s">
        <v>284</v>
      </c>
      <c r="AG72">
        <v>204.74</v>
      </c>
      <c r="AH72" t="s">
        <v>54</v>
      </c>
      <c r="AI72" t="s">
        <v>52</v>
      </c>
      <c r="AZ72" t="s">
        <v>52</v>
      </c>
      <c r="BQ72" t="s">
        <v>52</v>
      </c>
      <c r="BR72">
        <v>0.65</v>
      </c>
      <c r="BS72" t="s">
        <v>285</v>
      </c>
      <c r="BT72">
        <v>0.87</v>
      </c>
      <c r="BU72" t="s">
        <v>284</v>
      </c>
      <c r="BV72">
        <v>1.26</v>
      </c>
      <c r="BW72" t="s">
        <v>284</v>
      </c>
      <c r="BX72">
        <v>2.29</v>
      </c>
      <c r="BY72" t="s">
        <v>284</v>
      </c>
      <c r="BZ72">
        <v>1.99</v>
      </c>
      <c r="CA72" t="s">
        <v>285</v>
      </c>
      <c r="CF72">
        <v>1.37</v>
      </c>
      <c r="CG72" t="s">
        <v>54</v>
      </c>
      <c r="CH72" t="s">
        <v>52</v>
      </c>
    </row>
    <row r="73" spans="1:86" x14ac:dyDescent="0.25">
      <c r="A73" t="s">
        <v>47</v>
      </c>
      <c r="B73">
        <v>8</v>
      </c>
      <c r="C73" t="s">
        <v>99</v>
      </c>
      <c r="D73">
        <v>5</v>
      </c>
      <c r="E73" t="s">
        <v>70</v>
      </c>
      <c r="F73">
        <v>296</v>
      </c>
      <c r="G73" t="s">
        <v>71</v>
      </c>
      <c r="H73" t="s">
        <v>50</v>
      </c>
      <c r="K73" t="s">
        <v>51</v>
      </c>
      <c r="L73">
        <v>1</v>
      </c>
      <c r="M73" t="s">
        <v>53</v>
      </c>
      <c r="N73">
        <v>296</v>
      </c>
      <c r="O73">
        <v>1</v>
      </c>
      <c r="P73" t="s">
        <v>52</v>
      </c>
      <c r="Q73">
        <v>0</v>
      </c>
      <c r="R73">
        <v>0.75</v>
      </c>
      <c r="S73">
        <v>228</v>
      </c>
      <c r="T73" t="s">
        <v>284</v>
      </c>
      <c r="U73">
        <v>190</v>
      </c>
      <c r="V73" t="s">
        <v>285</v>
      </c>
      <c r="W73">
        <v>194</v>
      </c>
      <c r="X73" t="s">
        <v>285</v>
      </c>
      <c r="Y73">
        <v>225</v>
      </c>
      <c r="Z73" t="s">
        <v>285</v>
      </c>
      <c r="AA73">
        <v>247</v>
      </c>
      <c r="AB73" t="s">
        <v>285</v>
      </c>
      <c r="AC73">
        <v>241</v>
      </c>
      <c r="AD73" t="s">
        <v>285</v>
      </c>
      <c r="AE73">
        <v>219</v>
      </c>
      <c r="AF73" t="s">
        <v>285</v>
      </c>
      <c r="AG73">
        <v>219</v>
      </c>
      <c r="AH73" t="s">
        <v>286</v>
      </c>
      <c r="AI73" t="s">
        <v>287</v>
      </c>
      <c r="AX73">
        <v>263</v>
      </c>
      <c r="AY73" t="s">
        <v>286</v>
      </c>
      <c r="AZ73" t="s">
        <v>287</v>
      </c>
      <c r="BQ73" t="s">
        <v>52</v>
      </c>
      <c r="CH73" t="s">
        <v>52</v>
      </c>
    </row>
    <row r="74" spans="1:86" x14ac:dyDescent="0.25">
      <c r="A74" t="s">
        <v>47</v>
      </c>
      <c r="B74">
        <v>8</v>
      </c>
      <c r="C74" t="s">
        <v>99</v>
      </c>
      <c r="D74">
        <v>5</v>
      </c>
      <c r="E74" t="s">
        <v>70</v>
      </c>
      <c r="F74">
        <v>296</v>
      </c>
      <c r="G74" t="s">
        <v>71</v>
      </c>
      <c r="H74" t="s">
        <v>50</v>
      </c>
      <c r="K74" t="s">
        <v>52</v>
      </c>
      <c r="L74">
        <v>1</v>
      </c>
      <c r="M74" t="s">
        <v>53</v>
      </c>
      <c r="N74">
        <v>296</v>
      </c>
      <c r="O74">
        <v>1</v>
      </c>
      <c r="P74" t="s">
        <v>52</v>
      </c>
      <c r="Q74">
        <v>0</v>
      </c>
      <c r="R74">
        <v>0.75</v>
      </c>
      <c r="S74">
        <v>228</v>
      </c>
      <c r="T74" t="s">
        <v>284</v>
      </c>
      <c r="U74">
        <v>190</v>
      </c>
      <c r="V74" t="s">
        <v>285</v>
      </c>
      <c r="W74">
        <v>194</v>
      </c>
      <c r="X74" t="s">
        <v>285</v>
      </c>
      <c r="Y74">
        <v>225</v>
      </c>
      <c r="Z74" t="s">
        <v>285</v>
      </c>
      <c r="AA74">
        <v>247</v>
      </c>
      <c r="AB74" t="s">
        <v>285</v>
      </c>
      <c r="AC74">
        <v>241</v>
      </c>
      <c r="AD74" t="s">
        <v>285</v>
      </c>
      <c r="AE74">
        <v>219</v>
      </c>
      <c r="AF74" t="s">
        <v>285</v>
      </c>
      <c r="AG74">
        <v>219</v>
      </c>
      <c r="AH74" t="s">
        <v>286</v>
      </c>
      <c r="AI74" t="s">
        <v>287</v>
      </c>
      <c r="AX74">
        <v>263</v>
      </c>
      <c r="AY74" t="s">
        <v>286</v>
      </c>
      <c r="AZ74" t="s">
        <v>287</v>
      </c>
      <c r="BQ74" t="s">
        <v>52</v>
      </c>
      <c r="CH74" t="s">
        <v>52</v>
      </c>
    </row>
    <row r="75" spans="1:86" x14ac:dyDescent="0.25">
      <c r="A75" t="s">
        <v>47</v>
      </c>
      <c r="B75">
        <v>8</v>
      </c>
      <c r="C75" t="s">
        <v>99</v>
      </c>
      <c r="D75">
        <v>5</v>
      </c>
      <c r="E75" t="s">
        <v>75</v>
      </c>
      <c r="F75">
        <v>16</v>
      </c>
      <c r="G75" t="s">
        <v>76</v>
      </c>
      <c r="H75" t="s">
        <v>50</v>
      </c>
      <c r="K75" t="s">
        <v>51</v>
      </c>
      <c r="L75">
        <v>1</v>
      </c>
      <c r="M75" t="s">
        <v>53</v>
      </c>
      <c r="N75">
        <v>16</v>
      </c>
      <c r="O75">
        <v>2</v>
      </c>
      <c r="P75" t="s">
        <v>52</v>
      </c>
      <c r="Q75">
        <v>0.5</v>
      </c>
      <c r="R75">
        <v>0.75</v>
      </c>
      <c r="S75">
        <v>83.35</v>
      </c>
      <c r="T75" t="s">
        <v>285</v>
      </c>
      <c r="U75">
        <v>96.14</v>
      </c>
      <c r="V75" t="s">
        <v>284</v>
      </c>
      <c r="W75">
        <v>103.37</v>
      </c>
      <c r="X75" t="s">
        <v>284</v>
      </c>
      <c r="Y75">
        <v>106.14</v>
      </c>
      <c r="Z75" t="s">
        <v>284</v>
      </c>
      <c r="AA75">
        <v>128</v>
      </c>
      <c r="AB75" t="s">
        <v>285</v>
      </c>
      <c r="AG75">
        <v>101.88330000000001</v>
      </c>
      <c r="AH75" t="s">
        <v>54</v>
      </c>
      <c r="AI75" t="s">
        <v>52</v>
      </c>
      <c r="AX75">
        <v>146.69999999999999</v>
      </c>
      <c r="AY75" t="s">
        <v>285</v>
      </c>
      <c r="AZ75" t="s">
        <v>287</v>
      </c>
      <c r="BQ75" t="s">
        <v>52</v>
      </c>
      <c r="BR75">
        <v>1.85</v>
      </c>
      <c r="BS75" t="s">
        <v>284</v>
      </c>
      <c r="BT75">
        <v>1.08</v>
      </c>
      <c r="BU75" t="s">
        <v>284</v>
      </c>
      <c r="BV75">
        <v>0.9</v>
      </c>
      <c r="BW75" t="s">
        <v>284</v>
      </c>
      <c r="BX75">
        <v>1.48</v>
      </c>
      <c r="BY75" t="s">
        <v>284</v>
      </c>
      <c r="BZ75">
        <v>1.73</v>
      </c>
      <c r="CA75" t="s">
        <v>289</v>
      </c>
      <c r="CF75">
        <v>1.43</v>
      </c>
      <c r="CG75" t="s">
        <v>54</v>
      </c>
      <c r="CH75" t="s">
        <v>52</v>
      </c>
    </row>
    <row r="76" spans="1:86" x14ac:dyDescent="0.25">
      <c r="A76" t="s">
        <v>47</v>
      </c>
      <c r="B76">
        <v>8</v>
      </c>
      <c r="C76" t="s">
        <v>99</v>
      </c>
      <c r="D76">
        <v>5</v>
      </c>
      <c r="E76" t="s">
        <v>75</v>
      </c>
      <c r="F76">
        <v>16</v>
      </c>
      <c r="G76" t="s">
        <v>76</v>
      </c>
      <c r="H76" t="s">
        <v>50</v>
      </c>
      <c r="K76" t="s">
        <v>52</v>
      </c>
      <c r="L76">
        <v>1</v>
      </c>
      <c r="M76" t="s">
        <v>53</v>
      </c>
      <c r="N76">
        <v>16</v>
      </c>
      <c r="O76">
        <v>2</v>
      </c>
      <c r="P76" t="s">
        <v>52</v>
      </c>
      <c r="Q76">
        <v>0.5</v>
      </c>
      <c r="R76">
        <v>0.75</v>
      </c>
      <c r="S76">
        <v>83.35</v>
      </c>
      <c r="T76" t="s">
        <v>285</v>
      </c>
      <c r="U76">
        <v>96.14</v>
      </c>
      <c r="V76" t="s">
        <v>284</v>
      </c>
      <c r="W76">
        <v>103.37</v>
      </c>
      <c r="X76" t="s">
        <v>284</v>
      </c>
      <c r="Y76">
        <v>106.14</v>
      </c>
      <c r="Z76" t="s">
        <v>284</v>
      </c>
      <c r="AA76">
        <v>128</v>
      </c>
      <c r="AB76" t="s">
        <v>285</v>
      </c>
      <c r="AG76">
        <v>101.88330000000001</v>
      </c>
      <c r="AH76" t="s">
        <v>54</v>
      </c>
      <c r="AI76" t="s">
        <v>52</v>
      </c>
      <c r="AX76">
        <v>146.69999999999999</v>
      </c>
      <c r="AY76" t="s">
        <v>285</v>
      </c>
      <c r="AZ76" t="s">
        <v>287</v>
      </c>
      <c r="BQ76" t="s">
        <v>52</v>
      </c>
      <c r="BR76">
        <v>0.65</v>
      </c>
      <c r="BS76" t="s">
        <v>284</v>
      </c>
      <c r="BT76">
        <v>0.7</v>
      </c>
      <c r="BU76" t="s">
        <v>284</v>
      </c>
      <c r="BV76">
        <v>1.26</v>
      </c>
      <c r="BW76" t="s">
        <v>284</v>
      </c>
      <c r="BX76">
        <v>1.29</v>
      </c>
      <c r="BY76" t="s">
        <v>284</v>
      </c>
      <c r="BZ76">
        <v>0.14000000000000001</v>
      </c>
      <c r="CA76" t="s">
        <v>289</v>
      </c>
      <c r="CF76">
        <v>0.87</v>
      </c>
      <c r="CG76" t="s">
        <v>54</v>
      </c>
      <c r="CH76" t="s">
        <v>52</v>
      </c>
    </row>
    <row r="77" spans="1:86" x14ac:dyDescent="0.25">
      <c r="A77" t="s">
        <v>47</v>
      </c>
      <c r="B77">
        <v>8</v>
      </c>
      <c r="C77" t="s">
        <v>99</v>
      </c>
      <c r="D77">
        <v>5</v>
      </c>
      <c r="E77" t="s">
        <v>79</v>
      </c>
      <c r="F77">
        <v>50</v>
      </c>
      <c r="G77" t="s">
        <v>100</v>
      </c>
      <c r="H77" t="s">
        <v>50</v>
      </c>
      <c r="K77" t="s">
        <v>51</v>
      </c>
      <c r="L77">
        <v>1</v>
      </c>
      <c r="M77" t="s">
        <v>53</v>
      </c>
      <c r="N77">
        <v>50</v>
      </c>
      <c r="O77">
        <v>1</v>
      </c>
      <c r="P77" t="s">
        <v>52</v>
      </c>
      <c r="Q77">
        <v>0.5</v>
      </c>
      <c r="R77">
        <v>0.75</v>
      </c>
      <c r="S77">
        <v>85</v>
      </c>
      <c r="T77" t="s">
        <v>285</v>
      </c>
      <c r="U77">
        <v>93</v>
      </c>
      <c r="V77" t="s">
        <v>284</v>
      </c>
      <c r="W77">
        <v>89.7</v>
      </c>
      <c r="X77" t="s">
        <v>284</v>
      </c>
      <c r="Y77">
        <v>92.72</v>
      </c>
      <c r="Z77" t="s">
        <v>284</v>
      </c>
      <c r="AA77">
        <v>109</v>
      </c>
      <c r="AB77" t="s">
        <v>285</v>
      </c>
      <c r="AG77">
        <v>91.806700000000006</v>
      </c>
      <c r="AH77" t="s">
        <v>54</v>
      </c>
      <c r="AI77" t="s">
        <v>52</v>
      </c>
      <c r="AZ77" t="s">
        <v>52</v>
      </c>
      <c r="BQ77" t="s">
        <v>52</v>
      </c>
      <c r="BR77">
        <v>2.6</v>
      </c>
      <c r="BS77" t="s">
        <v>289</v>
      </c>
      <c r="BT77">
        <v>1.22</v>
      </c>
      <c r="BU77" t="s">
        <v>284</v>
      </c>
      <c r="BV77">
        <v>1.76</v>
      </c>
      <c r="BW77" t="s">
        <v>284</v>
      </c>
      <c r="BX77">
        <v>1.67</v>
      </c>
      <c r="BY77" t="s">
        <v>284</v>
      </c>
      <c r="BZ77">
        <v>2.19</v>
      </c>
      <c r="CA77" t="s">
        <v>289</v>
      </c>
      <c r="CF77">
        <v>1.87</v>
      </c>
      <c r="CG77" t="s">
        <v>54</v>
      </c>
      <c r="CH77" t="s">
        <v>52</v>
      </c>
    </row>
    <row r="78" spans="1:86" x14ac:dyDescent="0.25">
      <c r="A78" t="s">
        <v>47</v>
      </c>
      <c r="B78">
        <v>8</v>
      </c>
      <c r="C78" t="s">
        <v>99</v>
      </c>
      <c r="D78">
        <v>5</v>
      </c>
      <c r="E78" t="s">
        <v>79</v>
      </c>
      <c r="F78">
        <v>50</v>
      </c>
      <c r="G78" t="s">
        <v>100</v>
      </c>
      <c r="H78" t="s">
        <v>50</v>
      </c>
      <c r="K78" t="s">
        <v>52</v>
      </c>
      <c r="L78">
        <v>1</v>
      </c>
      <c r="M78" t="s">
        <v>53</v>
      </c>
      <c r="N78">
        <v>50</v>
      </c>
      <c r="O78">
        <v>1</v>
      </c>
      <c r="P78" t="s">
        <v>52</v>
      </c>
      <c r="Q78">
        <v>0.5</v>
      </c>
      <c r="R78">
        <v>0.75</v>
      </c>
      <c r="S78">
        <v>85</v>
      </c>
      <c r="T78" t="s">
        <v>285</v>
      </c>
      <c r="U78">
        <v>93</v>
      </c>
      <c r="V78" t="s">
        <v>284</v>
      </c>
      <c r="W78">
        <v>89.7</v>
      </c>
      <c r="X78" t="s">
        <v>284</v>
      </c>
      <c r="Y78">
        <v>92.72</v>
      </c>
      <c r="Z78" t="s">
        <v>284</v>
      </c>
      <c r="AA78">
        <v>109</v>
      </c>
      <c r="AB78" t="s">
        <v>285</v>
      </c>
      <c r="AG78">
        <v>91.806700000000006</v>
      </c>
      <c r="AH78" t="s">
        <v>54</v>
      </c>
      <c r="AI78" t="s">
        <v>52</v>
      </c>
      <c r="AZ78" t="s">
        <v>52</v>
      </c>
      <c r="BQ78" t="s">
        <v>52</v>
      </c>
      <c r="BR78">
        <v>1.3</v>
      </c>
      <c r="BS78" t="s">
        <v>285</v>
      </c>
      <c r="BT78">
        <v>0.63</v>
      </c>
      <c r="BU78" t="s">
        <v>284</v>
      </c>
      <c r="BV78">
        <v>0.9</v>
      </c>
      <c r="BW78" t="s">
        <v>285</v>
      </c>
      <c r="BX78">
        <v>0.85</v>
      </c>
      <c r="BY78" t="s">
        <v>285</v>
      </c>
      <c r="BZ78">
        <v>0.47</v>
      </c>
      <c r="CA78" t="s">
        <v>289</v>
      </c>
      <c r="CF78">
        <v>0.79</v>
      </c>
      <c r="CG78" t="s">
        <v>54</v>
      </c>
      <c r="CH78" t="s">
        <v>52</v>
      </c>
    </row>
    <row r="79" spans="1:86" x14ac:dyDescent="0.25">
      <c r="A79" t="s">
        <v>47</v>
      </c>
      <c r="B79">
        <v>8</v>
      </c>
      <c r="C79" t="s">
        <v>99</v>
      </c>
      <c r="D79">
        <v>5</v>
      </c>
      <c r="E79" t="s">
        <v>79</v>
      </c>
      <c r="F79">
        <v>50</v>
      </c>
      <c r="G79" t="s">
        <v>80</v>
      </c>
      <c r="H79" t="s">
        <v>50</v>
      </c>
      <c r="K79" t="s">
        <v>51</v>
      </c>
      <c r="L79">
        <v>1</v>
      </c>
      <c r="M79" t="s">
        <v>53</v>
      </c>
      <c r="N79">
        <v>50</v>
      </c>
      <c r="O79">
        <v>1</v>
      </c>
      <c r="P79" t="s">
        <v>52</v>
      </c>
      <c r="Q79">
        <v>0.5</v>
      </c>
      <c r="R79">
        <v>0.75</v>
      </c>
      <c r="S79">
        <v>85</v>
      </c>
      <c r="T79" t="s">
        <v>285</v>
      </c>
      <c r="U79">
        <v>93</v>
      </c>
      <c r="V79" t="s">
        <v>284</v>
      </c>
      <c r="W79">
        <v>89.7</v>
      </c>
      <c r="X79" t="s">
        <v>284</v>
      </c>
      <c r="Y79">
        <v>92.72</v>
      </c>
      <c r="Z79" t="s">
        <v>284</v>
      </c>
      <c r="AA79">
        <v>109</v>
      </c>
      <c r="AB79" t="s">
        <v>285</v>
      </c>
      <c r="AG79">
        <v>91.806700000000006</v>
      </c>
      <c r="AH79" t="s">
        <v>54</v>
      </c>
      <c r="AI79" t="s">
        <v>52</v>
      </c>
      <c r="AZ79" t="s">
        <v>52</v>
      </c>
      <c r="BQ79" t="s">
        <v>52</v>
      </c>
      <c r="BR79">
        <v>4.4800000000000004</v>
      </c>
      <c r="BS79" t="s">
        <v>289</v>
      </c>
      <c r="BT79">
        <v>1.78</v>
      </c>
      <c r="BU79" t="s">
        <v>284</v>
      </c>
      <c r="BV79">
        <v>2.57</v>
      </c>
      <c r="BW79" t="s">
        <v>284</v>
      </c>
      <c r="BX79">
        <v>2.44</v>
      </c>
      <c r="BY79" t="s">
        <v>284</v>
      </c>
      <c r="BZ79">
        <v>3.2</v>
      </c>
      <c r="CA79" t="s">
        <v>289</v>
      </c>
      <c r="CF79">
        <v>2.74</v>
      </c>
      <c r="CG79" t="s">
        <v>54</v>
      </c>
      <c r="CH79" t="s">
        <v>52</v>
      </c>
    </row>
    <row r="80" spans="1:86" x14ac:dyDescent="0.25">
      <c r="A80" t="s">
        <v>47</v>
      </c>
      <c r="B80">
        <v>8</v>
      </c>
      <c r="C80" t="s">
        <v>99</v>
      </c>
      <c r="D80">
        <v>5</v>
      </c>
      <c r="E80" t="s">
        <v>79</v>
      </c>
      <c r="F80">
        <v>50</v>
      </c>
      <c r="G80" t="s">
        <v>80</v>
      </c>
      <c r="H80" t="s">
        <v>50</v>
      </c>
      <c r="K80" t="s">
        <v>52</v>
      </c>
      <c r="L80">
        <v>1</v>
      </c>
      <c r="M80" t="s">
        <v>53</v>
      </c>
      <c r="N80">
        <v>50</v>
      </c>
      <c r="O80">
        <v>1</v>
      </c>
      <c r="P80" t="s">
        <v>52</v>
      </c>
      <c r="Q80">
        <v>0.5</v>
      </c>
      <c r="R80">
        <v>0.75</v>
      </c>
      <c r="S80">
        <v>85</v>
      </c>
      <c r="T80" t="s">
        <v>285</v>
      </c>
      <c r="U80">
        <v>93</v>
      </c>
      <c r="V80" t="s">
        <v>284</v>
      </c>
      <c r="W80">
        <v>89.7</v>
      </c>
      <c r="X80" t="s">
        <v>284</v>
      </c>
      <c r="Y80">
        <v>92.72</v>
      </c>
      <c r="Z80" t="s">
        <v>284</v>
      </c>
      <c r="AA80">
        <v>109</v>
      </c>
      <c r="AB80" t="s">
        <v>285</v>
      </c>
      <c r="AG80">
        <v>91.806700000000006</v>
      </c>
      <c r="AH80" t="s">
        <v>54</v>
      </c>
      <c r="AI80" t="s">
        <v>52</v>
      </c>
      <c r="AZ80" t="s">
        <v>52</v>
      </c>
      <c r="BQ80" t="s">
        <v>52</v>
      </c>
      <c r="BR80">
        <v>0.75</v>
      </c>
      <c r="BS80" t="s">
        <v>289</v>
      </c>
      <c r="BT80">
        <v>0.71</v>
      </c>
      <c r="BU80" t="s">
        <v>284</v>
      </c>
      <c r="BV80">
        <v>1.02</v>
      </c>
      <c r="BW80" t="s">
        <v>284</v>
      </c>
      <c r="BX80">
        <v>0.97</v>
      </c>
      <c r="BY80" t="s">
        <v>284</v>
      </c>
      <c r="BZ80">
        <v>0.53</v>
      </c>
      <c r="CA80" t="s">
        <v>289</v>
      </c>
      <c r="CF80">
        <v>0.81</v>
      </c>
      <c r="CG80" t="s">
        <v>54</v>
      </c>
      <c r="CH80" t="s">
        <v>52</v>
      </c>
    </row>
    <row r="81" spans="1:86" x14ac:dyDescent="0.25">
      <c r="A81" t="s">
        <v>47</v>
      </c>
      <c r="B81">
        <v>8</v>
      </c>
      <c r="C81" t="s">
        <v>99</v>
      </c>
      <c r="D81">
        <v>5</v>
      </c>
      <c r="E81" t="s">
        <v>79</v>
      </c>
      <c r="F81">
        <v>50</v>
      </c>
      <c r="G81" t="s">
        <v>65</v>
      </c>
      <c r="H81" t="s">
        <v>50</v>
      </c>
      <c r="K81" t="s">
        <v>51</v>
      </c>
      <c r="L81">
        <v>1</v>
      </c>
      <c r="M81" t="s">
        <v>53</v>
      </c>
      <c r="N81">
        <v>50</v>
      </c>
      <c r="O81">
        <v>1</v>
      </c>
      <c r="P81" t="s">
        <v>52</v>
      </c>
      <c r="Q81">
        <v>0.5</v>
      </c>
      <c r="R81">
        <v>0.75</v>
      </c>
      <c r="S81">
        <v>85</v>
      </c>
      <c r="T81" t="s">
        <v>285</v>
      </c>
      <c r="U81">
        <v>93</v>
      </c>
      <c r="V81" t="s">
        <v>284</v>
      </c>
      <c r="W81">
        <v>89.7</v>
      </c>
      <c r="X81" t="s">
        <v>284</v>
      </c>
      <c r="Y81">
        <v>92.72</v>
      </c>
      <c r="Z81" t="s">
        <v>284</v>
      </c>
      <c r="AA81">
        <v>109</v>
      </c>
      <c r="AB81" t="s">
        <v>285</v>
      </c>
      <c r="AG81">
        <v>91.806700000000006</v>
      </c>
      <c r="AH81" t="s">
        <v>54</v>
      </c>
      <c r="AI81" t="s">
        <v>52</v>
      </c>
      <c r="AZ81" t="s">
        <v>52</v>
      </c>
      <c r="BQ81" t="s">
        <v>52</v>
      </c>
      <c r="BR81">
        <v>3.57</v>
      </c>
      <c r="BS81" t="s">
        <v>289</v>
      </c>
      <c r="BT81">
        <v>1.4</v>
      </c>
      <c r="BU81" t="s">
        <v>284</v>
      </c>
      <c r="BV81">
        <v>2.0099999999999998</v>
      </c>
      <c r="BW81" t="s">
        <v>284</v>
      </c>
      <c r="BX81">
        <v>1.91</v>
      </c>
      <c r="BY81" t="s">
        <v>284</v>
      </c>
      <c r="BZ81">
        <v>2.5</v>
      </c>
      <c r="CA81" t="s">
        <v>289</v>
      </c>
      <c r="CF81">
        <v>2.14</v>
      </c>
      <c r="CG81" t="s">
        <v>54</v>
      </c>
      <c r="CH81" t="s">
        <v>52</v>
      </c>
    </row>
    <row r="82" spans="1:86" x14ac:dyDescent="0.25">
      <c r="A82" t="s">
        <v>47</v>
      </c>
      <c r="B82">
        <v>8</v>
      </c>
      <c r="C82" t="s">
        <v>99</v>
      </c>
      <c r="D82">
        <v>5</v>
      </c>
      <c r="E82" t="s">
        <v>79</v>
      </c>
      <c r="F82">
        <v>50</v>
      </c>
      <c r="G82" t="s">
        <v>65</v>
      </c>
      <c r="H82" t="s">
        <v>50</v>
      </c>
      <c r="K82" t="s">
        <v>52</v>
      </c>
      <c r="L82">
        <v>1</v>
      </c>
      <c r="M82" t="s">
        <v>53</v>
      </c>
      <c r="N82">
        <v>50</v>
      </c>
      <c r="O82">
        <v>1</v>
      </c>
      <c r="P82" t="s">
        <v>52</v>
      </c>
      <c r="Q82">
        <v>0.5</v>
      </c>
      <c r="R82">
        <v>0.75</v>
      </c>
      <c r="S82">
        <v>85</v>
      </c>
      <c r="T82" t="s">
        <v>285</v>
      </c>
      <c r="U82">
        <v>93</v>
      </c>
      <c r="V82" t="s">
        <v>284</v>
      </c>
      <c r="W82">
        <v>89.7</v>
      </c>
      <c r="X82" t="s">
        <v>284</v>
      </c>
      <c r="Y82">
        <v>92.72</v>
      </c>
      <c r="Z82" t="s">
        <v>284</v>
      </c>
      <c r="AA82">
        <v>109</v>
      </c>
      <c r="AB82" t="s">
        <v>285</v>
      </c>
      <c r="AG82">
        <v>91.806700000000006</v>
      </c>
      <c r="AH82" t="s">
        <v>54</v>
      </c>
      <c r="AI82" t="s">
        <v>52</v>
      </c>
      <c r="AZ82" t="s">
        <v>52</v>
      </c>
      <c r="BQ82" t="s">
        <v>52</v>
      </c>
      <c r="BR82">
        <v>0.43</v>
      </c>
      <c r="BS82" t="s">
        <v>289</v>
      </c>
      <c r="BT82">
        <v>0.47</v>
      </c>
      <c r="BU82" t="s">
        <v>284</v>
      </c>
      <c r="BV82">
        <v>0.67</v>
      </c>
      <c r="BW82" t="s">
        <v>284</v>
      </c>
      <c r="BX82">
        <v>0.64</v>
      </c>
      <c r="BY82" t="s">
        <v>284</v>
      </c>
      <c r="BZ82">
        <v>0.35</v>
      </c>
      <c r="CA82" t="s">
        <v>289</v>
      </c>
      <c r="CF82">
        <v>0.51</v>
      </c>
      <c r="CG82" t="s">
        <v>54</v>
      </c>
      <c r="CH82" t="s">
        <v>52</v>
      </c>
    </row>
    <row r="83" spans="1:86" x14ac:dyDescent="0.25">
      <c r="A83" t="s">
        <v>47</v>
      </c>
      <c r="B83">
        <v>8</v>
      </c>
      <c r="C83" t="s">
        <v>99</v>
      </c>
      <c r="D83">
        <v>5</v>
      </c>
      <c r="E83" t="s">
        <v>79</v>
      </c>
      <c r="F83">
        <v>50</v>
      </c>
      <c r="G83" t="s">
        <v>81</v>
      </c>
      <c r="H83" t="s">
        <v>50</v>
      </c>
      <c r="K83" t="s">
        <v>51</v>
      </c>
      <c r="L83">
        <v>1</v>
      </c>
      <c r="M83" t="s">
        <v>53</v>
      </c>
      <c r="N83">
        <v>50</v>
      </c>
      <c r="O83">
        <v>1</v>
      </c>
      <c r="P83" t="s">
        <v>52</v>
      </c>
      <c r="Q83">
        <v>0.5</v>
      </c>
      <c r="R83">
        <v>0.75</v>
      </c>
      <c r="S83">
        <v>85</v>
      </c>
      <c r="T83" t="s">
        <v>285</v>
      </c>
      <c r="U83">
        <v>93</v>
      </c>
      <c r="V83" t="s">
        <v>284</v>
      </c>
      <c r="W83">
        <v>89.7</v>
      </c>
      <c r="X83" t="s">
        <v>284</v>
      </c>
      <c r="Y83">
        <v>92.72</v>
      </c>
      <c r="Z83" t="s">
        <v>284</v>
      </c>
      <c r="AA83">
        <v>109</v>
      </c>
      <c r="AB83" t="s">
        <v>285</v>
      </c>
      <c r="AG83">
        <v>91.806700000000006</v>
      </c>
      <c r="AH83" t="s">
        <v>54</v>
      </c>
      <c r="AI83" t="s">
        <v>52</v>
      </c>
      <c r="AZ83" t="s">
        <v>52</v>
      </c>
      <c r="BQ83" t="s">
        <v>52</v>
      </c>
      <c r="BR83">
        <v>2.74</v>
      </c>
      <c r="BS83" t="s">
        <v>289</v>
      </c>
      <c r="BT83">
        <v>1.25</v>
      </c>
      <c r="BU83" t="s">
        <v>284</v>
      </c>
      <c r="BV83">
        <v>1.79</v>
      </c>
      <c r="BW83" t="s">
        <v>284</v>
      </c>
      <c r="BX83">
        <v>1.7</v>
      </c>
      <c r="BY83" t="s">
        <v>284</v>
      </c>
      <c r="BZ83">
        <v>2.23</v>
      </c>
      <c r="CA83" t="s">
        <v>289</v>
      </c>
      <c r="CF83">
        <v>1.91</v>
      </c>
      <c r="CG83" t="s">
        <v>54</v>
      </c>
      <c r="CH83" t="s">
        <v>52</v>
      </c>
    </row>
    <row r="84" spans="1:86" x14ac:dyDescent="0.25">
      <c r="A84" t="s">
        <v>47</v>
      </c>
      <c r="B84">
        <v>8</v>
      </c>
      <c r="C84" t="s">
        <v>99</v>
      </c>
      <c r="D84">
        <v>5</v>
      </c>
      <c r="E84" t="s">
        <v>79</v>
      </c>
      <c r="F84">
        <v>50</v>
      </c>
      <c r="G84" t="s">
        <v>81</v>
      </c>
      <c r="H84" t="s">
        <v>50</v>
      </c>
      <c r="K84" t="s">
        <v>52</v>
      </c>
      <c r="L84">
        <v>1</v>
      </c>
      <c r="M84" t="s">
        <v>53</v>
      </c>
      <c r="N84">
        <v>50</v>
      </c>
      <c r="O84">
        <v>1</v>
      </c>
      <c r="P84" t="s">
        <v>52</v>
      </c>
      <c r="Q84">
        <v>0.5</v>
      </c>
      <c r="R84">
        <v>0.75</v>
      </c>
      <c r="S84">
        <v>85</v>
      </c>
      <c r="T84" t="s">
        <v>285</v>
      </c>
      <c r="U84">
        <v>93</v>
      </c>
      <c r="V84" t="s">
        <v>284</v>
      </c>
      <c r="W84">
        <v>89.7</v>
      </c>
      <c r="X84" t="s">
        <v>284</v>
      </c>
      <c r="Y84">
        <v>92.72</v>
      </c>
      <c r="Z84" t="s">
        <v>284</v>
      </c>
      <c r="AA84">
        <v>109</v>
      </c>
      <c r="AB84" t="s">
        <v>285</v>
      </c>
      <c r="AG84">
        <v>91.806700000000006</v>
      </c>
      <c r="AH84" t="s">
        <v>54</v>
      </c>
      <c r="AI84" t="s">
        <v>52</v>
      </c>
      <c r="AZ84" t="s">
        <v>52</v>
      </c>
      <c r="BQ84" t="s">
        <v>52</v>
      </c>
      <c r="BR84">
        <v>2.74</v>
      </c>
      <c r="BS84" t="s">
        <v>289</v>
      </c>
      <c r="BT84">
        <v>0.5</v>
      </c>
      <c r="BU84" t="s">
        <v>284</v>
      </c>
      <c r="BV84">
        <v>0.72</v>
      </c>
      <c r="BW84" t="s">
        <v>284</v>
      </c>
      <c r="BX84">
        <v>0.68</v>
      </c>
      <c r="BY84" t="s">
        <v>284</v>
      </c>
      <c r="BZ84">
        <v>0.37</v>
      </c>
      <c r="CA84" t="s">
        <v>289</v>
      </c>
      <c r="CF84">
        <v>0.63</v>
      </c>
      <c r="CG84" t="s">
        <v>54</v>
      </c>
      <c r="CH84" t="s">
        <v>52</v>
      </c>
    </row>
    <row r="85" spans="1:86" x14ac:dyDescent="0.25">
      <c r="A85" t="s">
        <v>47</v>
      </c>
      <c r="B85">
        <v>8</v>
      </c>
      <c r="C85" t="s">
        <v>99</v>
      </c>
      <c r="D85">
        <v>5</v>
      </c>
      <c r="E85" t="s">
        <v>83</v>
      </c>
      <c r="F85">
        <v>158</v>
      </c>
      <c r="H85" t="s">
        <v>50</v>
      </c>
      <c r="K85" t="s">
        <v>52</v>
      </c>
      <c r="L85">
        <v>1</v>
      </c>
      <c r="M85" t="s">
        <v>53</v>
      </c>
      <c r="N85">
        <v>158</v>
      </c>
      <c r="O85">
        <v>2</v>
      </c>
      <c r="P85" t="s">
        <v>52</v>
      </c>
      <c r="Q85">
        <v>0.77</v>
      </c>
      <c r="R85">
        <v>0.93</v>
      </c>
      <c r="S85">
        <v>228</v>
      </c>
      <c r="T85" t="s">
        <v>284</v>
      </c>
      <c r="U85">
        <v>221</v>
      </c>
      <c r="V85" t="s">
        <v>284</v>
      </c>
      <c r="W85">
        <v>236</v>
      </c>
      <c r="X85" t="s">
        <v>284</v>
      </c>
      <c r="Y85">
        <v>244</v>
      </c>
      <c r="Z85" t="s">
        <v>284</v>
      </c>
      <c r="AA85">
        <v>252</v>
      </c>
      <c r="AB85" t="s">
        <v>284</v>
      </c>
      <c r="AG85">
        <v>236</v>
      </c>
      <c r="AH85" t="s">
        <v>54</v>
      </c>
      <c r="AI85" t="s">
        <v>52</v>
      </c>
      <c r="AX85">
        <v>339</v>
      </c>
      <c r="AY85" t="s">
        <v>285</v>
      </c>
      <c r="AZ85" t="s">
        <v>287</v>
      </c>
      <c r="BQ85" t="s">
        <v>52</v>
      </c>
      <c r="BR85">
        <v>1.31</v>
      </c>
      <c r="BS85" t="s">
        <v>285</v>
      </c>
      <c r="BT85">
        <v>1.01</v>
      </c>
      <c r="BU85" t="s">
        <v>284</v>
      </c>
      <c r="BV85">
        <v>0.33</v>
      </c>
      <c r="BW85" t="s">
        <v>288</v>
      </c>
      <c r="BX85">
        <v>0.56999999999999995</v>
      </c>
      <c r="BY85" t="s">
        <v>285</v>
      </c>
      <c r="BZ85">
        <v>0.1</v>
      </c>
      <c r="CA85" t="s">
        <v>289</v>
      </c>
      <c r="CF85">
        <v>0.64</v>
      </c>
      <c r="CG85" t="s">
        <v>54</v>
      </c>
      <c r="CH85" t="s">
        <v>52</v>
      </c>
    </row>
    <row r="86" spans="1:86" x14ac:dyDescent="0.25">
      <c r="A86" t="s">
        <v>47</v>
      </c>
      <c r="B86">
        <v>8</v>
      </c>
      <c r="C86" t="s">
        <v>101</v>
      </c>
      <c r="D86">
        <v>7</v>
      </c>
      <c r="E86" t="s">
        <v>49</v>
      </c>
      <c r="F86">
        <v>27</v>
      </c>
      <c r="H86" t="s">
        <v>50</v>
      </c>
      <c r="K86" t="s">
        <v>51</v>
      </c>
      <c r="L86">
        <v>1</v>
      </c>
      <c r="M86" t="s">
        <v>53</v>
      </c>
      <c r="N86">
        <v>27</v>
      </c>
      <c r="O86">
        <v>1</v>
      </c>
      <c r="P86" t="s">
        <v>52</v>
      </c>
      <c r="Q86">
        <v>0</v>
      </c>
      <c r="R86">
        <v>0.75</v>
      </c>
      <c r="S86">
        <v>231</v>
      </c>
      <c r="T86" t="s">
        <v>284</v>
      </c>
      <c r="U86">
        <v>208</v>
      </c>
      <c r="V86" t="s">
        <v>284</v>
      </c>
      <c r="W86">
        <v>224</v>
      </c>
      <c r="X86" t="s">
        <v>284</v>
      </c>
      <c r="Y86">
        <v>225</v>
      </c>
      <c r="Z86" t="s">
        <v>285</v>
      </c>
      <c r="AA86">
        <v>247</v>
      </c>
      <c r="AB86" t="s">
        <v>285</v>
      </c>
      <c r="AC86">
        <v>241</v>
      </c>
      <c r="AD86" t="s">
        <v>285</v>
      </c>
      <c r="AE86">
        <v>219</v>
      </c>
      <c r="AF86" t="s">
        <v>285</v>
      </c>
      <c r="AG86">
        <v>219</v>
      </c>
      <c r="AH86" t="s">
        <v>286</v>
      </c>
      <c r="AI86" t="s">
        <v>287</v>
      </c>
      <c r="AX86">
        <v>263</v>
      </c>
      <c r="AY86" t="s">
        <v>286</v>
      </c>
      <c r="AZ86" t="s">
        <v>287</v>
      </c>
      <c r="BQ86" t="s">
        <v>52</v>
      </c>
      <c r="BR86">
        <v>3.7</v>
      </c>
      <c r="BS86" t="s">
        <v>284</v>
      </c>
      <c r="BT86">
        <v>3.4</v>
      </c>
      <c r="BU86" t="s">
        <v>284</v>
      </c>
      <c r="BV86">
        <v>4.9800000000000004</v>
      </c>
      <c r="BW86" t="s">
        <v>284</v>
      </c>
      <c r="BX86">
        <v>4.74</v>
      </c>
      <c r="BY86" t="s">
        <v>284</v>
      </c>
      <c r="BZ86">
        <v>4.9000000000000004</v>
      </c>
      <c r="CA86" t="s">
        <v>289</v>
      </c>
      <c r="CF86">
        <v>4.45</v>
      </c>
      <c r="CG86" t="s">
        <v>54</v>
      </c>
      <c r="CH86" t="s">
        <v>52</v>
      </c>
    </row>
    <row r="87" spans="1:86" x14ac:dyDescent="0.25">
      <c r="A87" t="s">
        <v>47</v>
      </c>
      <c r="B87">
        <v>8</v>
      </c>
      <c r="C87" t="s">
        <v>101</v>
      </c>
      <c r="D87">
        <v>7</v>
      </c>
      <c r="E87" t="s">
        <v>49</v>
      </c>
      <c r="F87">
        <v>27</v>
      </c>
      <c r="H87" t="s">
        <v>50</v>
      </c>
      <c r="K87" t="s">
        <v>52</v>
      </c>
      <c r="L87">
        <v>1</v>
      </c>
      <c r="M87" t="s">
        <v>53</v>
      </c>
      <c r="N87">
        <v>27</v>
      </c>
      <c r="O87">
        <v>1</v>
      </c>
      <c r="P87" t="s">
        <v>52</v>
      </c>
      <c r="Q87">
        <v>0</v>
      </c>
      <c r="R87">
        <v>0.75</v>
      </c>
      <c r="S87">
        <v>231</v>
      </c>
      <c r="T87" t="s">
        <v>284</v>
      </c>
      <c r="U87">
        <v>208</v>
      </c>
      <c r="V87" t="s">
        <v>284</v>
      </c>
      <c r="W87">
        <v>224</v>
      </c>
      <c r="X87" t="s">
        <v>284</v>
      </c>
      <c r="Y87">
        <v>225</v>
      </c>
      <c r="Z87" t="s">
        <v>285</v>
      </c>
      <c r="AA87">
        <v>247</v>
      </c>
      <c r="AB87" t="s">
        <v>285</v>
      </c>
      <c r="AC87">
        <v>241</v>
      </c>
      <c r="AD87" t="s">
        <v>285</v>
      </c>
      <c r="AE87">
        <v>219</v>
      </c>
      <c r="AF87" t="s">
        <v>285</v>
      </c>
      <c r="AG87">
        <v>219</v>
      </c>
      <c r="AH87" t="s">
        <v>286</v>
      </c>
      <c r="AI87" t="s">
        <v>287</v>
      </c>
      <c r="AX87">
        <v>263</v>
      </c>
      <c r="AY87" t="s">
        <v>286</v>
      </c>
      <c r="AZ87" t="s">
        <v>287</v>
      </c>
      <c r="BQ87" t="s">
        <v>52</v>
      </c>
      <c r="BR87">
        <v>1.3</v>
      </c>
      <c r="BS87" t="s">
        <v>284</v>
      </c>
      <c r="BT87">
        <v>1.2</v>
      </c>
      <c r="BU87" t="s">
        <v>284</v>
      </c>
      <c r="BV87">
        <v>0.75</v>
      </c>
      <c r="BW87" t="s">
        <v>284</v>
      </c>
      <c r="BX87">
        <v>0.12</v>
      </c>
      <c r="BY87" t="s">
        <v>284</v>
      </c>
      <c r="BZ87">
        <v>0.14000000000000001</v>
      </c>
      <c r="CA87" t="s">
        <v>289</v>
      </c>
      <c r="CF87">
        <v>0.7</v>
      </c>
      <c r="CG87" t="s">
        <v>54</v>
      </c>
      <c r="CH87" t="s">
        <v>52</v>
      </c>
    </row>
    <row r="88" spans="1:86" x14ac:dyDescent="0.25">
      <c r="A88" t="s">
        <v>47</v>
      </c>
      <c r="B88">
        <v>8</v>
      </c>
      <c r="C88" t="s">
        <v>101</v>
      </c>
      <c r="D88">
        <v>7</v>
      </c>
      <c r="E88" t="s">
        <v>58</v>
      </c>
      <c r="F88">
        <v>102</v>
      </c>
      <c r="G88" t="s">
        <v>62</v>
      </c>
      <c r="H88" t="s">
        <v>50</v>
      </c>
      <c r="K88" t="s">
        <v>51</v>
      </c>
      <c r="L88">
        <v>1</v>
      </c>
      <c r="M88" t="s">
        <v>53</v>
      </c>
      <c r="N88">
        <v>102</v>
      </c>
      <c r="O88">
        <v>1</v>
      </c>
      <c r="P88" t="s">
        <v>52</v>
      </c>
      <c r="Q88">
        <v>0</v>
      </c>
      <c r="R88">
        <v>0.92</v>
      </c>
      <c r="S88">
        <v>131.69999999999999</v>
      </c>
      <c r="T88" t="s">
        <v>284</v>
      </c>
      <c r="U88">
        <v>170</v>
      </c>
      <c r="V88" t="s">
        <v>284</v>
      </c>
      <c r="W88">
        <v>191</v>
      </c>
      <c r="X88" t="s">
        <v>284</v>
      </c>
      <c r="Y88">
        <v>207</v>
      </c>
      <c r="Z88" t="s">
        <v>284</v>
      </c>
      <c r="AA88">
        <v>205</v>
      </c>
      <c r="AB88" t="s">
        <v>285</v>
      </c>
      <c r="AG88">
        <v>188.66669999999999</v>
      </c>
      <c r="AH88" t="s">
        <v>54</v>
      </c>
      <c r="AI88" t="s">
        <v>52</v>
      </c>
      <c r="AX88">
        <v>271.60000000000002</v>
      </c>
      <c r="AY88" t="s">
        <v>285</v>
      </c>
      <c r="AZ88" t="s">
        <v>287</v>
      </c>
      <c r="BQ88" t="s">
        <v>52</v>
      </c>
      <c r="BR88">
        <v>1.85</v>
      </c>
      <c r="BS88" t="s">
        <v>284</v>
      </c>
      <c r="BT88">
        <v>1.1000000000000001</v>
      </c>
      <c r="BU88" t="s">
        <v>285</v>
      </c>
      <c r="BV88">
        <v>0.53</v>
      </c>
      <c r="BW88" t="s">
        <v>285</v>
      </c>
      <c r="BX88">
        <v>0.54</v>
      </c>
      <c r="BY88" t="s">
        <v>285</v>
      </c>
      <c r="BZ88">
        <v>0.46</v>
      </c>
      <c r="CA88" t="s">
        <v>284</v>
      </c>
      <c r="CF88">
        <v>0.72</v>
      </c>
      <c r="CG88" t="s">
        <v>54</v>
      </c>
      <c r="CH88" t="s">
        <v>52</v>
      </c>
    </row>
    <row r="89" spans="1:86" x14ac:dyDescent="0.25">
      <c r="A89" t="s">
        <v>47</v>
      </c>
      <c r="B89">
        <v>8</v>
      </c>
      <c r="C89" t="s">
        <v>101</v>
      </c>
      <c r="D89">
        <v>7</v>
      </c>
      <c r="E89" t="s">
        <v>58</v>
      </c>
      <c r="F89">
        <v>102</v>
      </c>
      <c r="G89" t="s">
        <v>62</v>
      </c>
      <c r="H89" t="s">
        <v>50</v>
      </c>
      <c r="K89" t="s">
        <v>52</v>
      </c>
      <c r="L89">
        <v>1</v>
      </c>
      <c r="M89" t="s">
        <v>53</v>
      </c>
      <c r="N89">
        <v>102</v>
      </c>
      <c r="O89">
        <v>1</v>
      </c>
      <c r="P89" t="s">
        <v>52</v>
      </c>
      <c r="Q89">
        <v>0</v>
      </c>
      <c r="R89">
        <v>0.92</v>
      </c>
      <c r="S89">
        <v>131.69999999999999</v>
      </c>
      <c r="T89" t="s">
        <v>284</v>
      </c>
      <c r="U89">
        <v>170</v>
      </c>
      <c r="V89" t="s">
        <v>284</v>
      </c>
      <c r="W89">
        <v>191</v>
      </c>
      <c r="X89" t="s">
        <v>284</v>
      </c>
      <c r="Y89">
        <v>207</v>
      </c>
      <c r="Z89" t="s">
        <v>284</v>
      </c>
      <c r="AA89">
        <v>205</v>
      </c>
      <c r="AB89" t="s">
        <v>285</v>
      </c>
      <c r="AG89">
        <v>188.66669999999999</v>
      </c>
      <c r="AH89" t="s">
        <v>54</v>
      </c>
      <c r="AI89" t="s">
        <v>52</v>
      </c>
      <c r="AX89">
        <v>271.60000000000002</v>
      </c>
      <c r="AY89" t="s">
        <v>285</v>
      </c>
      <c r="AZ89" t="s">
        <v>287</v>
      </c>
      <c r="BQ89" t="s">
        <v>52</v>
      </c>
      <c r="BR89">
        <v>0.83</v>
      </c>
      <c r="BS89" t="s">
        <v>285</v>
      </c>
      <c r="BT89">
        <v>0.82</v>
      </c>
      <c r="BU89" t="s">
        <v>284</v>
      </c>
      <c r="BV89">
        <v>0.24</v>
      </c>
      <c r="BW89" t="s">
        <v>285</v>
      </c>
      <c r="BX89">
        <v>0.44</v>
      </c>
      <c r="BY89" t="s">
        <v>285</v>
      </c>
      <c r="BZ89">
        <v>0.38</v>
      </c>
      <c r="CA89" t="s">
        <v>284</v>
      </c>
      <c r="CF89">
        <v>0.55000000000000004</v>
      </c>
      <c r="CG89" t="s">
        <v>54</v>
      </c>
      <c r="CH89" t="s">
        <v>52</v>
      </c>
    </row>
    <row r="90" spans="1:86" x14ac:dyDescent="0.25">
      <c r="A90" t="s">
        <v>47</v>
      </c>
      <c r="B90">
        <v>8</v>
      </c>
      <c r="C90" t="s">
        <v>101</v>
      </c>
      <c r="D90">
        <v>7</v>
      </c>
      <c r="E90" t="s">
        <v>58</v>
      </c>
      <c r="F90">
        <v>102</v>
      </c>
      <c r="G90" t="s">
        <v>63</v>
      </c>
      <c r="H90" t="s">
        <v>50</v>
      </c>
      <c r="K90" t="s">
        <v>51</v>
      </c>
      <c r="L90">
        <v>1</v>
      </c>
      <c r="M90" t="s">
        <v>53</v>
      </c>
      <c r="N90">
        <v>102</v>
      </c>
      <c r="O90">
        <v>1</v>
      </c>
      <c r="P90" t="s">
        <v>52</v>
      </c>
      <c r="Q90">
        <v>0</v>
      </c>
      <c r="R90">
        <v>0.92</v>
      </c>
      <c r="S90">
        <v>131.69999999999999</v>
      </c>
      <c r="T90" t="s">
        <v>284</v>
      </c>
      <c r="U90">
        <v>170</v>
      </c>
      <c r="V90" t="s">
        <v>284</v>
      </c>
      <c r="W90">
        <v>191</v>
      </c>
      <c r="X90" t="s">
        <v>285</v>
      </c>
      <c r="Y90">
        <v>207</v>
      </c>
      <c r="Z90" t="s">
        <v>285</v>
      </c>
      <c r="AA90">
        <v>265</v>
      </c>
      <c r="AB90" t="s">
        <v>285</v>
      </c>
      <c r="AG90">
        <v>189.33330000000001</v>
      </c>
      <c r="AH90" t="s">
        <v>54</v>
      </c>
      <c r="AI90" t="s">
        <v>52</v>
      </c>
      <c r="AZ90" t="s">
        <v>52</v>
      </c>
      <c r="BQ90" t="s">
        <v>52</v>
      </c>
      <c r="BR90">
        <v>2.1</v>
      </c>
      <c r="BS90" t="s">
        <v>285</v>
      </c>
      <c r="BT90">
        <v>1.37</v>
      </c>
      <c r="BU90" t="s">
        <v>284</v>
      </c>
      <c r="BV90">
        <v>1.06</v>
      </c>
      <c r="BW90" t="s">
        <v>285</v>
      </c>
      <c r="BX90">
        <v>0.74</v>
      </c>
      <c r="BY90" t="s">
        <v>285</v>
      </c>
      <c r="BZ90">
        <v>0.64</v>
      </c>
      <c r="CA90" t="s">
        <v>284</v>
      </c>
      <c r="CF90">
        <v>1.06</v>
      </c>
      <c r="CG90" t="s">
        <v>54</v>
      </c>
      <c r="CH90" t="s">
        <v>52</v>
      </c>
    </row>
    <row r="91" spans="1:86" x14ac:dyDescent="0.25">
      <c r="A91" t="s">
        <v>47</v>
      </c>
      <c r="B91">
        <v>8</v>
      </c>
      <c r="C91" t="s">
        <v>101</v>
      </c>
      <c r="D91">
        <v>7</v>
      </c>
      <c r="E91" t="s">
        <v>70</v>
      </c>
      <c r="F91">
        <v>296</v>
      </c>
      <c r="G91" t="s">
        <v>71</v>
      </c>
      <c r="H91" t="s">
        <v>50</v>
      </c>
      <c r="K91" t="s">
        <v>51</v>
      </c>
      <c r="L91">
        <v>1</v>
      </c>
      <c r="M91" t="s">
        <v>53</v>
      </c>
      <c r="N91">
        <v>296</v>
      </c>
      <c r="O91">
        <v>1</v>
      </c>
      <c r="P91" t="s">
        <v>52</v>
      </c>
      <c r="Q91">
        <v>0</v>
      </c>
      <c r="R91">
        <v>0.75</v>
      </c>
      <c r="S91">
        <v>228</v>
      </c>
      <c r="T91" t="s">
        <v>284</v>
      </c>
      <c r="U91">
        <v>190</v>
      </c>
      <c r="V91" t="s">
        <v>285</v>
      </c>
      <c r="W91">
        <v>194</v>
      </c>
      <c r="X91" t="s">
        <v>285</v>
      </c>
      <c r="Y91">
        <v>225</v>
      </c>
      <c r="Z91" t="s">
        <v>285</v>
      </c>
      <c r="AA91">
        <v>247</v>
      </c>
      <c r="AB91" t="s">
        <v>285</v>
      </c>
      <c r="AC91">
        <v>241</v>
      </c>
      <c r="AD91" t="s">
        <v>285</v>
      </c>
      <c r="AE91">
        <v>219</v>
      </c>
      <c r="AF91" t="s">
        <v>285</v>
      </c>
      <c r="AG91">
        <v>219</v>
      </c>
      <c r="AH91" t="s">
        <v>286</v>
      </c>
      <c r="AI91" t="s">
        <v>287</v>
      </c>
      <c r="AX91">
        <v>263</v>
      </c>
      <c r="AY91" t="s">
        <v>286</v>
      </c>
      <c r="AZ91" t="s">
        <v>287</v>
      </c>
      <c r="BQ91" t="s">
        <v>52</v>
      </c>
      <c r="BR91">
        <v>1.85</v>
      </c>
      <c r="BS91" t="s">
        <v>284</v>
      </c>
      <c r="BT91">
        <v>1.37</v>
      </c>
      <c r="BU91" t="s">
        <v>284</v>
      </c>
      <c r="BV91">
        <v>0.82</v>
      </c>
      <c r="BW91" t="s">
        <v>284</v>
      </c>
      <c r="BX91">
        <v>2.7</v>
      </c>
      <c r="BY91" t="s">
        <v>284</v>
      </c>
      <c r="BZ91">
        <v>1.44</v>
      </c>
      <c r="CA91" t="s">
        <v>288</v>
      </c>
      <c r="CF91">
        <v>1.55</v>
      </c>
      <c r="CG91" t="s">
        <v>54</v>
      </c>
      <c r="CH91" t="s">
        <v>52</v>
      </c>
    </row>
    <row r="92" spans="1:86" x14ac:dyDescent="0.25">
      <c r="A92" t="s">
        <v>47</v>
      </c>
      <c r="B92">
        <v>8</v>
      </c>
      <c r="C92" t="s">
        <v>101</v>
      </c>
      <c r="D92">
        <v>7</v>
      </c>
      <c r="E92" t="s">
        <v>70</v>
      </c>
      <c r="F92">
        <v>296</v>
      </c>
      <c r="G92" t="s">
        <v>71</v>
      </c>
      <c r="H92" t="s">
        <v>50</v>
      </c>
      <c r="K92" t="s">
        <v>52</v>
      </c>
      <c r="L92">
        <v>1</v>
      </c>
      <c r="M92" t="s">
        <v>53</v>
      </c>
      <c r="N92">
        <v>296</v>
      </c>
      <c r="O92">
        <v>1</v>
      </c>
      <c r="P92" t="s">
        <v>52</v>
      </c>
      <c r="Q92">
        <v>0</v>
      </c>
      <c r="R92">
        <v>0.75</v>
      </c>
      <c r="S92">
        <v>228</v>
      </c>
      <c r="T92" t="s">
        <v>284</v>
      </c>
      <c r="U92">
        <v>190</v>
      </c>
      <c r="V92" t="s">
        <v>285</v>
      </c>
      <c r="W92">
        <v>194</v>
      </c>
      <c r="X92" t="s">
        <v>285</v>
      </c>
      <c r="Y92">
        <v>225</v>
      </c>
      <c r="Z92" t="s">
        <v>285</v>
      </c>
      <c r="AA92">
        <v>247</v>
      </c>
      <c r="AB92" t="s">
        <v>285</v>
      </c>
      <c r="AC92">
        <v>241</v>
      </c>
      <c r="AD92" t="s">
        <v>285</v>
      </c>
      <c r="AE92">
        <v>219</v>
      </c>
      <c r="AF92" t="s">
        <v>285</v>
      </c>
      <c r="AG92">
        <v>219</v>
      </c>
      <c r="AH92" t="s">
        <v>286</v>
      </c>
      <c r="AI92" t="s">
        <v>287</v>
      </c>
      <c r="AX92">
        <v>263</v>
      </c>
      <c r="AY92" t="s">
        <v>286</v>
      </c>
      <c r="AZ92" t="s">
        <v>287</v>
      </c>
      <c r="BQ92" t="s">
        <v>52</v>
      </c>
      <c r="BR92">
        <v>0.65</v>
      </c>
      <c r="BS92" t="s">
        <v>284</v>
      </c>
      <c r="BT92">
        <v>0.69</v>
      </c>
      <c r="BU92" t="s">
        <v>285</v>
      </c>
      <c r="BV92">
        <v>0.21</v>
      </c>
      <c r="BW92" t="s">
        <v>285</v>
      </c>
      <c r="BX92">
        <v>0.22</v>
      </c>
      <c r="BY92" t="s">
        <v>284</v>
      </c>
      <c r="BZ92">
        <v>0.22</v>
      </c>
      <c r="CA92" t="s">
        <v>284</v>
      </c>
      <c r="CF92">
        <v>0.36</v>
      </c>
      <c r="CG92" t="s">
        <v>54</v>
      </c>
      <c r="CH92" t="s">
        <v>52</v>
      </c>
    </row>
    <row r="93" spans="1:86" x14ac:dyDescent="0.25">
      <c r="A93" t="s">
        <v>47</v>
      </c>
      <c r="B93">
        <v>8</v>
      </c>
      <c r="C93" t="s">
        <v>101</v>
      </c>
      <c r="D93">
        <v>7</v>
      </c>
      <c r="E93" t="s">
        <v>70</v>
      </c>
      <c r="F93">
        <v>296</v>
      </c>
      <c r="G93" t="s">
        <v>73</v>
      </c>
      <c r="H93" t="s">
        <v>50</v>
      </c>
      <c r="K93" t="s">
        <v>51</v>
      </c>
      <c r="L93">
        <v>1</v>
      </c>
      <c r="M93" t="s">
        <v>53</v>
      </c>
      <c r="N93">
        <v>296</v>
      </c>
      <c r="O93">
        <v>1</v>
      </c>
      <c r="P93" t="s">
        <v>52</v>
      </c>
      <c r="Q93">
        <v>0</v>
      </c>
      <c r="R93">
        <v>0.75</v>
      </c>
      <c r="S93">
        <v>228</v>
      </c>
      <c r="T93" t="s">
        <v>284</v>
      </c>
      <c r="U93">
        <v>221</v>
      </c>
      <c r="V93" t="s">
        <v>284</v>
      </c>
      <c r="W93">
        <v>236</v>
      </c>
      <c r="X93" t="s">
        <v>284</v>
      </c>
      <c r="Y93">
        <v>244</v>
      </c>
      <c r="Z93" t="s">
        <v>284</v>
      </c>
      <c r="AA93">
        <v>225</v>
      </c>
      <c r="AB93" t="s">
        <v>285</v>
      </c>
      <c r="AG93">
        <v>229.66669999999999</v>
      </c>
      <c r="AH93" t="s">
        <v>54</v>
      </c>
      <c r="AI93" t="s">
        <v>52</v>
      </c>
      <c r="AZ93" t="s">
        <v>52</v>
      </c>
      <c r="BQ93" t="s">
        <v>52</v>
      </c>
      <c r="BR93">
        <v>1.85</v>
      </c>
      <c r="BS93" t="s">
        <v>284</v>
      </c>
      <c r="BT93">
        <v>1.37</v>
      </c>
      <c r="BU93" t="s">
        <v>284</v>
      </c>
      <c r="BV93">
        <v>0.82</v>
      </c>
      <c r="BW93" t="s">
        <v>284</v>
      </c>
      <c r="BX93">
        <v>1.1499999999999999</v>
      </c>
      <c r="BY93" t="s">
        <v>284</v>
      </c>
      <c r="BZ93">
        <v>1.1499999999999999</v>
      </c>
      <c r="CA93" t="s">
        <v>284</v>
      </c>
      <c r="CF93">
        <v>1.22</v>
      </c>
      <c r="CG93" t="s">
        <v>54</v>
      </c>
      <c r="CH93" t="s">
        <v>52</v>
      </c>
    </row>
    <row r="94" spans="1:86" x14ac:dyDescent="0.25">
      <c r="A94" t="s">
        <v>47</v>
      </c>
      <c r="B94">
        <v>8</v>
      </c>
      <c r="C94" t="s">
        <v>101</v>
      </c>
      <c r="D94">
        <v>7</v>
      </c>
      <c r="E94" t="s">
        <v>70</v>
      </c>
      <c r="F94">
        <v>296</v>
      </c>
      <c r="G94" t="s">
        <v>73</v>
      </c>
      <c r="H94" t="s">
        <v>50</v>
      </c>
      <c r="K94" t="s">
        <v>52</v>
      </c>
      <c r="L94">
        <v>1</v>
      </c>
      <c r="M94" t="s">
        <v>53</v>
      </c>
      <c r="N94">
        <v>296</v>
      </c>
      <c r="O94">
        <v>1</v>
      </c>
      <c r="P94" t="s">
        <v>52</v>
      </c>
      <c r="Q94">
        <v>0</v>
      </c>
      <c r="R94">
        <v>0.75</v>
      </c>
      <c r="S94">
        <v>228</v>
      </c>
      <c r="T94" t="s">
        <v>284</v>
      </c>
      <c r="U94">
        <v>221</v>
      </c>
      <c r="V94" t="s">
        <v>284</v>
      </c>
      <c r="W94">
        <v>236</v>
      </c>
      <c r="X94" t="s">
        <v>284</v>
      </c>
      <c r="Y94">
        <v>244</v>
      </c>
      <c r="Z94" t="s">
        <v>284</v>
      </c>
      <c r="AA94">
        <v>225</v>
      </c>
      <c r="AB94" t="s">
        <v>285</v>
      </c>
      <c r="AG94">
        <v>229.66669999999999</v>
      </c>
      <c r="AH94" t="s">
        <v>54</v>
      </c>
      <c r="AI94" t="s">
        <v>52</v>
      </c>
      <c r="AZ94" t="s">
        <v>52</v>
      </c>
      <c r="BQ94" t="s">
        <v>52</v>
      </c>
      <c r="BR94">
        <v>0.65</v>
      </c>
      <c r="BS94" t="s">
        <v>284</v>
      </c>
      <c r="BT94">
        <v>0.71</v>
      </c>
      <c r="BU94" t="s">
        <v>284</v>
      </c>
      <c r="BV94">
        <v>0.22</v>
      </c>
      <c r="BW94" t="s">
        <v>284</v>
      </c>
      <c r="BX94">
        <v>0.14000000000000001</v>
      </c>
      <c r="BY94" t="s">
        <v>284</v>
      </c>
      <c r="BZ94">
        <v>0.14000000000000001</v>
      </c>
      <c r="CA94" t="s">
        <v>284</v>
      </c>
      <c r="CF94">
        <v>0.34</v>
      </c>
      <c r="CG94" t="s">
        <v>54</v>
      </c>
      <c r="CH94" t="s">
        <v>52</v>
      </c>
    </row>
    <row r="95" spans="1:86" x14ac:dyDescent="0.25">
      <c r="A95" t="s">
        <v>47</v>
      </c>
      <c r="B95">
        <v>8</v>
      </c>
      <c r="C95" t="s">
        <v>101</v>
      </c>
      <c r="D95">
        <v>7</v>
      </c>
      <c r="E95" t="s">
        <v>70</v>
      </c>
      <c r="F95">
        <v>296</v>
      </c>
      <c r="G95" t="s">
        <v>74</v>
      </c>
      <c r="H95" t="s">
        <v>50</v>
      </c>
      <c r="K95" t="s">
        <v>51</v>
      </c>
      <c r="L95">
        <v>1</v>
      </c>
      <c r="M95" t="s">
        <v>53</v>
      </c>
      <c r="N95">
        <v>102</v>
      </c>
      <c r="O95">
        <v>1</v>
      </c>
      <c r="P95" t="s">
        <v>52</v>
      </c>
      <c r="Q95">
        <v>0</v>
      </c>
      <c r="R95">
        <v>0.75</v>
      </c>
      <c r="S95">
        <v>135</v>
      </c>
      <c r="T95" t="s">
        <v>284</v>
      </c>
      <c r="U95">
        <v>132</v>
      </c>
      <c r="V95" t="s">
        <v>284</v>
      </c>
      <c r="W95">
        <v>147</v>
      </c>
      <c r="X95" t="s">
        <v>284</v>
      </c>
      <c r="Y95">
        <v>170</v>
      </c>
      <c r="Z95" t="s">
        <v>284</v>
      </c>
      <c r="AA95">
        <v>205</v>
      </c>
      <c r="AB95" t="s">
        <v>285</v>
      </c>
      <c r="AG95">
        <v>150.66669999999999</v>
      </c>
      <c r="AH95" t="s">
        <v>54</v>
      </c>
      <c r="AI95" t="s">
        <v>52</v>
      </c>
      <c r="AZ95" t="s">
        <v>52</v>
      </c>
      <c r="BQ95" t="s">
        <v>52</v>
      </c>
      <c r="BR95">
        <v>1.85</v>
      </c>
      <c r="BS95" t="s">
        <v>284</v>
      </c>
      <c r="BT95">
        <v>1.37</v>
      </c>
      <c r="BU95" t="s">
        <v>284</v>
      </c>
      <c r="BV95">
        <v>0.9</v>
      </c>
      <c r="BW95" t="s">
        <v>285</v>
      </c>
      <c r="BX95">
        <v>0.9</v>
      </c>
      <c r="BY95" t="s">
        <v>285</v>
      </c>
      <c r="BZ95">
        <v>1.08</v>
      </c>
      <c r="CA95" t="s">
        <v>289</v>
      </c>
      <c r="CF95">
        <v>1.1200000000000001</v>
      </c>
      <c r="CG95" t="s">
        <v>54</v>
      </c>
      <c r="CH95" t="s">
        <v>52</v>
      </c>
    </row>
    <row r="96" spans="1:86" x14ac:dyDescent="0.25">
      <c r="A96" t="s">
        <v>47</v>
      </c>
      <c r="B96">
        <v>8</v>
      </c>
      <c r="C96" t="s">
        <v>101</v>
      </c>
      <c r="D96">
        <v>7</v>
      </c>
      <c r="E96" t="s">
        <v>70</v>
      </c>
      <c r="F96">
        <v>296</v>
      </c>
      <c r="G96" t="s">
        <v>74</v>
      </c>
      <c r="H96" t="s">
        <v>50</v>
      </c>
      <c r="K96" t="s">
        <v>52</v>
      </c>
      <c r="L96">
        <v>1</v>
      </c>
      <c r="M96" t="s">
        <v>53</v>
      </c>
      <c r="N96">
        <v>102</v>
      </c>
      <c r="O96">
        <v>1</v>
      </c>
      <c r="P96" t="s">
        <v>52</v>
      </c>
      <c r="Q96">
        <v>0</v>
      </c>
      <c r="R96">
        <v>0.75</v>
      </c>
      <c r="S96">
        <v>135</v>
      </c>
      <c r="T96" t="s">
        <v>284</v>
      </c>
      <c r="U96">
        <v>132</v>
      </c>
      <c r="V96" t="s">
        <v>284</v>
      </c>
      <c r="W96">
        <v>147</v>
      </c>
      <c r="X96" t="s">
        <v>284</v>
      </c>
      <c r="Y96">
        <v>170</v>
      </c>
      <c r="Z96" t="s">
        <v>284</v>
      </c>
      <c r="AA96">
        <v>205</v>
      </c>
      <c r="AB96" t="s">
        <v>285</v>
      </c>
      <c r="AG96">
        <v>150.66669999999999</v>
      </c>
      <c r="AH96" t="s">
        <v>54</v>
      </c>
      <c r="AI96" t="s">
        <v>52</v>
      </c>
      <c r="AZ96" t="s">
        <v>52</v>
      </c>
      <c r="BQ96" t="s">
        <v>52</v>
      </c>
      <c r="BR96">
        <v>0.65</v>
      </c>
      <c r="BS96" t="s">
        <v>284</v>
      </c>
      <c r="BT96">
        <v>0.45</v>
      </c>
      <c r="BU96" t="s">
        <v>284</v>
      </c>
      <c r="BV96">
        <v>0.11</v>
      </c>
      <c r="BW96" t="s">
        <v>284</v>
      </c>
      <c r="BX96">
        <v>0.25</v>
      </c>
      <c r="BY96" t="s">
        <v>285</v>
      </c>
      <c r="BZ96">
        <v>0.22</v>
      </c>
      <c r="CA96" t="s">
        <v>289</v>
      </c>
      <c r="CF96">
        <v>0.31</v>
      </c>
      <c r="CG96" t="s">
        <v>54</v>
      </c>
      <c r="CH96" t="s">
        <v>52</v>
      </c>
    </row>
    <row r="97" spans="1:86" x14ac:dyDescent="0.25">
      <c r="A97" t="s">
        <v>47</v>
      </c>
      <c r="B97">
        <v>8</v>
      </c>
      <c r="C97" t="s">
        <v>101</v>
      </c>
      <c r="D97">
        <v>7</v>
      </c>
      <c r="E97" t="s">
        <v>75</v>
      </c>
      <c r="F97">
        <v>16</v>
      </c>
      <c r="G97" t="s">
        <v>76</v>
      </c>
      <c r="H97" t="s">
        <v>50</v>
      </c>
      <c r="K97" t="s">
        <v>51</v>
      </c>
      <c r="L97">
        <v>1</v>
      </c>
      <c r="M97" t="s">
        <v>53</v>
      </c>
      <c r="N97">
        <v>16</v>
      </c>
      <c r="O97">
        <v>2</v>
      </c>
      <c r="P97" t="s">
        <v>52</v>
      </c>
      <c r="Q97">
        <v>0.5</v>
      </c>
      <c r="R97">
        <v>0.75</v>
      </c>
      <c r="S97">
        <v>83.35</v>
      </c>
      <c r="T97" t="s">
        <v>285</v>
      </c>
      <c r="U97">
        <v>96.14</v>
      </c>
      <c r="V97" t="s">
        <v>284</v>
      </c>
      <c r="W97">
        <v>103.37</v>
      </c>
      <c r="X97" t="s">
        <v>284</v>
      </c>
      <c r="Y97">
        <v>106.14</v>
      </c>
      <c r="Z97" t="s">
        <v>284</v>
      </c>
      <c r="AA97">
        <v>128</v>
      </c>
      <c r="AB97" t="s">
        <v>285</v>
      </c>
      <c r="AG97">
        <v>101.88330000000001</v>
      </c>
      <c r="AH97" t="s">
        <v>54</v>
      </c>
      <c r="AI97" t="s">
        <v>52</v>
      </c>
      <c r="AX97">
        <v>146.69999999999999</v>
      </c>
      <c r="AY97" t="s">
        <v>285</v>
      </c>
      <c r="AZ97" t="s">
        <v>287</v>
      </c>
      <c r="BQ97" t="s">
        <v>52</v>
      </c>
      <c r="CH97" t="s">
        <v>52</v>
      </c>
    </row>
    <row r="98" spans="1:86" x14ac:dyDescent="0.25">
      <c r="A98" t="s">
        <v>47</v>
      </c>
      <c r="B98">
        <v>8</v>
      </c>
      <c r="C98" t="s">
        <v>101</v>
      </c>
      <c r="D98">
        <v>7</v>
      </c>
      <c r="E98" t="s">
        <v>75</v>
      </c>
      <c r="F98">
        <v>16</v>
      </c>
      <c r="G98" t="s">
        <v>76</v>
      </c>
      <c r="H98" t="s">
        <v>50</v>
      </c>
      <c r="K98" t="s">
        <v>52</v>
      </c>
      <c r="L98">
        <v>1</v>
      </c>
      <c r="M98" t="s">
        <v>53</v>
      </c>
      <c r="N98">
        <v>16</v>
      </c>
      <c r="O98">
        <v>2</v>
      </c>
      <c r="P98" t="s">
        <v>52</v>
      </c>
      <c r="Q98">
        <v>0.5</v>
      </c>
      <c r="R98">
        <v>0.75</v>
      </c>
      <c r="S98">
        <v>83.35</v>
      </c>
      <c r="T98" t="s">
        <v>285</v>
      </c>
      <c r="U98">
        <v>96.14</v>
      </c>
      <c r="V98" t="s">
        <v>284</v>
      </c>
      <c r="W98">
        <v>103.37</v>
      </c>
      <c r="X98" t="s">
        <v>284</v>
      </c>
      <c r="Y98">
        <v>106.14</v>
      </c>
      <c r="Z98" t="s">
        <v>284</v>
      </c>
      <c r="AA98">
        <v>128</v>
      </c>
      <c r="AB98" t="s">
        <v>285</v>
      </c>
      <c r="AG98">
        <v>101.88330000000001</v>
      </c>
      <c r="AH98" t="s">
        <v>54</v>
      </c>
      <c r="AI98" t="s">
        <v>52</v>
      </c>
      <c r="AX98">
        <v>146.69999999999999</v>
      </c>
      <c r="AY98" t="s">
        <v>285</v>
      </c>
      <c r="AZ98" t="s">
        <v>287</v>
      </c>
      <c r="BQ98" t="s">
        <v>52</v>
      </c>
      <c r="CH98" t="s">
        <v>52</v>
      </c>
    </row>
    <row r="99" spans="1:86" x14ac:dyDescent="0.25">
      <c r="A99" t="s">
        <v>47</v>
      </c>
      <c r="B99">
        <v>8</v>
      </c>
      <c r="C99" t="s">
        <v>101</v>
      </c>
      <c r="D99">
        <v>7</v>
      </c>
      <c r="E99" t="s">
        <v>77</v>
      </c>
      <c r="F99">
        <v>51</v>
      </c>
      <c r="G99" t="s">
        <v>78</v>
      </c>
      <c r="H99" t="s">
        <v>50</v>
      </c>
      <c r="K99" t="s">
        <v>51</v>
      </c>
      <c r="L99">
        <v>1</v>
      </c>
      <c r="M99" t="s">
        <v>53</v>
      </c>
      <c r="N99">
        <v>51</v>
      </c>
      <c r="O99">
        <v>2</v>
      </c>
      <c r="P99" t="s">
        <v>52</v>
      </c>
      <c r="Q99">
        <v>0.5</v>
      </c>
      <c r="R99">
        <v>0.73</v>
      </c>
      <c r="S99">
        <v>228</v>
      </c>
      <c r="T99" t="s">
        <v>284</v>
      </c>
      <c r="U99">
        <v>218</v>
      </c>
      <c r="V99" t="s">
        <v>284</v>
      </c>
      <c r="W99">
        <v>147</v>
      </c>
      <c r="X99" t="s">
        <v>284</v>
      </c>
      <c r="Y99">
        <v>170</v>
      </c>
      <c r="Z99" t="s">
        <v>284</v>
      </c>
      <c r="AA99">
        <v>109</v>
      </c>
      <c r="AB99" t="s">
        <v>285</v>
      </c>
      <c r="AG99">
        <v>178.33330000000001</v>
      </c>
      <c r="AH99" t="s">
        <v>54</v>
      </c>
      <c r="AI99" t="s">
        <v>52</v>
      </c>
      <c r="AZ99" t="s">
        <v>52</v>
      </c>
      <c r="BQ99" t="s">
        <v>52</v>
      </c>
      <c r="CH99" t="s">
        <v>52</v>
      </c>
    </row>
    <row r="100" spans="1:86" x14ac:dyDescent="0.25">
      <c r="A100" t="s">
        <v>47</v>
      </c>
      <c r="B100">
        <v>8</v>
      </c>
      <c r="C100" t="s">
        <v>101</v>
      </c>
      <c r="D100">
        <v>7</v>
      </c>
      <c r="E100" t="s">
        <v>84</v>
      </c>
      <c r="F100">
        <v>11</v>
      </c>
      <c r="G100" t="s">
        <v>85</v>
      </c>
      <c r="H100" t="s">
        <v>50</v>
      </c>
      <c r="K100" t="s">
        <v>51</v>
      </c>
      <c r="L100">
        <v>1</v>
      </c>
      <c r="M100" t="s">
        <v>53</v>
      </c>
      <c r="N100">
        <v>11</v>
      </c>
      <c r="O100">
        <v>2</v>
      </c>
      <c r="P100" t="s">
        <v>52</v>
      </c>
      <c r="Q100">
        <v>0.5</v>
      </c>
      <c r="R100">
        <v>0.75</v>
      </c>
      <c r="S100">
        <v>155</v>
      </c>
      <c r="T100" t="s">
        <v>284</v>
      </c>
      <c r="U100">
        <v>110</v>
      </c>
      <c r="V100" t="s">
        <v>284</v>
      </c>
      <c r="W100">
        <v>118</v>
      </c>
      <c r="X100" t="s">
        <v>284</v>
      </c>
      <c r="Y100">
        <v>122</v>
      </c>
      <c r="Z100" t="s">
        <v>284</v>
      </c>
      <c r="AA100">
        <v>126</v>
      </c>
      <c r="AB100" t="s">
        <v>284</v>
      </c>
      <c r="AG100">
        <v>122</v>
      </c>
      <c r="AH100" t="s">
        <v>54</v>
      </c>
      <c r="AI100" t="s">
        <v>52</v>
      </c>
      <c r="AZ100" t="s">
        <v>52</v>
      </c>
      <c r="BQ100" t="s">
        <v>52</v>
      </c>
      <c r="CH100" t="s">
        <v>52</v>
      </c>
    </row>
    <row r="101" spans="1:86" x14ac:dyDescent="0.25">
      <c r="A101" t="s">
        <v>47</v>
      </c>
      <c r="B101">
        <v>8</v>
      </c>
      <c r="C101" t="s">
        <v>101</v>
      </c>
      <c r="D101">
        <v>7</v>
      </c>
      <c r="E101" t="s">
        <v>84</v>
      </c>
      <c r="F101">
        <v>11</v>
      </c>
      <c r="G101" t="s">
        <v>85</v>
      </c>
      <c r="H101" t="s">
        <v>50</v>
      </c>
      <c r="K101" t="s">
        <v>52</v>
      </c>
      <c r="L101">
        <v>1</v>
      </c>
      <c r="M101" t="s">
        <v>53</v>
      </c>
      <c r="N101">
        <v>11</v>
      </c>
      <c r="O101">
        <v>2</v>
      </c>
      <c r="P101" t="s">
        <v>52</v>
      </c>
      <c r="Q101">
        <v>0.5</v>
      </c>
      <c r="R101">
        <v>0.75</v>
      </c>
      <c r="S101">
        <v>155</v>
      </c>
      <c r="T101" t="s">
        <v>284</v>
      </c>
      <c r="U101">
        <v>110</v>
      </c>
      <c r="V101" t="s">
        <v>284</v>
      </c>
      <c r="W101">
        <v>118</v>
      </c>
      <c r="X101" t="s">
        <v>284</v>
      </c>
      <c r="Y101">
        <v>122</v>
      </c>
      <c r="Z101" t="s">
        <v>284</v>
      </c>
      <c r="AA101">
        <v>126</v>
      </c>
      <c r="AB101" t="s">
        <v>284</v>
      </c>
      <c r="AG101">
        <v>122</v>
      </c>
      <c r="AH101" t="s">
        <v>54</v>
      </c>
      <c r="AI101" t="s">
        <v>52</v>
      </c>
      <c r="AZ101" t="s">
        <v>52</v>
      </c>
      <c r="BQ101" t="s">
        <v>52</v>
      </c>
      <c r="CH101" t="s">
        <v>52</v>
      </c>
    </row>
    <row r="102" spans="1:86" x14ac:dyDescent="0.25">
      <c r="A102" t="s">
        <v>47</v>
      </c>
      <c r="B102">
        <v>8</v>
      </c>
      <c r="C102" t="s">
        <v>101</v>
      </c>
      <c r="D102">
        <v>7</v>
      </c>
      <c r="E102" t="s">
        <v>84</v>
      </c>
      <c r="F102">
        <v>11</v>
      </c>
      <c r="G102" t="s">
        <v>96</v>
      </c>
      <c r="H102" t="s">
        <v>50</v>
      </c>
      <c r="K102" t="s">
        <v>51</v>
      </c>
      <c r="L102">
        <v>1</v>
      </c>
      <c r="M102" t="s">
        <v>53</v>
      </c>
      <c r="N102">
        <v>11</v>
      </c>
      <c r="O102">
        <v>2</v>
      </c>
      <c r="P102" t="s">
        <v>52</v>
      </c>
      <c r="Q102">
        <v>0.5</v>
      </c>
      <c r="R102">
        <v>0.75</v>
      </c>
      <c r="S102">
        <v>124</v>
      </c>
      <c r="T102" t="s">
        <v>284</v>
      </c>
      <c r="U102">
        <v>110</v>
      </c>
      <c r="V102" t="s">
        <v>284</v>
      </c>
      <c r="W102">
        <v>118</v>
      </c>
      <c r="X102" t="s">
        <v>284</v>
      </c>
      <c r="Y102">
        <v>122</v>
      </c>
      <c r="Z102" t="s">
        <v>284</v>
      </c>
      <c r="AA102">
        <v>126</v>
      </c>
      <c r="AB102" t="s">
        <v>284</v>
      </c>
      <c r="AG102">
        <v>121.33329999999999</v>
      </c>
      <c r="AH102" t="s">
        <v>54</v>
      </c>
      <c r="AI102" t="s">
        <v>52</v>
      </c>
      <c r="AZ102" t="s">
        <v>52</v>
      </c>
      <c r="BQ102" t="s">
        <v>52</v>
      </c>
      <c r="CH102" t="s">
        <v>52</v>
      </c>
    </row>
    <row r="103" spans="1:86" x14ac:dyDescent="0.25">
      <c r="A103" t="s">
        <v>47</v>
      </c>
      <c r="B103">
        <v>8</v>
      </c>
      <c r="C103" t="s">
        <v>101</v>
      </c>
      <c r="D103">
        <v>7</v>
      </c>
      <c r="E103" t="s">
        <v>84</v>
      </c>
      <c r="F103">
        <v>11</v>
      </c>
      <c r="G103" t="s">
        <v>96</v>
      </c>
      <c r="H103" t="s">
        <v>50</v>
      </c>
      <c r="K103" t="s">
        <v>52</v>
      </c>
      <c r="L103">
        <v>1</v>
      </c>
      <c r="M103" t="s">
        <v>53</v>
      </c>
      <c r="N103">
        <v>11</v>
      </c>
      <c r="O103">
        <v>2</v>
      </c>
      <c r="P103" t="s">
        <v>52</v>
      </c>
      <c r="Q103">
        <v>0.5</v>
      </c>
      <c r="R103">
        <v>0.75</v>
      </c>
      <c r="S103">
        <v>124</v>
      </c>
      <c r="T103" t="s">
        <v>284</v>
      </c>
      <c r="U103">
        <v>110</v>
      </c>
      <c r="V103" t="s">
        <v>284</v>
      </c>
      <c r="W103">
        <v>118</v>
      </c>
      <c r="X103" t="s">
        <v>284</v>
      </c>
      <c r="Y103">
        <v>122</v>
      </c>
      <c r="Z103" t="s">
        <v>284</v>
      </c>
      <c r="AA103">
        <v>126</v>
      </c>
      <c r="AB103" t="s">
        <v>284</v>
      </c>
      <c r="AG103">
        <v>121.33329999999999</v>
      </c>
      <c r="AH103" t="s">
        <v>54</v>
      </c>
      <c r="AI103" t="s">
        <v>52</v>
      </c>
      <c r="AZ103" t="s">
        <v>52</v>
      </c>
      <c r="BQ103" t="s">
        <v>52</v>
      </c>
      <c r="CH103" t="s">
        <v>52</v>
      </c>
    </row>
    <row r="104" spans="1:86" x14ac:dyDescent="0.25">
      <c r="A104" t="s">
        <v>47</v>
      </c>
      <c r="B104">
        <v>8</v>
      </c>
      <c r="C104" t="s">
        <v>102</v>
      </c>
      <c r="D104">
        <v>9</v>
      </c>
      <c r="E104" t="s">
        <v>49</v>
      </c>
      <c r="F104">
        <v>27</v>
      </c>
      <c r="H104" t="s">
        <v>50</v>
      </c>
      <c r="K104" t="s">
        <v>51</v>
      </c>
      <c r="L104">
        <v>1</v>
      </c>
      <c r="M104" t="s">
        <v>53</v>
      </c>
      <c r="N104">
        <v>27</v>
      </c>
      <c r="O104">
        <v>1</v>
      </c>
      <c r="P104" t="s">
        <v>52</v>
      </c>
      <c r="Q104">
        <v>0</v>
      </c>
      <c r="R104">
        <v>0.75</v>
      </c>
      <c r="S104">
        <v>231</v>
      </c>
      <c r="T104" t="s">
        <v>284</v>
      </c>
      <c r="U104">
        <v>208</v>
      </c>
      <c r="V104" t="s">
        <v>284</v>
      </c>
      <c r="W104">
        <v>224</v>
      </c>
      <c r="X104" t="s">
        <v>284</v>
      </c>
      <c r="Y104">
        <v>225</v>
      </c>
      <c r="Z104" t="s">
        <v>285</v>
      </c>
      <c r="AA104">
        <v>247</v>
      </c>
      <c r="AB104" t="s">
        <v>285</v>
      </c>
      <c r="AC104">
        <v>241</v>
      </c>
      <c r="AD104" t="s">
        <v>285</v>
      </c>
      <c r="AE104">
        <v>219</v>
      </c>
      <c r="AF104" t="s">
        <v>285</v>
      </c>
      <c r="AG104">
        <v>219</v>
      </c>
      <c r="AH104" t="s">
        <v>286</v>
      </c>
      <c r="AI104" t="s">
        <v>287</v>
      </c>
      <c r="AX104">
        <v>263</v>
      </c>
      <c r="AY104" t="s">
        <v>286</v>
      </c>
      <c r="AZ104" t="s">
        <v>287</v>
      </c>
      <c r="BQ104" t="s">
        <v>52</v>
      </c>
      <c r="BR104">
        <v>3.7</v>
      </c>
      <c r="BS104" t="s">
        <v>284</v>
      </c>
      <c r="BT104">
        <v>3.4</v>
      </c>
      <c r="BU104" t="s">
        <v>284</v>
      </c>
      <c r="BV104">
        <v>4.5</v>
      </c>
      <c r="BW104" t="s">
        <v>284</v>
      </c>
      <c r="BX104">
        <v>4.53</v>
      </c>
      <c r="BY104" t="s">
        <v>284</v>
      </c>
      <c r="BZ104">
        <v>4.5</v>
      </c>
      <c r="CA104" t="s">
        <v>289</v>
      </c>
      <c r="CF104">
        <v>4.2300000000000004</v>
      </c>
      <c r="CG104" t="s">
        <v>54</v>
      </c>
      <c r="CH104" t="s">
        <v>52</v>
      </c>
    </row>
    <row r="105" spans="1:86" x14ac:dyDescent="0.25">
      <c r="A105" t="s">
        <v>47</v>
      </c>
      <c r="B105">
        <v>8</v>
      </c>
      <c r="C105" t="s">
        <v>102</v>
      </c>
      <c r="D105">
        <v>9</v>
      </c>
      <c r="E105" t="s">
        <v>49</v>
      </c>
      <c r="F105">
        <v>27</v>
      </c>
      <c r="H105" t="s">
        <v>50</v>
      </c>
      <c r="K105" t="s">
        <v>52</v>
      </c>
      <c r="L105">
        <v>1</v>
      </c>
      <c r="M105" t="s">
        <v>53</v>
      </c>
      <c r="N105">
        <v>27</v>
      </c>
      <c r="O105">
        <v>1</v>
      </c>
      <c r="P105" t="s">
        <v>52</v>
      </c>
      <c r="Q105">
        <v>0</v>
      </c>
      <c r="R105">
        <v>0.75</v>
      </c>
      <c r="S105">
        <v>231</v>
      </c>
      <c r="T105" t="s">
        <v>284</v>
      </c>
      <c r="U105">
        <v>208</v>
      </c>
      <c r="V105" t="s">
        <v>284</v>
      </c>
      <c r="W105">
        <v>224</v>
      </c>
      <c r="X105" t="s">
        <v>284</v>
      </c>
      <c r="Y105">
        <v>225</v>
      </c>
      <c r="Z105" t="s">
        <v>285</v>
      </c>
      <c r="AA105">
        <v>247</v>
      </c>
      <c r="AB105" t="s">
        <v>285</v>
      </c>
      <c r="AC105">
        <v>241</v>
      </c>
      <c r="AD105" t="s">
        <v>285</v>
      </c>
      <c r="AE105">
        <v>219</v>
      </c>
      <c r="AF105" t="s">
        <v>285</v>
      </c>
      <c r="AG105">
        <v>219</v>
      </c>
      <c r="AH105" t="s">
        <v>286</v>
      </c>
      <c r="AI105" t="s">
        <v>287</v>
      </c>
      <c r="AX105">
        <v>263</v>
      </c>
      <c r="AY105" t="s">
        <v>286</v>
      </c>
      <c r="AZ105" t="s">
        <v>287</v>
      </c>
      <c r="BQ105" t="s">
        <v>52</v>
      </c>
      <c r="BR105">
        <v>1.3</v>
      </c>
      <c r="BS105" t="s">
        <v>284</v>
      </c>
      <c r="BT105">
        <v>1.2</v>
      </c>
      <c r="BU105" t="s">
        <v>284</v>
      </c>
      <c r="BV105">
        <v>0.75</v>
      </c>
      <c r="BW105" t="s">
        <v>284</v>
      </c>
      <c r="BX105">
        <v>0.12</v>
      </c>
      <c r="BY105" t="s">
        <v>284</v>
      </c>
      <c r="BZ105">
        <v>0.14000000000000001</v>
      </c>
      <c r="CA105" t="s">
        <v>289</v>
      </c>
      <c r="CF105">
        <v>0.7</v>
      </c>
      <c r="CG105" t="s">
        <v>54</v>
      </c>
      <c r="CH105" t="s">
        <v>52</v>
      </c>
    </row>
    <row r="106" spans="1:86" x14ac:dyDescent="0.25">
      <c r="A106" t="s">
        <v>47</v>
      </c>
      <c r="B106">
        <v>8</v>
      </c>
      <c r="C106" t="s">
        <v>102</v>
      </c>
      <c r="D106">
        <v>9</v>
      </c>
      <c r="E106" t="s">
        <v>87</v>
      </c>
      <c r="F106">
        <v>91</v>
      </c>
      <c r="G106" t="s">
        <v>76</v>
      </c>
      <c r="H106" t="s">
        <v>50</v>
      </c>
      <c r="K106" t="s">
        <v>51</v>
      </c>
      <c r="L106">
        <v>1</v>
      </c>
      <c r="M106" t="s">
        <v>53</v>
      </c>
      <c r="N106">
        <v>91</v>
      </c>
      <c r="O106">
        <v>2</v>
      </c>
      <c r="P106" t="s">
        <v>52</v>
      </c>
      <c r="Q106">
        <v>0.77</v>
      </c>
      <c r="R106">
        <v>0.93</v>
      </c>
      <c r="S106">
        <v>135</v>
      </c>
      <c r="T106" t="s">
        <v>284</v>
      </c>
      <c r="U106">
        <v>133</v>
      </c>
      <c r="V106" t="s">
        <v>284</v>
      </c>
      <c r="W106">
        <v>147</v>
      </c>
      <c r="X106" t="s">
        <v>284</v>
      </c>
      <c r="Y106">
        <v>170</v>
      </c>
      <c r="Z106" t="s">
        <v>284</v>
      </c>
      <c r="AA106">
        <v>167</v>
      </c>
      <c r="AB106" t="s">
        <v>284</v>
      </c>
      <c r="AG106">
        <v>149.66669999999999</v>
      </c>
      <c r="AH106" t="s">
        <v>54</v>
      </c>
      <c r="AI106" t="s">
        <v>52</v>
      </c>
      <c r="AZ106" t="s">
        <v>52</v>
      </c>
      <c r="BQ106" t="s">
        <v>52</v>
      </c>
      <c r="BR106">
        <v>1.42</v>
      </c>
      <c r="BS106" t="s">
        <v>285</v>
      </c>
      <c r="BT106">
        <v>1.35</v>
      </c>
      <c r="BU106" t="s">
        <v>284</v>
      </c>
      <c r="BV106">
        <v>0.83</v>
      </c>
      <c r="BW106" t="s">
        <v>288</v>
      </c>
      <c r="BX106">
        <v>1.85</v>
      </c>
      <c r="BY106" t="s">
        <v>284</v>
      </c>
      <c r="BZ106">
        <v>1.01</v>
      </c>
      <c r="CA106" t="s">
        <v>285</v>
      </c>
      <c r="CF106">
        <v>1.26</v>
      </c>
      <c r="CG106" t="s">
        <v>54</v>
      </c>
      <c r="CH106" t="s">
        <v>52</v>
      </c>
    </row>
    <row r="107" spans="1:86" x14ac:dyDescent="0.25">
      <c r="A107" t="s">
        <v>47</v>
      </c>
      <c r="B107">
        <v>8</v>
      </c>
      <c r="C107" t="s">
        <v>102</v>
      </c>
      <c r="D107">
        <v>9</v>
      </c>
      <c r="E107" t="s">
        <v>87</v>
      </c>
      <c r="F107">
        <v>91</v>
      </c>
      <c r="G107" t="s">
        <v>76</v>
      </c>
      <c r="H107" t="s">
        <v>50</v>
      </c>
      <c r="K107" t="s">
        <v>52</v>
      </c>
      <c r="L107">
        <v>1</v>
      </c>
      <c r="M107" t="s">
        <v>53</v>
      </c>
      <c r="N107">
        <v>91</v>
      </c>
      <c r="O107">
        <v>2</v>
      </c>
      <c r="P107" t="s">
        <v>52</v>
      </c>
      <c r="Q107">
        <v>0.77</v>
      </c>
      <c r="R107">
        <v>0.93</v>
      </c>
      <c r="S107">
        <v>135</v>
      </c>
      <c r="T107" t="s">
        <v>284</v>
      </c>
      <c r="U107">
        <v>133</v>
      </c>
      <c r="V107" t="s">
        <v>284</v>
      </c>
      <c r="W107">
        <v>147</v>
      </c>
      <c r="X107" t="s">
        <v>284</v>
      </c>
      <c r="Y107">
        <v>170</v>
      </c>
      <c r="Z107" t="s">
        <v>284</v>
      </c>
      <c r="AA107">
        <v>167</v>
      </c>
      <c r="AB107" t="s">
        <v>284</v>
      </c>
      <c r="AG107">
        <v>149.66669999999999</v>
      </c>
      <c r="AH107" t="s">
        <v>54</v>
      </c>
      <c r="AI107" t="s">
        <v>52</v>
      </c>
      <c r="AZ107" t="s">
        <v>52</v>
      </c>
      <c r="BQ107" t="s">
        <v>52</v>
      </c>
      <c r="BR107">
        <v>0.57999999999999996</v>
      </c>
      <c r="BS107" t="s">
        <v>285</v>
      </c>
      <c r="BT107">
        <v>0.38</v>
      </c>
      <c r="BU107" t="s">
        <v>284</v>
      </c>
      <c r="BV107">
        <v>0.54</v>
      </c>
      <c r="BW107" t="s">
        <v>284</v>
      </c>
      <c r="BX107">
        <v>0.52</v>
      </c>
      <c r="BY107" t="s">
        <v>284</v>
      </c>
      <c r="BZ107">
        <v>0.45</v>
      </c>
      <c r="CA107" t="s">
        <v>284</v>
      </c>
      <c r="CF107">
        <v>0.5</v>
      </c>
      <c r="CG107" t="s">
        <v>54</v>
      </c>
      <c r="CH107" t="s">
        <v>52</v>
      </c>
    </row>
    <row r="108" spans="1:86" x14ac:dyDescent="0.25">
      <c r="A108" t="s">
        <v>47</v>
      </c>
      <c r="B108">
        <v>8</v>
      </c>
      <c r="C108" t="s">
        <v>102</v>
      </c>
      <c r="D108">
        <v>9</v>
      </c>
      <c r="E108" t="s">
        <v>87</v>
      </c>
      <c r="F108">
        <v>91</v>
      </c>
      <c r="G108" t="s">
        <v>103</v>
      </c>
      <c r="H108" t="s">
        <v>50</v>
      </c>
      <c r="K108" t="s">
        <v>51</v>
      </c>
      <c r="L108">
        <v>1</v>
      </c>
      <c r="M108" t="s">
        <v>53</v>
      </c>
      <c r="N108">
        <v>91</v>
      </c>
      <c r="O108">
        <v>2</v>
      </c>
      <c r="P108" t="s">
        <v>52</v>
      </c>
      <c r="Q108">
        <v>0.77</v>
      </c>
      <c r="R108">
        <v>0.93</v>
      </c>
      <c r="S108">
        <v>135</v>
      </c>
      <c r="T108" t="s">
        <v>284</v>
      </c>
      <c r="U108">
        <v>133</v>
      </c>
      <c r="V108" t="s">
        <v>284</v>
      </c>
      <c r="W108">
        <v>147</v>
      </c>
      <c r="X108" t="s">
        <v>284</v>
      </c>
      <c r="Y108">
        <v>170</v>
      </c>
      <c r="Z108" t="s">
        <v>284</v>
      </c>
      <c r="AA108">
        <v>167</v>
      </c>
      <c r="AB108" t="s">
        <v>284</v>
      </c>
      <c r="AG108">
        <v>149.66669999999999</v>
      </c>
      <c r="AH108" t="s">
        <v>54</v>
      </c>
      <c r="AI108" t="s">
        <v>52</v>
      </c>
      <c r="AZ108" t="s">
        <v>52</v>
      </c>
      <c r="BQ108" t="s">
        <v>52</v>
      </c>
      <c r="BR108">
        <v>1.47</v>
      </c>
      <c r="BS108" t="s">
        <v>285</v>
      </c>
      <c r="BT108">
        <v>1.35</v>
      </c>
      <c r="BU108" t="s">
        <v>284</v>
      </c>
      <c r="BV108">
        <v>0.83</v>
      </c>
      <c r="BW108" t="s">
        <v>284</v>
      </c>
      <c r="BX108">
        <v>1.85</v>
      </c>
      <c r="BY108" t="s">
        <v>284</v>
      </c>
      <c r="BZ108">
        <v>0.6</v>
      </c>
      <c r="CA108" t="s">
        <v>285</v>
      </c>
      <c r="CF108">
        <v>1.22</v>
      </c>
      <c r="CG108" t="s">
        <v>54</v>
      </c>
      <c r="CH108" t="s">
        <v>52</v>
      </c>
    </row>
    <row r="109" spans="1:86" x14ac:dyDescent="0.25">
      <c r="A109" t="s">
        <v>47</v>
      </c>
      <c r="B109">
        <v>8</v>
      </c>
      <c r="C109" t="s">
        <v>102</v>
      </c>
      <c r="D109">
        <v>9</v>
      </c>
      <c r="E109" t="s">
        <v>87</v>
      </c>
      <c r="F109">
        <v>91</v>
      </c>
      <c r="G109" t="s">
        <v>103</v>
      </c>
      <c r="H109" t="s">
        <v>50</v>
      </c>
      <c r="K109" t="s">
        <v>52</v>
      </c>
      <c r="L109">
        <v>1</v>
      </c>
      <c r="M109" t="s">
        <v>53</v>
      </c>
      <c r="N109">
        <v>91</v>
      </c>
      <c r="O109">
        <v>2</v>
      </c>
      <c r="P109" t="s">
        <v>52</v>
      </c>
      <c r="Q109">
        <v>0.77</v>
      </c>
      <c r="R109">
        <v>0.93</v>
      </c>
      <c r="S109">
        <v>135</v>
      </c>
      <c r="T109" t="s">
        <v>284</v>
      </c>
      <c r="U109">
        <v>133</v>
      </c>
      <c r="V109" t="s">
        <v>284</v>
      </c>
      <c r="W109">
        <v>147</v>
      </c>
      <c r="X109" t="s">
        <v>284</v>
      </c>
      <c r="Y109">
        <v>170</v>
      </c>
      <c r="Z109" t="s">
        <v>284</v>
      </c>
      <c r="AA109">
        <v>167</v>
      </c>
      <c r="AB109" t="s">
        <v>284</v>
      </c>
      <c r="AG109">
        <v>149.66669999999999</v>
      </c>
      <c r="AH109" t="s">
        <v>54</v>
      </c>
      <c r="AI109" t="s">
        <v>52</v>
      </c>
      <c r="AZ109" t="s">
        <v>52</v>
      </c>
      <c r="BQ109" t="s">
        <v>52</v>
      </c>
      <c r="BR109">
        <v>0.57999999999999996</v>
      </c>
      <c r="BS109" t="s">
        <v>285</v>
      </c>
      <c r="BT109">
        <v>0.38</v>
      </c>
      <c r="BU109" t="s">
        <v>284</v>
      </c>
      <c r="BV109">
        <v>0.54</v>
      </c>
      <c r="BW109" t="s">
        <v>284</v>
      </c>
      <c r="BX109">
        <v>0.52</v>
      </c>
      <c r="BY109" t="s">
        <v>284</v>
      </c>
      <c r="BZ109">
        <v>0.45</v>
      </c>
      <c r="CA109" t="s">
        <v>284</v>
      </c>
      <c r="CF109">
        <v>0.5</v>
      </c>
      <c r="CG109" t="s">
        <v>54</v>
      </c>
      <c r="CH109" t="s">
        <v>52</v>
      </c>
    </row>
    <row r="110" spans="1:86" x14ac:dyDescent="0.25">
      <c r="A110" t="s">
        <v>47</v>
      </c>
      <c r="B110">
        <v>8</v>
      </c>
      <c r="C110" t="s">
        <v>102</v>
      </c>
      <c r="D110">
        <v>9</v>
      </c>
      <c r="E110" t="s">
        <v>58</v>
      </c>
      <c r="F110">
        <v>102</v>
      </c>
      <c r="G110" t="s">
        <v>104</v>
      </c>
      <c r="H110" t="s">
        <v>50</v>
      </c>
      <c r="K110" t="s">
        <v>51</v>
      </c>
      <c r="L110">
        <v>1</v>
      </c>
      <c r="M110" t="s">
        <v>53</v>
      </c>
      <c r="N110">
        <v>102</v>
      </c>
      <c r="O110">
        <v>1</v>
      </c>
      <c r="P110" t="s">
        <v>52</v>
      </c>
      <c r="Q110">
        <v>0</v>
      </c>
      <c r="R110">
        <v>0.92</v>
      </c>
      <c r="S110">
        <v>131.69999999999999</v>
      </c>
      <c r="T110" t="s">
        <v>284</v>
      </c>
      <c r="U110">
        <v>170</v>
      </c>
      <c r="V110" t="s">
        <v>284</v>
      </c>
      <c r="W110">
        <v>191</v>
      </c>
      <c r="X110" t="s">
        <v>284</v>
      </c>
      <c r="Y110">
        <v>207</v>
      </c>
      <c r="Z110" t="s">
        <v>284</v>
      </c>
      <c r="AA110">
        <v>205</v>
      </c>
      <c r="AB110" t="s">
        <v>285</v>
      </c>
      <c r="AG110">
        <v>188.66669999999999</v>
      </c>
      <c r="AH110" t="s">
        <v>54</v>
      </c>
      <c r="AI110" t="s">
        <v>52</v>
      </c>
      <c r="AZ110" t="s">
        <v>52</v>
      </c>
      <c r="BQ110" t="s">
        <v>52</v>
      </c>
      <c r="BR110">
        <v>1.85</v>
      </c>
      <c r="BS110" t="s">
        <v>284</v>
      </c>
      <c r="BT110">
        <v>1.27</v>
      </c>
      <c r="BU110" t="s">
        <v>284</v>
      </c>
      <c r="BV110">
        <v>0.98</v>
      </c>
      <c r="BW110" t="s">
        <v>285</v>
      </c>
      <c r="CH110" t="s">
        <v>52</v>
      </c>
    </row>
    <row r="111" spans="1:86" x14ac:dyDescent="0.25">
      <c r="A111" t="s">
        <v>47</v>
      </c>
      <c r="B111">
        <v>8</v>
      </c>
      <c r="C111" t="s">
        <v>102</v>
      </c>
      <c r="D111">
        <v>9</v>
      </c>
      <c r="E111" t="s">
        <v>58</v>
      </c>
      <c r="F111">
        <v>102</v>
      </c>
      <c r="G111" t="s">
        <v>62</v>
      </c>
      <c r="H111" t="s">
        <v>50</v>
      </c>
      <c r="K111" t="s">
        <v>51</v>
      </c>
      <c r="L111">
        <v>1</v>
      </c>
      <c r="M111" t="s">
        <v>53</v>
      </c>
      <c r="N111">
        <v>102</v>
      </c>
      <c r="O111">
        <v>1</v>
      </c>
      <c r="P111" t="s">
        <v>52</v>
      </c>
      <c r="Q111">
        <v>0</v>
      </c>
      <c r="R111">
        <v>0.92</v>
      </c>
      <c r="S111">
        <v>131.69999999999999</v>
      </c>
      <c r="T111" t="s">
        <v>284</v>
      </c>
      <c r="U111">
        <v>170</v>
      </c>
      <c r="V111" t="s">
        <v>284</v>
      </c>
      <c r="W111">
        <v>191</v>
      </c>
      <c r="X111" t="s">
        <v>284</v>
      </c>
      <c r="Y111">
        <v>207</v>
      </c>
      <c r="Z111" t="s">
        <v>284</v>
      </c>
      <c r="AA111">
        <v>205</v>
      </c>
      <c r="AB111" t="s">
        <v>285</v>
      </c>
      <c r="AG111">
        <v>188.66669999999999</v>
      </c>
      <c r="AH111" t="s">
        <v>54</v>
      </c>
      <c r="AI111" t="s">
        <v>52</v>
      </c>
      <c r="AX111">
        <v>271.60000000000002</v>
      </c>
      <c r="AY111" t="s">
        <v>285</v>
      </c>
      <c r="AZ111" t="s">
        <v>287</v>
      </c>
      <c r="BQ111" t="s">
        <v>52</v>
      </c>
      <c r="BR111">
        <v>1.85</v>
      </c>
      <c r="BS111" t="s">
        <v>284</v>
      </c>
      <c r="BT111">
        <v>1.82</v>
      </c>
      <c r="BU111" t="s">
        <v>284</v>
      </c>
      <c r="BV111">
        <v>0.54</v>
      </c>
      <c r="BW111" t="s">
        <v>284</v>
      </c>
      <c r="BX111">
        <v>0.68</v>
      </c>
      <c r="BY111" t="s">
        <v>284</v>
      </c>
      <c r="BZ111">
        <v>0.57999999999999996</v>
      </c>
      <c r="CA111" t="s">
        <v>284</v>
      </c>
      <c r="CF111">
        <v>1.03</v>
      </c>
      <c r="CG111" t="s">
        <v>54</v>
      </c>
      <c r="CH111" t="s">
        <v>52</v>
      </c>
    </row>
    <row r="112" spans="1:86" x14ac:dyDescent="0.25">
      <c r="A112" t="s">
        <v>47</v>
      </c>
      <c r="B112">
        <v>8</v>
      </c>
      <c r="C112" t="s">
        <v>102</v>
      </c>
      <c r="D112">
        <v>9</v>
      </c>
      <c r="E112" t="s">
        <v>58</v>
      </c>
      <c r="F112">
        <v>102</v>
      </c>
      <c r="G112" t="s">
        <v>62</v>
      </c>
      <c r="H112" t="s">
        <v>50</v>
      </c>
      <c r="K112" t="s">
        <v>52</v>
      </c>
      <c r="L112">
        <v>1</v>
      </c>
      <c r="M112" t="s">
        <v>53</v>
      </c>
      <c r="N112">
        <v>102</v>
      </c>
      <c r="O112">
        <v>1</v>
      </c>
      <c r="P112" t="s">
        <v>52</v>
      </c>
      <c r="Q112">
        <v>0</v>
      </c>
      <c r="R112">
        <v>0.92</v>
      </c>
      <c r="S112">
        <v>131.69999999999999</v>
      </c>
      <c r="T112" t="s">
        <v>284</v>
      </c>
      <c r="U112">
        <v>170</v>
      </c>
      <c r="V112" t="s">
        <v>284</v>
      </c>
      <c r="W112">
        <v>191</v>
      </c>
      <c r="X112" t="s">
        <v>284</v>
      </c>
      <c r="Y112">
        <v>207</v>
      </c>
      <c r="Z112" t="s">
        <v>284</v>
      </c>
      <c r="AA112">
        <v>205</v>
      </c>
      <c r="AB112" t="s">
        <v>285</v>
      </c>
      <c r="AG112">
        <v>188.66669999999999</v>
      </c>
      <c r="AH112" t="s">
        <v>54</v>
      </c>
      <c r="AI112" t="s">
        <v>52</v>
      </c>
      <c r="AX112">
        <v>271.60000000000002</v>
      </c>
      <c r="AY112" t="s">
        <v>285</v>
      </c>
      <c r="AZ112" t="s">
        <v>287</v>
      </c>
      <c r="BQ112" t="s">
        <v>52</v>
      </c>
      <c r="BR112">
        <v>0.83</v>
      </c>
      <c r="BS112" t="s">
        <v>285</v>
      </c>
      <c r="BT112">
        <v>0.39</v>
      </c>
      <c r="BU112" t="s">
        <v>284</v>
      </c>
      <c r="BV112">
        <v>0.11</v>
      </c>
      <c r="BW112" t="s">
        <v>285</v>
      </c>
      <c r="BX112">
        <v>0.21</v>
      </c>
      <c r="BY112" t="s">
        <v>285</v>
      </c>
      <c r="BZ112">
        <v>0.18</v>
      </c>
      <c r="CA112" t="s">
        <v>284</v>
      </c>
      <c r="CF112">
        <v>0.26</v>
      </c>
      <c r="CG112" t="s">
        <v>54</v>
      </c>
      <c r="CH112" t="s">
        <v>52</v>
      </c>
    </row>
    <row r="113" spans="1:86" x14ac:dyDescent="0.25">
      <c r="A113" t="s">
        <v>47</v>
      </c>
      <c r="B113">
        <v>8</v>
      </c>
      <c r="C113" t="s">
        <v>102</v>
      </c>
      <c r="D113">
        <v>9</v>
      </c>
      <c r="E113" t="s">
        <v>68</v>
      </c>
      <c r="F113">
        <v>80</v>
      </c>
      <c r="G113" t="s">
        <v>69</v>
      </c>
      <c r="H113" t="s">
        <v>50</v>
      </c>
      <c r="K113" t="s">
        <v>51</v>
      </c>
      <c r="L113">
        <v>1</v>
      </c>
      <c r="M113" t="s">
        <v>53</v>
      </c>
      <c r="N113">
        <v>80</v>
      </c>
      <c r="O113">
        <v>1</v>
      </c>
      <c r="P113" t="s">
        <v>52</v>
      </c>
      <c r="Q113">
        <v>0.5</v>
      </c>
      <c r="R113">
        <v>0.75</v>
      </c>
      <c r="S113">
        <v>202.92</v>
      </c>
      <c r="T113" t="s">
        <v>284</v>
      </c>
      <c r="U113">
        <v>198.9</v>
      </c>
      <c r="V113" t="s">
        <v>284</v>
      </c>
      <c r="W113">
        <v>212.4</v>
      </c>
      <c r="X113" t="s">
        <v>284</v>
      </c>
      <c r="Y113">
        <v>219.6</v>
      </c>
      <c r="Z113" t="s">
        <v>284</v>
      </c>
      <c r="AA113">
        <v>178</v>
      </c>
      <c r="AB113" t="s">
        <v>284</v>
      </c>
      <c r="AG113">
        <v>204.74</v>
      </c>
      <c r="AH113" t="s">
        <v>54</v>
      </c>
      <c r="AI113" t="s">
        <v>52</v>
      </c>
      <c r="AZ113" t="s">
        <v>52</v>
      </c>
      <c r="BQ113" t="s">
        <v>52</v>
      </c>
      <c r="BR113">
        <v>1.85</v>
      </c>
      <c r="BS113" t="s">
        <v>284</v>
      </c>
      <c r="BT113">
        <v>1.82</v>
      </c>
      <c r="BU113" t="s">
        <v>284</v>
      </c>
      <c r="BV113">
        <v>1.99</v>
      </c>
      <c r="BW113" t="s">
        <v>284</v>
      </c>
      <c r="BX113">
        <v>2.5</v>
      </c>
      <c r="BY113" t="s">
        <v>284</v>
      </c>
      <c r="BZ113">
        <v>2.1800000000000002</v>
      </c>
      <c r="CA113" t="s">
        <v>285</v>
      </c>
      <c r="CF113">
        <v>2.0099999999999998</v>
      </c>
      <c r="CG113" t="s">
        <v>54</v>
      </c>
      <c r="CH113" t="s">
        <v>52</v>
      </c>
    </row>
    <row r="114" spans="1:86" x14ac:dyDescent="0.25">
      <c r="A114" t="s">
        <v>47</v>
      </c>
      <c r="B114">
        <v>8</v>
      </c>
      <c r="C114" t="s">
        <v>102</v>
      </c>
      <c r="D114">
        <v>9</v>
      </c>
      <c r="E114" t="s">
        <v>68</v>
      </c>
      <c r="F114">
        <v>80</v>
      </c>
      <c r="G114" t="s">
        <v>69</v>
      </c>
      <c r="H114" t="s">
        <v>50</v>
      </c>
      <c r="K114" t="s">
        <v>52</v>
      </c>
      <c r="L114">
        <v>1</v>
      </c>
      <c r="M114" t="s">
        <v>53</v>
      </c>
      <c r="N114">
        <v>80</v>
      </c>
      <c r="O114">
        <v>1</v>
      </c>
      <c r="P114" t="s">
        <v>52</v>
      </c>
      <c r="Q114">
        <v>0.5</v>
      </c>
      <c r="R114">
        <v>0.75</v>
      </c>
      <c r="S114">
        <v>202.92</v>
      </c>
      <c r="T114" t="s">
        <v>284</v>
      </c>
      <c r="U114">
        <v>198.9</v>
      </c>
      <c r="V114" t="s">
        <v>284</v>
      </c>
      <c r="W114">
        <v>212.4</v>
      </c>
      <c r="X114" t="s">
        <v>284</v>
      </c>
      <c r="Y114">
        <v>219.6</v>
      </c>
      <c r="Z114" t="s">
        <v>284</v>
      </c>
      <c r="AA114">
        <v>178</v>
      </c>
      <c r="AB114" t="s">
        <v>284</v>
      </c>
      <c r="AG114">
        <v>204.74</v>
      </c>
      <c r="AH114" t="s">
        <v>54</v>
      </c>
      <c r="AI114" t="s">
        <v>52</v>
      </c>
      <c r="AZ114" t="s">
        <v>52</v>
      </c>
      <c r="BQ114" t="s">
        <v>52</v>
      </c>
      <c r="BR114">
        <v>0.65</v>
      </c>
      <c r="BS114" t="s">
        <v>285</v>
      </c>
      <c r="BT114">
        <v>0.95</v>
      </c>
      <c r="BU114" t="s">
        <v>284</v>
      </c>
      <c r="BV114">
        <v>1.37</v>
      </c>
      <c r="BW114" t="s">
        <v>284</v>
      </c>
      <c r="BX114">
        <v>1.3</v>
      </c>
      <c r="BY114" t="s">
        <v>284</v>
      </c>
      <c r="BZ114">
        <v>1.1299999999999999</v>
      </c>
      <c r="CA114" t="s">
        <v>285</v>
      </c>
      <c r="CF114">
        <v>1.1299999999999999</v>
      </c>
      <c r="CG114" t="s">
        <v>54</v>
      </c>
      <c r="CH114" t="s">
        <v>52</v>
      </c>
    </row>
    <row r="115" spans="1:86" x14ac:dyDescent="0.25">
      <c r="A115" t="s">
        <v>47</v>
      </c>
      <c r="B115">
        <v>8</v>
      </c>
      <c r="C115" t="s">
        <v>102</v>
      </c>
      <c r="D115">
        <v>9</v>
      </c>
      <c r="E115" t="s">
        <v>68</v>
      </c>
      <c r="F115">
        <v>80</v>
      </c>
      <c r="G115" t="s">
        <v>105</v>
      </c>
      <c r="H115" t="s">
        <v>50</v>
      </c>
      <c r="K115" t="s">
        <v>51</v>
      </c>
      <c r="L115">
        <v>1</v>
      </c>
      <c r="M115" t="s">
        <v>53</v>
      </c>
      <c r="N115">
        <v>80</v>
      </c>
      <c r="O115">
        <v>1</v>
      </c>
      <c r="P115" t="s">
        <v>52</v>
      </c>
      <c r="Q115">
        <v>0.5</v>
      </c>
      <c r="R115">
        <v>0.75</v>
      </c>
      <c r="S115">
        <v>228</v>
      </c>
      <c r="T115" t="s">
        <v>285</v>
      </c>
      <c r="U115">
        <v>221</v>
      </c>
      <c r="V115" t="s">
        <v>285</v>
      </c>
      <c r="W115">
        <v>212.4</v>
      </c>
      <c r="X115" t="s">
        <v>284</v>
      </c>
      <c r="Y115">
        <v>219.6</v>
      </c>
      <c r="Z115" t="s">
        <v>284</v>
      </c>
      <c r="AA115">
        <v>178</v>
      </c>
      <c r="AB115" t="s">
        <v>285</v>
      </c>
      <c r="AG115">
        <v>217.66669999999999</v>
      </c>
      <c r="AH115" t="s">
        <v>54</v>
      </c>
      <c r="AI115" t="s">
        <v>52</v>
      </c>
      <c r="AZ115" t="s">
        <v>52</v>
      </c>
      <c r="BQ115" t="s">
        <v>52</v>
      </c>
      <c r="BR115">
        <v>1.85</v>
      </c>
      <c r="BS115" t="s">
        <v>285</v>
      </c>
      <c r="BT115">
        <v>1.82</v>
      </c>
      <c r="BU115" t="s">
        <v>285</v>
      </c>
      <c r="BV115">
        <v>1.99</v>
      </c>
      <c r="BW115" t="s">
        <v>284</v>
      </c>
      <c r="BX115">
        <v>2.5</v>
      </c>
      <c r="BY115" t="s">
        <v>284</v>
      </c>
      <c r="BZ115">
        <v>2.1800000000000002</v>
      </c>
      <c r="CA115" t="s">
        <v>285</v>
      </c>
      <c r="CF115">
        <v>2.0099999999999998</v>
      </c>
      <c r="CG115" t="s">
        <v>54</v>
      </c>
      <c r="CH115" t="s">
        <v>52</v>
      </c>
    </row>
    <row r="116" spans="1:86" x14ac:dyDescent="0.25">
      <c r="A116" t="s">
        <v>47</v>
      </c>
      <c r="B116">
        <v>8</v>
      </c>
      <c r="C116" t="s">
        <v>102</v>
      </c>
      <c r="D116">
        <v>9</v>
      </c>
      <c r="E116" t="s">
        <v>68</v>
      </c>
      <c r="F116">
        <v>80</v>
      </c>
      <c r="G116" t="s">
        <v>105</v>
      </c>
      <c r="H116" t="s">
        <v>50</v>
      </c>
      <c r="K116" t="s">
        <v>52</v>
      </c>
      <c r="L116">
        <v>1</v>
      </c>
      <c r="M116" t="s">
        <v>53</v>
      </c>
      <c r="N116">
        <v>80</v>
      </c>
      <c r="O116">
        <v>1</v>
      </c>
      <c r="P116" t="s">
        <v>52</v>
      </c>
      <c r="Q116">
        <v>0.5</v>
      </c>
      <c r="R116">
        <v>0.75</v>
      </c>
      <c r="S116">
        <v>228</v>
      </c>
      <c r="T116" t="s">
        <v>285</v>
      </c>
      <c r="U116">
        <v>221</v>
      </c>
      <c r="V116" t="s">
        <v>285</v>
      </c>
      <c r="W116">
        <v>212.4</v>
      </c>
      <c r="X116" t="s">
        <v>284</v>
      </c>
      <c r="Y116">
        <v>219.6</v>
      </c>
      <c r="Z116" t="s">
        <v>284</v>
      </c>
      <c r="AA116">
        <v>178</v>
      </c>
      <c r="AB116" t="s">
        <v>285</v>
      </c>
      <c r="AG116">
        <v>217.66669999999999</v>
      </c>
      <c r="AH116" t="s">
        <v>54</v>
      </c>
      <c r="AI116" t="s">
        <v>52</v>
      </c>
      <c r="AZ116" t="s">
        <v>52</v>
      </c>
      <c r="BQ116" t="s">
        <v>52</v>
      </c>
      <c r="BR116">
        <v>0.65</v>
      </c>
      <c r="BS116" t="s">
        <v>285</v>
      </c>
      <c r="BT116">
        <v>0.95</v>
      </c>
      <c r="BU116" t="s">
        <v>284</v>
      </c>
      <c r="BV116">
        <v>1.37</v>
      </c>
      <c r="BW116" t="s">
        <v>284</v>
      </c>
      <c r="BX116">
        <v>1.3</v>
      </c>
      <c r="BY116" t="s">
        <v>284</v>
      </c>
      <c r="BZ116">
        <v>1.1299999999999999</v>
      </c>
      <c r="CA116" t="s">
        <v>285</v>
      </c>
      <c r="CF116">
        <v>1.1299999999999999</v>
      </c>
      <c r="CG116" t="s">
        <v>54</v>
      </c>
      <c r="CH116" t="s">
        <v>52</v>
      </c>
    </row>
    <row r="117" spans="1:86" x14ac:dyDescent="0.25">
      <c r="A117" t="s">
        <v>47</v>
      </c>
      <c r="B117">
        <v>8</v>
      </c>
      <c r="C117" t="s">
        <v>102</v>
      </c>
      <c r="D117">
        <v>9</v>
      </c>
      <c r="E117" t="s">
        <v>70</v>
      </c>
      <c r="F117">
        <v>296</v>
      </c>
      <c r="G117" t="s">
        <v>71</v>
      </c>
      <c r="H117" t="s">
        <v>50</v>
      </c>
      <c r="K117" t="s">
        <v>51</v>
      </c>
      <c r="L117">
        <v>1</v>
      </c>
      <c r="M117" t="s">
        <v>53</v>
      </c>
      <c r="N117">
        <v>296</v>
      </c>
      <c r="O117">
        <v>1</v>
      </c>
      <c r="P117" t="s">
        <v>52</v>
      </c>
      <c r="Q117">
        <v>0</v>
      </c>
      <c r="R117">
        <v>0.75</v>
      </c>
      <c r="S117">
        <v>228</v>
      </c>
      <c r="T117" t="s">
        <v>284</v>
      </c>
      <c r="U117">
        <v>190</v>
      </c>
      <c r="V117" t="s">
        <v>285</v>
      </c>
      <c r="W117">
        <v>194</v>
      </c>
      <c r="X117" t="s">
        <v>285</v>
      </c>
      <c r="Y117">
        <v>225</v>
      </c>
      <c r="Z117" t="s">
        <v>285</v>
      </c>
      <c r="AA117">
        <v>247</v>
      </c>
      <c r="AB117" t="s">
        <v>285</v>
      </c>
      <c r="AC117">
        <v>241</v>
      </c>
      <c r="AD117" t="s">
        <v>285</v>
      </c>
      <c r="AE117">
        <v>219</v>
      </c>
      <c r="AF117" t="s">
        <v>285</v>
      </c>
      <c r="AG117">
        <v>219</v>
      </c>
      <c r="AH117" t="s">
        <v>286</v>
      </c>
      <c r="AI117" t="s">
        <v>287</v>
      </c>
      <c r="AX117">
        <v>263</v>
      </c>
      <c r="AY117" t="s">
        <v>286</v>
      </c>
      <c r="AZ117" t="s">
        <v>287</v>
      </c>
      <c r="BQ117" t="s">
        <v>52</v>
      </c>
      <c r="BR117">
        <v>1.85</v>
      </c>
      <c r="BS117" t="s">
        <v>284</v>
      </c>
      <c r="BT117">
        <v>1.82</v>
      </c>
      <c r="BU117" t="s">
        <v>284</v>
      </c>
      <c r="BV117">
        <v>1.0900000000000001</v>
      </c>
      <c r="BW117" t="s">
        <v>284</v>
      </c>
      <c r="BX117">
        <v>1.0900000000000001</v>
      </c>
      <c r="BY117" t="s">
        <v>284</v>
      </c>
      <c r="BZ117">
        <v>1.0900000000000001</v>
      </c>
      <c r="CA117" t="s">
        <v>284</v>
      </c>
      <c r="CF117">
        <v>1.33</v>
      </c>
      <c r="CG117" t="s">
        <v>54</v>
      </c>
      <c r="CH117" t="s">
        <v>52</v>
      </c>
    </row>
    <row r="118" spans="1:86" x14ac:dyDescent="0.25">
      <c r="A118" t="s">
        <v>47</v>
      </c>
      <c r="B118">
        <v>8</v>
      </c>
      <c r="C118" t="s">
        <v>102</v>
      </c>
      <c r="D118">
        <v>9</v>
      </c>
      <c r="E118" t="s">
        <v>70</v>
      </c>
      <c r="F118">
        <v>296</v>
      </c>
      <c r="G118" t="s">
        <v>71</v>
      </c>
      <c r="H118" t="s">
        <v>50</v>
      </c>
      <c r="K118" t="s">
        <v>52</v>
      </c>
      <c r="L118">
        <v>1</v>
      </c>
      <c r="M118" t="s">
        <v>53</v>
      </c>
      <c r="N118">
        <v>296</v>
      </c>
      <c r="O118">
        <v>1</v>
      </c>
      <c r="P118" t="s">
        <v>52</v>
      </c>
      <c r="Q118">
        <v>0</v>
      </c>
      <c r="R118">
        <v>0.75</v>
      </c>
      <c r="S118">
        <v>228</v>
      </c>
      <c r="T118" t="s">
        <v>284</v>
      </c>
      <c r="U118">
        <v>190</v>
      </c>
      <c r="V118" t="s">
        <v>285</v>
      </c>
      <c r="W118">
        <v>194</v>
      </c>
      <c r="X118" t="s">
        <v>285</v>
      </c>
      <c r="Y118">
        <v>225</v>
      </c>
      <c r="Z118" t="s">
        <v>285</v>
      </c>
      <c r="AA118">
        <v>247</v>
      </c>
      <c r="AB118" t="s">
        <v>285</v>
      </c>
      <c r="AC118">
        <v>241</v>
      </c>
      <c r="AD118" t="s">
        <v>285</v>
      </c>
      <c r="AE118">
        <v>219</v>
      </c>
      <c r="AF118" t="s">
        <v>285</v>
      </c>
      <c r="AG118">
        <v>219</v>
      </c>
      <c r="AH118" t="s">
        <v>286</v>
      </c>
      <c r="AI118" t="s">
        <v>287</v>
      </c>
      <c r="AX118">
        <v>263</v>
      </c>
      <c r="AY118" t="s">
        <v>286</v>
      </c>
      <c r="AZ118" t="s">
        <v>287</v>
      </c>
      <c r="BQ118" t="s">
        <v>52</v>
      </c>
      <c r="BR118">
        <v>0.65</v>
      </c>
      <c r="BS118" t="s">
        <v>284</v>
      </c>
      <c r="BT118">
        <v>0.91</v>
      </c>
      <c r="BU118" t="s">
        <v>285</v>
      </c>
      <c r="BV118">
        <v>0.28000000000000003</v>
      </c>
      <c r="BW118" t="s">
        <v>285</v>
      </c>
      <c r="BX118">
        <v>0.22</v>
      </c>
      <c r="BY118" t="s">
        <v>284</v>
      </c>
      <c r="BZ118">
        <v>0.22</v>
      </c>
      <c r="CA118" t="s">
        <v>284</v>
      </c>
      <c r="CF118">
        <v>0.38</v>
      </c>
      <c r="CG118" t="s">
        <v>54</v>
      </c>
      <c r="CH118" t="s">
        <v>52</v>
      </c>
    </row>
    <row r="119" spans="1:86" x14ac:dyDescent="0.25">
      <c r="A119" t="s">
        <v>47</v>
      </c>
      <c r="B119">
        <v>8</v>
      </c>
      <c r="C119" t="s">
        <v>102</v>
      </c>
      <c r="D119">
        <v>9</v>
      </c>
      <c r="E119" t="s">
        <v>70</v>
      </c>
      <c r="F119">
        <v>296</v>
      </c>
      <c r="G119" t="s">
        <v>72</v>
      </c>
      <c r="H119" t="s">
        <v>50</v>
      </c>
      <c r="K119" t="s">
        <v>51</v>
      </c>
      <c r="L119">
        <v>1</v>
      </c>
      <c r="M119" t="s">
        <v>53</v>
      </c>
      <c r="N119">
        <v>296</v>
      </c>
      <c r="O119">
        <v>1</v>
      </c>
      <c r="P119" t="s">
        <v>52</v>
      </c>
      <c r="Q119">
        <v>0.5</v>
      </c>
      <c r="R119">
        <v>0.75</v>
      </c>
      <c r="S119">
        <v>228</v>
      </c>
      <c r="T119" t="s">
        <v>284</v>
      </c>
      <c r="U119">
        <v>221</v>
      </c>
      <c r="V119" t="s">
        <v>284</v>
      </c>
      <c r="W119">
        <v>236</v>
      </c>
      <c r="X119" t="s">
        <v>284</v>
      </c>
      <c r="Y119">
        <v>244</v>
      </c>
      <c r="Z119" t="s">
        <v>284</v>
      </c>
      <c r="AA119">
        <v>215</v>
      </c>
      <c r="AB119" t="s">
        <v>285</v>
      </c>
      <c r="AG119">
        <v>228.33330000000001</v>
      </c>
      <c r="AH119" t="s">
        <v>54</v>
      </c>
      <c r="AI119" t="s">
        <v>52</v>
      </c>
      <c r="AZ119" t="s">
        <v>52</v>
      </c>
      <c r="BQ119" t="s">
        <v>52</v>
      </c>
      <c r="BR119">
        <v>1.85</v>
      </c>
      <c r="BS119" t="s">
        <v>284</v>
      </c>
      <c r="BT119">
        <v>1.66</v>
      </c>
      <c r="BU119" t="s">
        <v>284</v>
      </c>
      <c r="BV119">
        <v>1.58</v>
      </c>
      <c r="BW119" t="s">
        <v>285</v>
      </c>
      <c r="BX119">
        <v>1.26</v>
      </c>
      <c r="BY119" t="s">
        <v>285</v>
      </c>
      <c r="BZ119">
        <v>1.26</v>
      </c>
      <c r="CA119" t="s">
        <v>284</v>
      </c>
      <c r="CF119">
        <v>1.5</v>
      </c>
      <c r="CG119" t="s">
        <v>54</v>
      </c>
      <c r="CH119" t="s">
        <v>52</v>
      </c>
    </row>
    <row r="120" spans="1:86" x14ac:dyDescent="0.25">
      <c r="A120" t="s">
        <v>47</v>
      </c>
      <c r="B120">
        <v>8</v>
      </c>
      <c r="C120" t="s">
        <v>102</v>
      </c>
      <c r="D120">
        <v>9</v>
      </c>
      <c r="E120" t="s">
        <v>70</v>
      </c>
      <c r="F120">
        <v>296</v>
      </c>
      <c r="G120" t="s">
        <v>72</v>
      </c>
      <c r="H120" t="s">
        <v>50</v>
      </c>
      <c r="K120" t="s">
        <v>52</v>
      </c>
      <c r="L120">
        <v>1</v>
      </c>
      <c r="M120" t="s">
        <v>53</v>
      </c>
      <c r="N120">
        <v>296</v>
      </c>
      <c r="O120">
        <v>1</v>
      </c>
      <c r="P120" t="s">
        <v>52</v>
      </c>
      <c r="Q120">
        <v>0.5</v>
      </c>
      <c r="R120">
        <v>0.75</v>
      </c>
      <c r="S120">
        <v>228</v>
      </c>
      <c r="T120" t="s">
        <v>284</v>
      </c>
      <c r="U120">
        <v>221</v>
      </c>
      <c r="V120" t="s">
        <v>284</v>
      </c>
      <c r="W120">
        <v>236</v>
      </c>
      <c r="X120" t="s">
        <v>284</v>
      </c>
      <c r="Y120">
        <v>244</v>
      </c>
      <c r="Z120" t="s">
        <v>284</v>
      </c>
      <c r="AA120">
        <v>215</v>
      </c>
      <c r="AB120" t="s">
        <v>285</v>
      </c>
      <c r="AG120">
        <v>228.33330000000001</v>
      </c>
      <c r="AH120" t="s">
        <v>54</v>
      </c>
      <c r="AI120" t="s">
        <v>52</v>
      </c>
      <c r="AZ120" t="s">
        <v>52</v>
      </c>
      <c r="BQ120" t="s">
        <v>52</v>
      </c>
      <c r="BR120">
        <v>0.65</v>
      </c>
      <c r="BS120" t="s">
        <v>284</v>
      </c>
      <c r="BT120">
        <v>0.87</v>
      </c>
      <c r="BU120" t="s">
        <v>284</v>
      </c>
      <c r="BV120">
        <v>0.26</v>
      </c>
      <c r="BW120" t="s">
        <v>284</v>
      </c>
      <c r="BX120">
        <v>0.25</v>
      </c>
      <c r="BY120" t="s">
        <v>285</v>
      </c>
      <c r="BZ120">
        <v>0.25</v>
      </c>
      <c r="CA120" t="s">
        <v>284</v>
      </c>
      <c r="CF120">
        <v>0.39</v>
      </c>
      <c r="CG120" t="s">
        <v>54</v>
      </c>
      <c r="CH120" t="s">
        <v>52</v>
      </c>
    </row>
    <row r="121" spans="1:86" x14ac:dyDescent="0.25">
      <c r="A121" t="s">
        <v>47</v>
      </c>
      <c r="B121">
        <v>8</v>
      </c>
      <c r="C121" t="s">
        <v>102</v>
      </c>
      <c r="D121">
        <v>9</v>
      </c>
      <c r="E121" t="s">
        <v>70</v>
      </c>
      <c r="F121">
        <v>296</v>
      </c>
      <c r="G121" t="s">
        <v>74</v>
      </c>
      <c r="H121" t="s">
        <v>50</v>
      </c>
      <c r="K121" t="s">
        <v>52</v>
      </c>
      <c r="L121">
        <v>1</v>
      </c>
      <c r="M121" t="s">
        <v>53</v>
      </c>
      <c r="N121">
        <v>102</v>
      </c>
      <c r="O121">
        <v>1</v>
      </c>
      <c r="P121" t="s">
        <v>52</v>
      </c>
      <c r="Q121">
        <v>0</v>
      </c>
      <c r="R121">
        <v>0.75</v>
      </c>
      <c r="S121">
        <v>135</v>
      </c>
      <c r="T121" t="s">
        <v>284</v>
      </c>
      <c r="U121">
        <v>132</v>
      </c>
      <c r="V121" t="s">
        <v>284</v>
      </c>
      <c r="W121">
        <v>147</v>
      </c>
      <c r="X121" t="s">
        <v>284</v>
      </c>
      <c r="Y121">
        <v>170</v>
      </c>
      <c r="Z121" t="s">
        <v>284</v>
      </c>
      <c r="AA121">
        <v>205</v>
      </c>
      <c r="AB121" t="s">
        <v>285</v>
      </c>
      <c r="AG121">
        <v>150.66669999999999</v>
      </c>
      <c r="AH121" t="s">
        <v>54</v>
      </c>
      <c r="AI121" t="s">
        <v>52</v>
      </c>
      <c r="AZ121" t="s">
        <v>52</v>
      </c>
      <c r="BQ121" t="s">
        <v>52</v>
      </c>
      <c r="BR121">
        <v>0.65</v>
      </c>
      <c r="BS121" t="s">
        <v>284</v>
      </c>
      <c r="BT121">
        <v>0.83</v>
      </c>
      <c r="BU121" t="s">
        <v>284</v>
      </c>
      <c r="BV121">
        <v>0.11</v>
      </c>
      <c r="BW121" t="s">
        <v>284</v>
      </c>
      <c r="BX121">
        <v>0.25</v>
      </c>
      <c r="BY121" t="s">
        <v>285</v>
      </c>
      <c r="BZ121">
        <v>0.22</v>
      </c>
      <c r="CA121" t="s">
        <v>289</v>
      </c>
      <c r="CF121">
        <v>0.37</v>
      </c>
      <c r="CG121" t="s">
        <v>54</v>
      </c>
      <c r="CH121" t="s">
        <v>52</v>
      </c>
    </row>
    <row r="122" spans="1:86" x14ac:dyDescent="0.25">
      <c r="A122" t="s">
        <v>47</v>
      </c>
      <c r="B122">
        <v>8</v>
      </c>
      <c r="C122" t="s">
        <v>102</v>
      </c>
      <c r="D122">
        <v>9</v>
      </c>
      <c r="E122" t="s">
        <v>70</v>
      </c>
      <c r="F122">
        <v>296</v>
      </c>
      <c r="G122" t="s">
        <v>92</v>
      </c>
      <c r="H122" t="s">
        <v>50</v>
      </c>
      <c r="K122" t="s">
        <v>51</v>
      </c>
      <c r="L122">
        <v>1</v>
      </c>
      <c r="M122" t="s">
        <v>53</v>
      </c>
      <c r="N122">
        <v>102</v>
      </c>
      <c r="O122">
        <v>1</v>
      </c>
      <c r="P122" t="s">
        <v>52</v>
      </c>
      <c r="Q122">
        <v>0.5</v>
      </c>
      <c r="R122">
        <v>0.75</v>
      </c>
      <c r="S122">
        <v>228</v>
      </c>
      <c r="T122" t="s">
        <v>284</v>
      </c>
      <c r="U122">
        <v>189</v>
      </c>
      <c r="V122" t="s">
        <v>285</v>
      </c>
      <c r="W122">
        <v>199</v>
      </c>
      <c r="X122" t="s">
        <v>285</v>
      </c>
      <c r="Y122">
        <v>206</v>
      </c>
      <c r="Z122" t="s">
        <v>285</v>
      </c>
      <c r="AA122">
        <v>128</v>
      </c>
      <c r="AB122" t="s">
        <v>285</v>
      </c>
      <c r="AG122">
        <v>198</v>
      </c>
      <c r="AH122" t="s">
        <v>54</v>
      </c>
      <c r="AI122" t="s">
        <v>52</v>
      </c>
      <c r="AZ122" t="s">
        <v>52</v>
      </c>
      <c r="BQ122" t="s">
        <v>52</v>
      </c>
      <c r="BR122">
        <v>1.85</v>
      </c>
      <c r="BS122" t="s">
        <v>284</v>
      </c>
      <c r="BT122">
        <v>1.82</v>
      </c>
      <c r="BU122" t="s">
        <v>284</v>
      </c>
      <c r="BV122">
        <v>1.82</v>
      </c>
      <c r="BW122" t="s">
        <v>284</v>
      </c>
      <c r="BX122">
        <v>1.82</v>
      </c>
      <c r="BY122" t="s">
        <v>284</v>
      </c>
      <c r="BZ122">
        <v>1.82</v>
      </c>
      <c r="CA122" t="s">
        <v>285</v>
      </c>
      <c r="CF122">
        <v>1.82</v>
      </c>
      <c r="CG122" t="s">
        <v>54</v>
      </c>
      <c r="CH122" t="s">
        <v>52</v>
      </c>
    </row>
    <row r="123" spans="1:86" x14ac:dyDescent="0.25">
      <c r="A123" t="s">
        <v>47</v>
      </c>
      <c r="B123">
        <v>8</v>
      </c>
      <c r="C123" t="s">
        <v>102</v>
      </c>
      <c r="D123">
        <v>9</v>
      </c>
      <c r="E123" t="s">
        <v>70</v>
      </c>
      <c r="F123">
        <v>296</v>
      </c>
      <c r="G123" t="s">
        <v>92</v>
      </c>
      <c r="H123" t="s">
        <v>50</v>
      </c>
      <c r="K123" t="s">
        <v>52</v>
      </c>
      <c r="L123">
        <v>1</v>
      </c>
      <c r="M123" t="s">
        <v>53</v>
      </c>
      <c r="N123">
        <v>102</v>
      </c>
      <c r="O123">
        <v>1</v>
      </c>
      <c r="P123" t="s">
        <v>52</v>
      </c>
      <c r="Q123">
        <v>0.5</v>
      </c>
      <c r="R123">
        <v>0.75</v>
      </c>
      <c r="S123">
        <v>228</v>
      </c>
      <c r="T123" t="s">
        <v>284</v>
      </c>
      <c r="U123">
        <v>189</v>
      </c>
      <c r="V123" t="s">
        <v>285</v>
      </c>
      <c r="W123">
        <v>199</v>
      </c>
      <c r="X123" t="s">
        <v>285</v>
      </c>
      <c r="Y123">
        <v>206</v>
      </c>
      <c r="Z123" t="s">
        <v>285</v>
      </c>
      <c r="AA123">
        <v>128</v>
      </c>
      <c r="AB123" t="s">
        <v>285</v>
      </c>
      <c r="AG123">
        <v>198</v>
      </c>
      <c r="AH123" t="s">
        <v>54</v>
      </c>
      <c r="AI123" t="s">
        <v>52</v>
      </c>
      <c r="AZ123" t="s">
        <v>52</v>
      </c>
      <c r="BQ123" t="s">
        <v>52</v>
      </c>
      <c r="BR123">
        <v>1.85</v>
      </c>
      <c r="BS123" t="s">
        <v>284</v>
      </c>
      <c r="BT123">
        <v>0.97</v>
      </c>
      <c r="BU123" t="s">
        <v>284</v>
      </c>
      <c r="BV123">
        <v>0.32</v>
      </c>
      <c r="BW123" t="s">
        <v>284</v>
      </c>
      <c r="BX123">
        <v>0.44</v>
      </c>
      <c r="BY123" t="s">
        <v>284</v>
      </c>
      <c r="BZ123">
        <v>0.44</v>
      </c>
      <c r="CA123" t="s">
        <v>285</v>
      </c>
      <c r="CF123">
        <v>0.62</v>
      </c>
      <c r="CG123" t="s">
        <v>54</v>
      </c>
      <c r="CH123" t="s">
        <v>52</v>
      </c>
    </row>
    <row r="124" spans="1:86" x14ac:dyDescent="0.25">
      <c r="A124" t="s">
        <v>47</v>
      </c>
      <c r="B124">
        <v>8</v>
      </c>
      <c r="C124" t="s">
        <v>102</v>
      </c>
      <c r="D124">
        <v>9</v>
      </c>
      <c r="E124" t="s">
        <v>75</v>
      </c>
      <c r="F124">
        <v>16</v>
      </c>
      <c r="G124" t="s">
        <v>76</v>
      </c>
      <c r="H124" t="s">
        <v>50</v>
      </c>
      <c r="K124" t="s">
        <v>51</v>
      </c>
      <c r="L124">
        <v>1</v>
      </c>
      <c r="M124" t="s">
        <v>53</v>
      </c>
      <c r="N124">
        <v>16</v>
      </c>
      <c r="O124">
        <v>2</v>
      </c>
      <c r="P124" t="s">
        <v>52</v>
      </c>
      <c r="Q124">
        <v>0.5</v>
      </c>
      <c r="R124">
        <v>0.75</v>
      </c>
      <c r="S124">
        <v>83.35</v>
      </c>
      <c r="T124" t="s">
        <v>285</v>
      </c>
      <c r="U124">
        <v>96.14</v>
      </c>
      <c r="V124" t="s">
        <v>284</v>
      </c>
      <c r="W124">
        <v>103.37</v>
      </c>
      <c r="X124" t="s">
        <v>284</v>
      </c>
      <c r="Y124">
        <v>106.14</v>
      </c>
      <c r="Z124" t="s">
        <v>284</v>
      </c>
      <c r="AA124">
        <v>128</v>
      </c>
      <c r="AB124" t="s">
        <v>285</v>
      </c>
      <c r="AG124">
        <v>101.88330000000001</v>
      </c>
      <c r="AH124" t="s">
        <v>54</v>
      </c>
      <c r="AI124" t="s">
        <v>52</v>
      </c>
      <c r="AX124">
        <v>146.69999999999999</v>
      </c>
      <c r="AY124" t="s">
        <v>285</v>
      </c>
      <c r="AZ124" t="s">
        <v>287</v>
      </c>
      <c r="BQ124" t="s">
        <v>52</v>
      </c>
      <c r="BR124">
        <v>1.85</v>
      </c>
      <c r="BS124" t="s">
        <v>284</v>
      </c>
      <c r="BT124">
        <v>1.6</v>
      </c>
      <c r="BU124" t="s">
        <v>284</v>
      </c>
      <c r="BV124">
        <v>1.34</v>
      </c>
      <c r="BW124" t="s">
        <v>284</v>
      </c>
      <c r="BX124">
        <v>2.19</v>
      </c>
      <c r="BY124" t="s">
        <v>284</v>
      </c>
      <c r="BZ124">
        <v>2.56</v>
      </c>
      <c r="CA124" t="s">
        <v>289</v>
      </c>
      <c r="CF124">
        <v>1.88</v>
      </c>
      <c r="CG124" t="s">
        <v>54</v>
      </c>
      <c r="CH124" t="s">
        <v>52</v>
      </c>
    </row>
    <row r="125" spans="1:86" x14ac:dyDescent="0.25">
      <c r="A125" t="s">
        <v>47</v>
      </c>
      <c r="B125">
        <v>8</v>
      </c>
      <c r="C125" t="s">
        <v>102</v>
      </c>
      <c r="D125">
        <v>9</v>
      </c>
      <c r="E125" t="s">
        <v>75</v>
      </c>
      <c r="F125">
        <v>16</v>
      </c>
      <c r="G125" t="s">
        <v>76</v>
      </c>
      <c r="H125" t="s">
        <v>50</v>
      </c>
      <c r="K125" t="s">
        <v>52</v>
      </c>
      <c r="L125">
        <v>1</v>
      </c>
      <c r="M125" t="s">
        <v>53</v>
      </c>
      <c r="N125">
        <v>16</v>
      </c>
      <c r="O125">
        <v>2</v>
      </c>
      <c r="P125" t="s">
        <v>52</v>
      </c>
      <c r="Q125">
        <v>0.5</v>
      </c>
      <c r="R125">
        <v>0.75</v>
      </c>
      <c r="S125">
        <v>83.35</v>
      </c>
      <c r="T125" t="s">
        <v>285</v>
      </c>
      <c r="U125">
        <v>96.14</v>
      </c>
      <c r="V125" t="s">
        <v>284</v>
      </c>
      <c r="W125">
        <v>103.37</v>
      </c>
      <c r="X125" t="s">
        <v>284</v>
      </c>
      <c r="Y125">
        <v>106.14</v>
      </c>
      <c r="Z125" t="s">
        <v>284</v>
      </c>
      <c r="AA125">
        <v>128</v>
      </c>
      <c r="AB125" t="s">
        <v>285</v>
      </c>
      <c r="AG125">
        <v>101.88330000000001</v>
      </c>
      <c r="AH125" t="s">
        <v>54</v>
      </c>
      <c r="AI125" t="s">
        <v>52</v>
      </c>
      <c r="AX125">
        <v>146.69999999999999</v>
      </c>
      <c r="AY125" t="s">
        <v>285</v>
      </c>
      <c r="AZ125" t="s">
        <v>287</v>
      </c>
      <c r="BQ125" t="s">
        <v>52</v>
      </c>
      <c r="BR125">
        <v>0.65</v>
      </c>
      <c r="BS125" t="s">
        <v>284</v>
      </c>
      <c r="BT125">
        <v>0.83</v>
      </c>
      <c r="BU125" t="s">
        <v>284</v>
      </c>
      <c r="BV125">
        <v>1.5</v>
      </c>
      <c r="BW125" t="s">
        <v>284</v>
      </c>
      <c r="BX125">
        <v>1.54</v>
      </c>
      <c r="BY125" t="s">
        <v>284</v>
      </c>
      <c r="BZ125">
        <v>0.21</v>
      </c>
      <c r="CA125" t="s">
        <v>289</v>
      </c>
      <c r="CF125">
        <v>0.99</v>
      </c>
      <c r="CG125" t="s">
        <v>54</v>
      </c>
      <c r="CH125" t="s">
        <v>52</v>
      </c>
    </row>
    <row r="126" spans="1:86" x14ac:dyDescent="0.25">
      <c r="A126" t="s">
        <v>47</v>
      </c>
      <c r="B126">
        <v>8</v>
      </c>
      <c r="C126" t="s">
        <v>102</v>
      </c>
      <c r="D126">
        <v>9</v>
      </c>
      <c r="E126" t="s">
        <v>93</v>
      </c>
      <c r="F126">
        <v>94</v>
      </c>
      <c r="H126" t="s">
        <v>50</v>
      </c>
      <c r="K126" t="s">
        <v>52</v>
      </c>
      <c r="L126">
        <v>1</v>
      </c>
      <c r="M126" t="s">
        <v>53</v>
      </c>
      <c r="N126">
        <v>94</v>
      </c>
      <c r="O126">
        <v>2</v>
      </c>
      <c r="P126" t="s">
        <v>52</v>
      </c>
      <c r="Q126">
        <v>0.77</v>
      </c>
      <c r="R126">
        <v>0.93</v>
      </c>
      <c r="S126">
        <v>205</v>
      </c>
      <c r="T126" t="s">
        <v>284</v>
      </c>
      <c r="U126">
        <v>175</v>
      </c>
      <c r="V126" t="s">
        <v>284</v>
      </c>
      <c r="W126">
        <v>188</v>
      </c>
      <c r="X126" t="s">
        <v>284</v>
      </c>
      <c r="Y126">
        <v>202.32</v>
      </c>
      <c r="Z126" t="s">
        <v>284</v>
      </c>
      <c r="AA126">
        <v>209.16</v>
      </c>
      <c r="AB126" t="s">
        <v>284</v>
      </c>
      <c r="AG126">
        <v>198.44</v>
      </c>
      <c r="AH126" t="s">
        <v>54</v>
      </c>
      <c r="AI126" t="s">
        <v>52</v>
      </c>
      <c r="AZ126" t="s">
        <v>52</v>
      </c>
      <c r="BQ126" t="s">
        <v>52</v>
      </c>
      <c r="BR126">
        <v>0.54</v>
      </c>
      <c r="BS126" t="s">
        <v>285</v>
      </c>
      <c r="BT126">
        <v>0.46</v>
      </c>
      <c r="BU126" t="s">
        <v>284</v>
      </c>
      <c r="BV126">
        <v>0.6</v>
      </c>
      <c r="BW126" t="s">
        <v>284</v>
      </c>
      <c r="BX126">
        <v>0.56999999999999995</v>
      </c>
      <c r="BY126" t="s">
        <v>284</v>
      </c>
      <c r="BZ126">
        <v>0.5</v>
      </c>
      <c r="CA126" t="s">
        <v>284</v>
      </c>
      <c r="CF126">
        <v>0.54</v>
      </c>
      <c r="CG126" t="s">
        <v>54</v>
      </c>
      <c r="CH126" t="s">
        <v>52</v>
      </c>
    </row>
    <row r="127" spans="1:86" x14ac:dyDescent="0.25">
      <c r="A127" t="s">
        <v>47</v>
      </c>
      <c r="B127">
        <v>8</v>
      </c>
      <c r="C127" t="s">
        <v>102</v>
      </c>
      <c r="D127">
        <v>9</v>
      </c>
      <c r="E127" t="s">
        <v>77</v>
      </c>
      <c r="F127">
        <v>51</v>
      </c>
      <c r="G127" t="s">
        <v>78</v>
      </c>
      <c r="H127" t="s">
        <v>50</v>
      </c>
      <c r="K127" t="s">
        <v>51</v>
      </c>
      <c r="L127">
        <v>1</v>
      </c>
      <c r="M127" t="s">
        <v>53</v>
      </c>
      <c r="N127">
        <v>51</v>
      </c>
      <c r="O127">
        <v>2</v>
      </c>
      <c r="P127" t="s">
        <v>52</v>
      </c>
      <c r="Q127">
        <v>0.5</v>
      </c>
      <c r="R127">
        <v>0.73</v>
      </c>
      <c r="S127">
        <v>228</v>
      </c>
      <c r="T127" t="s">
        <v>284</v>
      </c>
      <c r="U127">
        <v>218</v>
      </c>
      <c r="V127" t="s">
        <v>284</v>
      </c>
      <c r="W127">
        <v>147</v>
      </c>
      <c r="X127" t="s">
        <v>284</v>
      </c>
      <c r="Y127">
        <v>170</v>
      </c>
      <c r="Z127" t="s">
        <v>284</v>
      </c>
      <c r="AA127">
        <v>109</v>
      </c>
      <c r="AB127" t="s">
        <v>285</v>
      </c>
      <c r="AG127">
        <v>178.33330000000001</v>
      </c>
      <c r="AH127" t="s">
        <v>54</v>
      </c>
      <c r="AI127" t="s">
        <v>52</v>
      </c>
      <c r="AZ127" t="s">
        <v>52</v>
      </c>
      <c r="BQ127" t="s">
        <v>52</v>
      </c>
      <c r="BR127">
        <v>1.2</v>
      </c>
      <c r="BS127" t="s">
        <v>284</v>
      </c>
      <c r="BT127">
        <v>1.35</v>
      </c>
      <c r="BU127" t="s">
        <v>284</v>
      </c>
      <c r="BV127">
        <v>1.35</v>
      </c>
      <c r="BW127" t="s">
        <v>285</v>
      </c>
      <c r="BX127">
        <v>1.35</v>
      </c>
      <c r="BY127" t="s">
        <v>285</v>
      </c>
      <c r="BZ127">
        <v>0.3</v>
      </c>
      <c r="CA127" t="s">
        <v>285</v>
      </c>
      <c r="CF127">
        <v>1.3</v>
      </c>
      <c r="CG127" t="s">
        <v>54</v>
      </c>
      <c r="CH127" t="s">
        <v>52</v>
      </c>
    </row>
    <row r="128" spans="1:86" x14ac:dyDescent="0.25">
      <c r="A128" t="s">
        <v>47</v>
      </c>
      <c r="B128">
        <v>8</v>
      </c>
      <c r="C128" t="s">
        <v>102</v>
      </c>
      <c r="D128">
        <v>9</v>
      </c>
      <c r="E128" t="s">
        <v>77</v>
      </c>
      <c r="F128">
        <v>51</v>
      </c>
      <c r="G128" t="s">
        <v>78</v>
      </c>
      <c r="H128" t="s">
        <v>50</v>
      </c>
      <c r="K128" t="s">
        <v>52</v>
      </c>
      <c r="L128">
        <v>1</v>
      </c>
      <c r="M128" t="s">
        <v>53</v>
      </c>
      <c r="N128">
        <v>51</v>
      </c>
      <c r="O128">
        <v>2</v>
      </c>
      <c r="P128" t="s">
        <v>52</v>
      </c>
      <c r="Q128">
        <v>0.5</v>
      </c>
      <c r="R128">
        <v>0.73</v>
      </c>
      <c r="S128">
        <v>228</v>
      </c>
      <c r="T128" t="s">
        <v>284</v>
      </c>
      <c r="U128">
        <v>218</v>
      </c>
      <c r="V128" t="s">
        <v>284</v>
      </c>
      <c r="W128">
        <v>147</v>
      </c>
      <c r="X128" t="s">
        <v>284</v>
      </c>
      <c r="Y128">
        <v>170</v>
      </c>
      <c r="Z128" t="s">
        <v>284</v>
      </c>
      <c r="AA128">
        <v>109</v>
      </c>
      <c r="AB128" t="s">
        <v>285</v>
      </c>
      <c r="AG128">
        <v>178.33330000000001</v>
      </c>
      <c r="AH128" t="s">
        <v>54</v>
      </c>
      <c r="AI128" t="s">
        <v>52</v>
      </c>
      <c r="AZ128" t="s">
        <v>52</v>
      </c>
      <c r="BQ128" t="s">
        <v>52</v>
      </c>
      <c r="BR128">
        <v>0.8</v>
      </c>
      <c r="BS128" t="s">
        <v>284</v>
      </c>
      <c r="BT128">
        <v>0.8</v>
      </c>
      <c r="BU128" t="s">
        <v>284</v>
      </c>
      <c r="BV128">
        <v>0.8</v>
      </c>
      <c r="BW128" t="s">
        <v>285</v>
      </c>
      <c r="BX128">
        <v>0.8</v>
      </c>
      <c r="BY128" t="s">
        <v>285</v>
      </c>
      <c r="BZ128">
        <v>0.18</v>
      </c>
      <c r="CA128" t="s">
        <v>285</v>
      </c>
      <c r="CF128">
        <v>0.8</v>
      </c>
      <c r="CG128" t="s">
        <v>54</v>
      </c>
      <c r="CH128" t="s">
        <v>52</v>
      </c>
    </row>
    <row r="129" spans="1:86" x14ac:dyDescent="0.25">
      <c r="A129" t="s">
        <v>47</v>
      </c>
      <c r="B129">
        <v>8</v>
      </c>
      <c r="C129" t="s">
        <v>102</v>
      </c>
      <c r="D129">
        <v>9</v>
      </c>
      <c r="E129" t="s">
        <v>79</v>
      </c>
      <c r="F129">
        <v>50</v>
      </c>
      <c r="G129" t="s">
        <v>81</v>
      </c>
      <c r="H129" t="s">
        <v>50</v>
      </c>
      <c r="K129" t="s">
        <v>51</v>
      </c>
      <c r="L129">
        <v>1</v>
      </c>
      <c r="M129" t="s">
        <v>53</v>
      </c>
      <c r="N129">
        <v>50</v>
      </c>
      <c r="O129">
        <v>1</v>
      </c>
      <c r="P129" t="s">
        <v>52</v>
      </c>
      <c r="Q129">
        <v>0.5</v>
      </c>
      <c r="R129">
        <v>0.75</v>
      </c>
      <c r="S129">
        <v>85</v>
      </c>
      <c r="T129" t="s">
        <v>285</v>
      </c>
      <c r="U129">
        <v>93</v>
      </c>
      <c r="V129" t="s">
        <v>284</v>
      </c>
      <c r="W129">
        <v>89.7</v>
      </c>
      <c r="X129" t="s">
        <v>284</v>
      </c>
      <c r="Y129">
        <v>92.72</v>
      </c>
      <c r="Z129" t="s">
        <v>284</v>
      </c>
      <c r="AA129">
        <v>109</v>
      </c>
      <c r="AB129" t="s">
        <v>285</v>
      </c>
      <c r="AG129">
        <v>91.806700000000006</v>
      </c>
      <c r="AH129" t="s">
        <v>54</v>
      </c>
      <c r="AI129" t="s">
        <v>52</v>
      </c>
      <c r="AZ129" t="s">
        <v>52</v>
      </c>
      <c r="BQ129" t="s">
        <v>52</v>
      </c>
      <c r="BR129">
        <v>2.74</v>
      </c>
      <c r="BS129" t="s">
        <v>289</v>
      </c>
      <c r="BT129">
        <v>1.5</v>
      </c>
      <c r="BU129" t="s">
        <v>285</v>
      </c>
      <c r="BV129">
        <v>2.7</v>
      </c>
      <c r="BW129" t="s">
        <v>284</v>
      </c>
      <c r="BX129">
        <v>2.56</v>
      </c>
      <c r="BY129" t="s">
        <v>285</v>
      </c>
      <c r="BZ129">
        <v>3.35</v>
      </c>
      <c r="CA129" t="s">
        <v>289</v>
      </c>
      <c r="CF129">
        <v>2.67</v>
      </c>
      <c r="CG129" t="s">
        <v>54</v>
      </c>
      <c r="CH129" t="s">
        <v>52</v>
      </c>
    </row>
    <row r="130" spans="1:86" x14ac:dyDescent="0.25">
      <c r="A130" t="s">
        <v>47</v>
      </c>
      <c r="B130">
        <v>8</v>
      </c>
      <c r="C130" t="s">
        <v>102</v>
      </c>
      <c r="D130">
        <v>9</v>
      </c>
      <c r="E130" t="s">
        <v>79</v>
      </c>
      <c r="F130">
        <v>50</v>
      </c>
      <c r="G130" t="s">
        <v>81</v>
      </c>
      <c r="H130" t="s">
        <v>50</v>
      </c>
      <c r="K130" t="s">
        <v>52</v>
      </c>
      <c r="L130">
        <v>1</v>
      </c>
      <c r="M130" t="s">
        <v>53</v>
      </c>
      <c r="N130">
        <v>50</v>
      </c>
      <c r="O130">
        <v>1</v>
      </c>
      <c r="P130" t="s">
        <v>52</v>
      </c>
      <c r="Q130">
        <v>0.5</v>
      </c>
      <c r="R130">
        <v>0.75</v>
      </c>
      <c r="S130">
        <v>85</v>
      </c>
      <c r="T130" t="s">
        <v>285</v>
      </c>
      <c r="U130">
        <v>93</v>
      </c>
      <c r="V130" t="s">
        <v>284</v>
      </c>
      <c r="W130">
        <v>89.7</v>
      </c>
      <c r="X130" t="s">
        <v>284</v>
      </c>
      <c r="Y130">
        <v>92.72</v>
      </c>
      <c r="Z130" t="s">
        <v>284</v>
      </c>
      <c r="AA130">
        <v>109</v>
      </c>
      <c r="AB130" t="s">
        <v>285</v>
      </c>
      <c r="AG130">
        <v>91.806700000000006</v>
      </c>
      <c r="AH130" t="s">
        <v>54</v>
      </c>
      <c r="AI130" t="s">
        <v>52</v>
      </c>
      <c r="AZ130" t="s">
        <v>52</v>
      </c>
      <c r="BQ130" t="s">
        <v>52</v>
      </c>
      <c r="BR130">
        <v>2.74</v>
      </c>
      <c r="BS130" t="s">
        <v>289</v>
      </c>
      <c r="BT130">
        <v>0.86</v>
      </c>
      <c r="BU130" t="s">
        <v>285</v>
      </c>
      <c r="BV130">
        <v>1.5</v>
      </c>
      <c r="BW130" t="s">
        <v>284</v>
      </c>
      <c r="BX130">
        <v>1.4</v>
      </c>
      <c r="BY130" t="s">
        <v>284</v>
      </c>
      <c r="BZ130">
        <v>0.77</v>
      </c>
      <c r="CA130" t="s">
        <v>289</v>
      </c>
      <c r="CF130">
        <v>1.25</v>
      </c>
      <c r="CG130" t="s">
        <v>54</v>
      </c>
      <c r="CH130" t="s">
        <v>52</v>
      </c>
    </row>
    <row r="131" spans="1:86" x14ac:dyDescent="0.25">
      <c r="A131" t="s">
        <v>47</v>
      </c>
      <c r="B131">
        <v>8</v>
      </c>
      <c r="C131" t="s">
        <v>102</v>
      </c>
      <c r="D131">
        <v>9</v>
      </c>
      <c r="E131" t="s">
        <v>82</v>
      </c>
      <c r="F131">
        <v>52</v>
      </c>
      <c r="H131" t="s">
        <v>50</v>
      </c>
      <c r="K131" t="s">
        <v>51</v>
      </c>
      <c r="L131">
        <v>1</v>
      </c>
      <c r="M131" t="s">
        <v>53</v>
      </c>
      <c r="N131">
        <v>50</v>
      </c>
      <c r="O131">
        <v>1</v>
      </c>
      <c r="P131" t="s">
        <v>52</v>
      </c>
      <c r="Q131">
        <v>0.5</v>
      </c>
      <c r="R131">
        <v>0.75</v>
      </c>
      <c r="S131">
        <v>85</v>
      </c>
      <c r="T131" t="s">
        <v>285</v>
      </c>
      <c r="U131">
        <v>93</v>
      </c>
      <c r="V131" t="s">
        <v>284</v>
      </c>
      <c r="W131">
        <v>191.5</v>
      </c>
      <c r="X131" t="s">
        <v>284</v>
      </c>
      <c r="Y131">
        <v>198</v>
      </c>
      <c r="Z131" t="s">
        <v>284</v>
      </c>
      <c r="AA131">
        <v>109</v>
      </c>
      <c r="AB131" t="s">
        <v>285</v>
      </c>
      <c r="AG131">
        <v>131.16669999999999</v>
      </c>
      <c r="AH131" t="s">
        <v>54</v>
      </c>
      <c r="AI131" t="s">
        <v>52</v>
      </c>
      <c r="AZ131" t="s">
        <v>52</v>
      </c>
      <c r="BQ131" t="s">
        <v>52</v>
      </c>
      <c r="BR131">
        <v>2.23</v>
      </c>
      <c r="BS131" t="s">
        <v>285</v>
      </c>
      <c r="BT131">
        <v>1.4</v>
      </c>
      <c r="BU131" t="s">
        <v>285</v>
      </c>
      <c r="CH131" t="s">
        <v>52</v>
      </c>
    </row>
    <row r="132" spans="1:86" x14ac:dyDescent="0.25">
      <c r="A132" t="s">
        <v>47</v>
      </c>
      <c r="B132">
        <v>8</v>
      </c>
      <c r="C132" t="s">
        <v>102</v>
      </c>
      <c r="D132">
        <v>9</v>
      </c>
      <c r="E132" t="s">
        <v>82</v>
      </c>
      <c r="F132">
        <v>52</v>
      </c>
      <c r="H132" t="s">
        <v>50</v>
      </c>
      <c r="K132" t="s">
        <v>52</v>
      </c>
      <c r="L132">
        <v>1</v>
      </c>
      <c r="M132" t="s">
        <v>53</v>
      </c>
      <c r="N132">
        <v>50</v>
      </c>
      <c r="O132">
        <v>1</v>
      </c>
      <c r="P132" t="s">
        <v>52</v>
      </c>
      <c r="Q132">
        <v>0.5</v>
      </c>
      <c r="R132">
        <v>0.75</v>
      </c>
      <c r="S132">
        <v>85</v>
      </c>
      <c r="T132" t="s">
        <v>285</v>
      </c>
      <c r="U132">
        <v>93</v>
      </c>
      <c r="V132" t="s">
        <v>284</v>
      </c>
      <c r="W132">
        <v>191.5</v>
      </c>
      <c r="X132" t="s">
        <v>284</v>
      </c>
      <c r="Y132">
        <v>198</v>
      </c>
      <c r="Z132" t="s">
        <v>284</v>
      </c>
      <c r="AA132">
        <v>109</v>
      </c>
      <c r="AB132" t="s">
        <v>285</v>
      </c>
      <c r="AG132">
        <v>131.16669999999999</v>
      </c>
      <c r="AH132" t="s">
        <v>54</v>
      </c>
      <c r="AI132" t="s">
        <v>52</v>
      </c>
      <c r="AZ132" t="s">
        <v>52</v>
      </c>
      <c r="BQ132" t="s">
        <v>52</v>
      </c>
      <c r="BR132">
        <v>2.36</v>
      </c>
      <c r="BS132" t="s">
        <v>288</v>
      </c>
      <c r="BT132">
        <v>0.89</v>
      </c>
      <c r="BU132" t="s">
        <v>285</v>
      </c>
      <c r="BV132">
        <v>0.65</v>
      </c>
      <c r="BW132" t="s">
        <v>285</v>
      </c>
      <c r="BX132">
        <v>0.62</v>
      </c>
      <c r="BY132" t="s">
        <v>285</v>
      </c>
      <c r="BZ132">
        <v>1.75</v>
      </c>
      <c r="CA132" t="s">
        <v>288</v>
      </c>
      <c r="CF132">
        <v>1.1000000000000001</v>
      </c>
      <c r="CG132" t="s">
        <v>54</v>
      </c>
      <c r="CH132" t="s">
        <v>52</v>
      </c>
    </row>
    <row r="133" spans="1:86" x14ac:dyDescent="0.25">
      <c r="A133" t="s">
        <v>47</v>
      </c>
      <c r="B133">
        <v>8</v>
      </c>
      <c r="C133" t="s">
        <v>102</v>
      </c>
      <c r="D133">
        <v>9</v>
      </c>
      <c r="E133" t="s">
        <v>83</v>
      </c>
      <c r="F133">
        <v>158</v>
      </c>
      <c r="H133" t="s">
        <v>50</v>
      </c>
      <c r="K133" t="s">
        <v>51</v>
      </c>
      <c r="L133">
        <v>1</v>
      </c>
      <c r="M133" t="s">
        <v>53</v>
      </c>
      <c r="N133">
        <v>158</v>
      </c>
      <c r="O133">
        <v>2</v>
      </c>
      <c r="P133" t="s">
        <v>52</v>
      </c>
      <c r="Q133">
        <v>0.77</v>
      </c>
      <c r="R133">
        <v>0.93</v>
      </c>
      <c r="S133">
        <v>228</v>
      </c>
      <c r="T133" t="s">
        <v>284</v>
      </c>
      <c r="U133">
        <v>221</v>
      </c>
      <c r="V133" t="s">
        <v>284</v>
      </c>
      <c r="W133">
        <v>236</v>
      </c>
      <c r="X133" t="s">
        <v>284</v>
      </c>
      <c r="Y133">
        <v>244</v>
      </c>
      <c r="Z133" t="s">
        <v>284</v>
      </c>
      <c r="AA133">
        <v>252</v>
      </c>
      <c r="AB133" t="s">
        <v>284</v>
      </c>
      <c r="AG133">
        <v>236</v>
      </c>
      <c r="AH133" t="s">
        <v>54</v>
      </c>
      <c r="AI133" t="s">
        <v>52</v>
      </c>
      <c r="AX133">
        <v>339</v>
      </c>
      <c r="AY133" t="s">
        <v>285</v>
      </c>
      <c r="AZ133" t="s">
        <v>287</v>
      </c>
      <c r="BQ133" t="s">
        <v>52</v>
      </c>
      <c r="BR133">
        <v>1.85</v>
      </c>
      <c r="BS133" t="s">
        <v>284</v>
      </c>
      <c r="BT133">
        <v>1.35</v>
      </c>
      <c r="BU133" t="s">
        <v>284</v>
      </c>
      <c r="BV133">
        <v>1.03</v>
      </c>
      <c r="BW133" t="s">
        <v>288</v>
      </c>
      <c r="BX133">
        <v>1.34</v>
      </c>
      <c r="BY133" t="s">
        <v>289</v>
      </c>
      <c r="BZ133">
        <v>4.41</v>
      </c>
      <c r="CA133" t="s">
        <v>288</v>
      </c>
      <c r="CF133">
        <v>1.51</v>
      </c>
      <c r="CG133" t="s">
        <v>54</v>
      </c>
      <c r="CH133" t="s">
        <v>52</v>
      </c>
    </row>
    <row r="134" spans="1:86" x14ac:dyDescent="0.25">
      <c r="A134" t="s">
        <v>47</v>
      </c>
      <c r="B134">
        <v>8</v>
      </c>
      <c r="C134" t="s">
        <v>102</v>
      </c>
      <c r="D134">
        <v>9</v>
      </c>
      <c r="E134" t="s">
        <v>83</v>
      </c>
      <c r="F134">
        <v>158</v>
      </c>
      <c r="H134" t="s">
        <v>50</v>
      </c>
      <c r="K134" t="s">
        <v>52</v>
      </c>
      <c r="L134">
        <v>1</v>
      </c>
      <c r="M134" t="s">
        <v>53</v>
      </c>
      <c r="N134">
        <v>158</v>
      </c>
      <c r="O134">
        <v>2</v>
      </c>
      <c r="P134" t="s">
        <v>52</v>
      </c>
      <c r="Q134">
        <v>0.77</v>
      </c>
      <c r="R134">
        <v>0.93</v>
      </c>
      <c r="S134">
        <v>228</v>
      </c>
      <c r="T134" t="s">
        <v>284</v>
      </c>
      <c r="U134">
        <v>221</v>
      </c>
      <c r="V134" t="s">
        <v>284</v>
      </c>
      <c r="W134">
        <v>236</v>
      </c>
      <c r="X134" t="s">
        <v>284</v>
      </c>
      <c r="Y134">
        <v>244</v>
      </c>
      <c r="Z134" t="s">
        <v>284</v>
      </c>
      <c r="AA134">
        <v>252</v>
      </c>
      <c r="AB134" t="s">
        <v>284</v>
      </c>
      <c r="AG134">
        <v>236</v>
      </c>
      <c r="AH134" t="s">
        <v>54</v>
      </c>
      <c r="AI134" t="s">
        <v>52</v>
      </c>
      <c r="AX134">
        <v>339</v>
      </c>
      <c r="AY134" t="s">
        <v>285</v>
      </c>
      <c r="AZ134" t="s">
        <v>287</v>
      </c>
      <c r="BQ134" t="s">
        <v>52</v>
      </c>
      <c r="BR134">
        <v>1.31</v>
      </c>
      <c r="BS134" t="s">
        <v>285</v>
      </c>
      <c r="BT134">
        <v>1.01</v>
      </c>
      <c r="BU134" t="s">
        <v>284</v>
      </c>
      <c r="BV134">
        <v>0.33</v>
      </c>
      <c r="BW134" t="s">
        <v>288</v>
      </c>
      <c r="BX134">
        <v>0.39</v>
      </c>
      <c r="BY134" t="s">
        <v>288</v>
      </c>
      <c r="BZ134">
        <v>0.1</v>
      </c>
      <c r="CA134" t="s">
        <v>289</v>
      </c>
      <c r="CF134">
        <v>0.57999999999999996</v>
      </c>
      <c r="CG134" t="s">
        <v>54</v>
      </c>
      <c r="CH134" t="s">
        <v>52</v>
      </c>
    </row>
    <row r="135" spans="1:86" x14ac:dyDescent="0.25">
      <c r="A135" t="s">
        <v>47</v>
      </c>
      <c r="B135">
        <v>8</v>
      </c>
      <c r="C135" t="s">
        <v>102</v>
      </c>
      <c r="D135">
        <v>9</v>
      </c>
      <c r="E135" t="s">
        <v>84</v>
      </c>
      <c r="F135">
        <v>11</v>
      </c>
      <c r="G135" t="s">
        <v>96</v>
      </c>
      <c r="H135" t="s">
        <v>50</v>
      </c>
      <c r="K135" t="s">
        <v>51</v>
      </c>
      <c r="L135">
        <v>1</v>
      </c>
      <c r="M135" t="s">
        <v>53</v>
      </c>
      <c r="N135">
        <v>11</v>
      </c>
      <c r="O135">
        <v>2</v>
      </c>
      <c r="P135" t="s">
        <v>52</v>
      </c>
      <c r="Q135">
        <v>0.5</v>
      </c>
      <c r="R135">
        <v>0.75</v>
      </c>
      <c r="S135">
        <v>124</v>
      </c>
      <c r="T135" t="s">
        <v>284</v>
      </c>
      <c r="U135">
        <v>110</v>
      </c>
      <c r="V135" t="s">
        <v>284</v>
      </c>
      <c r="W135">
        <v>118</v>
      </c>
      <c r="X135" t="s">
        <v>284</v>
      </c>
      <c r="Y135">
        <v>122</v>
      </c>
      <c r="Z135" t="s">
        <v>284</v>
      </c>
      <c r="AA135">
        <v>126</v>
      </c>
      <c r="AB135" t="s">
        <v>284</v>
      </c>
      <c r="AG135">
        <v>121.33329999999999</v>
      </c>
      <c r="AH135" t="s">
        <v>54</v>
      </c>
      <c r="AI135" t="s">
        <v>52</v>
      </c>
      <c r="AZ135" t="s">
        <v>52</v>
      </c>
      <c r="BQ135" t="s">
        <v>52</v>
      </c>
      <c r="BR135">
        <v>1.1100000000000001</v>
      </c>
      <c r="BS135" t="s">
        <v>285</v>
      </c>
      <c r="BT135">
        <v>1.08</v>
      </c>
      <c r="BU135" t="s">
        <v>284</v>
      </c>
      <c r="BV135">
        <v>1.17</v>
      </c>
      <c r="BW135" t="s">
        <v>284</v>
      </c>
      <c r="BX135">
        <v>1.01</v>
      </c>
      <c r="BY135" t="s">
        <v>284</v>
      </c>
      <c r="BZ135">
        <v>0.88</v>
      </c>
      <c r="CA135" t="s">
        <v>284</v>
      </c>
      <c r="CF135">
        <v>1.07</v>
      </c>
      <c r="CG135" t="s">
        <v>54</v>
      </c>
      <c r="CH135" t="s">
        <v>52</v>
      </c>
    </row>
    <row r="136" spans="1:86" x14ac:dyDescent="0.25">
      <c r="A136" t="s">
        <v>47</v>
      </c>
      <c r="B136">
        <v>8</v>
      </c>
      <c r="C136" t="s">
        <v>102</v>
      </c>
      <c r="D136">
        <v>9</v>
      </c>
      <c r="E136" t="s">
        <v>84</v>
      </c>
      <c r="F136">
        <v>11</v>
      </c>
      <c r="G136" t="s">
        <v>108</v>
      </c>
      <c r="H136" t="s">
        <v>50</v>
      </c>
      <c r="K136" t="s">
        <v>51</v>
      </c>
      <c r="L136">
        <v>1</v>
      </c>
      <c r="M136" t="s">
        <v>53</v>
      </c>
      <c r="N136">
        <v>11</v>
      </c>
      <c r="O136">
        <v>2</v>
      </c>
      <c r="P136" t="s">
        <v>52</v>
      </c>
      <c r="Q136">
        <v>0.5</v>
      </c>
      <c r="R136">
        <v>0.75</v>
      </c>
      <c r="S136">
        <v>124</v>
      </c>
      <c r="T136" t="s">
        <v>284</v>
      </c>
      <c r="U136">
        <v>110</v>
      </c>
      <c r="V136" t="s">
        <v>284</v>
      </c>
      <c r="AI136" t="s">
        <v>52</v>
      </c>
      <c r="AZ136" t="s">
        <v>52</v>
      </c>
      <c r="BQ136" t="s">
        <v>52</v>
      </c>
      <c r="BR136">
        <v>1.1100000000000001</v>
      </c>
      <c r="BS136" t="s">
        <v>285</v>
      </c>
      <c r="BT136">
        <v>1.08</v>
      </c>
      <c r="BU136" t="s">
        <v>284</v>
      </c>
      <c r="CH136" t="s">
        <v>52</v>
      </c>
    </row>
    <row r="137" spans="1:86" x14ac:dyDescent="0.25">
      <c r="A137" t="s">
        <v>47</v>
      </c>
      <c r="B137">
        <v>8</v>
      </c>
      <c r="C137" t="s">
        <v>102</v>
      </c>
      <c r="D137">
        <v>9</v>
      </c>
      <c r="E137" t="s">
        <v>84</v>
      </c>
      <c r="F137">
        <v>11</v>
      </c>
      <c r="G137" t="s">
        <v>108</v>
      </c>
      <c r="H137" t="s">
        <v>50</v>
      </c>
      <c r="K137" t="s">
        <v>52</v>
      </c>
      <c r="L137">
        <v>1</v>
      </c>
      <c r="M137" t="s">
        <v>53</v>
      </c>
      <c r="N137">
        <v>11</v>
      </c>
      <c r="O137">
        <v>2</v>
      </c>
      <c r="P137" t="s">
        <v>52</v>
      </c>
      <c r="Q137">
        <v>0.5</v>
      </c>
      <c r="R137">
        <v>0.75</v>
      </c>
      <c r="S137">
        <v>124</v>
      </c>
      <c r="T137" t="s">
        <v>284</v>
      </c>
      <c r="U137">
        <v>110</v>
      </c>
      <c r="V137" t="s">
        <v>284</v>
      </c>
      <c r="AI137" t="s">
        <v>52</v>
      </c>
      <c r="AZ137" t="s">
        <v>52</v>
      </c>
      <c r="BQ137" t="s">
        <v>52</v>
      </c>
      <c r="BR137">
        <v>0.72</v>
      </c>
      <c r="BS137" t="s">
        <v>285</v>
      </c>
      <c r="BT137">
        <v>0.7</v>
      </c>
      <c r="BU137" t="s">
        <v>284</v>
      </c>
      <c r="CH137" t="s">
        <v>52</v>
      </c>
    </row>
    <row r="138" spans="1:86" x14ac:dyDescent="0.25">
      <c r="A138" t="s">
        <v>47</v>
      </c>
      <c r="B138">
        <v>8</v>
      </c>
      <c r="C138" t="s">
        <v>109</v>
      </c>
      <c r="D138">
        <v>11</v>
      </c>
      <c r="E138" t="s">
        <v>49</v>
      </c>
      <c r="F138">
        <v>27</v>
      </c>
      <c r="H138" t="s">
        <v>50</v>
      </c>
      <c r="K138" t="s">
        <v>51</v>
      </c>
      <c r="L138">
        <v>1</v>
      </c>
      <c r="M138" t="s">
        <v>53</v>
      </c>
      <c r="N138">
        <v>27</v>
      </c>
      <c r="O138">
        <v>1</v>
      </c>
      <c r="P138" t="s">
        <v>52</v>
      </c>
      <c r="Q138">
        <v>0</v>
      </c>
      <c r="R138">
        <v>0.75</v>
      </c>
      <c r="S138">
        <v>231</v>
      </c>
      <c r="T138" t="s">
        <v>284</v>
      </c>
      <c r="U138">
        <v>208</v>
      </c>
      <c r="V138" t="s">
        <v>284</v>
      </c>
      <c r="W138">
        <v>224</v>
      </c>
      <c r="X138" t="s">
        <v>284</v>
      </c>
      <c r="Y138">
        <v>225</v>
      </c>
      <c r="Z138" t="s">
        <v>285</v>
      </c>
      <c r="AA138">
        <v>247</v>
      </c>
      <c r="AB138" t="s">
        <v>285</v>
      </c>
      <c r="AC138">
        <v>241</v>
      </c>
      <c r="AD138" t="s">
        <v>285</v>
      </c>
      <c r="AE138">
        <v>219</v>
      </c>
      <c r="AF138" t="s">
        <v>285</v>
      </c>
      <c r="AG138">
        <v>219</v>
      </c>
      <c r="AH138" t="s">
        <v>286</v>
      </c>
      <c r="AI138" t="s">
        <v>287</v>
      </c>
      <c r="AX138">
        <v>263</v>
      </c>
      <c r="AY138" t="s">
        <v>286</v>
      </c>
      <c r="AZ138" t="s">
        <v>287</v>
      </c>
      <c r="BQ138" t="s">
        <v>52</v>
      </c>
      <c r="BR138">
        <v>3.7</v>
      </c>
      <c r="BS138" t="s">
        <v>284</v>
      </c>
      <c r="BT138">
        <v>3.4</v>
      </c>
      <c r="BU138" t="s">
        <v>284</v>
      </c>
      <c r="BV138">
        <v>2.76</v>
      </c>
      <c r="BW138" t="s">
        <v>284</v>
      </c>
      <c r="BX138">
        <v>2.5499999999999998</v>
      </c>
      <c r="BY138" t="s">
        <v>284</v>
      </c>
      <c r="BZ138">
        <v>2.2599999999999998</v>
      </c>
      <c r="CA138" t="s">
        <v>288</v>
      </c>
      <c r="CF138">
        <v>2.9</v>
      </c>
      <c r="CG138" t="s">
        <v>54</v>
      </c>
      <c r="CH138" t="s">
        <v>52</v>
      </c>
    </row>
    <row r="139" spans="1:86" x14ac:dyDescent="0.25">
      <c r="A139" t="s">
        <v>47</v>
      </c>
      <c r="B139">
        <v>8</v>
      </c>
      <c r="C139" t="s">
        <v>109</v>
      </c>
      <c r="D139">
        <v>11</v>
      </c>
      <c r="E139" t="s">
        <v>49</v>
      </c>
      <c r="F139">
        <v>27</v>
      </c>
      <c r="H139" t="s">
        <v>50</v>
      </c>
      <c r="K139" t="s">
        <v>52</v>
      </c>
      <c r="L139">
        <v>1</v>
      </c>
      <c r="M139" t="s">
        <v>53</v>
      </c>
      <c r="N139">
        <v>27</v>
      </c>
      <c r="O139">
        <v>1</v>
      </c>
      <c r="P139" t="s">
        <v>52</v>
      </c>
      <c r="Q139">
        <v>0</v>
      </c>
      <c r="R139">
        <v>0.75</v>
      </c>
      <c r="S139">
        <v>231</v>
      </c>
      <c r="T139" t="s">
        <v>284</v>
      </c>
      <c r="U139">
        <v>208</v>
      </c>
      <c r="V139" t="s">
        <v>284</v>
      </c>
      <c r="W139">
        <v>224</v>
      </c>
      <c r="X139" t="s">
        <v>284</v>
      </c>
      <c r="Y139">
        <v>225</v>
      </c>
      <c r="Z139" t="s">
        <v>285</v>
      </c>
      <c r="AA139">
        <v>247</v>
      </c>
      <c r="AB139" t="s">
        <v>285</v>
      </c>
      <c r="AC139">
        <v>241</v>
      </c>
      <c r="AD139" t="s">
        <v>285</v>
      </c>
      <c r="AE139">
        <v>219</v>
      </c>
      <c r="AF139" t="s">
        <v>285</v>
      </c>
      <c r="AG139">
        <v>219</v>
      </c>
      <c r="AH139" t="s">
        <v>286</v>
      </c>
      <c r="AI139" t="s">
        <v>287</v>
      </c>
      <c r="AX139">
        <v>263</v>
      </c>
      <c r="AY139" t="s">
        <v>286</v>
      </c>
      <c r="AZ139" t="s">
        <v>287</v>
      </c>
      <c r="BQ139" t="s">
        <v>52</v>
      </c>
      <c r="BR139">
        <v>1.3</v>
      </c>
      <c r="BS139" t="s">
        <v>284</v>
      </c>
      <c r="BT139">
        <v>1.2</v>
      </c>
      <c r="BU139" t="s">
        <v>284</v>
      </c>
      <c r="BV139">
        <v>1.08</v>
      </c>
      <c r="BW139" t="s">
        <v>284</v>
      </c>
      <c r="BX139">
        <v>1.08</v>
      </c>
      <c r="BY139" t="s">
        <v>284</v>
      </c>
      <c r="BZ139">
        <v>1.2</v>
      </c>
      <c r="CA139" t="s">
        <v>288</v>
      </c>
      <c r="CF139">
        <v>1.1599999999999999</v>
      </c>
      <c r="CG139" t="s">
        <v>54</v>
      </c>
      <c r="CH139" t="s">
        <v>52</v>
      </c>
    </row>
    <row r="140" spans="1:86" x14ac:dyDescent="0.25">
      <c r="A140" t="s">
        <v>47</v>
      </c>
      <c r="B140">
        <v>8</v>
      </c>
      <c r="C140" t="s">
        <v>109</v>
      </c>
      <c r="D140">
        <v>11</v>
      </c>
      <c r="E140" t="s">
        <v>110</v>
      </c>
      <c r="F140">
        <v>265</v>
      </c>
      <c r="G140" t="s">
        <v>111</v>
      </c>
      <c r="H140" t="s">
        <v>50</v>
      </c>
      <c r="K140" t="s">
        <v>51</v>
      </c>
      <c r="L140">
        <v>1</v>
      </c>
      <c r="M140" t="s">
        <v>53</v>
      </c>
      <c r="N140">
        <v>102</v>
      </c>
      <c r="O140">
        <v>1</v>
      </c>
      <c r="P140" t="s">
        <v>52</v>
      </c>
      <c r="Q140">
        <v>0</v>
      </c>
      <c r="R140">
        <v>0.87</v>
      </c>
      <c r="AI140" t="s">
        <v>52</v>
      </c>
      <c r="AZ140" t="s">
        <v>52</v>
      </c>
      <c r="BQ140" t="s">
        <v>52</v>
      </c>
      <c r="CH140" t="s">
        <v>52</v>
      </c>
    </row>
    <row r="141" spans="1:86" x14ac:dyDescent="0.25">
      <c r="A141" t="s">
        <v>47</v>
      </c>
      <c r="B141">
        <v>8</v>
      </c>
      <c r="C141" t="s">
        <v>109</v>
      </c>
      <c r="D141">
        <v>11</v>
      </c>
      <c r="E141" t="s">
        <v>110</v>
      </c>
      <c r="F141">
        <v>265</v>
      </c>
      <c r="G141" t="s">
        <v>111</v>
      </c>
      <c r="H141" t="s">
        <v>50</v>
      </c>
      <c r="K141" t="s">
        <v>52</v>
      </c>
      <c r="L141">
        <v>1</v>
      </c>
      <c r="M141" t="s">
        <v>53</v>
      </c>
      <c r="N141">
        <v>102</v>
      </c>
      <c r="O141">
        <v>1</v>
      </c>
      <c r="P141" t="s">
        <v>52</v>
      </c>
      <c r="Q141">
        <v>0</v>
      </c>
      <c r="R141">
        <v>0.87</v>
      </c>
      <c r="AI141" t="s">
        <v>52</v>
      </c>
      <c r="AZ141" t="s">
        <v>52</v>
      </c>
      <c r="BQ141" t="s">
        <v>52</v>
      </c>
      <c r="CH141" t="s">
        <v>52</v>
      </c>
    </row>
    <row r="142" spans="1:86" x14ac:dyDescent="0.25">
      <c r="A142" t="s">
        <v>47</v>
      </c>
      <c r="B142">
        <v>8</v>
      </c>
      <c r="C142" t="s">
        <v>109</v>
      </c>
      <c r="D142">
        <v>11</v>
      </c>
      <c r="E142" t="s">
        <v>58</v>
      </c>
      <c r="F142">
        <v>102</v>
      </c>
      <c r="G142" t="s">
        <v>112</v>
      </c>
      <c r="H142" t="s">
        <v>50</v>
      </c>
      <c r="K142" t="s">
        <v>51</v>
      </c>
      <c r="L142">
        <v>1</v>
      </c>
      <c r="M142" t="s">
        <v>53</v>
      </c>
      <c r="N142">
        <v>102</v>
      </c>
      <c r="O142">
        <v>1</v>
      </c>
      <c r="P142" t="s">
        <v>52</v>
      </c>
      <c r="Q142">
        <v>0</v>
      </c>
      <c r="R142">
        <v>0.92</v>
      </c>
      <c r="S142">
        <v>131.69999999999999</v>
      </c>
      <c r="T142" t="s">
        <v>284</v>
      </c>
      <c r="U142">
        <v>170</v>
      </c>
      <c r="V142" t="s">
        <v>284</v>
      </c>
      <c r="W142">
        <v>191</v>
      </c>
      <c r="X142" t="s">
        <v>284</v>
      </c>
      <c r="Y142">
        <v>207</v>
      </c>
      <c r="Z142" t="s">
        <v>284</v>
      </c>
      <c r="AA142">
        <v>205</v>
      </c>
      <c r="AB142" t="s">
        <v>285</v>
      </c>
      <c r="AG142">
        <v>188.66669999999999</v>
      </c>
      <c r="AH142" t="s">
        <v>54</v>
      </c>
      <c r="AI142" t="s">
        <v>52</v>
      </c>
      <c r="AZ142" t="s">
        <v>52</v>
      </c>
      <c r="BQ142" t="s">
        <v>52</v>
      </c>
      <c r="BR142">
        <v>1.85</v>
      </c>
      <c r="BS142" t="s">
        <v>284</v>
      </c>
      <c r="BT142">
        <v>1.26</v>
      </c>
      <c r="BU142" t="s">
        <v>284</v>
      </c>
      <c r="BV142">
        <v>0.98</v>
      </c>
      <c r="BW142" t="s">
        <v>285</v>
      </c>
      <c r="BX142">
        <v>0.69</v>
      </c>
      <c r="BY142" t="s">
        <v>285</v>
      </c>
      <c r="BZ142">
        <v>0.59</v>
      </c>
      <c r="CA142" t="s">
        <v>284</v>
      </c>
      <c r="CF142">
        <v>0.98</v>
      </c>
      <c r="CG142" t="s">
        <v>54</v>
      </c>
      <c r="CH142" t="s">
        <v>52</v>
      </c>
    </row>
    <row r="143" spans="1:86" x14ac:dyDescent="0.25">
      <c r="A143" t="s">
        <v>47</v>
      </c>
      <c r="B143">
        <v>8</v>
      </c>
      <c r="C143" t="s">
        <v>109</v>
      </c>
      <c r="D143">
        <v>11</v>
      </c>
      <c r="E143" t="s">
        <v>58</v>
      </c>
      <c r="F143">
        <v>102</v>
      </c>
      <c r="G143" t="s">
        <v>112</v>
      </c>
      <c r="H143" t="s">
        <v>50</v>
      </c>
      <c r="K143" t="s">
        <v>52</v>
      </c>
      <c r="L143">
        <v>1</v>
      </c>
      <c r="M143" t="s">
        <v>53</v>
      </c>
      <c r="N143">
        <v>102</v>
      </c>
      <c r="O143">
        <v>1</v>
      </c>
      <c r="P143" t="s">
        <v>52</v>
      </c>
      <c r="Q143">
        <v>0</v>
      </c>
      <c r="R143">
        <v>0.92</v>
      </c>
      <c r="S143">
        <v>131.69999999999999</v>
      </c>
      <c r="T143" t="s">
        <v>284</v>
      </c>
      <c r="U143">
        <v>170</v>
      </c>
      <c r="V143" t="s">
        <v>284</v>
      </c>
      <c r="W143">
        <v>191</v>
      </c>
      <c r="X143" t="s">
        <v>284</v>
      </c>
      <c r="Y143">
        <v>207</v>
      </c>
      <c r="Z143" t="s">
        <v>284</v>
      </c>
      <c r="AA143">
        <v>205</v>
      </c>
      <c r="AB143" t="s">
        <v>285</v>
      </c>
      <c r="AG143">
        <v>188.66669999999999</v>
      </c>
      <c r="AH143" t="s">
        <v>54</v>
      </c>
      <c r="AI143" t="s">
        <v>52</v>
      </c>
      <c r="AZ143" t="s">
        <v>52</v>
      </c>
      <c r="BQ143" t="s">
        <v>52</v>
      </c>
      <c r="BR143">
        <v>0.93</v>
      </c>
      <c r="BS143" t="s">
        <v>285</v>
      </c>
      <c r="BT143">
        <v>0.95</v>
      </c>
      <c r="BU143" t="s">
        <v>284</v>
      </c>
      <c r="BV143">
        <v>0.28000000000000003</v>
      </c>
      <c r="BW143" t="s">
        <v>285</v>
      </c>
      <c r="BX143">
        <v>0.52</v>
      </c>
      <c r="BY143" t="s">
        <v>285</v>
      </c>
      <c r="BZ143">
        <v>0.4</v>
      </c>
      <c r="CA143" t="s">
        <v>284</v>
      </c>
      <c r="CF143">
        <v>0.62</v>
      </c>
      <c r="CG143" t="s">
        <v>54</v>
      </c>
      <c r="CH143" t="s">
        <v>52</v>
      </c>
    </row>
    <row r="144" spans="1:86" x14ac:dyDescent="0.25">
      <c r="A144" t="s">
        <v>47</v>
      </c>
      <c r="B144">
        <v>8</v>
      </c>
      <c r="C144" t="s">
        <v>109</v>
      </c>
      <c r="D144">
        <v>11</v>
      </c>
      <c r="E144" t="s">
        <v>58</v>
      </c>
      <c r="F144">
        <v>102</v>
      </c>
      <c r="G144" t="s">
        <v>113</v>
      </c>
      <c r="H144" t="s">
        <v>50</v>
      </c>
      <c r="K144" t="s">
        <v>51</v>
      </c>
      <c r="L144">
        <v>1</v>
      </c>
      <c r="M144" t="s">
        <v>53</v>
      </c>
      <c r="N144">
        <v>102</v>
      </c>
      <c r="O144">
        <v>1</v>
      </c>
      <c r="P144" t="s">
        <v>52</v>
      </c>
      <c r="Q144">
        <v>0</v>
      </c>
      <c r="R144">
        <v>0.92</v>
      </c>
      <c r="S144">
        <v>131.69999999999999</v>
      </c>
      <c r="T144" t="s">
        <v>284</v>
      </c>
      <c r="U144">
        <v>170</v>
      </c>
      <c r="V144" t="s">
        <v>284</v>
      </c>
      <c r="W144">
        <v>191</v>
      </c>
      <c r="X144" t="s">
        <v>284</v>
      </c>
      <c r="Y144">
        <v>207</v>
      </c>
      <c r="Z144" t="s">
        <v>284</v>
      </c>
      <c r="AA144">
        <v>205</v>
      </c>
      <c r="AB144" t="s">
        <v>285</v>
      </c>
      <c r="AG144">
        <v>188.66669999999999</v>
      </c>
      <c r="AH144" t="s">
        <v>54</v>
      </c>
      <c r="AI144" t="s">
        <v>52</v>
      </c>
      <c r="AZ144" t="s">
        <v>52</v>
      </c>
      <c r="BQ144" t="s">
        <v>52</v>
      </c>
      <c r="BR144">
        <v>1.85</v>
      </c>
      <c r="BS144" t="s">
        <v>284</v>
      </c>
      <c r="BT144">
        <v>1.83</v>
      </c>
      <c r="BU144" t="s">
        <v>284</v>
      </c>
      <c r="BV144">
        <v>1.42</v>
      </c>
      <c r="BW144" t="s">
        <v>285</v>
      </c>
      <c r="BX144">
        <v>0.98</v>
      </c>
      <c r="BY144" t="s">
        <v>285</v>
      </c>
      <c r="BZ144">
        <v>0.84</v>
      </c>
      <c r="CA144" t="s">
        <v>284</v>
      </c>
      <c r="CF144">
        <v>1.41</v>
      </c>
      <c r="CG144" t="s">
        <v>54</v>
      </c>
      <c r="CH144" t="s">
        <v>52</v>
      </c>
    </row>
    <row r="145" spans="1:86" x14ac:dyDescent="0.25">
      <c r="A145" t="s">
        <v>47</v>
      </c>
      <c r="B145">
        <v>8</v>
      </c>
      <c r="C145" t="s">
        <v>109</v>
      </c>
      <c r="D145">
        <v>11</v>
      </c>
      <c r="E145" t="s">
        <v>58</v>
      </c>
      <c r="F145">
        <v>102</v>
      </c>
      <c r="G145" t="s">
        <v>62</v>
      </c>
      <c r="H145" t="s">
        <v>50</v>
      </c>
      <c r="K145" t="s">
        <v>52</v>
      </c>
      <c r="L145">
        <v>1</v>
      </c>
      <c r="M145" t="s">
        <v>53</v>
      </c>
      <c r="N145">
        <v>102</v>
      </c>
      <c r="O145">
        <v>1</v>
      </c>
      <c r="P145" t="s">
        <v>52</v>
      </c>
      <c r="Q145">
        <v>0</v>
      </c>
      <c r="R145">
        <v>0.92</v>
      </c>
      <c r="S145">
        <v>131.69999999999999</v>
      </c>
      <c r="T145" t="s">
        <v>284</v>
      </c>
      <c r="U145">
        <v>170</v>
      </c>
      <c r="V145" t="s">
        <v>284</v>
      </c>
      <c r="W145">
        <v>191</v>
      </c>
      <c r="X145" t="s">
        <v>284</v>
      </c>
      <c r="Y145">
        <v>207</v>
      </c>
      <c r="Z145" t="s">
        <v>284</v>
      </c>
      <c r="AA145">
        <v>205</v>
      </c>
      <c r="AB145" t="s">
        <v>285</v>
      </c>
      <c r="AG145">
        <v>188.66669999999999</v>
      </c>
      <c r="AH145" t="s">
        <v>54</v>
      </c>
      <c r="AI145" t="s">
        <v>52</v>
      </c>
      <c r="AX145">
        <v>271.60000000000002</v>
      </c>
      <c r="AY145" t="s">
        <v>285</v>
      </c>
      <c r="AZ145" t="s">
        <v>287</v>
      </c>
      <c r="BQ145" t="s">
        <v>52</v>
      </c>
      <c r="BR145">
        <v>0.83</v>
      </c>
      <c r="BS145" t="s">
        <v>285</v>
      </c>
      <c r="BT145">
        <v>0.99</v>
      </c>
      <c r="BU145" t="s">
        <v>284</v>
      </c>
      <c r="BV145">
        <v>0.28999999999999998</v>
      </c>
      <c r="BW145" t="s">
        <v>285</v>
      </c>
      <c r="BX145">
        <v>0.53</v>
      </c>
      <c r="BY145" t="s">
        <v>285</v>
      </c>
      <c r="BZ145">
        <v>0.46</v>
      </c>
      <c r="CA145" t="s">
        <v>284</v>
      </c>
      <c r="CF145">
        <v>0.61</v>
      </c>
      <c r="CG145" t="s">
        <v>54</v>
      </c>
      <c r="CH145" t="s">
        <v>52</v>
      </c>
    </row>
    <row r="146" spans="1:86" x14ac:dyDescent="0.25">
      <c r="A146" t="s">
        <v>47</v>
      </c>
      <c r="B146">
        <v>8</v>
      </c>
      <c r="C146" t="s">
        <v>109</v>
      </c>
      <c r="D146">
        <v>11</v>
      </c>
      <c r="E146" t="s">
        <v>58</v>
      </c>
      <c r="F146">
        <v>102</v>
      </c>
      <c r="G146" t="s">
        <v>114</v>
      </c>
      <c r="H146" t="s">
        <v>50</v>
      </c>
      <c r="K146" t="s">
        <v>51</v>
      </c>
      <c r="L146">
        <v>1</v>
      </c>
      <c r="M146" t="s">
        <v>53</v>
      </c>
      <c r="N146">
        <v>102</v>
      </c>
      <c r="O146">
        <v>1</v>
      </c>
      <c r="P146" t="s">
        <v>52</v>
      </c>
      <c r="Q146">
        <v>0</v>
      </c>
      <c r="R146">
        <v>0.92</v>
      </c>
      <c r="S146">
        <v>131.69999999999999</v>
      </c>
      <c r="T146" t="s">
        <v>284</v>
      </c>
      <c r="U146">
        <v>170</v>
      </c>
      <c r="V146" t="s">
        <v>284</v>
      </c>
      <c r="W146">
        <v>191</v>
      </c>
      <c r="X146" t="s">
        <v>285</v>
      </c>
      <c r="Y146">
        <v>207</v>
      </c>
      <c r="Z146" t="s">
        <v>285</v>
      </c>
      <c r="AA146">
        <v>205</v>
      </c>
      <c r="AB146" t="s">
        <v>285</v>
      </c>
      <c r="AG146">
        <v>188.66669999999999</v>
      </c>
      <c r="AH146" t="s">
        <v>54</v>
      </c>
      <c r="AI146" t="s">
        <v>52</v>
      </c>
      <c r="AZ146" t="s">
        <v>52</v>
      </c>
      <c r="BQ146" t="s">
        <v>52</v>
      </c>
      <c r="BR146">
        <v>1.85</v>
      </c>
      <c r="BS146" t="s">
        <v>284</v>
      </c>
      <c r="BT146">
        <v>1.82</v>
      </c>
      <c r="BU146" t="s">
        <v>284</v>
      </c>
      <c r="BV146">
        <v>1.42</v>
      </c>
      <c r="BW146" t="s">
        <v>285</v>
      </c>
      <c r="BX146">
        <v>0.98</v>
      </c>
      <c r="BY146" t="s">
        <v>285</v>
      </c>
      <c r="BZ146">
        <v>0.84</v>
      </c>
      <c r="CA146" t="s">
        <v>284</v>
      </c>
      <c r="CF146">
        <v>1.41</v>
      </c>
      <c r="CG146" t="s">
        <v>54</v>
      </c>
      <c r="CH146" t="s">
        <v>52</v>
      </c>
    </row>
    <row r="147" spans="1:86" x14ac:dyDescent="0.25">
      <c r="A147" t="s">
        <v>47</v>
      </c>
      <c r="B147">
        <v>8</v>
      </c>
      <c r="C147" t="s">
        <v>109</v>
      </c>
      <c r="D147">
        <v>11</v>
      </c>
      <c r="E147" t="s">
        <v>58</v>
      </c>
      <c r="F147">
        <v>102</v>
      </c>
      <c r="G147" t="s">
        <v>114</v>
      </c>
      <c r="H147" t="s">
        <v>50</v>
      </c>
      <c r="K147" t="s">
        <v>52</v>
      </c>
      <c r="L147">
        <v>1</v>
      </c>
      <c r="M147" t="s">
        <v>53</v>
      </c>
      <c r="N147">
        <v>102</v>
      </c>
      <c r="O147">
        <v>1</v>
      </c>
      <c r="P147" t="s">
        <v>52</v>
      </c>
      <c r="Q147">
        <v>0</v>
      </c>
      <c r="R147">
        <v>0.92</v>
      </c>
      <c r="S147">
        <v>131.69999999999999</v>
      </c>
      <c r="T147" t="s">
        <v>284</v>
      </c>
      <c r="U147">
        <v>170</v>
      </c>
      <c r="V147" t="s">
        <v>284</v>
      </c>
      <c r="W147">
        <v>191</v>
      </c>
      <c r="X147" t="s">
        <v>285</v>
      </c>
      <c r="Y147">
        <v>207</v>
      </c>
      <c r="Z147" t="s">
        <v>285</v>
      </c>
      <c r="AA147">
        <v>205</v>
      </c>
      <c r="AB147" t="s">
        <v>285</v>
      </c>
      <c r="AG147">
        <v>188.66669999999999</v>
      </c>
      <c r="AH147" t="s">
        <v>54</v>
      </c>
      <c r="AI147" t="s">
        <v>52</v>
      </c>
      <c r="AZ147" t="s">
        <v>52</v>
      </c>
      <c r="BQ147" t="s">
        <v>52</v>
      </c>
      <c r="BR147">
        <v>0.93</v>
      </c>
      <c r="BS147" t="s">
        <v>285</v>
      </c>
      <c r="BT147">
        <v>0.95</v>
      </c>
      <c r="BU147" t="s">
        <v>284</v>
      </c>
      <c r="BV147">
        <v>0.28999999999999998</v>
      </c>
      <c r="BW147" t="s">
        <v>285</v>
      </c>
      <c r="BX147">
        <v>0.52</v>
      </c>
      <c r="BY147" t="s">
        <v>285</v>
      </c>
      <c r="BZ147">
        <v>0.45</v>
      </c>
      <c r="CA147" t="s">
        <v>284</v>
      </c>
      <c r="CF147">
        <v>0.63</v>
      </c>
      <c r="CG147" t="s">
        <v>54</v>
      </c>
      <c r="CH147" t="s">
        <v>52</v>
      </c>
    </row>
    <row r="148" spans="1:86" x14ac:dyDescent="0.25">
      <c r="A148" t="s">
        <v>47</v>
      </c>
      <c r="B148">
        <v>8</v>
      </c>
      <c r="C148" t="s">
        <v>109</v>
      </c>
      <c r="D148">
        <v>11</v>
      </c>
      <c r="E148" t="s">
        <v>68</v>
      </c>
      <c r="F148">
        <v>80</v>
      </c>
      <c r="G148" t="s">
        <v>69</v>
      </c>
      <c r="H148" t="s">
        <v>50</v>
      </c>
      <c r="K148" t="s">
        <v>51</v>
      </c>
      <c r="L148">
        <v>1</v>
      </c>
      <c r="M148" t="s">
        <v>53</v>
      </c>
      <c r="N148">
        <v>80</v>
      </c>
      <c r="O148">
        <v>1</v>
      </c>
      <c r="P148" t="s">
        <v>52</v>
      </c>
      <c r="Q148">
        <v>0.5</v>
      </c>
      <c r="R148">
        <v>0.75</v>
      </c>
      <c r="S148">
        <v>202.92</v>
      </c>
      <c r="T148" t="s">
        <v>284</v>
      </c>
      <c r="U148">
        <v>198.9</v>
      </c>
      <c r="V148" t="s">
        <v>284</v>
      </c>
      <c r="W148">
        <v>212.4</v>
      </c>
      <c r="X148" t="s">
        <v>284</v>
      </c>
      <c r="Y148">
        <v>219.6</v>
      </c>
      <c r="Z148" t="s">
        <v>284</v>
      </c>
      <c r="AA148">
        <v>178</v>
      </c>
      <c r="AB148" t="s">
        <v>284</v>
      </c>
      <c r="AG148">
        <v>204.74</v>
      </c>
      <c r="AH148" t="s">
        <v>54</v>
      </c>
      <c r="AI148" t="s">
        <v>52</v>
      </c>
      <c r="AZ148" t="s">
        <v>52</v>
      </c>
      <c r="BQ148" t="s">
        <v>52</v>
      </c>
      <c r="BR148">
        <v>1.85</v>
      </c>
      <c r="BS148" t="s">
        <v>284</v>
      </c>
      <c r="BT148">
        <v>1.86</v>
      </c>
      <c r="BU148" t="s">
        <v>284</v>
      </c>
      <c r="BV148">
        <v>2.0299999999999998</v>
      </c>
      <c r="BW148" t="s">
        <v>284</v>
      </c>
      <c r="BX148">
        <v>2.5</v>
      </c>
      <c r="BY148" t="s">
        <v>284</v>
      </c>
      <c r="BZ148">
        <v>2.1800000000000002</v>
      </c>
      <c r="CA148" t="s">
        <v>285</v>
      </c>
      <c r="CF148">
        <v>2.02</v>
      </c>
      <c r="CG148" t="s">
        <v>54</v>
      </c>
      <c r="CH148" t="s">
        <v>52</v>
      </c>
    </row>
    <row r="149" spans="1:86" x14ac:dyDescent="0.25">
      <c r="A149" t="s">
        <v>47</v>
      </c>
      <c r="B149">
        <v>8</v>
      </c>
      <c r="C149" t="s">
        <v>109</v>
      </c>
      <c r="D149">
        <v>11</v>
      </c>
      <c r="E149" t="s">
        <v>68</v>
      </c>
      <c r="F149">
        <v>80</v>
      </c>
      <c r="G149" t="s">
        <v>69</v>
      </c>
      <c r="H149" t="s">
        <v>50</v>
      </c>
      <c r="K149" t="s">
        <v>52</v>
      </c>
      <c r="L149">
        <v>1</v>
      </c>
      <c r="M149" t="s">
        <v>53</v>
      </c>
      <c r="N149">
        <v>80</v>
      </c>
      <c r="O149">
        <v>1</v>
      </c>
      <c r="P149" t="s">
        <v>52</v>
      </c>
      <c r="Q149">
        <v>0.5</v>
      </c>
      <c r="R149">
        <v>0.75</v>
      </c>
      <c r="S149">
        <v>202.92</v>
      </c>
      <c r="T149" t="s">
        <v>284</v>
      </c>
      <c r="U149">
        <v>198.9</v>
      </c>
      <c r="V149" t="s">
        <v>284</v>
      </c>
      <c r="W149">
        <v>212.4</v>
      </c>
      <c r="X149" t="s">
        <v>284</v>
      </c>
      <c r="Y149">
        <v>219.6</v>
      </c>
      <c r="Z149" t="s">
        <v>284</v>
      </c>
      <c r="AA149">
        <v>178</v>
      </c>
      <c r="AB149" t="s">
        <v>284</v>
      </c>
      <c r="AG149">
        <v>204.74</v>
      </c>
      <c r="AH149" t="s">
        <v>54</v>
      </c>
      <c r="AI149" t="s">
        <v>52</v>
      </c>
      <c r="AZ149" t="s">
        <v>52</v>
      </c>
      <c r="BQ149" t="s">
        <v>52</v>
      </c>
      <c r="BR149">
        <v>0.65</v>
      </c>
      <c r="BS149" t="s">
        <v>285</v>
      </c>
      <c r="BT149">
        <v>0.97</v>
      </c>
      <c r="BU149" t="s">
        <v>284</v>
      </c>
      <c r="BV149">
        <v>1.39</v>
      </c>
      <c r="BW149" t="s">
        <v>284</v>
      </c>
      <c r="BX149">
        <v>1.32</v>
      </c>
      <c r="BY149" t="s">
        <v>284</v>
      </c>
      <c r="BZ149">
        <v>1.1499999999999999</v>
      </c>
      <c r="CA149" t="s">
        <v>285</v>
      </c>
      <c r="CF149">
        <v>1.1499999999999999</v>
      </c>
      <c r="CG149" t="s">
        <v>54</v>
      </c>
      <c r="CH149" t="s">
        <v>52</v>
      </c>
    </row>
    <row r="150" spans="1:86" x14ac:dyDescent="0.25">
      <c r="A150" t="s">
        <v>47</v>
      </c>
      <c r="B150">
        <v>8</v>
      </c>
      <c r="C150" t="s">
        <v>109</v>
      </c>
      <c r="D150">
        <v>11</v>
      </c>
      <c r="E150" t="s">
        <v>68</v>
      </c>
      <c r="F150">
        <v>80</v>
      </c>
      <c r="G150" t="s">
        <v>105</v>
      </c>
      <c r="H150" t="s">
        <v>50</v>
      </c>
      <c r="K150" t="s">
        <v>51</v>
      </c>
      <c r="L150">
        <v>1</v>
      </c>
      <c r="M150" t="s">
        <v>53</v>
      </c>
      <c r="N150">
        <v>80</v>
      </c>
      <c r="O150">
        <v>1</v>
      </c>
      <c r="P150" t="s">
        <v>52</v>
      </c>
      <c r="Q150">
        <v>0.5</v>
      </c>
      <c r="R150">
        <v>0.75</v>
      </c>
      <c r="S150">
        <v>228</v>
      </c>
      <c r="T150" t="s">
        <v>285</v>
      </c>
      <c r="U150">
        <v>221</v>
      </c>
      <c r="V150" t="s">
        <v>285</v>
      </c>
      <c r="W150">
        <v>212.4</v>
      </c>
      <c r="X150" t="s">
        <v>284</v>
      </c>
      <c r="Y150">
        <v>219.6</v>
      </c>
      <c r="Z150" t="s">
        <v>284</v>
      </c>
      <c r="AA150">
        <v>178</v>
      </c>
      <c r="AB150" t="s">
        <v>285</v>
      </c>
      <c r="AG150">
        <v>217.66669999999999</v>
      </c>
      <c r="AH150" t="s">
        <v>54</v>
      </c>
      <c r="AI150" t="s">
        <v>52</v>
      </c>
      <c r="AZ150" t="s">
        <v>52</v>
      </c>
      <c r="BQ150" t="s">
        <v>52</v>
      </c>
      <c r="BR150">
        <v>0.65</v>
      </c>
      <c r="BS150" t="s">
        <v>285</v>
      </c>
      <c r="BT150">
        <v>1.85</v>
      </c>
      <c r="BU150" t="s">
        <v>284</v>
      </c>
      <c r="BV150">
        <v>2.0299999999999998</v>
      </c>
      <c r="BW150" t="s">
        <v>284</v>
      </c>
      <c r="BX150">
        <v>2.54</v>
      </c>
      <c r="BY150" t="s">
        <v>284</v>
      </c>
      <c r="BZ150">
        <v>2.21</v>
      </c>
      <c r="CA150" t="s">
        <v>285</v>
      </c>
      <c r="CF150">
        <v>2.0299999999999998</v>
      </c>
      <c r="CG150" t="s">
        <v>54</v>
      </c>
      <c r="CH150" t="s">
        <v>52</v>
      </c>
    </row>
    <row r="151" spans="1:86" x14ac:dyDescent="0.25">
      <c r="A151" t="s">
        <v>47</v>
      </c>
      <c r="B151">
        <v>8</v>
      </c>
      <c r="C151" t="s">
        <v>109</v>
      </c>
      <c r="D151">
        <v>11</v>
      </c>
      <c r="E151" t="s">
        <v>68</v>
      </c>
      <c r="F151">
        <v>80</v>
      </c>
      <c r="G151" t="s">
        <v>105</v>
      </c>
      <c r="H151" t="s">
        <v>50</v>
      </c>
      <c r="K151" t="s">
        <v>52</v>
      </c>
      <c r="L151">
        <v>1</v>
      </c>
      <c r="M151" t="s">
        <v>53</v>
      </c>
      <c r="N151">
        <v>80</v>
      </c>
      <c r="O151">
        <v>1</v>
      </c>
      <c r="P151" t="s">
        <v>52</v>
      </c>
      <c r="Q151">
        <v>0.5</v>
      </c>
      <c r="R151">
        <v>0.75</v>
      </c>
      <c r="S151">
        <v>228</v>
      </c>
      <c r="T151" t="s">
        <v>285</v>
      </c>
      <c r="U151">
        <v>221</v>
      </c>
      <c r="V151" t="s">
        <v>285</v>
      </c>
      <c r="W151">
        <v>212.4</v>
      </c>
      <c r="X151" t="s">
        <v>284</v>
      </c>
      <c r="Y151">
        <v>219.6</v>
      </c>
      <c r="Z151" t="s">
        <v>284</v>
      </c>
      <c r="AA151">
        <v>178</v>
      </c>
      <c r="AB151" t="s">
        <v>285</v>
      </c>
      <c r="AG151">
        <v>217.66669999999999</v>
      </c>
      <c r="AH151" t="s">
        <v>54</v>
      </c>
      <c r="AI151" t="s">
        <v>52</v>
      </c>
      <c r="AZ151" t="s">
        <v>52</v>
      </c>
      <c r="BQ151" t="s">
        <v>52</v>
      </c>
      <c r="BR151">
        <v>0.65</v>
      </c>
      <c r="BS151" t="s">
        <v>285</v>
      </c>
      <c r="BT151">
        <v>0.96</v>
      </c>
      <c r="BU151" t="s">
        <v>284</v>
      </c>
      <c r="BV151">
        <v>1.39</v>
      </c>
      <c r="BW151" t="s">
        <v>284</v>
      </c>
      <c r="BX151">
        <v>1.32</v>
      </c>
      <c r="BY151" t="s">
        <v>284</v>
      </c>
      <c r="BZ151">
        <v>1.1499999999999999</v>
      </c>
      <c r="CA151" t="s">
        <v>285</v>
      </c>
      <c r="CF151">
        <v>1.1399999999999999</v>
      </c>
      <c r="CG151" t="s">
        <v>54</v>
      </c>
      <c r="CH151" t="s">
        <v>52</v>
      </c>
    </row>
    <row r="152" spans="1:86" x14ac:dyDescent="0.25">
      <c r="A152" t="s">
        <v>47</v>
      </c>
      <c r="B152">
        <v>8</v>
      </c>
      <c r="C152" t="s">
        <v>109</v>
      </c>
      <c r="D152">
        <v>11</v>
      </c>
      <c r="E152" t="s">
        <v>70</v>
      </c>
      <c r="F152">
        <v>296</v>
      </c>
      <c r="G152" t="s">
        <v>71</v>
      </c>
      <c r="H152" t="s">
        <v>50</v>
      </c>
      <c r="K152" t="s">
        <v>51</v>
      </c>
      <c r="L152">
        <v>1</v>
      </c>
      <c r="M152" t="s">
        <v>53</v>
      </c>
      <c r="N152">
        <v>296</v>
      </c>
      <c r="O152">
        <v>1</v>
      </c>
      <c r="P152" t="s">
        <v>52</v>
      </c>
      <c r="Q152">
        <v>0</v>
      </c>
      <c r="R152">
        <v>0.75</v>
      </c>
      <c r="S152">
        <v>228</v>
      </c>
      <c r="T152" t="s">
        <v>284</v>
      </c>
      <c r="U152">
        <v>190</v>
      </c>
      <c r="V152" t="s">
        <v>285</v>
      </c>
      <c r="W152">
        <v>194</v>
      </c>
      <c r="X152" t="s">
        <v>285</v>
      </c>
      <c r="Y152">
        <v>225</v>
      </c>
      <c r="Z152" t="s">
        <v>285</v>
      </c>
      <c r="AA152">
        <v>247</v>
      </c>
      <c r="AB152" t="s">
        <v>285</v>
      </c>
      <c r="AC152">
        <v>241</v>
      </c>
      <c r="AD152" t="s">
        <v>285</v>
      </c>
      <c r="AE152">
        <v>219</v>
      </c>
      <c r="AF152" t="s">
        <v>285</v>
      </c>
      <c r="AG152">
        <v>219</v>
      </c>
      <c r="AH152" t="s">
        <v>286</v>
      </c>
      <c r="AI152" t="s">
        <v>287</v>
      </c>
      <c r="AX152">
        <v>263</v>
      </c>
      <c r="AY152" t="s">
        <v>286</v>
      </c>
      <c r="AZ152" t="s">
        <v>287</v>
      </c>
      <c r="BQ152" t="s">
        <v>52</v>
      </c>
      <c r="BR152">
        <v>1.85</v>
      </c>
      <c r="BS152" t="s">
        <v>284</v>
      </c>
      <c r="BT152">
        <v>1.85</v>
      </c>
      <c r="BU152" t="s">
        <v>284</v>
      </c>
      <c r="BV152">
        <v>0.65</v>
      </c>
      <c r="BW152" t="s">
        <v>289</v>
      </c>
      <c r="BX152">
        <v>0.65</v>
      </c>
      <c r="BY152" t="s">
        <v>289</v>
      </c>
      <c r="BZ152">
        <v>1.86</v>
      </c>
      <c r="CA152" t="s">
        <v>288</v>
      </c>
      <c r="CF152">
        <v>1.45</v>
      </c>
      <c r="CG152" t="s">
        <v>54</v>
      </c>
      <c r="CH152" t="s">
        <v>52</v>
      </c>
    </row>
    <row r="153" spans="1:86" x14ac:dyDescent="0.25">
      <c r="A153" t="s">
        <v>47</v>
      </c>
      <c r="B153">
        <v>8</v>
      </c>
      <c r="C153" t="s">
        <v>109</v>
      </c>
      <c r="D153">
        <v>11</v>
      </c>
      <c r="E153" t="s">
        <v>70</v>
      </c>
      <c r="F153">
        <v>296</v>
      </c>
      <c r="G153" t="s">
        <v>71</v>
      </c>
      <c r="H153" t="s">
        <v>50</v>
      </c>
      <c r="K153" t="s">
        <v>52</v>
      </c>
      <c r="L153">
        <v>1</v>
      </c>
      <c r="M153" t="s">
        <v>53</v>
      </c>
      <c r="N153">
        <v>296</v>
      </c>
      <c r="O153">
        <v>1</v>
      </c>
      <c r="P153" t="s">
        <v>52</v>
      </c>
      <c r="Q153">
        <v>0</v>
      </c>
      <c r="R153">
        <v>0.75</v>
      </c>
      <c r="S153">
        <v>228</v>
      </c>
      <c r="T153" t="s">
        <v>284</v>
      </c>
      <c r="U153">
        <v>190</v>
      </c>
      <c r="V153" t="s">
        <v>285</v>
      </c>
      <c r="W153">
        <v>194</v>
      </c>
      <c r="X153" t="s">
        <v>285</v>
      </c>
      <c r="Y153">
        <v>225</v>
      </c>
      <c r="Z153" t="s">
        <v>285</v>
      </c>
      <c r="AA153">
        <v>247</v>
      </c>
      <c r="AB153" t="s">
        <v>285</v>
      </c>
      <c r="AC153">
        <v>241</v>
      </c>
      <c r="AD153" t="s">
        <v>285</v>
      </c>
      <c r="AE153">
        <v>219</v>
      </c>
      <c r="AF153" t="s">
        <v>285</v>
      </c>
      <c r="AG153">
        <v>219</v>
      </c>
      <c r="AH153" t="s">
        <v>286</v>
      </c>
      <c r="AI153" t="s">
        <v>287</v>
      </c>
      <c r="AX153">
        <v>263</v>
      </c>
      <c r="AY153" t="s">
        <v>286</v>
      </c>
      <c r="AZ153" t="s">
        <v>287</v>
      </c>
      <c r="BQ153" t="s">
        <v>52</v>
      </c>
      <c r="BR153">
        <v>0.65</v>
      </c>
      <c r="BS153" t="s">
        <v>284</v>
      </c>
      <c r="BT153">
        <v>1.57</v>
      </c>
      <c r="BU153" t="s">
        <v>285</v>
      </c>
      <c r="BV153">
        <v>0.28000000000000003</v>
      </c>
      <c r="BW153" t="s">
        <v>285</v>
      </c>
      <c r="BX153">
        <v>0.22</v>
      </c>
      <c r="BY153" t="s">
        <v>284</v>
      </c>
      <c r="BZ153">
        <v>0.22</v>
      </c>
      <c r="CA153" t="s">
        <v>284</v>
      </c>
      <c r="CF153">
        <v>0.38</v>
      </c>
      <c r="CG153" t="s">
        <v>54</v>
      </c>
      <c r="CH153" t="s">
        <v>52</v>
      </c>
    </row>
    <row r="154" spans="1:86" x14ac:dyDescent="0.25">
      <c r="A154" t="s">
        <v>47</v>
      </c>
      <c r="B154">
        <v>8</v>
      </c>
      <c r="C154" t="s">
        <v>109</v>
      </c>
      <c r="D154">
        <v>11</v>
      </c>
      <c r="E154" t="s">
        <v>70</v>
      </c>
      <c r="F154">
        <v>296</v>
      </c>
      <c r="G154" t="s">
        <v>72</v>
      </c>
      <c r="H154" t="s">
        <v>50</v>
      </c>
      <c r="K154" t="s">
        <v>51</v>
      </c>
      <c r="L154">
        <v>1</v>
      </c>
      <c r="M154" t="s">
        <v>53</v>
      </c>
      <c r="N154">
        <v>296</v>
      </c>
      <c r="O154">
        <v>1</v>
      </c>
      <c r="P154" t="s">
        <v>52</v>
      </c>
      <c r="Q154">
        <v>0.5</v>
      </c>
      <c r="R154">
        <v>0.75</v>
      </c>
      <c r="S154">
        <v>228</v>
      </c>
      <c r="T154" t="s">
        <v>284</v>
      </c>
      <c r="U154">
        <v>221</v>
      </c>
      <c r="V154" t="s">
        <v>284</v>
      </c>
      <c r="W154">
        <v>236</v>
      </c>
      <c r="X154" t="s">
        <v>284</v>
      </c>
      <c r="Y154">
        <v>244</v>
      </c>
      <c r="Z154" t="s">
        <v>284</v>
      </c>
      <c r="AA154">
        <v>215</v>
      </c>
      <c r="AB154" t="s">
        <v>285</v>
      </c>
      <c r="AG154">
        <v>228.33330000000001</v>
      </c>
      <c r="AH154" t="s">
        <v>54</v>
      </c>
      <c r="AI154" t="s">
        <v>52</v>
      </c>
      <c r="AZ154" t="s">
        <v>52</v>
      </c>
      <c r="BQ154" t="s">
        <v>52</v>
      </c>
      <c r="BR154">
        <v>1.85</v>
      </c>
      <c r="BS154" t="s">
        <v>284</v>
      </c>
      <c r="BT154">
        <v>1.86</v>
      </c>
      <c r="BU154" t="s">
        <v>284</v>
      </c>
      <c r="BV154">
        <v>1.76</v>
      </c>
      <c r="BW154" t="s">
        <v>285</v>
      </c>
      <c r="BX154">
        <v>1.99</v>
      </c>
      <c r="BY154" t="s">
        <v>288</v>
      </c>
      <c r="BZ154">
        <v>1.99</v>
      </c>
      <c r="CA154" t="s">
        <v>284</v>
      </c>
      <c r="CF154">
        <v>1.9</v>
      </c>
      <c r="CG154" t="s">
        <v>54</v>
      </c>
      <c r="CH154" t="s">
        <v>52</v>
      </c>
    </row>
    <row r="155" spans="1:86" x14ac:dyDescent="0.25">
      <c r="A155" t="s">
        <v>47</v>
      </c>
      <c r="B155">
        <v>8</v>
      </c>
      <c r="C155" t="s">
        <v>109</v>
      </c>
      <c r="D155">
        <v>11</v>
      </c>
      <c r="E155" t="s">
        <v>70</v>
      </c>
      <c r="F155">
        <v>296</v>
      </c>
      <c r="G155" t="s">
        <v>72</v>
      </c>
      <c r="H155" t="s">
        <v>50</v>
      </c>
      <c r="K155" t="s">
        <v>52</v>
      </c>
      <c r="L155">
        <v>1</v>
      </c>
      <c r="M155" t="s">
        <v>53</v>
      </c>
      <c r="N155">
        <v>296</v>
      </c>
      <c r="O155">
        <v>1</v>
      </c>
      <c r="P155" t="s">
        <v>52</v>
      </c>
      <c r="Q155">
        <v>0.5</v>
      </c>
      <c r="R155">
        <v>0.75</v>
      </c>
      <c r="S155">
        <v>228</v>
      </c>
      <c r="T155" t="s">
        <v>284</v>
      </c>
      <c r="U155">
        <v>221</v>
      </c>
      <c r="V155" t="s">
        <v>284</v>
      </c>
      <c r="W155">
        <v>236</v>
      </c>
      <c r="X155" t="s">
        <v>284</v>
      </c>
      <c r="Y155">
        <v>244</v>
      </c>
      <c r="Z155" t="s">
        <v>284</v>
      </c>
      <c r="AA155">
        <v>215</v>
      </c>
      <c r="AB155" t="s">
        <v>285</v>
      </c>
      <c r="AG155">
        <v>228.33330000000001</v>
      </c>
      <c r="AH155" t="s">
        <v>54</v>
      </c>
      <c r="AI155" t="s">
        <v>52</v>
      </c>
      <c r="AZ155" t="s">
        <v>52</v>
      </c>
      <c r="BQ155" t="s">
        <v>52</v>
      </c>
      <c r="BR155">
        <v>0.65</v>
      </c>
      <c r="BS155" t="s">
        <v>284</v>
      </c>
      <c r="BT155">
        <v>0.97</v>
      </c>
      <c r="BU155" t="s">
        <v>284</v>
      </c>
      <c r="BV155">
        <v>0.28999999999999998</v>
      </c>
      <c r="BW155" t="s">
        <v>284</v>
      </c>
      <c r="BX155">
        <v>0.25</v>
      </c>
      <c r="BY155" t="s">
        <v>285</v>
      </c>
      <c r="BZ155">
        <v>0.25</v>
      </c>
      <c r="CA155" t="s">
        <v>284</v>
      </c>
      <c r="CF155">
        <v>0.4</v>
      </c>
      <c r="CG155" t="s">
        <v>54</v>
      </c>
      <c r="CH155" t="s">
        <v>52</v>
      </c>
    </row>
    <row r="156" spans="1:86" x14ac:dyDescent="0.25">
      <c r="A156" t="s">
        <v>47</v>
      </c>
      <c r="B156">
        <v>8</v>
      </c>
      <c r="C156" t="s">
        <v>109</v>
      </c>
      <c r="D156">
        <v>11</v>
      </c>
      <c r="E156" t="s">
        <v>70</v>
      </c>
      <c r="F156">
        <v>296</v>
      </c>
      <c r="G156" t="s">
        <v>73</v>
      </c>
      <c r="H156" t="s">
        <v>50</v>
      </c>
      <c r="K156" t="s">
        <v>51</v>
      </c>
      <c r="L156">
        <v>1</v>
      </c>
      <c r="M156" t="s">
        <v>53</v>
      </c>
      <c r="N156">
        <v>296</v>
      </c>
      <c r="O156">
        <v>1</v>
      </c>
      <c r="P156" t="s">
        <v>52</v>
      </c>
      <c r="Q156">
        <v>0</v>
      </c>
      <c r="R156">
        <v>0.75</v>
      </c>
      <c r="S156">
        <v>228</v>
      </c>
      <c r="T156" t="s">
        <v>284</v>
      </c>
      <c r="U156">
        <v>221</v>
      </c>
      <c r="V156" t="s">
        <v>284</v>
      </c>
      <c r="W156">
        <v>236</v>
      </c>
      <c r="X156" t="s">
        <v>284</v>
      </c>
      <c r="Y156">
        <v>244</v>
      </c>
      <c r="Z156" t="s">
        <v>284</v>
      </c>
      <c r="AA156">
        <v>225</v>
      </c>
      <c r="AB156" t="s">
        <v>285</v>
      </c>
      <c r="AG156">
        <v>229.66669999999999</v>
      </c>
      <c r="AH156" t="s">
        <v>54</v>
      </c>
      <c r="AI156" t="s">
        <v>52</v>
      </c>
      <c r="AZ156" t="s">
        <v>52</v>
      </c>
      <c r="BQ156" t="s">
        <v>52</v>
      </c>
      <c r="BR156">
        <v>1.85</v>
      </c>
      <c r="BS156" t="s">
        <v>284</v>
      </c>
      <c r="BT156">
        <v>2.06</v>
      </c>
      <c r="BU156" t="s">
        <v>284</v>
      </c>
      <c r="BV156">
        <v>1.23</v>
      </c>
      <c r="BW156" t="s">
        <v>284</v>
      </c>
      <c r="BX156">
        <v>1.56</v>
      </c>
      <c r="BY156" t="s">
        <v>284</v>
      </c>
      <c r="BZ156">
        <v>1.56</v>
      </c>
      <c r="CA156" t="s">
        <v>284</v>
      </c>
      <c r="CF156">
        <v>1.66</v>
      </c>
      <c r="CG156" t="s">
        <v>54</v>
      </c>
      <c r="CH156" t="s">
        <v>52</v>
      </c>
    </row>
    <row r="157" spans="1:86" x14ac:dyDescent="0.25">
      <c r="A157" t="s">
        <v>47</v>
      </c>
      <c r="B157">
        <v>8</v>
      </c>
      <c r="C157" t="s">
        <v>109</v>
      </c>
      <c r="D157">
        <v>11</v>
      </c>
      <c r="E157" t="s">
        <v>70</v>
      </c>
      <c r="F157">
        <v>296</v>
      </c>
      <c r="G157" t="s">
        <v>73</v>
      </c>
      <c r="H157" t="s">
        <v>50</v>
      </c>
      <c r="K157" t="s">
        <v>52</v>
      </c>
      <c r="L157">
        <v>1</v>
      </c>
      <c r="M157" t="s">
        <v>53</v>
      </c>
      <c r="N157">
        <v>296</v>
      </c>
      <c r="O157">
        <v>1</v>
      </c>
      <c r="P157" t="s">
        <v>52</v>
      </c>
      <c r="Q157">
        <v>0</v>
      </c>
      <c r="R157">
        <v>0.75</v>
      </c>
      <c r="S157">
        <v>228</v>
      </c>
      <c r="T157" t="s">
        <v>284</v>
      </c>
      <c r="U157">
        <v>221</v>
      </c>
      <c r="V157" t="s">
        <v>284</v>
      </c>
      <c r="W157">
        <v>236</v>
      </c>
      <c r="X157" t="s">
        <v>284</v>
      </c>
      <c r="Y157">
        <v>244</v>
      </c>
      <c r="Z157" t="s">
        <v>284</v>
      </c>
      <c r="AA157">
        <v>225</v>
      </c>
      <c r="AB157" t="s">
        <v>285</v>
      </c>
      <c r="AG157">
        <v>229.66669999999999</v>
      </c>
      <c r="AH157" t="s">
        <v>54</v>
      </c>
      <c r="AI157" t="s">
        <v>52</v>
      </c>
      <c r="AZ157" t="s">
        <v>52</v>
      </c>
      <c r="BQ157" t="s">
        <v>52</v>
      </c>
      <c r="BR157">
        <v>0.65</v>
      </c>
      <c r="BS157" t="s">
        <v>284</v>
      </c>
      <c r="BT157">
        <v>1.07</v>
      </c>
      <c r="BU157" t="s">
        <v>284</v>
      </c>
      <c r="BV157">
        <v>0.33</v>
      </c>
      <c r="BW157" t="s">
        <v>284</v>
      </c>
      <c r="BX157">
        <v>0.21</v>
      </c>
      <c r="BY157" t="s">
        <v>284</v>
      </c>
      <c r="BZ157">
        <v>0.21</v>
      </c>
      <c r="CA157" t="s">
        <v>284</v>
      </c>
      <c r="CF157">
        <v>0.4</v>
      </c>
      <c r="CG157" t="s">
        <v>54</v>
      </c>
      <c r="CH157" t="s">
        <v>52</v>
      </c>
    </row>
    <row r="158" spans="1:86" x14ac:dyDescent="0.25">
      <c r="A158" t="s">
        <v>47</v>
      </c>
      <c r="B158">
        <v>8</v>
      </c>
      <c r="C158" t="s">
        <v>109</v>
      </c>
      <c r="D158">
        <v>11</v>
      </c>
      <c r="E158" t="s">
        <v>70</v>
      </c>
      <c r="F158">
        <v>296</v>
      </c>
      <c r="G158" t="s">
        <v>115</v>
      </c>
      <c r="H158" t="s">
        <v>50</v>
      </c>
      <c r="K158" t="s">
        <v>51</v>
      </c>
      <c r="L158">
        <v>1</v>
      </c>
      <c r="M158" t="s">
        <v>53</v>
      </c>
      <c r="N158">
        <v>102</v>
      </c>
      <c r="O158">
        <v>1</v>
      </c>
      <c r="P158" t="s">
        <v>52</v>
      </c>
      <c r="Q158">
        <v>0.5</v>
      </c>
      <c r="R158">
        <v>0.75</v>
      </c>
      <c r="S158">
        <v>228</v>
      </c>
      <c r="T158" t="s">
        <v>284</v>
      </c>
      <c r="U158">
        <v>176.5</v>
      </c>
      <c r="V158" t="s">
        <v>284</v>
      </c>
      <c r="W158">
        <v>191.5</v>
      </c>
      <c r="X158" t="s">
        <v>284</v>
      </c>
      <c r="Y158">
        <v>194</v>
      </c>
      <c r="Z158" t="s">
        <v>284</v>
      </c>
      <c r="AA158">
        <v>145</v>
      </c>
      <c r="AB158" t="s">
        <v>285</v>
      </c>
      <c r="AG158">
        <v>187.33330000000001</v>
      </c>
      <c r="AH158" t="s">
        <v>54</v>
      </c>
      <c r="AI158" t="s">
        <v>52</v>
      </c>
      <c r="AZ158" t="s">
        <v>52</v>
      </c>
      <c r="BQ158" t="s">
        <v>52</v>
      </c>
      <c r="BR158">
        <v>1.85</v>
      </c>
      <c r="BS158" t="s">
        <v>284</v>
      </c>
      <c r="BT158">
        <v>1.86</v>
      </c>
      <c r="BU158" t="s">
        <v>284</v>
      </c>
      <c r="BV158">
        <v>1.85</v>
      </c>
      <c r="BW158" t="s">
        <v>284</v>
      </c>
      <c r="BX158">
        <v>1.76</v>
      </c>
      <c r="BY158" t="s">
        <v>284</v>
      </c>
      <c r="BZ158">
        <v>3.4</v>
      </c>
      <c r="CA158" t="s">
        <v>289</v>
      </c>
      <c r="CF158">
        <v>1.85</v>
      </c>
      <c r="CG158" t="s">
        <v>54</v>
      </c>
      <c r="CH158" t="s">
        <v>52</v>
      </c>
    </row>
    <row r="159" spans="1:86" x14ac:dyDescent="0.25">
      <c r="A159" t="s">
        <v>47</v>
      </c>
      <c r="B159">
        <v>8</v>
      </c>
      <c r="C159" t="s">
        <v>109</v>
      </c>
      <c r="D159">
        <v>11</v>
      </c>
      <c r="E159" t="s">
        <v>70</v>
      </c>
      <c r="F159">
        <v>296</v>
      </c>
      <c r="G159" t="s">
        <v>115</v>
      </c>
      <c r="H159" t="s">
        <v>50</v>
      </c>
      <c r="K159" t="s">
        <v>52</v>
      </c>
      <c r="L159">
        <v>1</v>
      </c>
      <c r="M159" t="s">
        <v>53</v>
      </c>
      <c r="N159">
        <v>102</v>
      </c>
      <c r="O159">
        <v>1</v>
      </c>
      <c r="P159" t="s">
        <v>52</v>
      </c>
      <c r="Q159">
        <v>0.5</v>
      </c>
      <c r="R159">
        <v>0.75</v>
      </c>
      <c r="S159">
        <v>228</v>
      </c>
      <c r="T159" t="s">
        <v>284</v>
      </c>
      <c r="U159">
        <v>176.5</v>
      </c>
      <c r="V159" t="s">
        <v>284</v>
      </c>
      <c r="W159">
        <v>191.5</v>
      </c>
      <c r="X159" t="s">
        <v>284</v>
      </c>
      <c r="Y159">
        <v>194</v>
      </c>
      <c r="Z159" t="s">
        <v>284</v>
      </c>
      <c r="AA159">
        <v>145</v>
      </c>
      <c r="AB159" t="s">
        <v>285</v>
      </c>
      <c r="AG159">
        <v>187.33330000000001</v>
      </c>
      <c r="AH159" t="s">
        <v>54</v>
      </c>
      <c r="AI159" t="s">
        <v>52</v>
      </c>
      <c r="AZ159" t="s">
        <v>52</v>
      </c>
      <c r="BQ159" t="s">
        <v>52</v>
      </c>
      <c r="BR159">
        <v>0.65</v>
      </c>
      <c r="BS159" t="s">
        <v>285</v>
      </c>
      <c r="BT159">
        <v>0.97</v>
      </c>
      <c r="BU159" t="s">
        <v>284</v>
      </c>
      <c r="BV159">
        <v>0.28999999999999998</v>
      </c>
      <c r="BW159" t="s">
        <v>284</v>
      </c>
      <c r="BX159">
        <v>0.28000000000000003</v>
      </c>
      <c r="BY159" t="s">
        <v>284</v>
      </c>
      <c r="BZ159">
        <v>1.7</v>
      </c>
      <c r="CA159" t="s">
        <v>285</v>
      </c>
      <c r="CF159">
        <v>0.64</v>
      </c>
      <c r="CG159" t="s">
        <v>54</v>
      </c>
      <c r="CH159" t="s">
        <v>52</v>
      </c>
    </row>
    <row r="160" spans="1:86" x14ac:dyDescent="0.25">
      <c r="A160" t="s">
        <v>47</v>
      </c>
      <c r="B160">
        <v>8</v>
      </c>
      <c r="C160" t="s">
        <v>109</v>
      </c>
      <c r="D160">
        <v>11</v>
      </c>
      <c r="E160" t="s">
        <v>70</v>
      </c>
      <c r="F160">
        <v>296</v>
      </c>
      <c r="G160" t="s">
        <v>74</v>
      </c>
      <c r="H160" t="s">
        <v>50</v>
      </c>
      <c r="K160" t="s">
        <v>51</v>
      </c>
      <c r="L160">
        <v>1</v>
      </c>
      <c r="M160" t="s">
        <v>53</v>
      </c>
      <c r="N160">
        <v>102</v>
      </c>
      <c r="O160">
        <v>1</v>
      </c>
      <c r="P160" t="s">
        <v>52</v>
      </c>
      <c r="Q160">
        <v>0</v>
      </c>
      <c r="R160">
        <v>0.75</v>
      </c>
      <c r="S160">
        <v>135</v>
      </c>
      <c r="T160" t="s">
        <v>284</v>
      </c>
      <c r="U160">
        <v>132</v>
      </c>
      <c r="V160" t="s">
        <v>284</v>
      </c>
      <c r="W160">
        <v>147</v>
      </c>
      <c r="X160" t="s">
        <v>284</v>
      </c>
      <c r="Y160">
        <v>170</v>
      </c>
      <c r="Z160" t="s">
        <v>284</v>
      </c>
      <c r="AA160">
        <v>205</v>
      </c>
      <c r="AB160" t="s">
        <v>285</v>
      </c>
      <c r="AG160">
        <v>150.66669999999999</v>
      </c>
      <c r="AH160" t="s">
        <v>54</v>
      </c>
      <c r="AI160" t="s">
        <v>52</v>
      </c>
      <c r="AZ160" t="s">
        <v>52</v>
      </c>
      <c r="BQ160" t="s">
        <v>52</v>
      </c>
      <c r="BR160">
        <v>1.85</v>
      </c>
      <c r="BS160" t="s">
        <v>284</v>
      </c>
      <c r="BT160">
        <v>1.37</v>
      </c>
      <c r="BU160" t="s">
        <v>284</v>
      </c>
      <c r="BV160">
        <v>1.22</v>
      </c>
      <c r="BW160" t="s">
        <v>285</v>
      </c>
      <c r="BX160">
        <v>1.23</v>
      </c>
      <c r="BY160" t="s">
        <v>285</v>
      </c>
      <c r="BZ160">
        <v>1.17</v>
      </c>
      <c r="CA160" t="s">
        <v>289</v>
      </c>
      <c r="CF160">
        <v>1.27</v>
      </c>
      <c r="CG160" t="s">
        <v>54</v>
      </c>
      <c r="CH160" t="s">
        <v>52</v>
      </c>
    </row>
    <row r="161" spans="1:86" x14ac:dyDescent="0.25">
      <c r="A161" t="s">
        <v>47</v>
      </c>
      <c r="B161">
        <v>8</v>
      </c>
      <c r="C161" t="s">
        <v>109</v>
      </c>
      <c r="D161">
        <v>11</v>
      </c>
      <c r="E161" t="s">
        <v>70</v>
      </c>
      <c r="F161">
        <v>296</v>
      </c>
      <c r="G161" t="s">
        <v>74</v>
      </c>
      <c r="H161" t="s">
        <v>50</v>
      </c>
      <c r="K161" t="s">
        <v>52</v>
      </c>
      <c r="L161">
        <v>1</v>
      </c>
      <c r="M161" t="s">
        <v>53</v>
      </c>
      <c r="N161">
        <v>102</v>
      </c>
      <c r="O161">
        <v>1</v>
      </c>
      <c r="P161" t="s">
        <v>52</v>
      </c>
      <c r="Q161">
        <v>0</v>
      </c>
      <c r="R161">
        <v>0.75</v>
      </c>
      <c r="S161">
        <v>135</v>
      </c>
      <c r="T161" t="s">
        <v>284</v>
      </c>
      <c r="U161">
        <v>132</v>
      </c>
      <c r="V161" t="s">
        <v>284</v>
      </c>
      <c r="W161">
        <v>147</v>
      </c>
      <c r="X161" t="s">
        <v>284</v>
      </c>
      <c r="Y161">
        <v>170</v>
      </c>
      <c r="Z161" t="s">
        <v>284</v>
      </c>
      <c r="AA161">
        <v>205</v>
      </c>
      <c r="AB161" t="s">
        <v>285</v>
      </c>
      <c r="AG161">
        <v>150.66669999999999</v>
      </c>
      <c r="AH161" t="s">
        <v>54</v>
      </c>
      <c r="AI161" t="s">
        <v>52</v>
      </c>
      <c r="AZ161" t="s">
        <v>52</v>
      </c>
      <c r="BQ161" t="s">
        <v>52</v>
      </c>
      <c r="BR161">
        <v>0.65</v>
      </c>
      <c r="BS161" t="s">
        <v>284</v>
      </c>
      <c r="BT161">
        <v>0.52</v>
      </c>
      <c r="BU161" t="s">
        <v>284</v>
      </c>
      <c r="BV161">
        <v>0.11</v>
      </c>
      <c r="BW161" t="s">
        <v>284</v>
      </c>
      <c r="BX161">
        <v>0.25</v>
      </c>
      <c r="BY161" t="s">
        <v>285</v>
      </c>
      <c r="BZ161">
        <v>0.22</v>
      </c>
      <c r="CA161" t="s">
        <v>289</v>
      </c>
      <c r="CF161">
        <v>0.33</v>
      </c>
      <c r="CG161" t="s">
        <v>54</v>
      </c>
      <c r="CH161" t="s">
        <v>52</v>
      </c>
    </row>
    <row r="162" spans="1:86" x14ac:dyDescent="0.25">
      <c r="A162" t="s">
        <v>47</v>
      </c>
      <c r="B162">
        <v>8</v>
      </c>
      <c r="C162" t="s">
        <v>109</v>
      </c>
      <c r="D162">
        <v>11</v>
      </c>
      <c r="E162" t="s">
        <v>70</v>
      </c>
      <c r="F162">
        <v>296</v>
      </c>
      <c r="G162" t="s">
        <v>91</v>
      </c>
      <c r="H162" t="s">
        <v>50</v>
      </c>
      <c r="K162" t="s">
        <v>51</v>
      </c>
      <c r="L162">
        <v>1</v>
      </c>
      <c r="M162" t="s">
        <v>53</v>
      </c>
      <c r="N162">
        <v>102</v>
      </c>
      <c r="O162">
        <v>1</v>
      </c>
      <c r="P162" t="s">
        <v>52</v>
      </c>
      <c r="Q162">
        <v>0.5</v>
      </c>
      <c r="R162">
        <v>0.75</v>
      </c>
      <c r="S162">
        <v>228</v>
      </c>
      <c r="T162" t="s">
        <v>284</v>
      </c>
      <c r="U162">
        <v>190</v>
      </c>
      <c r="V162" t="s">
        <v>285</v>
      </c>
      <c r="W162">
        <v>236</v>
      </c>
      <c r="X162" t="s">
        <v>284</v>
      </c>
      <c r="Y162">
        <v>244</v>
      </c>
      <c r="Z162" t="s">
        <v>284</v>
      </c>
      <c r="AA162">
        <v>215</v>
      </c>
      <c r="AB162" t="s">
        <v>285</v>
      </c>
      <c r="AG162">
        <v>226.33330000000001</v>
      </c>
      <c r="AH162" t="s">
        <v>54</v>
      </c>
      <c r="AI162" t="s">
        <v>52</v>
      </c>
      <c r="AZ162" t="s">
        <v>52</v>
      </c>
      <c r="BQ162" t="s">
        <v>52</v>
      </c>
      <c r="BR162">
        <v>1.85</v>
      </c>
      <c r="BS162" t="s">
        <v>284</v>
      </c>
      <c r="BT162">
        <v>1.87</v>
      </c>
      <c r="BU162" t="s">
        <v>284</v>
      </c>
      <c r="BV162">
        <v>1.76</v>
      </c>
      <c r="BW162" t="s">
        <v>284</v>
      </c>
      <c r="BX162">
        <v>1.99</v>
      </c>
      <c r="BY162" t="s">
        <v>288</v>
      </c>
      <c r="BZ162">
        <v>1.99</v>
      </c>
      <c r="CA162" t="s">
        <v>284</v>
      </c>
      <c r="CF162">
        <v>1.9</v>
      </c>
      <c r="CG162" t="s">
        <v>54</v>
      </c>
      <c r="CH162" t="s">
        <v>52</v>
      </c>
    </row>
    <row r="163" spans="1:86" x14ac:dyDescent="0.25">
      <c r="A163" t="s">
        <v>47</v>
      </c>
      <c r="B163">
        <v>8</v>
      </c>
      <c r="C163" t="s">
        <v>109</v>
      </c>
      <c r="D163">
        <v>11</v>
      </c>
      <c r="E163" t="s">
        <v>70</v>
      </c>
      <c r="F163">
        <v>296</v>
      </c>
      <c r="G163" t="s">
        <v>91</v>
      </c>
      <c r="H163" t="s">
        <v>50</v>
      </c>
      <c r="K163" t="s">
        <v>52</v>
      </c>
      <c r="L163">
        <v>1</v>
      </c>
      <c r="M163" t="s">
        <v>53</v>
      </c>
      <c r="N163">
        <v>102</v>
      </c>
      <c r="O163">
        <v>1</v>
      </c>
      <c r="P163" t="s">
        <v>52</v>
      </c>
      <c r="Q163">
        <v>0.5</v>
      </c>
      <c r="R163">
        <v>0.75</v>
      </c>
      <c r="S163">
        <v>228</v>
      </c>
      <c r="T163" t="s">
        <v>284</v>
      </c>
      <c r="U163">
        <v>190</v>
      </c>
      <c r="V163" t="s">
        <v>285</v>
      </c>
      <c r="W163">
        <v>236</v>
      </c>
      <c r="X163" t="s">
        <v>284</v>
      </c>
      <c r="Y163">
        <v>244</v>
      </c>
      <c r="Z163" t="s">
        <v>284</v>
      </c>
      <c r="AA163">
        <v>215</v>
      </c>
      <c r="AB163" t="s">
        <v>285</v>
      </c>
      <c r="AG163">
        <v>226.33330000000001</v>
      </c>
      <c r="AH163" t="s">
        <v>54</v>
      </c>
      <c r="AI163" t="s">
        <v>52</v>
      </c>
      <c r="AZ163" t="s">
        <v>52</v>
      </c>
      <c r="BQ163" t="s">
        <v>52</v>
      </c>
      <c r="BR163">
        <v>0.65</v>
      </c>
      <c r="BS163" t="s">
        <v>285</v>
      </c>
      <c r="BT163">
        <v>0.97</v>
      </c>
      <c r="BU163" t="s">
        <v>284</v>
      </c>
      <c r="BV163">
        <v>0.28999999999999998</v>
      </c>
      <c r="BW163" t="s">
        <v>284</v>
      </c>
      <c r="BX163">
        <v>0.25</v>
      </c>
      <c r="BY163" t="s">
        <v>285</v>
      </c>
      <c r="BZ163">
        <v>0.25</v>
      </c>
      <c r="CA163" t="s">
        <v>284</v>
      </c>
      <c r="CF163">
        <v>0.4</v>
      </c>
      <c r="CG163" t="s">
        <v>54</v>
      </c>
      <c r="CH163" t="s">
        <v>52</v>
      </c>
    </row>
    <row r="164" spans="1:86" x14ac:dyDescent="0.25">
      <c r="A164" t="s">
        <v>47</v>
      </c>
      <c r="B164">
        <v>8</v>
      </c>
      <c r="C164" t="s">
        <v>109</v>
      </c>
      <c r="D164">
        <v>11</v>
      </c>
      <c r="E164" t="s">
        <v>70</v>
      </c>
      <c r="F164">
        <v>296</v>
      </c>
      <c r="G164" t="s">
        <v>116</v>
      </c>
      <c r="H164" t="s">
        <v>50</v>
      </c>
      <c r="K164" t="s">
        <v>51</v>
      </c>
      <c r="L164">
        <v>1</v>
      </c>
      <c r="M164" t="s">
        <v>53</v>
      </c>
      <c r="N164">
        <v>102</v>
      </c>
      <c r="O164">
        <v>1</v>
      </c>
      <c r="P164" t="s">
        <v>52</v>
      </c>
      <c r="Q164">
        <v>0.5</v>
      </c>
      <c r="R164">
        <v>0.75</v>
      </c>
      <c r="S164">
        <v>228</v>
      </c>
      <c r="T164" t="s">
        <v>284</v>
      </c>
      <c r="U164">
        <v>190</v>
      </c>
      <c r="V164" t="s">
        <v>285</v>
      </c>
      <c r="W164">
        <v>236</v>
      </c>
      <c r="X164" t="s">
        <v>284</v>
      </c>
      <c r="Y164">
        <v>244</v>
      </c>
      <c r="Z164" t="s">
        <v>284</v>
      </c>
      <c r="AA164">
        <v>215</v>
      </c>
      <c r="AB164" t="s">
        <v>285</v>
      </c>
      <c r="AG164">
        <v>226.33330000000001</v>
      </c>
      <c r="AH164" t="s">
        <v>54</v>
      </c>
      <c r="AI164" t="s">
        <v>52</v>
      </c>
      <c r="AZ164" t="s">
        <v>52</v>
      </c>
      <c r="BQ164" t="s">
        <v>52</v>
      </c>
      <c r="BR164">
        <v>1.85</v>
      </c>
      <c r="BS164" t="s">
        <v>285</v>
      </c>
      <c r="BT164">
        <v>1.86</v>
      </c>
      <c r="BU164" t="s">
        <v>284</v>
      </c>
      <c r="BV164">
        <v>1.76</v>
      </c>
      <c r="BW164" t="s">
        <v>284</v>
      </c>
      <c r="BX164">
        <v>1.99</v>
      </c>
      <c r="BY164" t="s">
        <v>284</v>
      </c>
      <c r="BZ164">
        <v>1.99</v>
      </c>
      <c r="CA164" t="s">
        <v>284</v>
      </c>
      <c r="CF164">
        <v>1.9</v>
      </c>
      <c r="CG164" t="s">
        <v>54</v>
      </c>
      <c r="CH164" t="s">
        <v>52</v>
      </c>
    </row>
    <row r="165" spans="1:86" x14ac:dyDescent="0.25">
      <c r="A165" t="s">
        <v>47</v>
      </c>
      <c r="B165">
        <v>8</v>
      </c>
      <c r="C165" t="s">
        <v>109</v>
      </c>
      <c r="D165">
        <v>11</v>
      </c>
      <c r="E165" t="s">
        <v>70</v>
      </c>
      <c r="F165">
        <v>296</v>
      </c>
      <c r="G165" t="s">
        <v>116</v>
      </c>
      <c r="H165" t="s">
        <v>50</v>
      </c>
      <c r="K165" t="s">
        <v>52</v>
      </c>
      <c r="L165">
        <v>1</v>
      </c>
      <c r="M165" t="s">
        <v>53</v>
      </c>
      <c r="N165">
        <v>102</v>
      </c>
      <c r="O165">
        <v>1</v>
      </c>
      <c r="P165" t="s">
        <v>52</v>
      </c>
      <c r="Q165">
        <v>0.5</v>
      </c>
      <c r="R165">
        <v>0.75</v>
      </c>
      <c r="S165">
        <v>228</v>
      </c>
      <c r="T165" t="s">
        <v>284</v>
      </c>
      <c r="U165">
        <v>190</v>
      </c>
      <c r="V165" t="s">
        <v>285</v>
      </c>
      <c r="W165">
        <v>236</v>
      </c>
      <c r="X165" t="s">
        <v>284</v>
      </c>
      <c r="Y165">
        <v>244</v>
      </c>
      <c r="Z165" t="s">
        <v>284</v>
      </c>
      <c r="AA165">
        <v>215</v>
      </c>
      <c r="AB165" t="s">
        <v>285</v>
      </c>
      <c r="AG165">
        <v>226.33330000000001</v>
      </c>
      <c r="AH165" t="s">
        <v>54</v>
      </c>
      <c r="AI165" t="s">
        <v>52</v>
      </c>
      <c r="AZ165" t="s">
        <v>52</v>
      </c>
      <c r="BQ165" t="s">
        <v>52</v>
      </c>
      <c r="BR165">
        <v>0.65</v>
      </c>
      <c r="BS165" t="s">
        <v>285</v>
      </c>
      <c r="BT165">
        <v>0.97</v>
      </c>
      <c r="BU165" t="s">
        <v>284</v>
      </c>
      <c r="BV165">
        <v>0.28999999999999998</v>
      </c>
      <c r="BW165" t="s">
        <v>284</v>
      </c>
      <c r="BX165">
        <v>0.25</v>
      </c>
      <c r="BY165" t="s">
        <v>284</v>
      </c>
      <c r="BZ165">
        <v>0.25</v>
      </c>
      <c r="CA165" t="s">
        <v>284</v>
      </c>
      <c r="CF165">
        <v>0.4</v>
      </c>
      <c r="CG165" t="s">
        <v>54</v>
      </c>
      <c r="CH165" t="s">
        <v>52</v>
      </c>
    </row>
    <row r="166" spans="1:86" x14ac:dyDescent="0.25">
      <c r="A166" t="s">
        <v>47</v>
      </c>
      <c r="B166">
        <v>8</v>
      </c>
      <c r="C166" t="s">
        <v>109</v>
      </c>
      <c r="D166">
        <v>11</v>
      </c>
      <c r="E166" t="s">
        <v>75</v>
      </c>
      <c r="F166">
        <v>16</v>
      </c>
      <c r="G166" t="s">
        <v>76</v>
      </c>
      <c r="H166" t="s">
        <v>50</v>
      </c>
      <c r="K166" t="s">
        <v>51</v>
      </c>
      <c r="L166">
        <v>1</v>
      </c>
      <c r="M166" t="s">
        <v>53</v>
      </c>
      <c r="N166">
        <v>16</v>
      </c>
      <c r="O166">
        <v>2</v>
      </c>
      <c r="P166" t="s">
        <v>52</v>
      </c>
      <c r="Q166">
        <v>0.5</v>
      </c>
      <c r="R166">
        <v>0.75</v>
      </c>
      <c r="S166">
        <v>83.35</v>
      </c>
      <c r="T166" t="s">
        <v>285</v>
      </c>
      <c r="U166">
        <v>96.14</v>
      </c>
      <c r="V166" t="s">
        <v>284</v>
      </c>
      <c r="W166">
        <v>103.37</v>
      </c>
      <c r="X166" t="s">
        <v>284</v>
      </c>
      <c r="Y166">
        <v>106.14</v>
      </c>
      <c r="Z166" t="s">
        <v>284</v>
      </c>
      <c r="AA166">
        <v>128</v>
      </c>
      <c r="AB166" t="s">
        <v>285</v>
      </c>
      <c r="AG166">
        <v>101.88330000000001</v>
      </c>
      <c r="AH166" t="s">
        <v>54</v>
      </c>
      <c r="AI166" t="s">
        <v>52</v>
      </c>
      <c r="AX166">
        <v>146.69999999999999</v>
      </c>
      <c r="AY166" t="s">
        <v>285</v>
      </c>
      <c r="AZ166" t="s">
        <v>287</v>
      </c>
      <c r="BQ166" t="s">
        <v>52</v>
      </c>
      <c r="BR166">
        <v>1.85</v>
      </c>
      <c r="BS166" t="s">
        <v>284</v>
      </c>
      <c r="BT166">
        <v>1.56</v>
      </c>
      <c r="BU166" t="s">
        <v>285</v>
      </c>
      <c r="BV166">
        <v>1.5</v>
      </c>
      <c r="BW166" t="s">
        <v>285</v>
      </c>
      <c r="BX166">
        <v>0.85</v>
      </c>
      <c r="BY166" t="s">
        <v>285</v>
      </c>
      <c r="BZ166">
        <v>1.87</v>
      </c>
      <c r="CA166" t="s">
        <v>288</v>
      </c>
      <c r="CF166">
        <v>1.64</v>
      </c>
      <c r="CG166" t="s">
        <v>54</v>
      </c>
      <c r="CH166" t="s">
        <v>52</v>
      </c>
    </row>
    <row r="167" spans="1:86" x14ac:dyDescent="0.25">
      <c r="A167" t="s">
        <v>47</v>
      </c>
      <c r="B167">
        <v>8</v>
      </c>
      <c r="C167" t="s">
        <v>109</v>
      </c>
      <c r="D167">
        <v>11</v>
      </c>
      <c r="E167" t="s">
        <v>75</v>
      </c>
      <c r="F167">
        <v>16</v>
      </c>
      <c r="G167" t="s">
        <v>76</v>
      </c>
      <c r="H167" t="s">
        <v>50</v>
      </c>
      <c r="K167" t="s">
        <v>52</v>
      </c>
      <c r="L167">
        <v>1</v>
      </c>
      <c r="M167" t="s">
        <v>53</v>
      </c>
      <c r="N167">
        <v>16</v>
      </c>
      <c r="O167">
        <v>2</v>
      </c>
      <c r="P167" t="s">
        <v>52</v>
      </c>
      <c r="Q167">
        <v>0.5</v>
      </c>
      <c r="R167">
        <v>0.75</v>
      </c>
      <c r="S167">
        <v>83.35</v>
      </c>
      <c r="T167" t="s">
        <v>285</v>
      </c>
      <c r="U167">
        <v>96.14</v>
      </c>
      <c r="V167" t="s">
        <v>284</v>
      </c>
      <c r="W167">
        <v>103.37</v>
      </c>
      <c r="X167" t="s">
        <v>284</v>
      </c>
      <c r="Y167">
        <v>106.14</v>
      </c>
      <c r="Z167" t="s">
        <v>284</v>
      </c>
      <c r="AA167">
        <v>128</v>
      </c>
      <c r="AB167" t="s">
        <v>285</v>
      </c>
      <c r="AG167">
        <v>101.88330000000001</v>
      </c>
      <c r="AH167" t="s">
        <v>54</v>
      </c>
      <c r="AI167" t="s">
        <v>52</v>
      </c>
      <c r="AX167">
        <v>146.69999999999999</v>
      </c>
      <c r="AY167" t="s">
        <v>285</v>
      </c>
      <c r="AZ167" t="s">
        <v>287</v>
      </c>
      <c r="BQ167" t="s">
        <v>52</v>
      </c>
      <c r="BR167">
        <v>0.65</v>
      </c>
      <c r="BS167" t="s">
        <v>284</v>
      </c>
      <c r="BT167">
        <v>0.92</v>
      </c>
      <c r="BU167" t="s">
        <v>284</v>
      </c>
      <c r="BV167">
        <v>1.65</v>
      </c>
      <c r="BW167" t="s">
        <v>284</v>
      </c>
      <c r="BX167">
        <v>1.7</v>
      </c>
      <c r="BY167" t="s">
        <v>284</v>
      </c>
      <c r="BZ167">
        <v>0.19</v>
      </c>
      <c r="CA167" t="s">
        <v>289</v>
      </c>
      <c r="CF167">
        <v>1.07</v>
      </c>
      <c r="CG167" t="s">
        <v>54</v>
      </c>
      <c r="CH167" t="s">
        <v>52</v>
      </c>
    </row>
    <row r="168" spans="1:86" x14ac:dyDescent="0.25">
      <c r="A168" t="s">
        <v>47</v>
      </c>
      <c r="B168">
        <v>8</v>
      </c>
      <c r="C168" t="s">
        <v>109</v>
      </c>
      <c r="D168">
        <v>11</v>
      </c>
      <c r="E168" t="s">
        <v>79</v>
      </c>
      <c r="F168">
        <v>50</v>
      </c>
      <c r="G168" t="s">
        <v>80</v>
      </c>
      <c r="H168" t="s">
        <v>50</v>
      </c>
      <c r="K168" t="s">
        <v>51</v>
      </c>
      <c r="L168">
        <v>1</v>
      </c>
      <c r="M168" t="s">
        <v>53</v>
      </c>
      <c r="N168">
        <v>50</v>
      </c>
      <c r="O168">
        <v>1</v>
      </c>
      <c r="P168" t="s">
        <v>52</v>
      </c>
      <c r="Q168">
        <v>0.5</v>
      </c>
      <c r="R168">
        <v>0.75</v>
      </c>
      <c r="S168">
        <v>85</v>
      </c>
      <c r="T168" t="s">
        <v>285</v>
      </c>
      <c r="U168">
        <v>93</v>
      </c>
      <c r="V168" t="s">
        <v>284</v>
      </c>
      <c r="W168">
        <v>89.7</v>
      </c>
      <c r="X168" t="s">
        <v>284</v>
      </c>
      <c r="Y168">
        <v>92.72</v>
      </c>
      <c r="Z168" t="s">
        <v>284</v>
      </c>
      <c r="AA168">
        <v>109</v>
      </c>
      <c r="AB168" t="s">
        <v>285</v>
      </c>
      <c r="AG168">
        <v>91.806700000000006</v>
      </c>
      <c r="AH168" t="s">
        <v>54</v>
      </c>
      <c r="AI168" t="s">
        <v>52</v>
      </c>
      <c r="AZ168" t="s">
        <v>52</v>
      </c>
      <c r="BQ168" t="s">
        <v>52</v>
      </c>
      <c r="BR168">
        <v>4.4800000000000004</v>
      </c>
      <c r="BS168" t="s">
        <v>288</v>
      </c>
      <c r="BT168">
        <v>2.9</v>
      </c>
      <c r="BU168" t="s">
        <v>285</v>
      </c>
      <c r="BV168">
        <v>3.42</v>
      </c>
      <c r="BW168" t="s">
        <v>284</v>
      </c>
      <c r="BX168">
        <v>1.3</v>
      </c>
      <c r="BY168" t="s">
        <v>284</v>
      </c>
      <c r="BZ168">
        <v>2.81</v>
      </c>
      <c r="CA168" t="s">
        <v>288</v>
      </c>
      <c r="CF168">
        <v>3.04</v>
      </c>
      <c r="CG168" t="s">
        <v>54</v>
      </c>
      <c r="CH168" t="s">
        <v>52</v>
      </c>
    </row>
    <row r="169" spans="1:86" x14ac:dyDescent="0.25">
      <c r="A169" t="s">
        <v>47</v>
      </c>
      <c r="B169">
        <v>8</v>
      </c>
      <c r="C169" t="s">
        <v>109</v>
      </c>
      <c r="D169">
        <v>11</v>
      </c>
      <c r="E169" t="s">
        <v>79</v>
      </c>
      <c r="F169">
        <v>50</v>
      </c>
      <c r="G169" t="s">
        <v>80</v>
      </c>
      <c r="H169" t="s">
        <v>50</v>
      </c>
      <c r="K169" t="s">
        <v>52</v>
      </c>
      <c r="L169">
        <v>1</v>
      </c>
      <c r="M169" t="s">
        <v>53</v>
      </c>
      <c r="N169">
        <v>50</v>
      </c>
      <c r="O169">
        <v>1</v>
      </c>
      <c r="P169" t="s">
        <v>52</v>
      </c>
      <c r="Q169">
        <v>0.5</v>
      </c>
      <c r="R169">
        <v>0.75</v>
      </c>
      <c r="S169">
        <v>85</v>
      </c>
      <c r="T169" t="s">
        <v>285</v>
      </c>
      <c r="U169">
        <v>93</v>
      </c>
      <c r="V169" t="s">
        <v>284</v>
      </c>
      <c r="W169">
        <v>89.7</v>
      </c>
      <c r="X169" t="s">
        <v>284</v>
      </c>
      <c r="Y169">
        <v>92.72</v>
      </c>
      <c r="Z169" t="s">
        <v>284</v>
      </c>
      <c r="AA169">
        <v>109</v>
      </c>
      <c r="AB169" t="s">
        <v>285</v>
      </c>
      <c r="AG169">
        <v>91.806700000000006</v>
      </c>
      <c r="AH169" t="s">
        <v>54</v>
      </c>
      <c r="AI169" t="s">
        <v>52</v>
      </c>
      <c r="AZ169" t="s">
        <v>52</v>
      </c>
      <c r="BQ169" t="s">
        <v>52</v>
      </c>
      <c r="BR169">
        <v>0.75</v>
      </c>
      <c r="BS169" t="s">
        <v>289</v>
      </c>
      <c r="BT169">
        <v>0.95</v>
      </c>
      <c r="BU169" t="s">
        <v>284</v>
      </c>
      <c r="BV169">
        <v>1.36</v>
      </c>
      <c r="BW169" t="s">
        <v>284</v>
      </c>
      <c r="BX169">
        <v>1.3</v>
      </c>
      <c r="BY169" t="s">
        <v>284</v>
      </c>
      <c r="BZ169">
        <v>0.72</v>
      </c>
      <c r="CA169" t="s">
        <v>289</v>
      </c>
      <c r="CF169">
        <v>1</v>
      </c>
      <c r="CG169" t="s">
        <v>54</v>
      </c>
      <c r="CH169" t="s">
        <v>52</v>
      </c>
    </row>
    <row r="170" spans="1:86" x14ac:dyDescent="0.25">
      <c r="A170" t="s">
        <v>47</v>
      </c>
      <c r="B170">
        <v>8</v>
      </c>
      <c r="C170" t="s">
        <v>109</v>
      </c>
      <c r="D170">
        <v>11</v>
      </c>
      <c r="E170" t="s">
        <v>79</v>
      </c>
      <c r="F170">
        <v>50</v>
      </c>
      <c r="G170" t="s">
        <v>81</v>
      </c>
      <c r="H170" t="s">
        <v>50</v>
      </c>
      <c r="K170" t="s">
        <v>51</v>
      </c>
      <c r="L170">
        <v>1</v>
      </c>
      <c r="M170" t="s">
        <v>53</v>
      </c>
      <c r="N170">
        <v>50</v>
      </c>
      <c r="O170">
        <v>1</v>
      </c>
      <c r="P170" t="s">
        <v>52</v>
      </c>
      <c r="Q170">
        <v>0.5</v>
      </c>
      <c r="R170">
        <v>0.75</v>
      </c>
      <c r="S170">
        <v>85</v>
      </c>
      <c r="T170" t="s">
        <v>285</v>
      </c>
      <c r="U170">
        <v>93</v>
      </c>
      <c r="V170" t="s">
        <v>284</v>
      </c>
      <c r="W170">
        <v>89.7</v>
      </c>
      <c r="X170" t="s">
        <v>284</v>
      </c>
      <c r="Y170">
        <v>92.72</v>
      </c>
      <c r="Z170" t="s">
        <v>284</v>
      </c>
      <c r="AA170">
        <v>109</v>
      </c>
      <c r="AB170" t="s">
        <v>285</v>
      </c>
      <c r="AG170">
        <v>91.806700000000006</v>
      </c>
      <c r="AH170" t="s">
        <v>54</v>
      </c>
      <c r="AI170" t="s">
        <v>52</v>
      </c>
      <c r="AZ170" t="s">
        <v>52</v>
      </c>
      <c r="BQ170" t="s">
        <v>52</v>
      </c>
      <c r="BR170">
        <v>2.74</v>
      </c>
      <c r="BS170" t="s">
        <v>289</v>
      </c>
      <c r="BT170">
        <v>2.58</v>
      </c>
      <c r="BU170" t="s">
        <v>285</v>
      </c>
      <c r="BV170">
        <v>2.98</v>
      </c>
      <c r="BW170" t="s">
        <v>284</v>
      </c>
      <c r="BX170">
        <v>2.82</v>
      </c>
      <c r="BY170" t="s">
        <v>285</v>
      </c>
      <c r="BZ170">
        <v>3.98</v>
      </c>
      <c r="CA170" t="s">
        <v>288</v>
      </c>
      <c r="CF170">
        <v>2.85</v>
      </c>
      <c r="CG170" t="s">
        <v>54</v>
      </c>
      <c r="CH170" t="s">
        <v>52</v>
      </c>
    </row>
    <row r="171" spans="1:86" x14ac:dyDescent="0.25">
      <c r="A171" t="s">
        <v>47</v>
      </c>
      <c r="B171">
        <v>8</v>
      </c>
      <c r="C171" t="s">
        <v>109</v>
      </c>
      <c r="D171">
        <v>11</v>
      </c>
      <c r="E171" t="s">
        <v>79</v>
      </c>
      <c r="F171">
        <v>50</v>
      </c>
      <c r="G171" t="s">
        <v>81</v>
      </c>
      <c r="H171" t="s">
        <v>50</v>
      </c>
      <c r="K171" t="s">
        <v>52</v>
      </c>
      <c r="L171">
        <v>1</v>
      </c>
      <c r="M171" t="s">
        <v>53</v>
      </c>
      <c r="N171">
        <v>50</v>
      </c>
      <c r="O171">
        <v>1</v>
      </c>
      <c r="P171" t="s">
        <v>52</v>
      </c>
      <c r="Q171">
        <v>0.5</v>
      </c>
      <c r="R171">
        <v>0.75</v>
      </c>
      <c r="S171">
        <v>85</v>
      </c>
      <c r="T171" t="s">
        <v>285</v>
      </c>
      <c r="U171">
        <v>93</v>
      </c>
      <c r="V171" t="s">
        <v>284</v>
      </c>
      <c r="W171">
        <v>89.7</v>
      </c>
      <c r="X171" t="s">
        <v>284</v>
      </c>
      <c r="Y171">
        <v>92.72</v>
      </c>
      <c r="Z171" t="s">
        <v>284</v>
      </c>
      <c r="AA171">
        <v>109</v>
      </c>
      <c r="AB171" t="s">
        <v>285</v>
      </c>
      <c r="AG171">
        <v>91.806700000000006</v>
      </c>
      <c r="AH171" t="s">
        <v>54</v>
      </c>
      <c r="AI171" t="s">
        <v>52</v>
      </c>
      <c r="AZ171" t="s">
        <v>52</v>
      </c>
      <c r="BQ171" t="s">
        <v>52</v>
      </c>
      <c r="BR171">
        <v>2.74</v>
      </c>
      <c r="BS171" t="s">
        <v>289</v>
      </c>
      <c r="BT171">
        <v>0.86</v>
      </c>
      <c r="BU171" t="s">
        <v>284</v>
      </c>
      <c r="BV171">
        <v>1.36</v>
      </c>
      <c r="BW171" t="s">
        <v>284</v>
      </c>
      <c r="BX171">
        <v>1.18</v>
      </c>
      <c r="BY171" t="s">
        <v>284</v>
      </c>
      <c r="BZ171">
        <v>0.65</v>
      </c>
      <c r="CA171" t="s">
        <v>289</v>
      </c>
      <c r="CF171">
        <v>1.1299999999999999</v>
      </c>
      <c r="CG171" t="s">
        <v>54</v>
      </c>
      <c r="CH171" t="s">
        <v>52</v>
      </c>
    </row>
    <row r="172" spans="1:86" x14ac:dyDescent="0.25">
      <c r="A172" t="s">
        <v>47</v>
      </c>
      <c r="B172">
        <v>8</v>
      </c>
      <c r="C172" t="s">
        <v>109</v>
      </c>
      <c r="D172">
        <v>11</v>
      </c>
      <c r="E172" t="s">
        <v>82</v>
      </c>
      <c r="F172">
        <v>52</v>
      </c>
      <c r="H172" t="s">
        <v>50</v>
      </c>
      <c r="K172" t="s">
        <v>51</v>
      </c>
      <c r="L172">
        <v>1</v>
      </c>
      <c r="M172" t="s">
        <v>53</v>
      </c>
      <c r="N172">
        <v>50</v>
      </c>
      <c r="O172">
        <v>1</v>
      </c>
      <c r="P172" t="s">
        <v>52</v>
      </c>
      <c r="Q172">
        <v>0.5</v>
      </c>
      <c r="R172">
        <v>0.75</v>
      </c>
      <c r="S172">
        <v>85</v>
      </c>
      <c r="T172" t="s">
        <v>285</v>
      </c>
      <c r="U172">
        <v>93</v>
      </c>
      <c r="V172" t="s">
        <v>284</v>
      </c>
      <c r="W172">
        <v>191.5</v>
      </c>
      <c r="X172" t="s">
        <v>284</v>
      </c>
      <c r="Y172">
        <v>198</v>
      </c>
      <c r="Z172" t="s">
        <v>284</v>
      </c>
      <c r="AA172">
        <v>109</v>
      </c>
      <c r="AB172" t="s">
        <v>285</v>
      </c>
      <c r="AG172">
        <v>131.16669999999999</v>
      </c>
      <c r="AH172" t="s">
        <v>54</v>
      </c>
      <c r="AI172" t="s">
        <v>52</v>
      </c>
      <c r="AZ172" t="s">
        <v>52</v>
      </c>
      <c r="BQ172" t="s">
        <v>52</v>
      </c>
      <c r="BR172">
        <v>3.58</v>
      </c>
      <c r="BS172" t="s">
        <v>289</v>
      </c>
      <c r="BT172">
        <v>2.66</v>
      </c>
      <c r="BU172" t="s">
        <v>285</v>
      </c>
      <c r="BV172">
        <v>2.66</v>
      </c>
      <c r="BW172" t="s">
        <v>285</v>
      </c>
      <c r="BX172">
        <v>2.52</v>
      </c>
      <c r="BY172" t="s">
        <v>285</v>
      </c>
      <c r="BZ172">
        <v>0.55000000000000004</v>
      </c>
      <c r="CA172" t="s">
        <v>285</v>
      </c>
      <c r="CF172">
        <v>2.61</v>
      </c>
      <c r="CG172" t="s">
        <v>54</v>
      </c>
      <c r="CH172" t="s">
        <v>52</v>
      </c>
    </row>
    <row r="173" spans="1:86" x14ac:dyDescent="0.25">
      <c r="A173" t="s">
        <v>47</v>
      </c>
      <c r="B173">
        <v>8</v>
      </c>
      <c r="C173" t="s">
        <v>109</v>
      </c>
      <c r="D173">
        <v>11</v>
      </c>
      <c r="E173" t="s">
        <v>82</v>
      </c>
      <c r="F173">
        <v>52</v>
      </c>
      <c r="H173" t="s">
        <v>50</v>
      </c>
      <c r="K173" t="s">
        <v>52</v>
      </c>
      <c r="L173">
        <v>1</v>
      </c>
      <c r="M173" t="s">
        <v>53</v>
      </c>
      <c r="N173">
        <v>50</v>
      </c>
      <c r="O173">
        <v>1</v>
      </c>
      <c r="P173" t="s">
        <v>52</v>
      </c>
      <c r="Q173">
        <v>0.5</v>
      </c>
      <c r="R173">
        <v>0.75</v>
      </c>
      <c r="S173">
        <v>85</v>
      </c>
      <c r="T173" t="s">
        <v>285</v>
      </c>
      <c r="U173">
        <v>93</v>
      </c>
      <c r="V173" t="s">
        <v>284</v>
      </c>
      <c r="W173">
        <v>191.5</v>
      </c>
      <c r="X173" t="s">
        <v>284</v>
      </c>
      <c r="Y173">
        <v>198</v>
      </c>
      <c r="Z173" t="s">
        <v>284</v>
      </c>
      <c r="AA173">
        <v>109</v>
      </c>
      <c r="AB173" t="s">
        <v>285</v>
      </c>
      <c r="AG173">
        <v>131.16669999999999</v>
      </c>
      <c r="AH173" t="s">
        <v>54</v>
      </c>
      <c r="AI173" t="s">
        <v>52</v>
      </c>
      <c r="AZ173" t="s">
        <v>52</v>
      </c>
      <c r="BQ173" t="s">
        <v>52</v>
      </c>
      <c r="BR173">
        <v>2.36</v>
      </c>
      <c r="BS173" t="s">
        <v>289</v>
      </c>
      <c r="BT173">
        <v>1.18</v>
      </c>
      <c r="BU173" t="s">
        <v>284</v>
      </c>
      <c r="BV173">
        <v>0.68</v>
      </c>
      <c r="BW173" t="s">
        <v>284</v>
      </c>
      <c r="BX173">
        <v>0.65</v>
      </c>
      <c r="BY173" t="s">
        <v>284</v>
      </c>
      <c r="CH173" t="s">
        <v>52</v>
      </c>
    </row>
    <row r="174" spans="1:86" x14ac:dyDescent="0.25">
      <c r="A174" t="s">
        <v>47</v>
      </c>
      <c r="B174">
        <v>8</v>
      </c>
      <c r="C174" t="s">
        <v>109</v>
      </c>
      <c r="D174">
        <v>11</v>
      </c>
      <c r="E174" t="s">
        <v>83</v>
      </c>
      <c r="F174">
        <v>158</v>
      </c>
      <c r="H174" t="s">
        <v>50</v>
      </c>
      <c r="K174" t="s">
        <v>51</v>
      </c>
      <c r="L174">
        <v>1</v>
      </c>
      <c r="M174" t="s">
        <v>53</v>
      </c>
      <c r="N174">
        <v>158</v>
      </c>
      <c r="O174">
        <v>2</v>
      </c>
      <c r="P174" t="s">
        <v>52</v>
      </c>
      <c r="Q174">
        <v>0.77</v>
      </c>
      <c r="R174">
        <v>0.93</v>
      </c>
      <c r="S174">
        <v>228</v>
      </c>
      <c r="T174" t="s">
        <v>284</v>
      </c>
      <c r="U174">
        <v>221</v>
      </c>
      <c r="V174" t="s">
        <v>284</v>
      </c>
      <c r="W174">
        <v>236</v>
      </c>
      <c r="X174" t="s">
        <v>284</v>
      </c>
      <c r="Y174">
        <v>244</v>
      </c>
      <c r="Z174" t="s">
        <v>284</v>
      </c>
      <c r="AA174">
        <v>252</v>
      </c>
      <c r="AB174" t="s">
        <v>284</v>
      </c>
      <c r="AG174">
        <v>236</v>
      </c>
      <c r="AH174" t="s">
        <v>54</v>
      </c>
      <c r="AI174" t="s">
        <v>52</v>
      </c>
      <c r="AX174">
        <v>339</v>
      </c>
      <c r="AY174" t="s">
        <v>285</v>
      </c>
      <c r="AZ174" t="s">
        <v>287</v>
      </c>
      <c r="BQ174" t="s">
        <v>52</v>
      </c>
      <c r="BR174">
        <v>1.85</v>
      </c>
      <c r="BS174" t="s">
        <v>284</v>
      </c>
      <c r="BT174">
        <v>1.35</v>
      </c>
      <c r="BU174" t="s">
        <v>284</v>
      </c>
      <c r="BV174">
        <v>1.03</v>
      </c>
      <c r="BW174" t="s">
        <v>288</v>
      </c>
      <c r="BX174">
        <v>1.34</v>
      </c>
      <c r="BY174" t="s">
        <v>289</v>
      </c>
      <c r="BZ174">
        <v>1.22</v>
      </c>
      <c r="CA174" t="s">
        <v>289</v>
      </c>
      <c r="CF174">
        <v>1.3</v>
      </c>
      <c r="CG174" t="s">
        <v>54</v>
      </c>
      <c r="CH174" t="s">
        <v>52</v>
      </c>
    </row>
    <row r="175" spans="1:86" x14ac:dyDescent="0.25">
      <c r="A175" t="s">
        <v>47</v>
      </c>
      <c r="B175">
        <v>8</v>
      </c>
      <c r="C175" t="s">
        <v>109</v>
      </c>
      <c r="D175">
        <v>11</v>
      </c>
      <c r="E175" t="s">
        <v>83</v>
      </c>
      <c r="F175">
        <v>158</v>
      </c>
      <c r="H175" t="s">
        <v>50</v>
      </c>
      <c r="K175" t="s">
        <v>52</v>
      </c>
      <c r="L175">
        <v>1</v>
      </c>
      <c r="M175" t="s">
        <v>53</v>
      </c>
      <c r="N175">
        <v>158</v>
      </c>
      <c r="O175">
        <v>2</v>
      </c>
      <c r="P175" t="s">
        <v>52</v>
      </c>
      <c r="Q175">
        <v>0.77</v>
      </c>
      <c r="R175">
        <v>0.93</v>
      </c>
      <c r="S175">
        <v>228</v>
      </c>
      <c r="T175" t="s">
        <v>284</v>
      </c>
      <c r="U175">
        <v>221</v>
      </c>
      <c r="V175" t="s">
        <v>284</v>
      </c>
      <c r="W175">
        <v>236</v>
      </c>
      <c r="X175" t="s">
        <v>284</v>
      </c>
      <c r="Y175">
        <v>244</v>
      </c>
      <c r="Z175" t="s">
        <v>284</v>
      </c>
      <c r="AA175">
        <v>252</v>
      </c>
      <c r="AB175" t="s">
        <v>284</v>
      </c>
      <c r="AG175">
        <v>236</v>
      </c>
      <c r="AH175" t="s">
        <v>54</v>
      </c>
      <c r="AI175" t="s">
        <v>52</v>
      </c>
      <c r="AX175">
        <v>339</v>
      </c>
      <c r="AY175" t="s">
        <v>285</v>
      </c>
      <c r="AZ175" t="s">
        <v>287</v>
      </c>
      <c r="BQ175" t="s">
        <v>52</v>
      </c>
      <c r="BR175">
        <v>1.31</v>
      </c>
      <c r="BS175" t="s">
        <v>285</v>
      </c>
      <c r="BT175">
        <v>1.01</v>
      </c>
      <c r="BU175" t="s">
        <v>284</v>
      </c>
      <c r="BV175">
        <v>0.33</v>
      </c>
      <c r="BW175" t="s">
        <v>288</v>
      </c>
      <c r="BX175">
        <v>0.56999999999999995</v>
      </c>
      <c r="BY175" t="s">
        <v>285</v>
      </c>
      <c r="BZ175">
        <v>0.1</v>
      </c>
      <c r="CA175" t="s">
        <v>289</v>
      </c>
      <c r="CF175">
        <v>0.64</v>
      </c>
      <c r="CG175" t="s">
        <v>54</v>
      </c>
      <c r="CH175" t="s">
        <v>52</v>
      </c>
    </row>
    <row r="176" spans="1:86" x14ac:dyDescent="0.25">
      <c r="A176" t="s">
        <v>47</v>
      </c>
      <c r="B176">
        <v>8</v>
      </c>
      <c r="C176" t="s">
        <v>109</v>
      </c>
      <c r="D176">
        <v>11</v>
      </c>
      <c r="E176" t="s">
        <v>84</v>
      </c>
      <c r="F176">
        <v>11</v>
      </c>
      <c r="G176" t="s">
        <v>85</v>
      </c>
      <c r="H176" t="s">
        <v>50</v>
      </c>
      <c r="K176" t="s">
        <v>51</v>
      </c>
      <c r="L176">
        <v>1</v>
      </c>
      <c r="M176" t="s">
        <v>53</v>
      </c>
      <c r="N176">
        <v>11</v>
      </c>
      <c r="O176">
        <v>2</v>
      </c>
      <c r="P176" t="s">
        <v>52</v>
      </c>
      <c r="Q176">
        <v>0.5</v>
      </c>
      <c r="R176">
        <v>0.75</v>
      </c>
      <c r="S176">
        <v>155</v>
      </c>
      <c r="T176" t="s">
        <v>284</v>
      </c>
      <c r="U176">
        <v>110</v>
      </c>
      <c r="V176" t="s">
        <v>284</v>
      </c>
      <c r="W176">
        <v>118</v>
      </c>
      <c r="X176" t="s">
        <v>284</v>
      </c>
      <c r="Y176">
        <v>122</v>
      </c>
      <c r="Z176" t="s">
        <v>284</v>
      </c>
      <c r="AA176">
        <v>126</v>
      </c>
      <c r="AB176" t="s">
        <v>284</v>
      </c>
      <c r="AG176">
        <v>122</v>
      </c>
      <c r="AH176" t="s">
        <v>54</v>
      </c>
      <c r="AI176" t="s">
        <v>52</v>
      </c>
      <c r="AZ176" t="s">
        <v>52</v>
      </c>
      <c r="BQ176" t="s">
        <v>52</v>
      </c>
      <c r="BR176">
        <v>1.23</v>
      </c>
      <c r="BS176" t="s">
        <v>285</v>
      </c>
      <c r="BT176">
        <v>1.2</v>
      </c>
      <c r="BU176" t="s">
        <v>284</v>
      </c>
      <c r="BV176">
        <v>1.29</v>
      </c>
      <c r="BW176" t="s">
        <v>284</v>
      </c>
      <c r="BX176">
        <v>1.1200000000000001</v>
      </c>
      <c r="BY176" t="s">
        <v>284</v>
      </c>
      <c r="BZ176">
        <v>1.06</v>
      </c>
      <c r="CA176" t="s">
        <v>284</v>
      </c>
      <c r="CF176">
        <v>1.18</v>
      </c>
      <c r="CG176" t="s">
        <v>54</v>
      </c>
      <c r="CH176" t="s">
        <v>52</v>
      </c>
    </row>
    <row r="177" spans="1:86" x14ac:dyDescent="0.25">
      <c r="A177" t="s">
        <v>47</v>
      </c>
      <c r="B177">
        <v>8</v>
      </c>
      <c r="C177" t="s">
        <v>109</v>
      </c>
      <c r="D177">
        <v>11</v>
      </c>
      <c r="E177" t="s">
        <v>84</v>
      </c>
      <c r="F177">
        <v>11</v>
      </c>
      <c r="G177" t="s">
        <v>96</v>
      </c>
      <c r="H177" t="s">
        <v>50</v>
      </c>
      <c r="K177" t="s">
        <v>51</v>
      </c>
      <c r="L177">
        <v>1</v>
      </c>
      <c r="M177" t="s">
        <v>53</v>
      </c>
      <c r="N177">
        <v>11</v>
      </c>
      <c r="O177">
        <v>2</v>
      </c>
      <c r="P177" t="s">
        <v>52</v>
      </c>
      <c r="Q177">
        <v>0.5</v>
      </c>
      <c r="R177">
        <v>0.75</v>
      </c>
      <c r="S177">
        <v>124</v>
      </c>
      <c r="T177" t="s">
        <v>284</v>
      </c>
      <c r="U177">
        <v>110</v>
      </c>
      <c r="V177" t="s">
        <v>284</v>
      </c>
      <c r="W177">
        <v>118</v>
      </c>
      <c r="X177" t="s">
        <v>284</v>
      </c>
      <c r="Y177">
        <v>122</v>
      </c>
      <c r="Z177" t="s">
        <v>284</v>
      </c>
      <c r="AA177">
        <v>126</v>
      </c>
      <c r="AB177" t="s">
        <v>284</v>
      </c>
      <c r="AG177">
        <v>121.33329999999999</v>
      </c>
      <c r="AH177" t="s">
        <v>54</v>
      </c>
      <c r="AI177" t="s">
        <v>52</v>
      </c>
      <c r="AZ177" t="s">
        <v>52</v>
      </c>
      <c r="BQ177" t="s">
        <v>52</v>
      </c>
      <c r="BR177">
        <v>1.23</v>
      </c>
      <c r="BS177" t="s">
        <v>285</v>
      </c>
      <c r="BT177">
        <v>1.2</v>
      </c>
      <c r="BU177" t="s">
        <v>284</v>
      </c>
      <c r="BV177">
        <v>1.29</v>
      </c>
      <c r="BW177" t="s">
        <v>284</v>
      </c>
      <c r="BX177">
        <v>1.1200000000000001</v>
      </c>
      <c r="BY177" t="s">
        <v>284</v>
      </c>
      <c r="BZ177">
        <v>0.97</v>
      </c>
      <c r="CA177" t="s">
        <v>284</v>
      </c>
      <c r="CF177">
        <v>1.18</v>
      </c>
      <c r="CG177" t="s">
        <v>54</v>
      </c>
      <c r="CH177" t="s">
        <v>52</v>
      </c>
    </row>
    <row r="178" spans="1:86" x14ac:dyDescent="0.25">
      <c r="A178" t="s">
        <v>47</v>
      </c>
      <c r="B178">
        <v>8</v>
      </c>
      <c r="C178" t="s">
        <v>109</v>
      </c>
      <c r="D178">
        <v>11</v>
      </c>
      <c r="E178" t="s">
        <v>84</v>
      </c>
      <c r="F178">
        <v>11</v>
      </c>
      <c r="G178" t="s">
        <v>96</v>
      </c>
      <c r="H178" t="s">
        <v>50</v>
      </c>
      <c r="K178" t="s">
        <v>52</v>
      </c>
      <c r="L178">
        <v>1</v>
      </c>
      <c r="M178" t="s">
        <v>53</v>
      </c>
      <c r="N178">
        <v>11</v>
      </c>
      <c r="O178">
        <v>2</v>
      </c>
      <c r="P178" t="s">
        <v>52</v>
      </c>
      <c r="Q178">
        <v>0.5</v>
      </c>
      <c r="R178">
        <v>0.75</v>
      </c>
      <c r="S178">
        <v>124</v>
      </c>
      <c r="T178" t="s">
        <v>284</v>
      </c>
      <c r="U178">
        <v>110</v>
      </c>
      <c r="V178" t="s">
        <v>284</v>
      </c>
      <c r="W178">
        <v>118</v>
      </c>
      <c r="X178" t="s">
        <v>284</v>
      </c>
      <c r="Y178">
        <v>122</v>
      </c>
      <c r="Z178" t="s">
        <v>284</v>
      </c>
      <c r="AA178">
        <v>126</v>
      </c>
      <c r="AB178" t="s">
        <v>284</v>
      </c>
      <c r="AG178">
        <v>121.33329999999999</v>
      </c>
      <c r="AH178" t="s">
        <v>54</v>
      </c>
      <c r="AI178" t="s">
        <v>52</v>
      </c>
      <c r="AZ178" t="s">
        <v>52</v>
      </c>
      <c r="BQ178" t="s">
        <v>52</v>
      </c>
      <c r="BR178">
        <v>0.45</v>
      </c>
      <c r="BS178" t="s">
        <v>285</v>
      </c>
      <c r="BT178">
        <v>0.41</v>
      </c>
      <c r="BU178" t="s">
        <v>284</v>
      </c>
      <c r="BV178">
        <v>0.47</v>
      </c>
      <c r="BW178" t="s">
        <v>284</v>
      </c>
      <c r="BX178">
        <v>0.41</v>
      </c>
      <c r="BY178" t="s">
        <v>284</v>
      </c>
      <c r="BZ178">
        <v>0.36</v>
      </c>
      <c r="CA178" t="s">
        <v>284</v>
      </c>
      <c r="CF178">
        <v>0.42</v>
      </c>
      <c r="CG178" t="s">
        <v>54</v>
      </c>
      <c r="CH178" t="s">
        <v>52</v>
      </c>
    </row>
    <row r="179" spans="1:86" x14ac:dyDescent="0.25">
      <c r="A179" t="s">
        <v>47</v>
      </c>
      <c r="B179">
        <v>8</v>
      </c>
      <c r="C179" t="s">
        <v>109</v>
      </c>
      <c r="D179">
        <v>11</v>
      </c>
      <c r="E179" t="s">
        <v>84</v>
      </c>
      <c r="F179">
        <v>11</v>
      </c>
      <c r="G179" t="s">
        <v>108</v>
      </c>
      <c r="H179" t="s">
        <v>50</v>
      </c>
      <c r="K179" t="s">
        <v>51</v>
      </c>
      <c r="L179">
        <v>1</v>
      </c>
      <c r="M179" t="s">
        <v>53</v>
      </c>
      <c r="N179">
        <v>11</v>
      </c>
      <c r="O179">
        <v>2</v>
      </c>
      <c r="P179" t="s">
        <v>52</v>
      </c>
      <c r="Q179">
        <v>0.5</v>
      </c>
      <c r="R179">
        <v>0.75</v>
      </c>
      <c r="S179">
        <v>124</v>
      </c>
      <c r="T179" t="s">
        <v>284</v>
      </c>
      <c r="U179">
        <v>110</v>
      </c>
      <c r="V179" t="s">
        <v>284</v>
      </c>
      <c r="AI179" t="s">
        <v>52</v>
      </c>
      <c r="AZ179" t="s">
        <v>52</v>
      </c>
      <c r="BQ179" t="s">
        <v>52</v>
      </c>
      <c r="BR179">
        <v>1.23</v>
      </c>
      <c r="BS179" t="s">
        <v>285</v>
      </c>
      <c r="BT179">
        <v>1.2</v>
      </c>
      <c r="BU179" t="s">
        <v>284</v>
      </c>
      <c r="CH179" t="s">
        <v>52</v>
      </c>
    </row>
    <row r="180" spans="1:86" x14ac:dyDescent="0.25">
      <c r="A180" t="s">
        <v>47</v>
      </c>
      <c r="B180">
        <v>8</v>
      </c>
      <c r="C180" t="s">
        <v>109</v>
      </c>
      <c r="D180">
        <v>11</v>
      </c>
      <c r="E180" t="s">
        <v>84</v>
      </c>
      <c r="F180">
        <v>11</v>
      </c>
      <c r="G180" t="s">
        <v>108</v>
      </c>
      <c r="H180" t="s">
        <v>50</v>
      </c>
      <c r="K180" t="s">
        <v>52</v>
      </c>
      <c r="L180">
        <v>1</v>
      </c>
      <c r="M180" t="s">
        <v>53</v>
      </c>
      <c r="N180">
        <v>11</v>
      </c>
      <c r="O180">
        <v>2</v>
      </c>
      <c r="P180" t="s">
        <v>52</v>
      </c>
      <c r="Q180">
        <v>0.5</v>
      </c>
      <c r="R180">
        <v>0.75</v>
      </c>
      <c r="S180">
        <v>124</v>
      </c>
      <c r="T180" t="s">
        <v>284</v>
      </c>
      <c r="U180">
        <v>110</v>
      </c>
      <c r="V180" t="s">
        <v>284</v>
      </c>
      <c r="AI180" t="s">
        <v>52</v>
      </c>
      <c r="AZ180" t="s">
        <v>52</v>
      </c>
      <c r="BQ180" t="s">
        <v>52</v>
      </c>
      <c r="BR180">
        <v>0.45</v>
      </c>
      <c r="BS180" t="s">
        <v>285</v>
      </c>
      <c r="BT180">
        <v>0.41</v>
      </c>
      <c r="BU180" t="s">
        <v>284</v>
      </c>
      <c r="CH180" t="s">
        <v>52</v>
      </c>
    </row>
    <row r="181" spans="1:86" x14ac:dyDescent="0.25">
      <c r="A181" t="s">
        <v>47</v>
      </c>
      <c r="B181">
        <v>8</v>
      </c>
      <c r="C181" t="s">
        <v>117</v>
      </c>
      <c r="D181">
        <v>13</v>
      </c>
      <c r="E181" t="s">
        <v>49</v>
      </c>
      <c r="F181">
        <v>27</v>
      </c>
      <c r="H181" t="s">
        <v>50</v>
      </c>
      <c r="K181" t="s">
        <v>51</v>
      </c>
      <c r="L181">
        <v>1</v>
      </c>
      <c r="M181" t="s">
        <v>53</v>
      </c>
      <c r="N181">
        <v>27</v>
      </c>
      <c r="O181">
        <v>1</v>
      </c>
      <c r="P181" t="s">
        <v>52</v>
      </c>
      <c r="Q181">
        <v>0</v>
      </c>
      <c r="R181">
        <v>0.75</v>
      </c>
      <c r="S181">
        <v>231</v>
      </c>
      <c r="T181" t="s">
        <v>284</v>
      </c>
      <c r="U181">
        <v>208</v>
      </c>
      <c r="V181" t="s">
        <v>284</v>
      </c>
      <c r="W181">
        <v>224</v>
      </c>
      <c r="X181" t="s">
        <v>284</v>
      </c>
      <c r="Y181">
        <v>225</v>
      </c>
      <c r="Z181" t="s">
        <v>285</v>
      </c>
      <c r="AA181">
        <v>247</v>
      </c>
      <c r="AB181" t="s">
        <v>285</v>
      </c>
      <c r="AC181">
        <v>241</v>
      </c>
      <c r="AD181" t="s">
        <v>285</v>
      </c>
      <c r="AE181">
        <v>219</v>
      </c>
      <c r="AF181" t="s">
        <v>285</v>
      </c>
      <c r="AG181">
        <v>219</v>
      </c>
      <c r="AH181" t="s">
        <v>286</v>
      </c>
      <c r="AI181" t="s">
        <v>287</v>
      </c>
      <c r="AX181">
        <v>263</v>
      </c>
      <c r="AY181" t="s">
        <v>286</v>
      </c>
      <c r="AZ181" t="s">
        <v>287</v>
      </c>
      <c r="BQ181" t="s">
        <v>52</v>
      </c>
      <c r="BR181">
        <v>3.7</v>
      </c>
      <c r="BS181" t="s">
        <v>284</v>
      </c>
      <c r="BT181">
        <v>3.4</v>
      </c>
      <c r="BU181" t="s">
        <v>284</v>
      </c>
      <c r="BV181">
        <v>2.11</v>
      </c>
      <c r="BW181" t="s">
        <v>284</v>
      </c>
      <c r="BX181">
        <v>2.74</v>
      </c>
      <c r="BY181" t="s">
        <v>284</v>
      </c>
      <c r="BZ181">
        <v>2.2999999999999998</v>
      </c>
      <c r="CA181" t="s">
        <v>289</v>
      </c>
      <c r="CF181">
        <v>2.81</v>
      </c>
      <c r="CG181" t="s">
        <v>54</v>
      </c>
      <c r="CH181" t="s">
        <v>52</v>
      </c>
    </row>
    <row r="182" spans="1:86" x14ac:dyDescent="0.25">
      <c r="A182" t="s">
        <v>47</v>
      </c>
      <c r="B182">
        <v>8</v>
      </c>
      <c r="C182" t="s">
        <v>117</v>
      </c>
      <c r="D182">
        <v>13</v>
      </c>
      <c r="E182" t="s">
        <v>49</v>
      </c>
      <c r="F182">
        <v>27</v>
      </c>
      <c r="H182" t="s">
        <v>50</v>
      </c>
      <c r="K182" t="s">
        <v>52</v>
      </c>
      <c r="L182">
        <v>1</v>
      </c>
      <c r="M182" t="s">
        <v>53</v>
      </c>
      <c r="N182">
        <v>27</v>
      </c>
      <c r="O182">
        <v>1</v>
      </c>
      <c r="P182" t="s">
        <v>52</v>
      </c>
      <c r="Q182">
        <v>0</v>
      </c>
      <c r="R182">
        <v>0.75</v>
      </c>
      <c r="S182">
        <v>231</v>
      </c>
      <c r="T182" t="s">
        <v>284</v>
      </c>
      <c r="U182">
        <v>208</v>
      </c>
      <c r="V182" t="s">
        <v>284</v>
      </c>
      <c r="W182">
        <v>224</v>
      </c>
      <c r="X182" t="s">
        <v>284</v>
      </c>
      <c r="Y182">
        <v>225</v>
      </c>
      <c r="Z182" t="s">
        <v>285</v>
      </c>
      <c r="AA182">
        <v>247</v>
      </c>
      <c r="AB182" t="s">
        <v>285</v>
      </c>
      <c r="AC182">
        <v>241</v>
      </c>
      <c r="AD182" t="s">
        <v>285</v>
      </c>
      <c r="AE182">
        <v>219</v>
      </c>
      <c r="AF182" t="s">
        <v>285</v>
      </c>
      <c r="AG182">
        <v>219</v>
      </c>
      <c r="AH182" t="s">
        <v>286</v>
      </c>
      <c r="AI182" t="s">
        <v>287</v>
      </c>
      <c r="AX182">
        <v>263</v>
      </c>
      <c r="AY182" t="s">
        <v>286</v>
      </c>
      <c r="AZ182" t="s">
        <v>287</v>
      </c>
      <c r="BQ182" t="s">
        <v>52</v>
      </c>
      <c r="BR182">
        <v>1.3</v>
      </c>
      <c r="BS182" t="s">
        <v>284</v>
      </c>
      <c r="BT182">
        <v>1.2</v>
      </c>
      <c r="BU182" t="s">
        <v>284</v>
      </c>
      <c r="BV182">
        <v>0.75</v>
      </c>
      <c r="BW182" t="s">
        <v>284</v>
      </c>
      <c r="BX182">
        <v>0.12</v>
      </c>
      <c r="BY182" t="s">
        <v>284</v>
      </c>
      <c r="BZ182">
        <v>0.14000000000000001</v>
      </c>
      <c r="CA182" t="s">
        <v>289</v>
      </c>
      <c r="CF182">
        <v>0.7</v>
      </c>
      <c r="CG182" t="s">
        <v>54</v>
      </c>
      <c r="CH182" t="s">
        <v>52</v>
      </c>
    </row>
    <row r="183" spans="1:86" x14ac:dyDescent="0.25">
      <c r="A183" t="s">
        <v>47</v>
      </c>
      <c r="B183">
        <v>8</v>
      </c>
      <c r="C183" t="s">
        <v>117</v>
      </c>
      <c r="D183">
        <v>13</v>
      </c>
      <c r="E183" t="s">
        <v>58</v>
      </c>
      <c r="F183">
        <v>102</v>
      </c>
      <c r="G183" t="s">
        <v>61</v>
      </c>
      <c r="H183" t="s">
        <v>50</v>
      </c>
      <c r="K183" t="s">
        <v>51</v>
      </c>
      <c r="L183">
        <v>1</v>
      </c>
      <c r="M183" t="s">
        <v>53</v>
      </c>
      <c r="N183">
        <v>102</v>
      </c>
      <c r="O183">
        <v>1</v>
      </c>
      <c r="P183" t="s">
        <v>52</v>
      </c>
      <c r="Q183">
        <v>0</v>
      </c>
      <c r="R183">
        <v>0.92</v>
      </c>
      <c r="S183">
        <v>131.69999999999999</v>
      </c>
      <c r="T183" t="s">
        <v>284</v>
      </c>
      <c r="U183">
        <v>170</v>
      </c>
      <c r="V183" t="s">
        <v>284</v>
      </c>
      <c r="W183">
        <v>191</v>
      </c>
      <c r="X183" t="s">
        <v>284</v>
      </c>
      <c r="Y183">
        <v>207</v>
      </c>
      <c r="Z183" t="s">
        <v>284</v>
      </c>
      <c r="AA183">
        <v>315</v>
      </c>
      <c r="AB183" t="s">
        <v>285</v>
      </c>
      <c r="AG183">
        <v>189.33330000000001</v>
      </c>
      <c r="AH183" t="s">
        <v>54</v>
      </c>
      <c r="AI183" t="s">
        <v>52</v>
      </c>
      <c r="AZ183" t="s">
        <v>52</v>
      </c>
      <c r="BQ183" t="s">
        <v>52</v>
      </c>
      <c r="BR183">
        <v>1.85</v>
      </c>
      <c r="BS183" t="s">
        <v>284</v>
      </c>
      <c r="BT183">
        <v>2.08</v>
      </c>
      <c r="BU183" t="s">
        <v>284</v>
      </c>
      <c r="BV183">
        <v>1.62</v>
      </c>
      <c r="BW183" t="s">
        <v>285</v>
      </c>
      <c r="BX183">
        <v>1.1200000000000001</v>
      </c>
      <c r="BY183" t="s">
        <v>285</v>
      </c>
      <c r="BZ183">
        <v>0.96</v>
      </c>
      <c r="CA183" t="s">
        <v>284</v>
      </c>
      <c r="CF183">
        <v>1.53</v>
      </c>
      <c r="CG183" t="s">
        <v>54</v>
      </c>
      <c r="CH183" t="s">
        <v>52</v>
      </c>
    </row>
    <row r="184" spans="1:86" x14ac:dyDescent="0.25">
      <c r="A184" t="s">
        <v>47</v>
      </c>
      <c r="B184">
        <v>8</v>
      </c>
      <c r="C184" t="s">
        <v>117</v>
      </c>
      <c r="D184">
        <v>13</v>
      </c>
      <c r="E184" t="s">
        <v>58</v>
      </c>
      <c r="F184">
        <v>102</v>
      </c>
      <c r="G184" t="s">
        <v>61</v>
      </c>
      <c r="H184" t="s">
        <v>50</v>
      </c>
      <c r="K184" t="s">
        <v>52</v>
      </c>
      <c r="L184">
        <v>1</v>
      </c>
      <c r="M184" t="s">
        <v>53</v>
      </c>
      <c r="N184">
        <v>102</v>
      </c>
      <c r="O184">
        <v>1</v>
      </c>
      <c r="P184" t="s">
        <v>52</v>
      </c>
      <c r="Q184">
        <v>0</v>
      </c>
      <c r="R184">
        <v>0.92</v>
      </c>
      <c r="S184">
        <v>131.69999999999999</v>
      </c>
      <c r="T184" t="s">
        <v>284</v>
      </c>
      <c r="U184">
        <v>170</v>
      </c>
      <c r="V184" t="s">
        <v>284</v>
      </c>
      <c r="W184">
        <v>191</v>
      </c>
      <c r="X184" t="s">
        <v>284</v>
      </c>
      <c r="Y184">
        <v>207</v>
      </c>
      <c r="Z184" t="s">
        <v>284</v>
      </c>
      <c r="AA184">
        <v>315</v>
      </c>
      <c r="AB184" t="s">
        <v>285</v>
      </c>
      <c r="AG184">
        <v>189.33330000000001</v>
      </c>
      <c r="AH184" t="s">
        <v>54</v>
      </c>
      <c r="AI184" t="s">
        <v>52</v>
      </c>
      <c r="AZ184" t="s">
        <v>52</v>
      </c>
      <c r="BQ184" t="s">
        <v>52</v>
      </c>
      <c r="BR184">
        <v>0.93</v>
      </c>
      <c r="BS184" t="s">
        <v>285</v>
      </c>
      <c r="BT184">
        <v>1.0900000000000001</v>
      </c>
      <c r="BU184" t="s">
        <v>284</v>
      </c>
      <c r="BV184">
        <v>0.84</v>
      </c>
      <c r="BW184" t="s">
        <v>285</v>
      </c>
      <c r="BX184">
        <v>0.59</v>
      </c>
      <c r="BY184" t="s">
        <v>285</v>
      </c>
      <c r="BZ184">
        <v>0.51</v>
      </c>
      <c r="CA184" t="s">
        <v>284</v>
      </c>
      <c r="CF184">
        <v>0.79</v>
      </c>
      <c r="CG184" t="s">
        <v>54</v>
      </c>
      <c r="CH184" t="s">
        <v>52</v>
      </c>
    </row>
    <row r="185" spans="1:86" x14ac:dyDescent="0.25">
      <c r="A185" t="s">
        <v>47</v>
      </c>
      <c r="B185">
        <v>8</v>
      </c>
      <c r="C185" t="s">
        <v>117</v>
      </c>
      <c r="D185">
        <v>13</v>
      </c>
      <c r="E185" t="s">
        <v>58</v>
      </c>
      <c r="F185">
        <v>102</v>
      </c>
      <c r="G185" t="s">
        <v>113</v>
      </c>
      <c r="H185" t="s">
        <v>50</v>
      </c>
      <c r="K185" t="s">
        <v>51</v>
      </c>
      <c r="L185">
        <v>1</v>
      </c>
      <c r="M185" t="s">
        <v>53</v>
      </c>
      <c r="N185">
        <v>102</v>
      </c>
      <c r="O185">
        <v>1</v>
      </c>
      <c r="P185" t="s">
        <v>52</v>
      </c>
      <c r="Q185">
        <v>0</v>
      </c>
      <c r="R185">
        <v>0.92</v>
      </c>
      <c r="S185">
        <v>131.69999999999999</v>
      </c>
      <c r="T185" t="s">
        <v>284</v>
      </c>
      <c r="U185">
        <v>170</v>
      </c>
      <c r="V185" t="s">
        <v>284</v>
      </c>
      <c r="W185">
        <v>191</v>
      </c>
      <c r="X185" t="s">
        <v>284</v>
      </c>
      <c r="Y185">
        <v>207</v>
      </c>
      <c r="Z185" t="s">
        <v>284</v>
      </c>
      <c r="AA185">
        <v>205</v>
      </c>
      <c r="AB185" t="s">
        <v>285</v>
      </c>
      <c r="AG185">
        <v>188.66669999999999</v>
      </c>
      <c r="AH185" t="s">
        <v>54</v>
      </c>
      <c r="AI185" t="s">
        <v>52</v>
      </c>
      <c r="AZ185" t="s">
        <v>52</v>
      </c>
      <c r="BQ185" t="s">
        <v>52</v>
      </c>
      <c r="BR185">
        <v>1.85</v>
      </c>
      <c r="BS185" t="s">
        <v>284</v>
      </c>
      <c r="BT185">
        <v>2.08</v>
      </c>
      <c r="BU185" t="s">
        <v>284</v>
      </c>
      <c r="BV185">
        <v>1.62</v>
      </c>
      <c r="BW185" t="s">
        <v>285</v>
      </c>
      <c r="BX185">
        <v>1.1200000000000001</v>
      </c>
      <c r="BY185" t="s">
        <v>285</v>
      </c>
      <c r="BZ185">
        <v>0.96</v>
      </c>
      <c r="CA185" t="s">
        <v>284</v>
      </c>
      <c r="CF185">
        <v>1.53</v>
      </c>
      <c r="CG185" t="s">
        <v>54</v>
      </c>
      <c r="CH185" t="s">
        <v>52</v>
      </c>
    </row>
    <row r="186" spans="1:86" x14ac:dyDescent="0.25">
      <c r="A186" t="s">
        <v>47</v>
      </c>
      <c r="B186">
        <v>8</v>
      </c>
      <c r="C186" t="s">
        <v>117</v>
      </c>
      <c r="D186">
        <v>13</v>
      </c>
      <c r="E186" t="s">
        <v>58</v>
      </c>
      <c r="F186">
        <v>102</v>
      </c>
      <c r="G186" t="s">
        <v>113</v>
      </c>
      <c r="H186" t="s">
        <v>50</v>
      </c>
      <c r="K186" t="s">
        <v>52</v>
      </c>
      <c r="L186">
        <v>1</v>
      </c>
      <c r="M186" t="s">
        <v>53</v>
      </c>
      <c r="N186">
        <v>102</v>
      </c>
      <c r="O186">
        <v>1</v>
      </c>
      <c r="P186" t="s">
        <v>52</v>
      </c>
      <c r="Q186">
        <v>0</v>
      </c>
      <c r="R186">
        <v>0.92</v>
      </c>
      <c r="S186">
        <v>131.69999999999999</v>
      </c>
      <c r="T186" t="s">
        <v>284</v>
      </c>
      <c r="U186">
        <v>170</v>
      </c>
      <c r="V186" t="s">
        <v>284</v>
      </c>
      <c r="W186">
        <v>191</v>
      </c>
      <c r="X186" t="s">
        <v>284</v>
      </c>
      <c r="Y186">
        <v>207</v>
      </c>
      <c r="Z186" t="s">
        <v>284</v>
      </c>
      <c r="AA186">
        <v>205</v>
      </c>
      <c r="AB186" t="s">
        <v>285</v>
      </c>
      <c r="AG186">
        <v>188.66669999999999</v>
      </c>
      <c r="AH186" t="s">
        <v>54</v>
      </c>
      <c r="AI186" t="s">
        <v>52</v>
      </c>
      <c r="AZ186" t="s">
        <v>52</v>
      </c>
      <c r="BQ186" t="s">
        <v>52</v>
      </c>
      <c r="BR186">
        <v>0.93</v>
      </c>
      <c r="BS186" t="s">
        <v>285</v>
      </c>
      <c r="BT186">
        <v>1.0900000000000001</v>
      </c>
      <c r="BU186" t="s">
        <v>284</v>
      </c>
      <c r="BV186">
        <v>0.32</v>
      </c>
      <c r="BW186" t="s">
        <v>285</v>
      </c>
      <c r="BX186">
        <v>0.59</v>
      </c>
      <c r="BY186" t="s">
        <v>285</v>
      </c>
      <c r="BZ186">
        <v>0.51</v>
      </c>
      <c r="CA186" t="s">
        <v>284</v>
      </c>
      <c r="CF186">
        <v>0.68</v>
      </c>
      <c r="CG186" t="s">
        <v>54</v>
      </c>
      <c r="CH186" t="s">
        <v>52</v>
      </c>
    </row>
    <row r="187" spans="1:86" x14ac:dyDescent="0.25">
      <c r="A187" t="s">
        <v>47</v>
      </c>
      <c r="B187">
        <v>8</v>
      </c>
      <c r="C187" t="s">
        <v>117</v>
      </c>
      <c r="D187">
        <v>13</v>
      </c>
      <c r="E187" t="s">
        <v>58</v>
      </c>
      <c r="F187">
        <v>102</v>
      </c>
      <c r="G187" t="s">
        <v>62</v>
      </c>
      <c r="H187" t="s">
        <v>50</v>
      </c>
      <c r="K187" t="s">
        <v>51</v>
      </c>
      <c r="L187">
        <v>1</v>
      </c>
      <c r="M187" t="s">
        <v>53</v>
      </c>
      <c r="N187">
        <v>102</v>
      </c>
      <c r="O187">
        <v>1</v>
      </c>
      <c r="P187" t="s">
        <v>52</v>
      </c>
      <c r="Q187">
        <v>0</v>
      </c>
      <c r="R187">
        <v>0.92</v>
      </c>
      <c r="S187">
        <v>131.69999999999999</v>
      </c>
      <c r="T187" t="s">
        <v>284</v>
      </c>
      <c r="U187">
        <v>170</v>
      </c>
      <c r="V187" t="s">
        <v>284</v>
      </c>
      <c r="W187">
        <v>191</v>
      </c>
      <c r="X187" t="s">
        <v>284</v>
      </c>
      <c r="Y187">
        <v>207</v>
      </c>
      <c r="Z187" t="s">
        <v>284</v>
      </c>
      <c r="AA187">
        <v>205</v>
      </c>
      <c r="AB187" t="s">
        <v>285</v>
      </c>
      <c r="AG187">
        <v>188.66669999999999</v>
      </c>
      <c r="AH187" t="s">
        <v>54</v>
      </c>
      <c r="AI187" t="s">
        <v>52</v>
      </c>
      <c r="AX187">
        <v>271.60000000000002</v>
      </c>
      <c r="AY187" t="s">
        <v>285</v>
      </c>
      <c r="AZ187" t="s">
        <v>287</v>
      </c>
      <c r="BQ187" t="s">
        <v>52</v>
      </c>
      <c r="BR187">
        <v>1.85</v>
      </c>
      <c r="BS187" t="s">
        <v>284</v>
      </c>
      <c r="BT187">
        <v>2.08</v>
      </c>
      <c r="BU187" t="s">
        <v>284</v>
      </c>
      <c r="BV187">
        <v>0.63</v>
      </c>
      <c r="BW187" t="s">
        <v>285</v>
      </c>
      <c r="BX187">
        <v>0.75</v>
      </c>
      <c r="BY187" t="s">
        <v>285</v>
      </c>
      <c r="BZ187">
        <v>0.65</v>
      </c>
      <c r="CA187" t="s">
        <v>284</v>
      </c>
      <c r="CF187">
        <v>1.08</v>
      </c>
      <c r="CG187" t="s">
        <v>54</v>
      </c>
      <c r="CH187" t="s">
        <v>52</v>
      </c>
    </row>
    <row r="188" spans="1:86" x14ac:dyDescent="0.25">
      <c r="A188" t="s">
        <v>47</v>
      </c>
      <c r="B188">
        <v>8</v>
      </c>
      <c r="C188" t="s">
        <v>117</v>
      </c>
      <c r="D188">
        <v>13</v>
      </c>
      <c r="E188" t="s">
        <v>58</v>
      </c>
      <c r="F188">
        <v>102</v>
      </c>
      <c r="G188" t="s">
        <v>63</v>
      </c>
      <c r="H188" t="s">
        <v>50</v>
      </c>
      <c r="K188" t="s">
        <v>51</v>
      </c>
      <c r="L188">
        <v>1</v>
      </c>
      <c r="M188" t="s">
        <v>53</v>
      </c>
      <c r="N188">
        <v>102</v>
      </c>
      <c r="O188">
        <v>1</v>
      </c>
      <c r="P188" t="s">
        <v>52</v>
      </c>
      <c r="Q188">
        <v>0</v>
      </c>
      <c r="R188">
        <v>0.92</v>
      </c>
      <c r="S188">
        <v>131.69999999999999</v>
      </c>
      <c r="T188" t="s">
        <v>284</v>
      </c>
      <c r="U188">
        <v>170</v>
      </c>
      <c r="V188" t="s">
        <v>284</v>
      </c>
      <c r="W188">
        <v>191</v>
      </c>
      <c r="X188" t="s">
        <v>285</v>
      </c>
      <c r="Y188">
        <v>207</v>
      </c>
      <c r="Z188" t="s">
        <v>285</v>
      </c>
      <c r="AA188">
        <v>265</v>
      </c>
      <c r="AB188" t="s">
        <v>285</v>
      </c>
      <c r="AG188">
        <v>189.33330000000001</v>
      </c>
      <c r="AH188" t="s">
        <v>54</v>
      </c>
      <c r="AI188" t="s">
        <v>52</v>
      </c>
      <c r="AZ188" t="s">
        <v>52</v>
      </c>
      <c r="BQ188" t="s">
        <v>52</v>
      </c>
      <c r="BR188">
        <v>2.1</v>
      </c>
      <c r="BS188" t="s">
        <v>285</v>
      </c>
      <c r="BT188">
        <v>2.08</v>
      </c>
      <c r="BU188" t="s">
        <v>284</v>
      </c>
      <c r="BV188">
        <v>1.62</v>
      </c>
      <c r="BW188" t="s">
        <v>285</v>
      </c>
      <c r="BX188">
        <v>1.1200000000000001</v>
      </c>
      <c r="BY188" t="s">
        <v>285</v>
      </c>
      <c r="BZ188">
        <v>0.96</v>
      </c>
      <c r="CA188" t="s">
        <v>284</v>
      </c>
      <c r="CF188">
        <v>1.61</v>
      </c>
      <c r="CG188" t="s">
        <v>54</v>
      </c>
      <c r="CH188" t="s">
        <v>52</v>
      </c>
    </row>
    <row r="189" spans="1:86" x14ac:dyDescent="0.25">
      <c r="A189" t="s">
        <v>47</v>
      </c>
      <c r="B189">
        <v>8</v>
      </c>
      <c r="C189" t="s">
        <v>117</v>
      </c>
      <c r="D189">
        <v>13</v>
      </c>
      <c r="E189" t="s">
        <v>58</v>
      </c>
      <c r="F189">
        <v>102</v>
      </c>
      <c r="G189" t="s">
        <v>63</v>
      </c>
      <c r="H189" t="s">
        <v>50</v>
      </c>
      <c r="K189" t="s">
        <v>52</v>
      </c>
      <c r="L189">
        <v>1</v>
      </c>
      <c r="M189" t="s">
        <v>53</v>
      </c>
      <c r="N189">
        <v>102</v>
      </c>
      <c r="O189">
        <v>1</v>
      </c>
      <c r="P189" t="s">
        <v>52</v>
      </c>
      <c r="Q189">
        <v>0</v>
      </c>
      <c r="R189">
        <v>0.92</v>
      </c>
      <c r="S189">
        <v>131.69999999999999</v>
      </c>
      <c r="T189" t="s">
        <v>284</v>
      </c>
      <c r="U189">
        <v>170</v>
      </c>
      <c r="V189" t="s">
        <v>284</v>
      </c>
      <c r="W189">
        <v>191</v>
      </c>
      <c r="X189" t="s">
        <v>285</v>
      </c>
      <c r="Y189">
        <v>207</v>
      </c>
      <c r="Z189" t="s">
        <v>285</v>
      </c>
      <c r="AA189">
        <v>265</v>
      </c>
      <c r="AB189" t="s">
        <v>285</v>
      </c>
      <c r="AG189">
        <v>189.33330000000001</v>
      </c>
      <c r="AH189" t="s">
        <v>54</v>
      </c>
      <c r="AI189" t="s">
        <v>52</v>
      </c>
      <c r="AZ189" t="s">
        <v>52</v>
      </c>
      <c r="BQ189" t="s">
        <v>52</v>
      </c>
      <c r="BR189">
        <v>0.93</v>
      </c>
      <c r="BS189" t="s">
        <v>285</v>
      </c>
      <c r="BT189">
        <v>1.0900000000000001</v>
      </c>
      <c r="BU189" t="s">
        <v>284</v>
      </c>
      <c r="BV189">
        <v>0.84</v>
      </c>
      <c r="BW189" t="s">
        <v>285</v>
      </c>
      <c r="BX189">
        <v>0.57999999999999996</v>
      </c>
      <c r="BY189" t="s">
        <v>285</v>
      </c>
      <c r="BZ189">
        <v>0.5</v>
      </c>
      <c r="CA189" t="s">
        <v>284</v>
      </c>
      <c r="CF189">
        <v>0.78</v>
      </c>
      <c r="CG189" t="s">
        <v>54</v>
      </c>
      <c r="CH189" t="s">
        <v>52</v>
      </c>
    </row>
    <row r="190" spans="1:86" x14ac:dyDescent="0.25">
      <c r="A190" t="s">
        <v>47</v>
      </c>
      <c r="B190">
        <v>8</v>
      </c>
      <c r="C190" t="s">
        <v>117</v>
      </c>
      <c r="D190">
        <v>13</v>
      </c>
      <c r="E190" t="s">
        <v>58</v>
      </c>
      <c r="F190">
        <v>102</v>
      </c>
      <c r="G190" t="s">
        <v>64</v>
      </c>
      <c r="H190" t="s">
        <v>50</v>
      </c>
      <c r="K190" t="s">
        <v>51</v>
      </c>
      <c r="L190">
        <v>1</v>
      </c>
      <c r="M190" t="s">
        <v>53</v>
      </c>
      <c r="N190">
        <v>102</v>
      </c>
      <c r="O190">
        <v>1</v>
      </c>
      <c r="P190" t="s">
        <v>52</v>
      </c>
      <c r="Q190">
        <v>0</v>
      </c>
      <c r="R190">
        <v>0.92</v>
      </c>
      <c r="S190">
        <v>131.69999999999999</v>
      </c>
      <c r="T190" t="s">
        <v>284</v>
      </c>
      <c r="U190">
        <v>170</v>
      </c>
      <c r="V190" t="s">
        <v>284</v>
      </c>
      <c r="W190">
        <v>191</v>
      </c>
      <c r="X190" t="s">
        <v>284</v>
      </c>
      <c r="Y190">
        <v>207</v>
      </c>
      <c r="Z190" t="s">
        <v>284</v>
      </c>
      <c r="AA190">
        <v>205</v>
      </c>
      <c r="AB190" t="s">
        <v>285</v>
      </c>
      <c r="AG190">
        <v>188.66669999999999</v>
      </c>
      <c r="AH190" t="s">
        <v>54</v>
      </c>
      <c r="AI190" t="s">
        <v>52</v>
      </c>
      <c r="AZ190" t="s">
        <v>52</v>
      </c>
      <c r="BQ190" t="s">
        <v>52</v>
      </c>
      <c r="BR190">
        <v>1.85</v>
      </c>
      <c r="BS190" t="s">
        <v>284</v>
      </c>
      <c r="BT190">
        <v>2.08</v>
      </c>
      <c r="BU190" t="s">
        <v>284</v>
      </c>
      <c r="BV190">
        <v>1.62</v>
      </c>
      <c r="BW190" t="s">
        <v>285</v>
      </c>
      <c r="BX190">
        <v>1.1200000000000001</v>
      </c>
      <c r="BY190" t="s">
        <v>285</v>
      </c>
      <c r="BZ190">
        <v>0.96</v>
      </c>
      <c r="CA190" t="s">
        <v>284</v>
      </c>
      <c r="CF190">
        <v>1.53</v>
      </c>
      <c r="CG190" t="s">
        <v>54</v>
      </c>
      <c r="CH190" t="s">
        <v>52</v>
      </c>
    </row>
    <row r="191" spans="1:86" x14ac:dyDescent="0.25">
      <c r="A191" t="s">
        <v>47</v>
      </c>
      <c r="B191">
        <v>8</v>
      </c>
      <c r="C191" t="s">
        <v>117</v>
      </c>
      <c r="D191">
        <v>13</v>
      </c>
      <c r="E191" t="s">
        <v>58</v>
      </c>
      <c r="F191">
        <v>102</v>
      </c>
      <c r="G191" t="s">
        <v>64</v>
      </c>
      <c r="H191" t="s">
        <v>50</v>
      </c>
      <c r="K191" t="s">
        <v>52</v>
      </c>
      <c r="L191">
        <v>1</v>
      </c>
      <c r="M191" t="s">
        <v>53</v>
      </c>
      <c r="N191">
        <v>102</v>
      </c>
      <c r="O191">
        <v>1</v>
      </c>
      <c r="P191" t="s">
        <v>52</v>
      </c>
      <c r="Q191">
        <v>0</v>
      </c>
      <c r="R191">
        <v>0.92</v>
      </c>
      <c r="S191">
        <v>131.69999999999999</v>
      </c>
      <c r="T191" t="s">
        <v>284</v>
      </c>
      <c r="U191">
        <v>170</v>
      </c>
      <c r="V191" t="s">
        <v>284</v>
      </c>
      <c r="W191">
        <v>191</v>
      </c>
      <c r="X191" t="s">
        <v>284</v>
      </c>
      <c r="Y191">
        <v>207</v>
      </c>
      <c r="Z191" t="s">
        <v>284</v>
      </c>
      <c r="AA191">
        <v>205</v>
      </c>
      <c r="AB191" t="s">
        <v>285</v>
      </c>
      <c r="AG191">
        <v>188.66669999999999</v>
      </c>
      <c r="AH191" t="s">
        <v>54</v>
      </c>
      <c r="AI191" t="s">
        <v>52</v>
      </c>
      <c r="AZ191" t="s">
        <v>52</v>
      </c>
      <c r="BQ191" t="s">
        <v>52</v>
      </c>
      <c r="BR191">
        <v>0.93</v>
      </c>
      <c r="BS191" t="s">
        <v>285</v>
      </c>
      <c r="BT191">
        <v>1.0900000000000001</v>
      </c>
      <c r="BU191" t="s">
        <v>284</v>
      </c>
      <c r="BV191">
        <v>0.32</v>
      </c>
      <c r="BW191" t="s">
        <v>285</v>
      </c>
      <c r="BX191">
        <v>0.59</v>
      </c>
      <c r="BY191" t="s">
        <v>285</v>
      </c>
      <c r="BZ191">
        <v>0.51</v>
      </c>
      <c r="CA191" t="s">
        <v>284</v>
      </c>
      <c r="CF191">
        <v>0.68</v>
      </c>
      <c r="CG191" t="s">
        <v>54</v>
      </c>
      <c r="CH191" t="s">
        <v>52</v>
      </c>
    </row>
    <row r="192" spans="1:86" x14ac:dyDescent="0.25">
      <c r="A192" t="s">
        <v>47</v>
      </c>
      <c r="B192">
        <v>8</v>
      </c>
      <c r="C192" t="s">
        <v>117</v>
      </c>
      <c r="D192">
        <v>13</v>
      </c>
      <c r="E192" t="s">
        <v>58</v>
      </c>
      <c r="F192">
        <v>102</v>
      </c>
      <c r="G192" t="s">
        <v>66</v>
      </c>
      <c r="H192" t="s">
        <v>50</v>
      </c>
      <c r="K192" t="s">
        <v>51</v>
      </c>
      <c r="L192">
        <v>1</v>
      </c>
      <c r="M192" t="s">
        <v>53</v>
      </c>
      <c r="N192">
        <v>102</v>
      </c>
      <c r="O192">
        <v>1</v>
      </c>
      <c r="P192" t="s">
        <v>52</v>
      </c>
      <c r="Q192">
        <v>0</v>
      </c>
      <c r="R192">
        <v>0.92</v>
      </c>
      <c r="S192">
        <v>131.69999999999999</v>
      </c>
      <c r="T192" t="s">
        <v>284</v>
      </c>
      <c r="U192">
        <v>170</v>
      </c>
      <c r="V192" t="s">
        <v>284</v>
      </c>
      <c r="W192">
        <v>191</v>
      </c>
      <c r="X192" t="s">
        <v>284</v>
      </c>
      <c r="Y192">
        <v>207</v>
      </c>
      <c r="Z192" t="s">
        <v>284</v>
      </c>
      <c r="AA192">
        <v>205</v>
      </c>
      <c r="AB192" t="s">
        <v>285</v>
      </c>
      <c r="AG192">
        <v>188.66669999999999</v>
      </c>
      <c r="AH192" t="s">
        <v>54</v>
      </c>
      <c r="AI192" t="s">
        <v>52</v>
      </c>
      <c r="AZ192" t="s">
        <v>52</v>
      </c>
      <c r="BQ192" t="s">
        <v>52</v>
      </c>
      <c r="CH192" t="s">
        <v>52</v>
      </c>
    </row>
    <row r="193" spans="1:86" x14ac:dyDescent="0.25">
      <c r="A193" t="s">
        <v>47</v>
      </c>
      <c r="B193">
        <v>8</v>
      </c>
      <c r="C193" t="s">
        <v>117</v>
      </c>
      <c r="D193">
        <v>13</v>
      </c>
      <c r="E193" t="s">
        <v>58</v>
      </c>
      <c r="F193">
        <v>102</v>
      </c>
      <c r="G193" t="s">
        <v>66</v>
      </c>
      <c r="H193" t="s">
        <v>50</v>
      </c>
      <c r="K193" t="s">
        <v>52</v>
      </c>
      <c r="L193">
        <v>1</v>
      </c>
      <c r="M193" t="s">
        <v>53</v>
      </c>
      <c r="N193">
        <v>102</v>
      </c>
      <c r="O193">
        <v>1</v>
      </c>
      <c r="P193" t="s">
        <v>52</v>
      </c>
      <c r="Q193">
        <v>0</v>
      </c>
      <c r="R193">
        <v>0.92</v>
      </c>
      <c r="S193">
        <v>131.69999999999999</v>
      </c>
      <c r="T193" t="s">
        <v>284</v>
      </c>
      <c r="U193">
        <v>170</v>
      </c>
      <c r="V193" t="s">
        <v>284</v>
      </c>
      <c r="W193">
        <v>191</v>
      </c>
      <c r="X193" t="s">
        <v>284</v>
      </c>
      <c r="Y193">
        <v>207</v>
      </c>
      <c r="Z193" t="s">
        <v>284</v>
      </c>
      <c r="AA193">
        <v>205</v>
      </c>
      <c r="AB193" t="s">
        <v>285</v>
      </c>
      <c r="AG193">
        <v>188.66669999999999</v>
      </c>
      <c r="AH193" t="s">
        <v>54</v>
      </c>
      <c r="AI193" t="s">
        <v>52</v>
      </c>
      <c r="AZ193" t="s">
        <v>52</v>
      </c>
      <c r="BQ193" t="s">
        <v>52</v>
      </c>
      <c r="CH193" t="s">
        <v>52</v>
      </c>
    </row>
    <row r="194" spans="1:86" x14ac:dyDescent="0.25">
      <c r="A194" t="s">
        <v>47</v>
      </c>
      <c r="B194">
        <v>8</v>
      </c>
      <c r="C194" t="s">
        <v>117</v>
      </c>
      <c r="D194">
        <v>13</v>
      </c>
      <c r="E194" t="s">
        <v>58</v>
      </c>
      <c r="F194">
        <v>102</v>
      </c>
      <c r="G194" t="s">
        <v>118</v>
      </c>
      <c r="H194" t="s">
        <v>50</v>
      </c>
      <c r="K194" t="s">
        <v>51</v>
      </c>
      <c r="L194">
        <v>1</v>
      </c>
      <c r="M194" t="s">
        <v>53</v>
      </c>
      <c r="N194">
        <v>102</v>
      </c>
      <c r="O194">
        <v>1</v>
      </c>
      <c r="P194" t="s">
        <v>52</v>
      </c>
      <c r="Q194">
        <v>0</v>
      </c>
      <c r="R194">
        <v>0.92</v>
      </c>
      <c r="S194">
        <v>131.69999999999999</v>
      </c>
      <c r="T194" t="s">
        <v>284</v>
      </c>
      <c r="U194">
        <v>170</v>
      </c>
      <c r="V194" t="s">
        <v>284</v>
      </c>
      <c r="W194">
        <v>191</v>
      </c>
      <c r="X194" t="s">
        <v>284</v>
      </c>
      <c r="Y194">
        <v>207</v>
      </c>
      <c r="Z194" t="s">
        <v>284</v>
      </c>
      <c r="AA194">
        <v>205</v>
      </c>
      <c r="AB194" t="s">
        <v>285</v>
      </c>
      <c r="AG194">
        <v>188.66669999999999</v>
      </c>
      <c r="AH194" t="s">
        <v>54</v>
      </c>
      <c r="AI194" t="s">
        <v>52</v>
      </c>
      <c r="AZ194" t="s">
        <v>52</v>
      </c>
      <c r="BQ194" t="s">
        <v>52</v>
      </c>
      <c r="CH194" t="s">
        <v>52</v>
      </c>
    </row>
    <row r="195" spans="1:86" x14ac:dyDescent="0.25">
      <c r="A195" t="s">
        <v>47</v>
      </c>
      <c r="B195">
        <v>8</v>
      </c>
      <c r="C195" t="s">
        <v>117</v>
      </c>
      <c r="D195">
        <v>13</v>
      </c>
      <c r="E195" t="s">
        <v>58</v>
      </c>
      <c r="F195">
        <v>102</v>
      </c>
      <c r="G195" t="s">
        <v>118</v>
      </c>
      <c r="H195" t="s">
        <v>50</v>
      </c>
      <c r="K195" t="s">
        <v>52</v>
      </c>
      <c r="L195">
        <v>1</v>
      </c>
      <c r="M195" t="s">
        <v>53</v>
      </c>
      <c r="N195">
        <v>102</v>
      </c>
      <c r="O195">
        <v>1</v>
      </c>
      <c r="P195" t="s">
        <v>52</v>
      </c>
      <c r="Q195">
        <v>0</v>
      </c>
      <c r="R195">
        <v>0.92</v>
      </c>
      <c r="S195">
        <v>131.69999999999999</v>
      </c>
      <c r="T195" t="s">
        <v>284</v>
      </c>
      <c r="U195">
        <v>170</v>
      </c>
      <c r="V195" t="s">
        <v>284</v>
      </c>
      <c r="W195">
        <v>191</v>
      </c>
      <c r="X195" t="s">
        <v>284</v>
      </c>
      <c r="Y195">
        <v>207</v>
      </c>
      <c r="Z195" t="s">
        <v>284</v>
      </c>
      <c r="AA195">
        <v>205</v>
      </c>
      <c r="AB195" t="s">
        <v>285</v>
      </c>
      <c r="AG195">
        <v>188.66669999999999</v>
      </c>
      <c r="AH195" t="s">
        <v>54</v>
      </c>
      <c r="AI195" t="s">
        <v>52</v>
      </c>
      <c r="AZ195" t="s">
        <v>52</v>
      </c>
      <c r="BQ195" t="s">
        <v>52</v>
      </c>
      <c r="CH195" t="s">
        <v>52</v>
      </c>
    </row>
    <row r="196" spans="1:86" x14ac:dyDescent="0.25">
      <c r="A196" t="s">
        <v>47</v>
      </c>
      <c r="B196">
        <v>8</v>
      </c>
      <c r="C196" t="s">
        <v>117</v>
      </c>
      <c r="D196">
        <v>13</v>
      </c>
      <c r="E196" t="s">
        <v>58</v>
      </c>
      <c r="F196">
        <v>102</v>
      </c>
      <c r="G196" t="s">
        <v>119</v>
      </c>
      <c r="H196" t="s">
        <v>50</v>
      </c>
      <c r="K196" t="s">
        <v>51</v>
      </c>
      <c r="L196">
        <v>1</v>
      </c>
      <c r="M196" t="s">
        <v>53</v>
      </c>
      <c r="N196">
        <v>102</v>
      </c>
      <c r="O196">
        <v>1</v>
      </c>
      <c r="P196" t="s">
        <v>52</v>
      </c>
      <c r="Q196">
        <v>0</v>
      </c>
      <c r="R196">
        <v>0.92</v>
      </c>
      <c r="S196">
        <v>131.69999999999999</v>
      </c>
      <c r="T196" t="s">
        <v>284</v>
      </c>
      <c r="U196">
        <v>170</v>
      </c>
      <c r="V196" t="s">
        <v>284</v>
      </c>
      <c r="AI196" t="s">
        <v>52</v>
      </c>
      <c r="AZ196" t="s">
        <v>52</v>
      </c>
      <c r="BQ196" t="s">
        <v>52</v>
      </c>
      <c r="CH196" t="s">
        <v>52</v>
      </c>
    </row>
    <row r="197" spans="1:86" x14ac:dyDescent="0.25">
      <c r="A197" t="s">
        <v>47</v>
      </c>
      <c r="B197">
        <v>8</v>
      </c>
      <c r="C197" t="s">
        <v>117</v>
      </c>
      <c r="D197">
        <v>13</v>
      </c>
      <c r="E197" t="s">
        <v>58</v>
      </c>
      <c r="F197">
        <v>102</v>
      </c>
      <c r="G197" t="s">
        <v>119</v>
      </c>
      <c r="H197" t="s">
        <v>50</v>
      </c>
      <c r="K197" t="s">
        <v>52</v>
      </c>
      <c r="L197">
        <v>1</v>
      </c>
      <c r="M197" t="s">
        <v>53</v>
      </c>
      <c r="N197">
        <v>102</v>
      </c>
      <c r="O197">
        <v>1</v>
      </c>
      <c r="P197" t="s">
        <v>52</v>
      </c>
      <c r="Q197">
        <v>0</v>
      </c>
      <c r="R197">
        <v>0.92</v>
      </c>
      <c r="S197">
        <v>131.69999999999999</v>
      </c>
      <c r="T197" t="s">
        <v>284</v>
      </c>
      <c r="U197">
        <v>170</v>
      </c>
      <c r="V197" t="s">
        <v>284</v>
      </c>
      <c r="AI197" t="s">
        <v>52</v>
      </c>
      <c r="AZ197" t="s">
        <v>52</v>
      </c>
      <c r="BQ197" t="s">
        <v>52</v>
      </c>
      <c r="CH197" t="s">
        <v>52</v>
      </c>
    </row>
    <row r="198" spans="1:86" x14ac:dyDescent="0.25">
      <c r="A198" t="s">
        <v>47</v>
      </c>
      <c r="B198">
        <v>8</v>
      </c>
      <c r="C198" t="s">
        <v>117</v>
      </c>
      <c r="D198">
        <v>13</v>
      </c>
      <c r="E198" t="s">
        <v>68</v>
      </c>
      <c r="F198">
        <v>80</v>
      </c>
      <c r="G198" t="s">
        <v>69</v>
      </c>
      <c r="H198" t="s">
        <v>50</v>
      </c>
      <c r="K198" t="s">
        <v>51</v>
      </c>
      <c r="L198">
        <v>1</v>
      </c>
      <c r="M198" t="s">
        <v>53</v>
      </c>
      <c r="N198">
        <v>80</v>
      </c>
      <c r="O198">
        <v>1</v>
      </c>
      <c r="P198" t="s">
        <v>52</v>
      </c>
      <c r="Q198">
        <v>0.5</v>
      </c>
      <c r="R198">
        <v>0.75</v>
      </c>
      <c r="S198">
        <v>202.92</v>
      </c>
      <c r="T198" t="s">
        <v>284</v>
      </c>
      <c r="U198">
        <v>198.9</v>
      </c>
      <c r="V198" t="s">
        <v>284</v>
      </c>
      <c r="W198">
        <v>212.4</v>
      </c>
      <c r="X198" t="s">
        <v>284</v>
      </c>
      <c r="Y198">
        <v>219.6</v>
      </c>
      <c r="Z198" t="s">
        <v>284</v>
      </c>
      <c r="AA198">
        <v>178</v>
      </c>
      <c r="AB198" t="s">
        <v>284</v>
      </c>
      <c r="AG198">
        <v>204.74</v>
      </c>
      <c r="AH198" t="s">
        <v>54</v>
      </c>
      <c r="AI198" t="s">
        <v>52</v>
      </c>
      <c r="AZ198" t="s">
        <v>52</v>
      </c>
      <c r="BQ198" t="s">
        <v>52</v>
      </c>
      <c r="CH198" t="s">
        <v>52</v>
      </c>
    </row>
    <row r="199" spans="1:86" x14ac:dyDescent="0.25">
      <c r="A199" t="s">
        <v>47</v>
      </c>
      <c r="B199">
        <v>8</v>
      </c>
      <c r="C199" t="s">
        <v>117</v>
      </c>
      <c r="D199">
        <v>13</v>
      </c>
      <c r="E199" t="s">
        <v>68</v>
      </c>
      <c r="F199">
        <v>80</v>
      </c>
      <c r="G199" t="s">
        <v>69</v>
      </c>
      <c r="H199" t="s">
        <v>50</v>
      </c>
      <c r="K199" t="s">
        <v>52</v>
      </c>
      <c r="L199">
        <v>1</v>
      </c>
      <c r="M199" t="s">
        <v>53</v>
      </c>
      <c r="N199">
        <v>80</v>
      </c>
      <c r="O199">
        <v>1</v>
      </c>
      <c r="P199" t="s">
        <v>52</v>
      </c>
      <c r="Q199">
        <v>0.5</v>
      </c>
      <c r="R199">
        <v>0.75</v>
      </c>
      <c r="S199">
        <v>202.92</v>
      </c>
      <c r="T199" t="s">
        <v>284</v>
      </c>
      <c r="U199">
        <v>198.9</v>
      </c>
      <c r="V199" t="s">
        <v>284</v>
      </c>
      <c r="W199">
        <v>212.4</v>
      </c>
      <c r="X199" t="s">
        <v>284</v>
      </c>
      <c r="Y199">
        <v>219.6</v>
      </c>
      <c r="Z199" t="s">
        <v>284</v>
      </c>
      <c r="AA199">
        <v>178</v>
      </c>
      <c r="AB199" t="s">
        <v>284</v>
      </c>
      <c r="AG199">
        <v>204.74</v>
      </c>
      <c r="AH199" t="s">
        <v>54</v>
      </c>
      <c r="AI199" t="s">
        <v>52</v>
      </c>
      <c r="AZ199" t="s">
        <v>52</v>
      </c>
      <c r="BQ199" t="s">
        <v>52</v>
      </c>
      <c r="CH199" t="s">
        <v>52</v>
      </c>
    </row>
    <row r="200" spans="1:86" x14ac:dyDescent="0.25">
      <c r="A200" t="s">
        <v>47</v>
      </c>
      <c r="B200">
        <v>8</v>
      </c>
      <c r="C200" t="s">
        <v>117</v>
      </c>
      <c r="D200">
        <v>13</v>
      </c>
      <c r="E200" t="s">
        <v>68</v>
      </c>
      <c r="F200">
        <v>80</v>
      </c>
      <c r="G200" t="s">
        <v>105</v>
      </c>
      <c r="H200" t="s">
        <v>50</v>
      </c>
      <c r="K200" t="s">
        <v>51</v>
      </c>
      <c r="L200">
        <v>1</v>
      </c>
      <c r="M200" t="s">
        <v>53</v>
      </c>
      <c r="N200">
        <v>80</v>
      </c>
      <c r="O200">
        <v>1</v>
      </c>
      <c r="P200" t="s">
        <v>52</v>
      </c>
      <c r="Q200">
        <v>0.5</v>
      </c>
      <c r="R200">
        <v>0.75</v>
      </c>
      <c r="S200">
        <v>228</v>
      </c>
      <c r="T200" t="s">
        <v>285</v>
      </c>
      <c r="U200">
        <v>221</v>
      </c>
      <c r="V200" t="s">
        <v>285</v>
      </c>
      <c r="W200">
        <v>212.4</v>
      </c>
      <c r="X200" t="s">
        <v>284</v>
      </c>
      <c r="Y200">
        <v>219.6</v>
      </c>
      <c r="Z200" t="s">
        <v>284</v>
      </c>
      <c r="AA200">
        <v>178</v>
      </c>
      <c r="AB200" t="s">
        <v>285</v>
      </c>
      <c r="AG200">
        <v>217.66669999999999</v>
      </c>
      <c r="AH200" t="s">
        <v>54</v>
      </c>
      <c r="AI200" t="s">
        <v>52</v>
      </c>
      <c r="AZ200" t="s">
        <v>52</v>
      </c>
      <c r="BQ200" t="s">
        <v>52</v>
      </c>
      <c r="CH200" t="s">
        <v>52</v>
      </c>
    </row>
    <row r="201" spans="1:86" x14ac:dyDescent="0.25">
      <c r="A201" t="s">
        <v>47</v>
      </c>
      <c r="B201">
        <v>8</v>
      </c>
      <c r="C201" t="s">
        <v>117</v>
      </c>
      <c r="D201">
        <v>13</v>
      </c>
      <c r="E201" t="s">
        <v>68</v>
      </c>
      <c r="F201">
        <v>80</v>
      </c>
      <c r="G201" t="s">
        <v>105</v>
      </c>
      <c r="H201" t="s">
        <v>50</v>
      </c>
      <c r="K201" t="s">
        <v>52</v>
      </c>
      <c r="L201">
        <v>1</v>
      </c>
      <c r="M201" t="s">
        <v>53</v>
      </c>
      <c r="N201">
        <v>80</v>
      </c>
      <c r="O201">
        <v>1</v>
      </c>
      <c r="P201" t="s">
        <v>52</v>
      </c>
      <c r="Q201">
        <v>0.5</v>
      </c>
      <c r="R201">
        <v>0.75</v>
      </c>
      <c r="S201">
        <v>228</v>
      </c>
      <c r="T201" t="s">
        <v>285</v>
      </c>
      <c r="U201">
        <v>221</v>
      </c>
      <c r="V201" t="s">
        <v>285</v>
      </c>
      <c r="W201">
        <v>212.4</v>
      </c>
      <c r="X201" t="s">
        <v>284</v>
      </c>
      <c r="Y201">
        <v>219.6</v>
      </c>
      <c r="Z201" t="s">
        <v>284</v>
      </c>
      <c r="AA201">
        <v>178</v>
      </c>
      <c r="AB201" t="s">
        <v>285</v>
      </c>
      <c r="AG201">
        <v>217.66669999999999</v>
      </c>
      <c r="AH201" t="s">
        <v>54</v>
      </c>
      <c r="AI201" t="s">
        <v>52</v>
      </c>
      <c r="AZ201" t="s">
        <v>52</v>
      </c>
      <c r="BQ201" t="s">
        <v>52</v>
      </c>
      <c r="CH201" t="s">
        <v>52</v>
      </c>
    </row>
    <row r="202" spans="1:86" x14ac:dyDescent="0.25">
      <c r="A202" t="s">
        <v>47</v>
      </c>
      <c r="B202">
        <v>8</v>
      </c>
      <c r="C202" t="s">
        <v>117</v>
      </c>
      <c r="D202">
        <v>13</v>
      </c>
      <c r="E202" t="s">
        <v>70</v>
      </c>
      <c r="F202">
        <v>296</v>
      </c>
      <c r="G202" t="s">
        <v>71</v>
      </c>
      <c r="H202" t="s">
        <v>50</v>
      </c>
      <c r="K202" t="s">
        <v>51</v>
      </c>
      <c r="L202">
        <v>1</v>
      </c>
      <c r="M202" t="s">
        <v>53</v>
      </c>
      <c r="N202">
        <v>296</v>
      </c>
      <c r="O202">
        <v>1</v>
      </c>
      <c r="P202" t="s">
        <v>52</v>
      </c>
      <c r="Q202">
        <v>0</v>
      </c>
      <c r="R202">
        <v>0.75</v>
      </c>
      <c r="S202">
        <v>228</v>
      </c>
      <c r="T202" t="s">
        <v>284</v>
      </c>
      <c r="U202">
        <v>190</v>
      </c>
      <c r="V202" t="s">
        <v>285</v>
      </c>
      <c r="W202">
        <v>194</v>
      </c>
      <c r="X202" t="s">
        <v>285</v>
      </c>
      <c r="Y202">
        <v>225</v>
      </c>
      <c r="Z202" t="s">
        <v>285</v>
      </c>
      <c r="AA202">
        <v>247</v>
      </c>
      <c r="AB202" t="s">
        <v>285</v>
      </c>
      <c r="AC202">
        <v>241</v>
      </c>
      <c r="AD202" t="s">
        <v>285</v>
      </c>
      <c r="AE202">
        <v>219</v>
      </c>
      <c r="AF202" t="s">
        <v>285</v>
      </c>
      <c r="AG202">
        <v>219</v>
      </c>
      <c r="AH202" t="s">
        <v>286</v>
      </c>
      <c r="AI202" t="s">
        <v>287</v>
      </c>
      <c r="AX202">
        <v>263</v>
      </c>
      <c r="AY202" t="s">
        <v>286</v>
      </c>
      <c r="AZ202" t="s">
        <v>287</v>
      </c>
      <c r="BQ202" t="s">
        <v>52</v>
      </c>
      <c r="CH202" t="s">
        <v>52</v>
      </c>
    </row>
    <row r="203" spans="1:86" x14ac:dyDescent="0.25">
      <c r="A203" t="s">
        <v>47</v>
      </c>
      <c r="B203">
        <v>8</v>
      </c>
      <c r="C203" t="s">
        <v>117</v>
      </c>
      <c r="D203">
        <v>13</v>
      </c>
      <c r="E203" t="s">
        <v>70</v>
      </c>
      <c r="F203">
        <v>296</v>
      </c>
      <c r="G203" t="s">
        <v>71</v>
      </c>
      <c r="H203" t="s">
        <v>50</v>
      </c>
      <c r="K203" t="s">
        <v>52</v>
      </c>
      <c r="L203">
        <v>1</v>
      </c>
      <c r="M203" t="s">
        <v>53</v>
      </c>
      <c r="N203">
        <v>296</v>
      </c>
      <c r="O203">
        <v>1</v>
      </c>
      <c r="P203" t="s">
        <v>52</v>
      </c>
      <c r="Q203">
        <v>0</v>
      </c>
      <c r="R203">
        <v>0.75</v>
      </c>
      <c r="S203">
        <v>228</v>
      </c>
      <c r="T203" t="s">
        <v>284</v>
      </c>
      <c r="U203">
        <v>190</v>
      </c>
      <c r="V203" t="s">
        <v>285</v>
      </c>
      <c r="W203">
        <v>194</v>
      </c>
      <c r="X203" t="s">
        <v>285</v>
      </c>
      <c r="Y203">
        <v>225</v>
      </c>
      <c r="Z203" t="s">
        <v>285</v>
      </c>
      <c r="AA203">
        <v>247</v>
      </c>
      <c r="AB203" t="s">
        <v>285</v>
      </c>
      <c r="AC203">
        <v>241</v>
      </c>
      <c r="AD203" t="s">
        <v>285</v>
      </c>
      <c r="AE203">
        <v>219</v>
      </c>
      <c r="AF203" t="s">
        <v>285</v>
      </c>
      <c r="AG203">
        <v>219</v>
      </c>
      <c r="AH203" t="s">
        <v>286</v>
      </c>
      <c r="AI203" t="s">
        <v>287</v>
      </c>
      <c r="AX203">
        <v>263</v>
      </c>
      <c r="AY203" t="s">
        <v>286</v>
      </c>
      <c r="AZ203" t="s">
        <v>287</v>
      </c>
      <c r="BQ203" t="s">
        <v>52</v>
      </c>
      <c r="CH203" t="s">
        <v>52</v>
      </c>
    </row>
    <row r="204" spans="1:86" x14ac:dyDescent="0.25">
      <c r="A204" t="s">
        <v>47</v>
      </c>
      <c r="B204">
        <v>8</v>
      </c>
      <c r="C204" t="s">
        <v>117</v>
      </c>
      <c r="D204">
        <v>13</v>
      </c>
      <c r="E204" t="s">
        <v>70</v>
      </c>
      <c r="F204">
        <v>296</v>
      </c>
      <c r="G204" t="s">
        <v>72</v>
      </c>
      <c r="H204" t="s">
        <v>50</v>
      </c>
      <c r="K204" t="s">
        <v>51</v>
      </c>
      <c r="L204">
        <v>1</v>
      </c>
      <c r="M204" t="s">
        <v>53</v>
      </c>
      <c r="N204">
        <v>296</v>
      </c>
      <c r="O204">
        <v>1</v>
      </c>
      <c r="P204" t="s">
        <v>52</v>
      </c>
      <c r="Q204">
        <v>0.5</v>
      </c>
      <c r="R204">
        <v>0.75</v>
      </c>
      <c r="S204">
        <v>228</v>
      </c>
      <c r="T204" t="s">
        <v>284</v>
      </c>
      <c r="U204">
        <v>221</v>
      </c>
      <c r="V204" t="s">
        <v>284</v>
      </c>
      <c r="W204">
        <v>236</v>
      </c>
      <c r="X204" t="s">
        <v>284</v>
      </c>
      <c r="Y204">
        <v>244</v>
      </c>
      <c r="Z204" t="s">
        <v>284</v>
      </c>
      <c r="AA204">
        <v>215</v>
      </c>
      <c r="AB204" t="s">
        <v>285</v>
      </c>
      <c r="AG204">
        <v>228.33330000000001</v>
      </c>
      <c r="AH204" t="s">
        <v>54</v>
      </c>
      <c r="AI204" t="s">
        <v>52</v>
      </c>
      <c r="AZ204" t="s">
        <v>52</v>
      </c>
      <c r="BQ204" t="s">
        <v>52</v>
      </c>
      <c r="CH204" t="s">
        <v>52</v>
      </c>
    </row>
    <row r="205" spans="1:86" x14ac:dyDescent="0.25">
      <c r="A205" t="s">
        <v>47</v>
      </c>
      <c r="B205">
        <v>8</v>
      </c>
      <c r="C205" t="s">
        <v>117</v>
      </c>
      <c r="D205">
        <v>13</v>
      </c>
      <c r="E205" t="s">
        <v>70</v>
      </c>
      <c r="F205">
        <v>296</v>
      </c>
      <c r="G205" t="s">
        <v>72</v>
      </c>
      <c r="H205" t="s">
        <v>50</v>
      </c>
      <c r="K205" t="s">
        <v>52</v>
      </c>
      <c r="L205">
        <v>1</v>
      </c>
      <c r="M205" t="s">
        <v>53</v>
      </c>
      <c r="N205">
        <v>296</v>
      </c>
      <c r="O205">
        <v>1</v>
      </c>
      <c r="P205" t="s">
        <v>52</v>
      </c>
      <c r="Q205">
        <v>0.5</v>
      </c>
      <c r="R205">
        <v>0.75</v>
      </c>
      <c r="S205">
        <v>228</v>
      </c>
      <c r="T205" t="s">
        <v>284</v>
      </c>
      <c r="U205">
        <v>221</v>
      </c>
      <c r="V205" t="s">
        <v>284</v>
      </c>
      <c r="W205">
        <v>236</v>
      </c>
      <c r="X205" t="s">
        <v>284</v>
      </c>
      <c r="Y205">
        <v>244</v>
      </c>
      <c r="Z205" t="s">
        <v>284</v>
      </c>
      <c r="AA205">
        <v>215</v>
      </c>
      <c r="AB205" t="s">
        <v>285</v>
      </c>
      <c r="AG205">
        <v>228.33330000000001</v>
      </c>
      <c r="AH205" t="s">
        <v>54</v>
      </c>
      <c r="AI205" t="s">
        <v>52</v>
      </c>
      <c r="AZ205" t="s">
        <v>52</v>
      </c>
      <c r="BQ205" t="s">
        <v>52</v>
      </c>
      <c r="CH205" t="s">
        <v>52</v>
      </c>
    </row>
    <row r="206" spans="1:86" x14ac:dyDescent="0.25">
      <c r="A206" t="s">
        <v>47</v>
      </c>
      <c r="B206">
        <v>8</v>
      </c>
      <c r="C206" t="s">
        <v>117</v>
      </c>
      <c r="D206">
        <v>13</v>
      </c>
      <c r="E206" t="s">
        <v>70</v>
      </c>
      <c r="F206">
        <v>296</v>
      </c>
      <c r="G206" t="s">
        <v>73</v>
      </c>
      <c r="H206" t="s">
        <v>50</v>
      </c>
      <c r="K206" t="s">
        <v>51</v>
      </c>
      <c r="L206">
        <v>1</v>
      </c>
      <c r="M206" t="s">
        <v>53</v>
      </c>
      <c r="N206">
        <v>296</v>
      </c>
      <c r="O206">
        <v>1</v>
      </c>
      <c r="P206" t="s">
        <v>52</v>
      </c>
      <c r="Q206">
        <v>0</v>
      </c>
      <c r="R206">
        <v>0.75</v>
      </c>
      <c r="S206">
        <v>228</v>
      </c>
      <c r="T206" t="s">
        <v>284</v>
      </c>
      <c r="U206">
        <v>221</v>
      </c>
      <c r="V206" t="s">
        <v>284</v>
      </c>
      <c r="W206">
        <v>236</v>
      </c>
      <c r="X206" t="s">
        <v>284</v>
      </c>
      <c r="Y206">
        <v>244</v>
      </c>
      <c r="Z206" t="s">
        <v>284</v>
      </c>
      <c r="AA206">
        <v>225</v>
      </c>
      <c r="AB206" t="s">
        <v>285</v>
      </c>
      <c r="AG206">
        <v>229.66669999999999</v>
      </c>
      <c r="AH206" t="s">
        <v>54</v>
      </c>
      <c r="AI206" t="s">
        <v>52</v>
      </c>
      <c r="AZ206" t="s">
        <v>52</v>
      </c>
      <c r="BQ206" t="s">
        <v>52</v>
      </c>
      <c r="CH206" t="s">
        <v>52</v>
      </c>
    </row>
    <row r="207" spans="1:86" x14ac:dyDescent="0.25">
      <c r="A207" t="s">
        <v>47</v>
      </c>
      <c r="B207">
        <v>8</v>
      </c>
      <c r="C207" t="s">
        <v>117</v>
      </c>
      <c r="D207">
        <v>13</v>
      </c>
      <c r="E207" t="s">
        <v>70</v>
      </c>
      <c r="F207">
        <v>296</v>
      </c>
      <c r="G207" t="s">
        <v>73</v>
      </c>
      <c r="H207" t="s">
        <v>50</v>
      </c>
      <c r="K207" t="s">
        <v>52</v>
      </c>
      <c r="L207">
        <v>1</v>
      </c>
      <c r="M207" t="s">
        <v>53</v>
      </c>
      <c r="N207">
        <v>296</v>
      </c>
      <c r="O207">
        <v>1</v>
      </c>
      <c r="P207" t="s">
        <v>52</v>
      </c>
      <c r="Q207">
        <v>0</v>
      </c>
      <c r="R207">
        <v>0.75</v>
      </c>
      <c r="S207">
        <v>228</v>
      </c>
      <c r="T207" t="s">
        <v>284</v>
      </c>
      <c r="U207">
        <v>221</v>
      </c>
      <c r="V207" t="s">
        <v>284</v>
      </c>
      <c r="W207">
        <v>236</v>
      </c>
      <c r="X207" t="s">
        <v>284</v>
      </c>
      <c r="Y207">
        <v>244</v>
      </c>
      <c r="Z207" t="s">
        <v>284</v>
      </c>
      <c r="AA207">
        <v>225</v>
      </c>
      <c r="AB207" t="s">
        <v>285</v>
      </c>
      <c r="AG207">
        <v>229.66669999999999</v>
      </c>
      <c r="AH207" t="s">
        <v>54</v>
      </c>
      <c r="AI207" t="s">
        <v>52</v>
      </c>
      <c r="AZ207" t="s">
        <v>52</v>
      </c>
      <c r="BQ207" t="s">
        <v>52</v>
      </c>
      <c r="CH207" t="s">
        <v>52</v>
      </c>
    </row>
    <row r="208" spans="1:86" x14ac:dyDescent="0.25">
      <c r="A208" t="s">
        <v>47</v>
      </c>
      <c r="B208">
        <v>8</v>
      </c>
      <c r="C208" t="s">
        <v>117</v>
      </c>
      <c r="D208">
        <v>13</v>
      </c>
      <c r="E208" t="s">
        <v>70</v>
      </c>
      <c r="F208">
        <v>296</v>
      </c>
      <c r="G208" t="s">
        <v>74</v>
      </c>
      <c r="H208" t="s">
        <v>50</v>
      </c>
      <c r="K208" t="s">
        <v>51</v>
      </c>
      <c r="L208">
        <v>1</v>
      </c>
      <c r="M208" t="s">
        <v>53</v>
      </c>
      <c r="N208">
        <v>102</v>
      </c>
      <c r="O208">
        <v>1</v>
      </c>
      <c r="P208" t="s">
        <v>52</v>
      </c>
      <c r="Q208">
        <v>0</v>
      </c>
      <c r="R208">
        <v>0.75</v>
      </c>
      <c r="S208">
        <v>135</v>
      </c>
      <c r="T208" t="s">
        <v>284</v>
      </c>
      <c r="U208">
        <v>132</v>
      </c>
      <c r="V208" t="s">
        <v>284</v>
      </c>
      <c r="W208">
        <v>147</v>
      </c>
      <c r="X208" t="s">
        <v>284</v>
      </c>
      <c r="Y208">
        <v>170</v>
      </c>
      <c r="Z208" t="s">
        <v>284</v>
      </c>
      <c r="AA208">
        <v>205</v>
      </c>
      <c r="AB208" t="s">
        <v>285</v>
      </c>
      <c r="AG208">
        <v>150.66669999999999</v>
      </c>
      <c r="AH208" t="s">
        <v>54</v>
      </c>
      <c r="AI208" t="s">
        <v>52</v>
      </c>
      <c r="AZ208" t="s">
        <v>52</v>
      </c>
      <c r="BQ208" t="s">
        <v>52</v>
      </c>
      <c r="BR208">
        <v>1.85</v>
      </c>
      <c r="BS208" t="s">
        <v>284</v>
      </c>
      <c r="BT208">
        <v>2.08</v>
      </c>
      <c r="BU208" t="s">
        <v>284</v>
      </c>
      <c r="BV208">
        <v>1.37</v>
      </c>
      <c r="BW208" t="s">
        <v>285</v>
      </c>
      <c r="BX208">
        <v>1.37</v>
      </c>
      <c r="BY208" t="s">
        <v>289</v>
      </c>
      <c r="BZ208">
        <v>1.3</v>
      </c>
      <c r="CA208" t="s">
        <v>289</v>
      </c>
      <c r="CF208">
        <v>1.53</v>
      </c>
      <c r="CG208" t="s">
        <v>54</v>
      </c>
      <c r="CH208" t="s">
        <v>52</v>
      </c>
    </row>
    <row r="209" spans="1:86" x14ac:dyDescent="0.25">
      <c r="A209" t="s">
        <v>47</v>
      </c>
      <c r="B209">
        <v>8</v>
      </c>
      <c r="C209" t="s">
        <v>117</v>
      </c>
      <c r="D209">
        <v>13</v>
      </c>
      <c r="E209" t="s">
        <v>70</v>
      </c>
      <c r="F209">
        <v>296</v>
      </c>
      <c r="G209" t="s">
        <v>74</v>
      </c>
      <c r="H209" t="s">
        <v>50</v>
      </c>
      <c r="K209" t="s">
        <v>52</v>
      </c>
      <c r="L209">
        <v>1</v>
      </c>
      <c r="M209" t="s">
        <v>53</v>
      </c>
      <c r="N209">
        <v>102</v>
      </c>
      <c r="O209">
        <v>1</v>
      </c>
      <c r="P209" t="s">
        <v>52</v>
      </c>
      <c r="Q209">
        <v>0</v>
      </c>
      <c r="R209">
        <v>0.75</v>
      </c>
      <c r="S209">
        <v>135</v>
      </c>
      <c r="T209" t="s">
        <v>284</v>
      </c>
      <c r="U209">
        <v>132</v>
      </c>
      <c r="V209" t="s">
        <v>284</v>
      </c>
      <c r="W209">
        <v>147</v>
      </c>
      <c r="X209" t="s">
        <v>284</v>
      </c>
      <c r="Y209">
        <v>170</v>
      </c>
      <c r="Z209" t="s">
        <v>284</v>
      </c>
      <c r="AA209">
        <v>205</v>
      </c>
      <c r="AB209" t="s">
        <v>285</v>
      </c>
      <c r="AG209">
        <v>150.66669999999999</v>
      </c>
      <c r="AH209" t="s">
        <v>54</v>
      </c>
      <c r="AI209" t="s">
        <v>52</v>
      </c>
      <c r="AZ209" t="s">
        <v>52</v>
      </c>
      <c r="BQ209" t="s">
        <v>52</v>
      </c>
      <c r="CH209" t="s">
        <v>52</v>
      </c>
    </row>
    <row r="210" spans="1:86" x14ac:dyDescent="0.25">
      <c r="A210" t="s">
        <v>47</v>
      </c>
      <c r="B210">
        <v>8</v>
      </c>
      <c r="C210" t="s">
        <v>117</v>
      </c>
      <c r="D210">
        <v>13</v>
      </c>
      <c r="E210" t="s">
        <v>70</v>
      </c>
      <c r="F210">
        <v>296</v>
      </c>
      <c r="G210" t="s">
        <v>90</v>
      </c>
      <c r="H210" t="s">
        <v>50</v>
      </c>
      <c r="K210" t="s">
        <v>51</v>
      </c>
      <c r="L210">
        <v>1</v>
      </c>
      <c r="M210" t="s">
        <v>53</v>
      </c>
      <c r="N210">
        <v>102</v>
      </c>
      <c r="O210">
        <v>1</v>
      </c>
      <c r="P210" t="s">
        <v>52</v>
      </c>
      <c r="Q210">
        <v>0.5</v>
      </c>
      <c r="R210">
        <v>0.75</v>
      </c>
      <c r="S210">
        <v>228</v>
      </c>
      <c r="T210" t="s">
        <v>284</v>
      </c>
      <c r="U210">
        <v>190</v>
      </c>
      <c r="V210" t="s">
        <v>285</v>
      </c>
      <c r="W210">
        <v>236</v>
      </c>
      <c r="X210" t="s">
        <v>284</v>
      </c>
      <c r="Y210">
        <v>244</v>
      </c>
      <c r="Z210" t="s">
        <v>284</v>
      </c>
      <c r="AA210">
        <v>215</v>
      </c>
      <c r="AB210" t="s">
        <v>285</v>
      </c>
      <c r="AG210">
        <v>226.33330000000001</v>
      </c>
      <c r="AH210" t="s">
        <v>54</v>
      </c>
      <c r="AI210" t="s">
        <v>52</v>
      </c>
      <c r="AZ210" t="s">
        <v>52</v>
      </c>
      <c r="BQ210" t="s">
        <v>52</v>
      </c>
      <c r="CH210" t="s">
        <v>52</v>
      </c>
    </row>
    <row r="211" spans="1:86" x14ac:dyDescent="0.25">
      <c r="A211" t="s">
        <v>47</v>
      </c>
      <c r="B211">
        <v>8</v>
      </c>
      <c r="C211" t="s">
        <v>117</v>
      </c>
      <c r="D211">
        <v>13</v>
      </c>
      <c r="E211" t="s">
        <v>70</v>
      </c>
      <c r="F211">
        <v>296</v>
      </c>
      <c r="G211" t="s">
        <v>90</v>
      </c>
      <c r="H211" t="s">
        <v>50</v>
      </c>
      <c r="K211" t="s">
        <v>52</v>
      </c>
      <c r="L211">
        <v>1</v>
      </c>
      <c r="M211" t="s">
        <v>53</v>
      </c>
      <c r="N211">
        <v>102</v>
      </c>
      <c r="O211">
        <v>1</v>
      </c>
      <c r="P211" t="s">
        <v>52</v>
      </c>
      <c r="Q211">
        <v>0.5</v>
      </c>
      <c r="R211">
        <v>0.75</v>
      </c>
      <c r="S211">
        <v>228</v>
      </c>
      <c r="T211" t="s">
        <v>284</v>
      </c>
      <c r="U211">
        <v>190</v>
      </c>
      <c r="V211" t="s">
        <v>285</v>
      </c>
      <c r="W211">
        <v>236</v>
      </c>
      <c r="X211" t="s">
        <v>284</v>
      </c>
      <c r="Y211">
        <v>244</v>
      </c>
      <c r="Z211" t="s">
        <v>284</v>
      </c>
      <c r="AA211">
        <v>215</v>
      </c>
      <c r="AB211" t="s">
        <v>285</v>
      </c>
      <c r="AG211">
        <v>226.33330000000001</v>
      </c>
      <c r="AH211" t="s">
        <v>54</v>
      </c>
      <c r="AI211" t="s">
        <v>52</v>
      </c>
      <c r="AZ211" t="s">
        <v>52</v>
      </c>
      <c r="BQ211" t="s">
        <v>52</v>
      </c>
      <c r="CH211" t="s">
        <v>52</v>
      </c>
    </row>
    <row r="212" spans="1:86" x14ac:dyDescent="0.25">
      <c r="A212" t="s">
        <v>47</v>
      </c>
      <c r="B212">
        <v>8</v>
      </c>
      <c r="C212" t="s">
        <v>117</v>
      </c>
      <c r="D212">
        <v>13</v>
      </c>
      <c r="E212" t="s">
        <v>75</v>
      </c>
      <c r="F212">
        <v>16</v>
      </c>
      <c r="G212" t="s">
        <v>76</v>
      </c>
      <c r="H212" t="s">
        <v>50</v>
      </c>
      <c r="K212" t="s">
        <v>51</v>
      </c>
      <c r="L212">
        <v>1</v>
      </c>
      <c r="M212" t="s">
        <v>53</v>
      </c>
      <c r="N212">
        <v>16</v>
      </c>
      <c r="O212">
        <v>2</v>
      </c>
      <c r="P212" t="s">
        <v>52</v>
      </c>
      <c r="Q212">
        <v>0.5</v>
      </c>
      <c r="R212">
        <v>0.75</v>
      </c>
      <c r="S212">
        <v>83.35</v>
      </c>
      <c r="T212" t="s">
        <v>285</v>
      </c>
      <c r="U212">
        <v>96.14</v>
      </c>
      <c r="V212" t="s">
        <v>284</v>
      </c>
      <c r="W212">
        <v>103.37</v>
      </c>
      <c r="X212" t="s">
        <v>284</v>
      </c>
      <c r="Y212">
        <v>106.14</v>
      </c>
      <c r="Z212" t="s">
        <v>284</v>
      </c>
      <c r="AA212">
        <v>128</v>
      </c>
      <c r="AB212" t="s">
        <v>285</v>
      </c>
      <c r="AG212">
        <v>101.88330000000001</v>
      </c>
      <c r="AH212" t="s">
        <v>54</v>
      </c>
      <c r="AI212" t="s">
        <v>52</v>
      </c>
      <c r="AX212">
        <v>146.69999999999999</v>
      </c>
      <c r="AY212" t="s">
        <v>285</v>
      </c>
      <c r="AZ212" t="s">
        <v>287</v>
      </c>
      <c r="BQ212" t="s">
        <v>52</v>
      </c>
      <c r="CH212" t="s">
        <v>52</v>
      </c>
    </row>
    <row r="213" spans="1:86" x14ac:dyDescent="0.25">
      <c r="A213" t="s">
        <v>47</v>
      </c>
      <c r="B213">
        <v>8</v>
      </c>
      <c r="C213" t="s">
        <v>117</v>
      </c>
      <c r="D213">
        <v>13</v>
      </c>
      <c r="E213" t="s">
        <v>75</v>
      </c>
      <c r="F213">
        <v>16</v>
      </c>
      <c r="G213" t="s">
        <v>76</v>
      </c>
      <c r="H213" t="s">
        <v>50</v>
      </c>
      <c r="K213" t="s">
        <v>52</v>
      </c>
      <c r="L213">
        <v>1</v>
      </c>
      <c r="M213" t="s">
        <v>53</v>
      </c>
      <c r="N213">
        <v>16</v>
      </c>
      <c r="O213">
        <v>2</v>
      </c>
      <c r="P213" t="s">
        <v>52</v>
      </c>
      <c r="Q213">
        <v>0.5</v>
      </c>
      <c r="R213">
        <v>0.75</v>
      </c>
      <c r="S213">
        <v>83.35</v>
      </c>
      <c r="T213" t="s">
        <v>285</v>
      </c>
      <c r="U213">
        <v>96.14</v>
      </c>
      <c r="V213" t="s">
        <v>284</v>
      </c>
      <c r="W213">
        <v>103.37</v>
      </c>
      <c r="X213" t="s">
        <v>284</v>
      </c>
      <c r="Y213">
        <v>106.14</v>
      </c>
      <c r="Z213" t="s">
        <v>284</v>
      </c>
      <c r="AA213">
        <v>128</v>
      </c>
      <c r="AB213" t="s">
        <v>285</v>
      </c>
      <c r="AG213">
        <v>101.88330000000001</v>
      </c>
      <c r="AH213" t="s">
        <v>54</v>
      </c>
      <c r="AI213" t="s">
        <v>52</v>
      </c>
      <c r="AX213">
        <v>146.69999999999999</v>
      </c>
      <c r="AY213" t="s">
        <v>285</v>
      </c>
      <c r="AZ213" t="s">
        <v>287</v>
      </c>
      <c r="BQ213" t="s">
        <v>52</v>
      </c>
      <c r="CH213" t="s">
        <v>52</v>
      </c>
    </row>
    <row r="214" spans="1:86" x14ac:dyDescent="0.25">
      <c r="A214" t="s">
        <v>47</v>
      </c>
      <c r="B214">
        <v>8</v>
      </c>
      <c r="C214" t="s">
        <v>117</v>
      </c>
      <c r="D214">
        <v>13</v>
      </c>
      <c r="E214" t="s">
        <v>93</v>
      </c>
      <c r="F214">
        <v>94</v>
      </c>
      <c r="H214" t="s">
        <v>50</v>
      </c>
      <c r="K214" t="s">
        <v>51</v>
      </c>
      <c r="L214">
        <v>1</v>
      </c>
      <c r="M214" t="s">
        <v>53</v>
      </c>
      <c r="N214">
        <v>94</v>
      </c>
      <c r="O214">
        <v>2</v>
      </c>
      <c r="P214" t="s">
        <v>52</v>
      </c>
      <c r="Q214">
        <v>0.77</v>
      </c>
      <c r="R214">
        <v>0.93</v>
      </c>
      <c r="S214">
        <v>205</v>
      </c>
      <c r="T214" t="s">
        <v>284</v>
      </c>
      <c r="U214">
        <v>175</v>
      </c>
      <c r="V214" t="s">
        <v>284</v>
      </c>
      <c r="W214">
        <v>188</v>
      </c>
      <c r="X214" t="s">
        <v>284</v>
      </c>
      <c r="Y214">
        <v>202.32</v>
      </c>
      <c r="Z214" t="s">
        <v>284</v>
      </c>
      <c r="AA214">
        <v>209.16</v>
      </c>
      <c r="AB214" t="s">
        <v>284</v>
      </c>
      <c r="AG214">
        <v>198.44</v>
      </c>
      <c r="AH214" t="s">
        <v>54</v>
      </c>
      <c r="AI214" t="s">
        <v>52</v>
      </c>
      <c r="AZ214" t="s">
        <v>52</v>
      </c>
      <c r="BQ214" t="s">
        <v>52</v>
      </c>
      <c r="CH214" t="s">
        <v>52</v>
      </c>
    </row>
    <row r="215" spans="1:86" x14ac:dyDescent="0.25">
      <c r="A215" t="s">
        <v>47</v>
      </c>
      <c r="B215">
        <v>8</v>
      </c>
      <c r="C215" t="s">
        <v>117</v>
      </c>
      <c r="D215">
        <v>13</v>
      </c>
      <c r="E215" t="s">
        <v>93</v>
      </c>
      <c r="F215">
        <v>94</v>
      </c>
      <c r="H215" t="s">
        <v>50</v>
      </c>
      <c r="K215" t="s">
        <v>52</v>
      </c>
      <c r="L215">
        <v>1</v>
      </c>
      <c r="M215" t="s">
        <v>53</v>
      </c>
      <c r="N215">
        <v>94</v>
      </c>
      <c r="O215">
        <v>2</v>
      </c>
      <c r="P215" t="s">
        <v>52</v>
      </c>
      <c r="Q215">
        <v>0.77</v>
      </c>
      <c r="R215">
        <v>0.93</v>
      </c>
      <c r="S215">
        <v>205</v>
      </c>
      <c r="T215" t="s">
        <v>284</v>
      </c>
      <c r="U215">
        <v>175</v>
      </c>
      <c r="V215" t="s">
        <v>284</v>
      </c>
      <c r="W215">
        <v>188</v>
      </c>
      <c r="X215" t="s">
        <v>284</v>
      </c>
      <c r="Y215">
        <v>202.32</v>
      </c>
      <c r="Z215" t="s">
        <v>284</v>
      </c>
      <c r="AA215">
        <v>209.16</v>
      </c>
      <c r="AB215" t="s">
        <v>284</v>
      </c>
      <c r="AG215">
        <v>198.44</v>
      </c>
      <c r="AH215" t="s">
        <v>54</v>
      </c>
      <c r="AI215" t="s">
        <v>52</v>
      </c>
      <c r="AZ215" t="s">
        <v>52</v>
      </c>
      <c r="BQ215" t="s">
        <v>52</v>
      </c>
      <c r="CH215" t="s">
        <v>52</v>
      </c>
    </row>
    <row r="216" spans="1:86" x14ac:dyDescent="0.25">
      <c r="A216" t="s">
        <v>47</v>
      </c>
      <c r="B216">
        <v>8</v>
      </c>
      <c r="C216" t="s">
        <v>117</v>
      </c>
      <c r="D216">
        <v>13</v>
      </c>
      <c r="E216" t="s">
        <v>79</v>
      </c>
      <c r="F216">
        <v>50</v>
      </c>
      <c r="G216" t="s">
        <v>80</v>
      </c>
      <c r="H216" t="s">
        <v>50</v>
      </c>
      <c r="K216" t="s">
        <v>51</v>
      </c>
      <c r="L216">
        <v>1</v>
      </c>
      <c r="M216" t="s">
        <v>53</v>
      </c>
      <c r="N216">
        <v>50</v>
      </c>
      <c r="O216">
        <v>1</v>
      </c>
      <c r="P216" t="s">
        <v>52</v>
      </c>
      <c r="Q216">
        <v>0.5</v>
      </c>
      <c r="R216">
        <v>0.75</v>
      </c>
      <c r="S216">
        <v>85</v>
      </c>
      <c r="T216" t="s">
        <v>285</v>
      </c>
      <c r="U216">
        <v>93</v>
      </c>
      <c r="V216" t="s">
        <v>284</v>
      </c>
      <c r="W216">
        <v>89.7</v>
      </c>
      <c r="X216" t="s">
        <v>284</v>
      </c>
      <c r="Y216">
        <v>92.72</v>
      </c>
      <c r="Z216" t="s">
        <v>284</v>
      </c>
      <c r="AA216">
        <v>109</v>
      </c>
      <c r="AB216" t="s">
        <v>285</v>
      </c>
      <c r="AG216">
        <v>91.806700000000006</v>
      </c>
      <c r="AH216" t="s">
        <v>54</v>
      </c>
      <c r="AI216" t="s">
        <v>52</v>
      </c>
      <c r="AZ216" t="s">
        <v>52</v>
      </c>
      <c r="BQ216" t="s">
        <v>52</v>
      </c>
      <c r="CH216" t="s">
        <v>52</v>
      </c>
    </row>
    <row r="217" spans="1:86" x14ac:dyDescent="0.25">
      <c r="A217" t="s">
        <v>47</v>
      </c>
      <c r="B217">
        <v>8</v>
      </c>
      <c r="C217" t="s">
        <v>117</v>
      </c>
      <c r="D217">
        <v>13</v>
      </c>
      <c r="E217" t="s">
        <v>79</v>
      </c>
      <c r="F217">
        <v>50</v>
      </c>
      <c r="G217" t="s">
        <v>80</v>
      </c>
      <c r="H217" t="s">
        <v>50</v>
      </c>
      <c r="K217" t="s">
        <v>52</v>
      </c>
      <c r="L217">
        <v>1</v>
      </c>
      <c r="M217" t="s">
        <v>53</v>
      </c>
      <c r="N217">
        <v>50</v>
      </c>
      <c r="O217">
        <v>1</v>
      </c>
      <c r="P217" t="s">
        <v>52</v>
      </c>
      <c r="Q217">
        <v>0.5</v>
      </c>
      <c r="R217">
        <v>0.75</v>
      </c>
      <c r="S217">
        <v>85</v>
      </c>
      <c r="T217" t="s">
        <v>285</v>
      </c>
      <c r="U217">
        <v>93</v>
      </c>
      <c r="V217" t="s">
        <v>284</v>
      </c>
      <c r="W217">
        <v>89.7</v>
      </c>
      <c r="X217" t="s">
        <v>284</v>
      </c>
      <c r="Y217">
        <v>92.72</v>
      </c>
      <c r="Z217" t="s">
        <v>284</v>
      </c>
      <c r="AA217">
        <v>109</v>
      </c>
      <c r="AB217" t="s">
        <v>285</v>
      </c>
      <c r="AG217">
        <v>91.806700000000006</v>
      </c>
      <c r="AH217" t="s">
        <v>54</v>
      </c>
      <c r="AI217" t="s">
        <v>52</v>
      </c>
      <c r="AZ217" t="s">
        <v>52</v>
      </c>
      <c r="BQ217" t="s">
        <v>52</v>
      </c>
      <c r="BR217">
        <v>0.75</v>
      </c>
      <c r="BS217" t="s">
        <v>289</v>
      </c>
      <c r="BT217">
        <v>1</v>
      </c>
      <c r="BU217" t="s">
        <v>284</v>
      </c>
      <c r="CH217" t="s">
        <v>52</v>
      </c>
    </row>
    <row r="218" spans="1:86" x14ac:dyDescent="0.25">
      <c r="A218" t="s">
        <v>47</v>
      </c>
      <c r="B218">
        <v>8</v>
      </c>
      <c r="C218" t="s">
        <v>117</v>
      </c>
      <c r="D218">
        <v>13</v>
      </c>
      <c r="E218" t="s">
        <v>79</v>
      </c>
      <c r="F218">
        <v>50</v>
      </c>
      <c r="G218" t="s">
        <v>65</v>
      </c>
      <c r="H218" t="s">
        <v>50</v>
      </c>
      <c r="K218" t="s">
        <v>51</v>
      </c>
      <c r="L218">
        <v>1</v>
      </c>
      <c r="M218" t="s">
        <v>53</v>
      </c>
      <c r="N218">
        <v>50</v>
      </c>
      <c r="O218">
        <v>1</v>
      </c>
      <c r="P218" t="s">
        <v>52</v>
      </c>
      <c r="Q218">
        <v>0.5</v>
      </c>
      <c r="R218">
        <v>0.75</v>
      </c>
      <c r="S218">
        <v>85</v>
      </c>
      <c r="T218" t="s">
        <v>285</v>
      </c>
      <c r="U218">
        <v>93</v>
      </c>
      <c r="V218" t="s">
        <v>284</v>
      </c>
      <c r="W218">
        <v>89.7</v>
      </c>
      <c r="X218" t="s">
        <v>284</v>
      </c>
      <c r="Y218">
        <v>92.72</v>
      </c>
      <c r="Z218" t="s">
        <v>284</v>
      </c>
      <c r="AA218">
        <v>109</v>
      </c>
      <c r="AB218" t="s">
        <v>285</v>
      </c>
      <c r="AG218">
        <v>91.806700000000006</v>
      </c>
      <c r="AH218" t="s">
        <v>54</v>
      </c>
      <c r="AI218" t="s">
        <v>52</v>
      </c>
      <c r="AZ218" t="s">
        <v>52</v>
      </c>
      <c r="BQ218" t="s">
        <v>52</v>
      </c>
      <c r="CH218" t="s">
        <v>52</v>
      </c>
    </row>
    <row r="219" spans="1:86" x14ac:dyDescent="0.25">
      <c r="A219" t="s">
        <v>47</v>
      </c>
      <c r="B219">
        <v>8</v>
      </c>
      <c r="C219" t="s">
        <v>117</v>
      </c>
      <c r="D219">
        <v>13</v>
      </c>
      <c r="E219" t="s">
        <v>79</v>
      </c>
      <c r="F219">
        <v>50</v>
      </c>
      <c r="G219" t="s">
        <v>65</v>
      </c>
      <c r="H219" t="s">
        <v>50</v>
      </c>
      <c r="K219" t="s">
        <v>52</v>
      </c>
      <c r="L219">
        <v>1</v>
      </c>
      <c r="M219" t="s">
        <v>53</v>
      </c>
      <c r="N219">
        <v>50</v>
      </c>
      <c r="O219">
        <v>1</v>
      </c>
      <c r="P219" t="s">
        <v>52</v>
      </c>
      <c r="Q219">
        <v>0.5</v>
      </c>
      <c r="R219">
        <v>0.75</v>
      </c>
      <c r="S219">
        <v>85</v>
      </c>
      <c r="T219" t="s">
        <v>285</v>
      </c>
      <c r="U219">
        <v>93</v>
      </c>
      <c r="V219" t="s">
        <v>284</v>
      </c>
      <c r="W219">
        <v>89.7</v>
      </c>
      <c r="X219" t="s">
        <v>284</v>
      </c>
      <c r="Y219">
        <v>92.72</v>
      </c>
      <c r="Z219" t="s">
        <v>284</v>
      </c>
      <c r="AA219">
        <v>109</v>
      </c>
      <c r="AB219" t="s">
        <v>285</v>
      </c>
      <c r="AG219">
        <v>91.806700000000006</v>
      </c>
      <c r="AH219" t="s">
        <v>54</v>
      </c>
      <c r="AI219" t="s">
        <v>52</v>
      </c>
      <c r="AZ219" t="s">
        <v>52</v>
      </c>
      <c r="BQ219" t="s">
        <v>52</v>
      </c>
      <c r="CH219" t="s">
        <v>52</v>
      </c>
    </row>
    <row r="220" spans="1:86" x14ac:dyDescent="0.25">
      <c r="A220" t="s">
        <v>47</v>
      </c>
      <c r="B220">
        <v>8</v>
      </c>
      <c r="C220" t="s">
        <v>117</v>
      </c>
      <c r="D220">
        <v>13</v>
      </c>
      <c r="E220" t="s">
        <v>79</v>
      </c>
      <c r="F220">
        <v>50</v>
      </c>
      <c r="G220" t="s">
        <v>81</v>
      </c>
      <c r="H220" t="s">
        <v>50</v>
      </c>
      <c r="K220" t="s">
        <v>51</v>
      </c>
      <c r="L220">
        <v>1</v>
      </c>
      <c r="M220" t="s">
        <v>53</v>
      </c>
      <c r="N220">
        <v>50</v>
      </c>
      <c r="O220">
        <v>1</v>
      </c>
      <c r="P220" t="s">
        <v>52</v>
      </c>
      <c r="Q220">
        <v>0.5</v>
      </c>
      <c r="R220">
        <v>0.75</v>
      </c>
      <c r="S220">
        <v>85</v>
      </c>
      <c r="T220" t="s">
        <v>285</v>
      </c>
      <c r="U220">
        <v>93</v>
      </c>
      <c r="V220" t="s">
        <v>284</v>
      </c>
      <c r="W220">
        <v>89.7</v>
      </c>
      <c r="X220" t="s">
        <v>284</v>
      </c>
      <c r="Y220">
        <v>92.72</v>
      </c>
      <c r="Z220" t="s">
        <v>284</v>
      </c>
      <c r="AA220">
        <v>109</v>
      </c>
      <c r="AB220" t="s">
        <v>285</v>
      </c>
      <c r="AG220">
        <v>91.806700000000006</v>
      </c>
      <c r="AH220" t="s">
        <v>54</v>
      </c>
      <c r="AI220" t="s">
        <v>52</v>
      </c>
      <c r="AZ220" t="s">
        <v>52</v>
      </c>
      <c r="BQ220" t="s">
        <v>52</v>
      </c>
      <c r="CH220" t="s">
        <v>52</v>
      </c>
    </row>
    <row r="221" spans="1:86" x14ac:dyDescent="0.25">
      <c r="A221" t="s">
        <v>47</v>
      </c>
      <c r="B221">
        <v>8</v>
      </c>
      <c r="C221" t="s">
        <v>117</v>
      </c>
      <c r="D221">
        <v>13</v>
      </c>
      <c r="E221" t="s">
        <v>79</v>
      </c>
      <c r="F221">
        <v>50</v>
      </c>
      <c r="G221" t="s">
        <v>81</v>
      </c>
      <c r="H221" t="s">
        <v>50</v>
      </c>
      <c r="K221" t="s">
        <v>52</v>
      </c>
      <c r="L221">
        <v>1</v>
      </c>
      <c r="M221" t="s">
        <v>53</v>
      </c>
      <c r="N221">
        <v>50</v>
      </c>
      <c r="O221">
        <v>1</v>
      </c>
      <c r="P221" t="s">
        <v>52</v>
      </c>
      <c r="Q221">
        <v>0.5</v>
      </c>
      <c r="R221">
        <v>0.75</v>
      </c>
      <c r="S221">
        <v>85</v>
      </c>
      <c r="T221" t="s">
        <v>285</v>
      </c>
      <c r="U221">
        <v>93</v>
      </c>
      <c r="V221" t="s">
        <v>284</v>
      </c>
      <c r="W221">
        <v>89.7</v>
      </c>
      <c r="X221" t="s">
        <v>284</v>
      </c>
      <c r="Y221">
        <v>92.72</v>
      </c>
      <c r="Z221" t="s">
        <v>284</v>
      </c>
      <c r="AA221">
        <v>109</v>
      </c>
      <c r="AB221" t="s">
        <v>285</v>
      </c>
      <c r="AG221">
        <v>91.806700000000006</v>
      </c>
      <c r="AH221" t="s">
        <v>54</v>
      </c>
      <c r="AI221" t="s">
        <v>52</v>
      </c>
      <c r="AZ221" t="s">
        <v>52</v>
      </c>
      <c r="BQ221" t="s">
        <v>52</v>
      </c>
      <c r="CH221" t="s">
        <v>52</v>
      </c>
    </row>
    <row r="222" spans="1:86" x14ac:dyDescent="0.25">
      <c r="A222" t="s">
        <v>47</v>
      </c>
      <c r="B222">
        <v>8</v>
      </c>
      <c r="C222" t="s">
        <v>117</v>
      </c>
      <c r="D222">
        <v>13</v>
      </c>
      <c r="E222" t="s">
        <v>83</v>
      </c>
      <c r="F222">
        <v>158</v>
      </c>
      <c r="H222" t="s">
        <v>50</v>
      </c>
      <c r="K222" t="s">
        <v>51</v>
      </c>
      <c r="L222">
        <v>1</v>
      </c>
      <c r="M222" t="s">
        <v>53</v>
      </c>
      <c r="N222">
        <v>158</v>
      </c>
      <c r="O222">
        <v>2</v>
      </c>
      <c r="P222" t="s">
        <v>52</v>
      </c>
      <c r="Q222">
        <v>0.77</v>
      </c>
      <c r="R222">
        <v>0.93</v>
      </c>
      <c r="S222">
        <v>228</v>
      </c>
      <c r="T222" t="s">
        <v>284</v>
      </c>
      <c r="U222">
        <v>221</v>
      </c>
      <c r="V222" t="s">
        <v>284</v>
      </c>
      <c r="W222">
        <v>236</v>
      </c>
      <c r="X222" t="s">
        <v>284</v>
      </c>
      <c r="Y222">
        <v>244</v>
      </c>
      <c r="Z222" t="s">
        <v>284</v>
      </c>
      <c r="AA222">
        <v>252</v>
      </c>
      <c r="AB222" t="s">
        <v>284</v>
      </c>
      <c r="AG222">
        <v>236</v>
      </c>
      <c r="AH222" t="s">
        <v>54</v>
      </c>
      <c r="AI222" t="s">
        <v>52</v>
      </c>
      <c r="AX222">
        <v>339</v>
      </c>
      <c r="AY222" t="s">
        <v>285</v>
      </c>
      <c r="AZ222" t="s">
        <v>287</v>
      </c>
      <c r="BQ222" t="s">
        <v>52</v>
      </c>
      <c r="CH222" t="s">
        <v>52</v>
      </c>
    </row>
    <row r="223" spans="1:86" x14ac:dyDescent="0.25">
      <c r="A223" t="s">
        <v>47</v>
      </c>
      <c r="B223">
        <v>8</v>
      </c>
      <c r="C223" t="s">
        <v>117</v>
      </c>
      <c r="D223">
        <v>13</v>
      </c>
      <c r="E223" t="s">
        <v>83</v>
      </c>
      <c r="F223">
        <v>158</v>
      </c>
      <c r="H223" t="s">
        <v>50</v>
      </c>
      <c r="K223" t="s">
        <v>52</v>
      </c>
      <c r="L223">
        <v>1</v>
      </c>
      <c r="M223" t="s">
        <v>53</v>
      </c>
      <c r="N223">
        <v>158</v>
      </c>
      <c r="O223">
        <v>2</v>
      </c>
      <c r="P223" t="s">
        <v>52</v>
      </c>
      <c r="Q223">
        <v>0.77</v>
      </c>
      <c r="R223">
        <v>0.93</v>
      </c>
      <c r="S223">
        <v>228</v>
      </c>
      <c r="T223" t="s">
        <v>284</v>
      </c>
      <c r="U223">
        <v>221</v>
      </c>
      <c r="V223" t="s">
        <v>284</v>
      </c>
      <c r="W223">
        <v>236</v>
      </c>
      <c r="X223" t="s">
        <v>284</v>
      </c>
      <c r="Y223">
        <v>244</v>
      </c>
      <c r="Z223" t="s">
        <v>284</v>
      </c>
      <c r="AA223">
        <v>252</v>
      </c>
      <c r="AB223" t="s">
        <v>284</v>
      </c>
      <c r="AG223">
        <v>236</v>
      </c>
      <c r="AH223" t="s">
        <v>54</v>
      </c>
      <c r="AI223" t="s">
        <v>52</v>
      </c>
      <c r="AX223">
        <v>339</v>
      </c>
      <c r="AY223" t="s">
        <v>285</v>
      </c>
      <c r="AZ223" t="s">
        <v>287</v>
      </c>
      <c r="BQ223" t="s">
        <v>52</v>
      </c>
      <c r="CH223" t="s">
        <v>52</v>
      </c>
    </row>
    <row r="224" spans="1:86" x14ac:dyDescent="0.25">
      <c r="A224" t="s">
        <v>47</v>
      </c>
      <c r="B224">
        <v>8</v>
      </c>
      <c r="C224" t="s">
        <v>120</v>
      </c>
      <c r="D224">
        <v>14</v>
      </c>
      <c r="E224" t="s">
        <v>49</v>
      </c>
      <c r="F224">
        <v>27</v>
      </c>
      <c r="H224" t="s">
        <v>50</v>
      </c>
      <c r="K224" t="s">
        <v>51</v>
      </c>
      <c r="L224">
        <v>1</v>
      </c>
      <c r="M224" t="s">
        <v>53</v>
      </c>
      <c r="N224">
        <v>27</v>
      </c>
      <c r="O224">
        <v>1</v>
      </c>
      <c r="P224" t="s">
        <v>52</v>
      </c>
      <c r="Q224">
        <v>0</v>
      </c>
      <c r="R224">
        <v>0.75</v>
      </c>
      <c r="S224">
        <v>231</v>
      </c>
      <c r="T224" t="s">
        <v>284</v>
      </c>
      <c r="U224">
        <v>208</v>
      </c>
      <c r="V224" t="s">
        <v>284</v>
      </c>
      <c r="W224">
        <v>224</v>
      </c>
      <c r="X224" t="s">
        <v>284</v>
      </c>
      <c r="Y224">
        <v>225</v>
      </c>
      <c r="Z224" t="s">
        <v>285</v>
      </c>
      <c r="AA224">
        <v>247</v>
      </c>
      <c r="AB224" t="s">
        <v>285</v>
      </c>
      <c r="AC224">
        <v>241</v>
      </c>
      <c r="AD224" t="s">
        <v>285</v>
      </c>
      <c r="AE224">
        <v>219</v>
      </c>
      <c r="AF224" t="s">
        <v>285</v>
      </c>
      <c r="AG224">
        <v>219</v>
      </c>
      <c r="AH224" t="s">
        <v>286</v>
      </c>
      <c r="AI224" t="s">
        <v>287</v>
      </c>
      <c r="AX224">
        <v>263</v>
      </c>
      <c r="AY224" t="s">
        <v>286</v>
      </c>
      <c r="AZ224" t="s">
        <v>287</v>
      </c>
      <c r="BQ224" t="s">
        <v>52</v>
      </c>
      <c r="BR224">
        <v>3.7</v>
      </c>
      <c r="BS224" t="s">
        <v>284</v>
      </c>
      <c r="BT224">
        <v>3.4</v>
      </c>
      <c r="BU224" t="s">
        <v>284</v>
      </c>
      <c r="CH224" t="s">
        <v>52</v>
      </c>
    </row>
    <row r="225" spans="1:86" x14ac:dyDescent="0.25">
      <c r="A225" t="s">
        <v>47</v>
      </c>
      <c r="B225">
        <v>8</v>
      </c>
      <c r="C225" t="s">
        <v>120</v>
      </c>
      <c r="D225">
        <v>14</v>
      </c>
      <c r="E225" t="s">
        <v>49</v>
      </c>
      <c r="F225">
        <v>27</v>
      </c>
      <c r="H225" t="s">
        <v>50</v>
      </c>
      <c r="K225" t="s">
        <v>52</v>
      </c>
      <c r="L225">
        <v>1</v>
      </c>
      <c r="M225" t="s">
        <v>53</v>
      </c>
      <c r="N225">
        <v>27</v>
      </c>
      <c r="O225">
        <v>1</v>
      </c>
      <c r="P225" t="s">
        <v>52</v>
      </c>
      <c r="Q225">
        <v>0</v>
      </c>
      <c r="R225">
        <v>0.75</v>
      </c>
      <c r="S225">
        <v>231</v>
      </c>
      <c r="T225" t="s">
        <v>284</v>
      </c>
      <c r="U225">
        <v>208</v>
      </c>
      <c r="V225" t="s">
        <v>284</v>
      </c>
      <c r="W225">
        <v>224</v>
      </c>
      <c r="X225" t="s">
        <v>284</v>
      </c>
      <c r="Y225">
        <v>225</v>
      </c>
      <c r="Z225" t="s">
        <v>285</v>
      </c>
      <c r="AA225">
        <v>247</v>
      </c>
      <c r="AB225" t="s">
        <v>285</v>
      </c>
      <c r="AC225">
        <v>241</v>
      </c>
      <c r="AD225" t="s">
        <v>285</v>
      </c>
      <c r="AE225">
        <v>219</v>
      </c>
      <c r="AF225" t="s">
        <v>285</v>
      </c>
      <c r="AG225">
        <v>219</v>
      </c>
      <c r="AH225" t="s">
        <v>286</v>
      </c>
      <c r="AI225" t="s">
        <v>287</v>
      </c>
      <c r="AX225">
        <v>263</v>
      </c>
      <c r="AY225" t="s">
        <v>286</v>
      </c>
      <c r="AZ225" t="s">
        <v>287</v>
      </c>
      <c r="BQ225" t="s">
        <v>52</v>
      </c>
      <c r="BR225">
        <v>1.3</v>
      </c>
      <c r="BS225" t="s">
        <v>284</v>
      </c>
      <c r="BT225">
        <v>1.2</v>
      </c>
      <c r="BU225" t="s">
        <v>284</v>
      </c>
      <c r="CH225" t="s">
        <v>52</v>
      </c>
    </row>
    <row r="226" spans="1:86" x14ac:dyDescent="0.25">
      <c r="A226" t="s">
        <v>47</v>
      </c>
      <c r="B226">
        <v>8</v>
      </c>
      <c r="C226" t="s">
        <v>120</v>
      </c>
      <c r="D226">
        <v>14</v>
      </c>
      <c r="E226" t="s">
        <v>58</v>
      </c>
      <c r="F226">
        <v>102</v>
      </c>
      <c r="G226" t="s">
        <v>59</v>
      </c>
      <c r="H226" t="s">
        <v>50</v>
      </c>
      <c r="K226" t="s">
        <v>51</v>
      </c>
      <c r="L226">
        <v>1</v>
      </c>
      <c r="M226" t="s">
        <v>53</v>
      </c>
      <c r="N226">
        <v>102</v>
      </c>
      <c r="O226">
        <v>1</v>
      </c>
      <c r="P226" t="s">
        <v>52</v>
      </c>
      <c r="Q226">
        <v>0</v>
      </c>
      <c r="R226">
        <v>0.92</v>
      </c>
      <c r="S226">
        <v>131.69999999999999</v>
      </c>
      <c r="T226" t="s">
        <v>284</v>
      </c>
      <c r="U226">
        <v>126.5</v>
      </c>
      <c r="V226" t="s">
        <v>284</v>
      </c>
      <c r="W226">
        <v>170</v>
      </c>
      <c r="X226" t="s">
        <v>284</v>
      </c>
      <c r="Y226">
        <v>207</v>
      </c>
      <c r="Z226" t="s">
        <v>284</v>
      </c>
      <c r="AA226">
        <v>315</v>
      </c>
      <c r="AB226" t="s">
        <v>285</v>
      </c>
      <c r="AG226">
        <v>169.5667</v>
      </c>
      <c r="AH226" t="s">
        <v>54</v>
      </c>
      <c r="AI226" t="s">
        <v>52</v>
      </c>
      <c r="AZ226" t="s">
        <v>52</v>
      </c>
      <c r="BQ226" t="s">
        <v>52</v>
      </c>
      <c r="CH226" t="s">
        <v>52</v>
      </c>
    </row>
    <row r="227" spans="1:86" x14ac:dyDescent="0.25">
      <c r="A227" t="s">
        <v>47</v>
      </c>
      <c r="B227">
        <v>8</v>
      </c>
      <c r="C227" t="s">
        <v>120</v>
      </c>
      <c r="D227">
        <v>14</v>
      </c>
      <c r="E227" t="s">
        <v>58</v>
      </c>
      <c r="F227">
        <v>102</v>
      </c>
      <c r="G227" t="s">
        <v>59</v>
      </c>
      <c r="H227" t="s">
        <v>50</v>
      </c>
      <c r="K227" t="s">
        <v>52</v>
      </c>
      <c r="L227">
        <v>1</v>
      </c>
      <c r="M227" t="s">
        <v>53</v>
      </c>
      <c r="N227">
        <v>102</v>
      </c>
      <c r="O227">
        <v>1</v>
      </c>
      <c r="P227" t="s">
        <v>52</v>
      </c>
      <c r="Q227">
        <v>0</v>
      </c>
      <c r="R227">
        <v>0.92</v>
      </c>
      <c r="S227">
        <v>131.69999999999999</v>
      </c>
      <c r="T227" t="s">
        <v>284</v>
      </c>
      <c r="U227">
        <v>126.5</v>
      </c>
      <c r="V227" t="s">
        <v>284</v>
      </c>
      <c r="W227">
        <v>170</v>
      </c>
      <c r="X227" t="s">
        <v>284</v>
      </c>
      <c r="Y227">
        <v>207</v>
      </c>
      <c r="Z227" t="s">
        <v>284</v>
      </c>
      <c r="AA227">
        <v>315</v>
      </c>
      <c r="AB227" t="s">
        <v>285</v>
      </c>
      <c r="AG227">
        <v>169.5667</v>
      </c>
      <c r="AH227" t="s">
        <v>54</v>
      </c>
      <c r="AI227" t="s">
        <v>52</v>
      </c>
      <c r="AZ227" t="s">
        <v>52</v>
      </c>
      <c r="BQ227" t="s">
        <v>52</v>
      </c>
      <c r="CH227" t="s">
        <v>52</v>
      </c>
    </row>
    <row r="228" spans="1:86" x14ac:dyDescent="0.25">
      <c r="A228" t="s">
        <v>47</v>
      </c>
      <c r="B228">
        <v>8</v>
      </c>
      <c r="C228" t="s">
        <v>120</v>
      </c>
      <c r="D228">
        <v>14</v>
      </c>
      <c r="E228" t="s">
        <v>58</v>
      </c>
      <c r="F228">
        <v>102</v>
      </c>
      <c r="G228" t="s">
        <v>61</v>
      </c>
      <c r="H228" t="s">
        <v>50</v>
      </c>
      <c r="K228" t="s">
        <v>51</v>
      </c>
      <c r="L228">
        <v>1</v>
      </c>
      <c r="M228" t="s">
        <v>53</v>
      </c>
      <c r="N228">
        <v>102</v>
      </c>
      <c r="O228">
        <v>1</v>
      </c>
      <c r="P228" t="s">
        <v>52</v>
      </c>
      <c r="Q228">
        <v>0</v>
      </c>
      <c r="R228">
        <v>0.92</v>
      </c>
      <c r="S228">
        <v>131.69999999999999</v>
      </c>
      <c r="T228" t="s">
        <v>284</v>
      </c>
      <c r="U228">
        <v>170</v>
      </c>
      <c r="V228" t="s">
        <v>284</v>
      </c>
      <c r="W228">
        <v>191</v>
      </c>
      <c r="X228" t="s">
        <v>284</v>
      </c>
      <c r="Y228">
        <v>207</v>
      </c>
      <c r="Z228" t="s">
        <v>284</v>
      </c>
      <c r="AA228">
        <v>315</v>
      </c>
      <c r="AB228" t="s">
        <v>285</v>
      </c>
      <c r="AG228">
        <v>189.33330000000001</v>
      </c>
      <c r="AH228" t="s">
        <v>54</v>
      </c>
      <c r="AI228" t="s">
        <v>52</v>
      </c>
      <c r="AZ228" t="s">
        <v>52</v>
      </c>
      <c r="BQ228" t="s">
        <v>52</v>
      </c>
      <c r="CH228" t="s">
        <v>52</v>
      </c>
    </row>
    <row r="229" spans="1:86" x14ac:dyDescent="0.25">
      <c r="A229" t="s">
        <v>47</v>
      </c>
      <c r="B229">
        <v>8</v>
      </c>
      <c r="C229" t="s">
        <v>120</v>
      </c>
      <c r="D229">
        <v>14</v>
      </c>
      <c r="E229" t="s">
        <v>58</v>
      </c>
      <c r="F229">
        <v>102</v>
      </c>
      <c r="G229" t="s">
        <v>61</v>
      </c>
      <c r="H229" t="s">
        <v>50</v>
      </c>
      <c r="K229" t="s">
        <v>52</v>
      </c>
      <c r="L229">
        <v>1</v>
      </c>
      <c r="M229" t="s">
        <v>53</v>
      </c>
      <c r="N229">
        <v>102</v>
      </c>
      <c r="O229">
        <v>1</v>
      </c>
      <c r="P229" t="s">
        <v>52</v>
      </c>
      <c r="Q229">
        <v>0</v>
      </c>
      <c r="R229">
        <v>0.92</v>
      </c>
      <c r="S229">
        <v>131.69999999999999</v>
      </c>
      <c r="T229" t="s">
        <v>284</v>
      </c>
      <c r="U229">
        <v>170</v>
      </c>
      <c r="V229" t="s">
        <v>284</v>
      </c>
      <c r="W229">
        <v>191</v>
      </c>
      <c r="X229" t="s">
        <v>284</v>
      </c>
      <c r="Y229">
        <v>207</v>
      </c>
      <c r="Z229" t="s">
        <v>284</v>
      </c>
      <c r="AA229">
        <v>315</v>
      </c>
      <c r="AB229" t="s">
        <v>285</v>
      </c>
      <c r="AG229">
        <v>189.33330000000001</v>
      </c>
      <c r="AH229" t="s">
        <v>54</v>
      </c>
      <c r="AI229" t="s">
        <v>52</v>
      </c>
      <c r="AZ229" t="s">
        <v>52</v>
      </c>
      <c r="BQ229" t="s">
        <v>52</v>
      </c>
      <c r="CH229" t="s">
        <v>52</v>
      </c>
    </row>
    <row r="230" spans="1:86" x14ac:dyDescent="0.25">
      <c r="A230" t="s">
        <v>47</v>
      </c>
      <c r="B230">
        <v>8</v>
      </c>
      <c r="C230" t="s">
        <v>120</v>
      </c>
      <c r="D230">
        <v>14</v>
      </c>
      <c r="E230" t="s">
        <v>58</v>
      </c>
      <c r="F230">
        <v>102</v>
      </c>
      <c r="G230" t="s">
        <v>62</v>
      </c>
      <c r="H230" t="s">
        <v>50</v>
      </c>
      <c r="K230" t="s">
        <v>51</v>
      </c>
      <c r="L230">
        <v>1</v>
      </c>
      <c r="M230" t="s">
        <v>53</v>
      </c>
      <c r="N230">
        <v>102</v>
      </c>
      <c r="O230">
        <v>1</v>
      </c>
      <c r="P230" t="s">
        <v>52</v>
      </c>
      <c r="Q230">
        <v>0</v>
      </c>
      <c r="R230">
        <v>0.92</v>
      </c>
      <c r="S230">
        <v>131.69999999999999</v>
      </c>
      <c r="T230" t="s">
        <v>284</v>
      </c>
      <c r="U230">
        <v>170</v>
      </c>
      <c r="V230" t="s">
        <v>284</v>
      </c>
      <c r="W230">
        <v>191</v>
      </c>
      <c r="X230" t="s">
        <v>284</v>
      </c>
      <c r="Y230">
        <v>207</v>
      </c>
      <c r="Z230" t="s">
        <v>284</v>
      </c>
      <c r="AA230">
        <v>205</v>
      </c>
      <c r="AB230" t="s">
        <v>285</v>
      </c>
      <c r="AG230">
        <v>188.66669999999999</v>
      </c>
      <c r="AH230" t="s">
        <v>54</v>
      </c>
      <c r="AI230" t="s">
        <v>52</v>
      </c>
      <c r="AX230">
        <v>271.60000000000002</v>
      </c>
      <c r="AY230" t="s">
        <v>285</v>
      </c>
      <c r="AZ230" t="s">
        <v>287</v>
      </c>
      <c r="BQ230" t="s">
        <v>52</v>
      </c>
      <c r="CH230" t="s">
        <v>52</v>
      </c>
    </row>
    <row r="231" spans="1:86" x14ac:dyDescent="0.25">
      <c r="A231" t="s">
        <v>47</v>
      </c>
      <c r="B231">
        <v>8</v>
      </c>
      <c r="C231" t="s">
        <v>120</v>
      </c>
      <c r="D231">
        <v>14</v>
      </c>
      <c r="E231" t="s">
        <v>58</v>
      </c>
      <c r="F231">
        <v>102</v>
      </c>
      <c r="G231" t="s">
        <v>62</v>
      </c>
      <c r="H231" t="s">
        <v>50</v>
      </c>
      <c r="K231" t="s">
        <v>52</v>
      </c>
      <c r="L231">
        <v>1</v>
      </c>
      <c r="M231" t="s">
        <v>53</v>
      </c>
      <c r="N231">
        <v>102</v>
      </c>
      <c r="O231">
        <v>1</v>
      </c>
      <c r="P231" t="s">
        <v>52</v>
      </c>
      <c r="Q231">
        <v>0</v>
      </c>
      <c r="R231">
        <v>0.92</v>
      </c>
      <c r="S231">
        <v>131.69999999999999</v>
      </c>
      <c r="T231" t="s">
        <v>284</v>
      </c>
      <c r="U231">
        <v>170</v>
      </c>
      <c r="V231" t="s">
        <v>284</v>
      </c>
      <c r="W231">
        <v>191</v>
      </c>
      <c r="X231" t="s">
        <v>284</v>
      </c>
      <c r="Y231">
        <v>207</v>
      </c>
      <c r="Z231" t="s">
        <v>284</v>
      </c>
      <c r="AA231">
        <v>205</v>
      </c>
      <c r="AB231" t="s">
        <v>285</v>
      </c>
      <c r="AG231">
        <v>188.66669999999999</v>
      </c>
      <c r="AH231" t="s">
        <v>54</v>
      </c>
      <c r="AI231" t="s">
        <v>52</v>
      </c>
      <c r="AX231">
        <v>271.60000000000002</v>
      </c>
      <c r="AY231" t="s">
        <v>285</v>
      </c>
      <c r="AZ231" t="s">
        <v>287</v>
      </c>
      <c r="BQ231" t="s">
        <v>52</v>
      </c>
      <c r="CH231" t="s">
        <v>52</v>
      </c>
    </row>
    <row r="232" spans="1:86" x14ac:dyDescent="0.25">
      <c r="A232" t="s">
        <v>47</v>
      </c>
      <c r="B232">
        <v>8</v>
      </c>
      <c r="C232" t="s">
        <v>120</v>
      </c>
      <c r="D232">
        <v>14</v>
      </c>
      <c r="E232" t="s">
        <v>58</v>
      </c>
      <c r="F232">
        <v>102</v>
      </c>
      <c r="G232" t="s">
        <v>63</v>
      </c>
      <c r="H232" t="s">
        <v>50</v>
      </c>
      <c r="K232" t="s">
        <v>51</v>
      </c>
      <c r="L232">
        <v>1</v>
      </c>
      <c r="M232" t="s">
        <v>53</v>
      </c>
      <c r="N232">
        <v>102</v>
      </c>
      <c r="O232">
        <v>1</v>
      </c>
      <c r="P232" t="s">
        <v>52</v>
      </c>
      <c r="Q232">
        <v>0</v>
      </c>
      <c r="R232">
        <v>0.92</v>
      </c>
      <c r="S232">
        <v>131.69999999999999</v>
      </c>
      <c r="T232" t="s">
        <v>284</v>
      </c>
      <c r="U232">
        <v>170</v>
      </c>
      <c r="V232" t="s">
        <v>284</v>
      </c>
      <c r="W232">
        <v>191</v>
      </c>
      <c r="X232" t="s">
        <v>285</v>
      </c>
      <c r="Y232">
        <v>207</v>
      </c>
      <c r="Z232" t="s">
        <v>285</v>
      </c>
      <c r="AA232">
        <v>265</v>
      </c>
      <c r="AB232" t="s">
        <v>285</v>
      </c>
      <c r="AG232">
        <v>189.33330000000001</v>
      </c>
      <c r="AH232" t="s">
        <v>54</v>
      </c>
      <c r="AI232" t="s">
        <v>52</v>
      </c>
      <c r="AZ232" t="s">
        <v>52</v>
      </c>
      <c r="BQ232" t="s">
        <v>52</v>
      </c>
      <c r="BR232">
        <v>2.1</v>
      </c>
      <c r="BS232" t="s">
        <v>285</v>
      </c>
      <c r="BT232">
        <v>1.1399999999999999</v>
      </c>
      <c r="BU232" t="s">
        <v>284</v>
      </c>
      <c r="BV232">
        <v>0.88</v>
      </c>
      <c r="BW232" t="s">
        <v>285</v>
      </c>
      <c r="BX232">
        <v>0.62</v>
      </c>
      <c r="BY232" t="s">
        <v>285</v>
      </c>
      <c r="BZ232">
        <v>0.53</v>
      </c>
      <c r="CA232" t="s">
        <v>284</v>
      </c>
      <c r="CF232">
        <v>0.88</v>
      </c>
      <c r="CG232" t="s">
        <v>54</v>
      </c>
      <c r="CH232" t="s">
        <v>52</v>
      </c>
    </row>
    <row r="233" spans="1:86" x14ac:dyDescent="0.25">
      <c r="A233" t="s">
        <v>47</v>
      </c>
      <c r="B233">
        <v>8</v>
      </c>
      <c r="C233" t="s">
        <v>120</v>
      </c>
      <c r="D233">
        <v>14</v>
      </c>
      <c r="E233" t="s">
        <v>58</v>
      </c>
      <c r="F233">
        <v>102</v>
      </c>
      <c r="G233" t="s">
        <v>63</v>
      </c>
      <c r="H233" t="s">
        <v>50</v>
      </c>
      <c r="K233" t="s">
        <v>52</v>
      </c>
      <c r="L233">
        <v>1</v>
      </c>
      <c r="M233" t="s">
        <v>53</v>
      </c>
      <c r="N233">
        <v>102</v>
      </c>
      <c r="O233">
        <v>1</v>
      </c>
      <c r="P233" t="s">
        <v>52</v>
      </c>
      <c r="Q233">
        <v>0</v>
      </c>
      <c r="R233">
        <v>0.92</v>
      </c>
      <c r="S233">
        <v>131.69999999999999</v>
      </c>
      <c r="T233" t="s">
        <v>284</v>
      </c>
      <c r="U233">
        <v>170</v>
      </c>
      <c r="V233" t="s">
        <v>284</v>
      </c>
      <c r="W233">
        <v>191</v>
      </c>
      <c r="X233" t="s">
        <v>285</v>
      </c>
      <c r="Y233">
        <v>207</v>
      </c>
      <c r="Z233" t="s">
        <v>285</v>
      </c>
      <c r="AA233">
        <v>265</v>
      </c>
      <c r="AB233" t="s">
        <v>285</v>
      </c>
      <c r="AG233">
        <v>189.33330000000001</v>
      </c>
      <c r="AH233" t="s">
        <v>54</v>
      </c>
      <c r="AI233" t="s">
        <v>52</v>
      </c>
      <c r="AZ233" t="s">
        <v>52</v>
      </c>
      <c r="BQ233" t="s">
        <v>52</v>
      </c>
      <c r="CH233" t="s">
        <v>52</v>
      </c>
    </row>
    <row r="234" spans="1:86" x14ac:dyDescent="0.25">
      <c r="A234" t="s">
        <v>47</v>
      </c>
      <c r="B234">
        <v>8</v>
      </c>
      <c r="C234" t="s">
        <v>120</v>
      </c>
      <c r="D234">
        <v>14</v>
      </c>
      <c r="E234" t="s">
        <v>58</v>
      </c>
      <c r="F234">
        <v>102</v>
      </c>
      <c r="G234" t="s">
        <v>64</v>
      </c>
      <c r="H234" t="s">
        <v>50</v>
      </c>
      <c r="K234" t="s">
        <v>52</v>
      </c>
      <c r="L234">
        <v>1</v>
      </c>
      <c r="M234" t="s">
        <v>53</v>
      </c>
      <c r="N234">
        <v>102</v>
      </c>
      <c r="O234">
        <v>1</v>
      </c>
      <c r="P234" t="s">
        <v>52</v>
      </c>
      <c r="Q234">
        <v>0</v>
      </c>
      <c r="R234">
        <v>0.92</v>
      </c>
      <c r="S234">
        <v>131.69999999999999</v>
      </c>
      <c r="T234" t="s">
        <v>284</v>
      </c>
      <c r="U234">
        <v>170</v>
      </c>
      <c r="V234" t="s">
        <v>284</v>
      </c>
      <c r="W234">
        <v>191</v>
      </c>
      <c r="X234" t="s">
        <v>284</v>
      </c>
      <c r="Y234">
        <v>207</v>
      </c>
      <c r="Z234" t="s">
        <v>284</v>
      </c>
      <c r="AA234">
        <v>205</v>
      </c>
      <c r="AB234" t="s">
        <v>285</v>
      </c>
      <c r="AG234">
        <v>188.66669999999999</v>
      </c>
      <c r="AH234" t="s">
        <v>54</v>
      </c>
      <c r="AI234" t="s">
        <v>52</v>
      </c>
      <c r="AZ234" t="s">
        <v>52</v>
      </c>
      <c r="BQ234" t="s">
        <v>52</v>
      </c>
      <c r="CH234" t="s">
        <v>52</v>
      </c>
    </row>
    <row r="235" spans="1:86" x14ac:dyDescent="0.25">
      <c r="A235" t="s">
        <v>47</v>
      </c>
      <c r="B235">
        <v>8</v>
      </c>
      <c r="C235" t="s">
        <v>120</v>
      </c>
      <c r="D235">
        <v>14</v>
      </c>
      <c r="E235" t="s">
        <v>58</v>
      </c>
      <c r="F235">
        <v>102</v>
      </c>
      <c r="G235" t="s">
        <v>65</v>
      </c>
      <c r="H235" t="s">
        <v>50</v>
      </c>
      <c r="K235" t="s">
        <v>51</v>
      </c>
      <c r="L235">
        <v>1</v>
      </c>
      <c r="M235" t="s">
        <v>53</v>
      </c>
      <c r="N235">
        <v>102</v>
      </c>
      <c r="O235">
        <v>1</v>
      </c>
      <c r="P235" t="s">
        <v>52</v>
      </c>
      <c r="Q235">
        <v>0</v>
      </c>
      <c r="R235">
        <v>0.92</v>
      </c>
      <c r="S235">
        <v>131.69999999999999</v>
      </c>
      <c r="T235" t="s">
        <v>284</v>
      </c>
      <c r="U235">
        <v>170</v>
      </c>
      <c r="V235" t="s">
        <v>284</v>
      </c>
      <c r="W235">
        <v>191</v>
      </c>
      <c r="X235" t="s">
        <v>284</v>
      </c>
      <c r="Y235">
        <v>207</v>
      </c>
      <c r="Z235" t="s">
        <v>284</v>
      </c>
      <c r="AA235">
        <v>155</v>
      </c>
      <c r="AB235" t="s">
        <v>285</v>
      </c>
      <c r="AG235">
        <v>172</v>
      </c>
      <c r="AH235" t="s">
        <v>54</v>
      </c>
      <c r="AI235" t="s">
        <v>52</v>
      </c>
      <c r="AZ235" t="s">
        <v>52</v>
      </c>
      <c r="BQ235" t="s">
        <v>52</v>
      </c>
      <c r="BR235">
        <v>1.85</v>
      </c>
      <c r="BS235" t="s">
        <v>284</v>
      </c>
      <c r="BT235">
        <v>1.1399999999999999</v>
      </c>
      <c r="BU235" t="s">
        <v>284</v>
      </c>
      <c r="BV235">
        <v>0.88</v>
      </c>
      <c r="BW235" t="s">
        <v>285</v>
      </c>
      <c r="BX235">
        <v>0.62</v>
      </c>
      <c r="BY235" t="s">
        <v>285</v>
      </c>
      <c r="BZ235">
        <v>0.53</v>
      </c>
      <c r="CA235" t="s">
        <v>284</v>
      </c>
      <c r="CF235">
        <v>0.88</v>
      </c>
      <c r="CG235" t="s">
        <v>54</v>
      </c>
      <c r="CH235" t="s">
        <v>52</v>
      </c>
    </row>
    <row r="236" spans="1:86" x14ac:dyDescent="0.25">
      <c r="A236" t="s">
        <v>47</v>
      </c>
      <c r="B236">
        <v>8</v>
      </c>
      <c r="C236" t="s">
        <v>120</v>
      </c>
      <c r="D236">
        <v>14</v>
      </c>
      <c r="E236" t="s">
        <v>58</v>
      </c>
      <c r="F236">
        <v>102</v>
      </c>
      <c r="G236" t="s">
        <v>65</v>
      </c>
      <c r="H236" t="s">
        <v>50</v>
      </c>
      <c r="K236" t="s">
        <v>52</v>
      </c>
      <c r="L236">
        <v>1</v>
      </c>
      <c r="M236" t="s">
        <v>53</v>
      </c>
      <c r="N236">
        <v>102</v>
      </c>
      <c r="O236">
        <v>1</v>
      </c>
      <c r="P236" t="s">
        <v>52</v>
      </c>
      <c r="Q236">
        <v>0</v>
      </c>
      <c r="R236">
        <v>0.92</v>
      </c>
      <c r="S236">
        <v>131.69999999999999</v>
      </c>
      <c r="T236" t="s">
        <v>284</v>
      </c>
      <c r="U236">
        <v>170</v>
      </c>
      <c r="V236" t="s">
        <v>284</v>
      </c>
      <c r="W236">
        <v>191</v>
      </c>
      <c r="X236" t="s">
        <v>284</v>
      </c>
      <c r="Y236">
        <v>207</v>
      </c>
      <c r="Z236" t="s">
        <v>284</v>
      </c>
      <c r="AA236">
        <v>155</v>
      </c>
      <c r="AB236" t="s">
        <v>285</v>
      </c>
      <c r="AG236">
        <v>172</v>
      </c>
      <c r="AH236" t="s">
        <v>54</v>
      </c>
      <c r="AI236" t="s">
        <v>52</v>
      </c>
      <c r="AZ236" t="s">
        <v>52</v>
      </c>
      <c r="BQ236" t="s">
        <v>52</v>
      </c>
      <c r="CH236" t="s">
        <v>52</v>
      </c>
    </row>
    <row r="237" spans="1:86" x14ac:dyDescent="0.25">
      <c r="A237" t="s">
        <v>47</v>
      </c>
      <c r="B237">
        <v>8</v>
      </c>
      <c r="C237" t="s">
        <v>120</v>
      </c>
      <c r="D237">
        <v>14</v>
      </c>
      <c r="E237" t="s">
        <v>58</v>
      </c>
      <c r="F237">
        <v>102</v>
      </c>
      <c r="G237" t="s">
        <v>66</v>
      </c>
      <c r="H237" t="s">
        <v>50</v>
      </c>
      <c r="K237" t="s">
        <v>51</v>
      </c>
      <c r="L237">
        <v>1</v>
      </c>
      <c r="M237" t="s">
        <v>53</v>
      </c>
      <c r="N237">
        <v>102</v>
      </c>
      <c r="O237">
        <v>1</v>
      </c>
      <c r="P237" t="s">
        <v>52</v>
      </c>
      <c r="Q237">
        <v>0</v>
      </c>
      <c r="R237">
        <v>0.92</v>
      </c>
      <c r="S237">
        <v>131.69999999999999</v>
      </c>
      <c r="T237" t="s">
        <v>284</v>
      </c>
      <c r="U237">
        <v>170</v>
      </c>
      <c r="V237" t="s">
        <v>284</v>
      </c>
      <c r="W237">
        <v>191</v>
      </c>
      <c r="X237" t="s">
        <v>284</v>
      </c>
      <c r="Y237">
        <v>207</v>
      </c>
      <c r="Z237" t="s">
        <v>284</v>
      </c>
      <c r="AA237">
        <v>205</v>
      </c>
      <c r="AB237" t="s">
        <v>285</v>
      </c>
      <c r="AG237">
        <v>188.66669999999999</v>
      </c>
      <c r="AH237" t="s">
        <v>54</v>
      </c>
      <c r="AI237" t="s">
        <v>52</v>
      </c>
      <c r="AZ237" t="s">
        <v>52</v>
      </c>
      <c r="BQ237" t="s">
        <v>52</v>
      </c>
      <c r="CH237" t="s">
        <v>52</v>
      </c>
    </row>
    <row r="238" spans="1:86" x14ac:dyDescent="0.25">
      <c r="A238" t="s">
        <v>47</v>
      </c>
      <c r="B238">
        <v>8</v>
      </c>
      <c r="C238" t="s">
        <v>120</v>
      </c>
      <c r="D238">
        <v>14</v>
      </c>
      <c r="E238" t="s">
        <v>58</v>
      </c>
      <c r="F238">
        <v>102</v>
      </c>
      <c r="G238" t="s">
        <v>66</v>
      </c>
      <c r="H238" t="s">
        <v>50</v>
      </c>
      <c r="K238" t="s">
        <v>52</v>
      </c>
      <c r="L238">
        <v>1</v>
      </c>
      <c r="M238" t="s">
        <v>53</v>
      </c>
      <c r="N238">
        <v>102</v>
      </c>
      <c r="O238">
        <v>1</v>
      </c>
      <c r="P238" t="s">
        <v>52</v>
      </c>
      <c r="Q238">
        <v>0</v>
      </c>
      <c r="R238">
        <v>0.92</v>
      </c>
      <c r="S238">
        <v>131.69999999999999</v>
      </c>
      <c r="T238" t="s">
        <v>284</v>
      </c>
      <c r="U238">
        <v>170</v>
      </c>
      <c r="V238" t="s">
        <v>284</v>
      </c>
      <c r="W238">
        <v>191</v>
      </c>
      <c r="X238" t="s">
        <v>284</v>
      </c>
      <c r="Y238">
        <v>207</v>
      </c>
      <c r="Z238" t="s">
        <v>284</v>
      </c>
      <c r="AA238">
        <v>205</v>
      </c>
      <c r="AB238" t="s">
        <v>285</v>
      </c>
      <c r="AG238">
        <v>188.66669999999999</v>
      </c>
      <c r="AH238" t="s">
        <v>54</v>
      </c>
      <c r="AI238" t="s">
        <v>52</v>
      </c>
      <c r="AZ238" t="s">
        <v>52</v>
      </c>
      <c r="BQ238" t="s">
        <v>52</v>
      </c>
      <c r="CH238" t="s">
        <v>52</v>
      </c>
    </row>
    <row r="239" spans="1:86" x14ac:dyDescent="0.25">
      <c r="A239" t="s">
        <v>47</v>
      </c>
      <c r="B239">
        <v>8</v>
      </c>
      <c r="C239" t="s">
        <v>120</v>
      </c>
      <c r="D239">
        <v>14</v>
      </c>
      <c r="E239" t="s">
        <v>68</v>
      </c>
      <c r="F239">
        <v>80</v>
      </c>
      <c r="G239" t="s">
        <v>69</v>
      </c>
      <c r="H239" t="s">
        <v>50</v>
      </c>
      <c r="K239" t="s">
        <v>51</v>
      </c>
      <c r="L239">
        <v>1</v>
      </c>
      <c r="M239" t="s">
        <v>53</v>
      </c>
      <c r="N239">
        <v>80</v>
      </c>
      <c r="O239">
        <v>1</v>
      </c>
      <c r="P239" t="s">
        <v>52</v>
      </c>
      <c r="Q239">
        <v>0.5</v>
      </c>
      <c r="R239">
        <v>0.75</v>
      </c>
      <c r="S239">
        <v>202.92</v>
      </c>
      <c r="T239" t="s">
        <v>284</v>
      </c>
      <c r="U239">
        <v>198.9</v>
      </c>
      <c r="V239" t="s">
        <v>284</v>
      </c>
      <c r="W239">
        <v>212.4</v>
      </c>
      <c r="X239" t="s">
        <v>284</v>
      </c>
      <c r="Y239">
        <v>219.6</v>
      </c>
      <c r="Z239" t="s">
        <v>284</v>
      </c>
      <c r="AA239">
        <v>178</v>
      </c>
      <c r="AB239" t="s">
        <v>284</v>
      </c>
      <c r="AG239">
        <v>204.74</v>
      </c>
      <c r="AH239" t="s">
        <v>54</v>
      </c>
      <c r="AI239" t="s">
        <v>52</v>
      </c>
      <c r="AZ239" t="s">
        <v>52</v>
      </c>
      <c r="BQ239" t="s">
        <v>52</v>
      </c>
      <c r="CH239" t="s">
        <v>52</v>
      </c>
    </row>
    <row r="240" spans="1:86" x14ac:dyDescent="0.25">
      <c r="A240" t="s">
        <v>47</v>
      </c>
      <c r="B240">
        <v>8</v>
      </c>
      <c r="C240" t="s">
        <v>120</v>
      </c>
      <c r="D240">
        <v>14</v>
      </c>
      <c r="E240" t="s">
        <v>68</v>
      </c>
      <c r="F240">
        <v>80</v>
      </c>
      <c r="G240" t="s">
        <v>69</v>
      </c>
      <c r="H240" t="s">
        <v>50</v>
      </c>
      <c r="K240" t="s">
        <v>52</v>
      </c>
      <c r="L240">
        <v>1</v>
      </c>
      <c r="M240" t="s">
        <v>53</v>
      </c>
      <c r="N240">
        <v>80</v>
      </c>
      <c r="O240">
        <v>1</v>
      </c>
      <c r="P240" t="s">
        <v>52</v>
      </c>
      <c r="Q240">
        <v>0.5</v>
      </c>
      <c r="R240">
        <v>0.75</v>
      </c>
      <c r="S240">
        <v>202.92</v>
      </c>
      <c r="T240" t="s">
        <v>284</v>
      </c>
      <c r="U240">
        <v>198.9</v>
      </c>
      <c r="V240" t="s">
        <v>284</v>
      </c>
      <c r="W240">
        <v>212.4</v>
      </c>
      <c r="X240" t="s">
        <v>284</v>
      </c>
      <c r="Y240">
        <v>219.6</v>
      </c>
      <c r="Z240" t="s">
        <v>284</v>
      </c>
      <c r="AA240">
        <v>178</v>
      </c>
      <c r="AB240" t="s">
        <v>284</v>
      </c>
      <c r="AG240">
        <v>204.74</v>
      </c>
      <c r="AH240" t="s">
        <v>54</v>
      </c>
      <c r="AI240" t="s">
        <v>52</v>
      </c>
      <c r="AZ240" t="s">
        <v>52</v>
      </c>
      <c r="BQ240" t="s">
        <v>52</v>
      </c>
      <c r="CH240" t="s">
        <v>52</v>
      </c>
    </row>
    <row r="241" spans="1:86" x14ac:dyDescent="0.25">
      <c r="A241" t="s">
        <v>47</v>
      </c>
      <c r="B241">
        <v>8</v>
      </c>
      <c r="C241" t="s">
        <v>120</v>
      </c>
      <c r="D241">
        <v>14</v>
      </c>
      <c r="E241" t="s">
        <v>70</v>
      </c>
      <c r="F241">
        <v>296</v>
      </c>
      <c r="G241" t="s">
        <v>71</v>
      </c>
      <c r="H241" t="s">
        <v>50</v>
      </c>
      <c r="K241" t="s">
        <v>51</v>
      </c>
      <c r="L241">
        <v>1</v>
      </c>
      <c r="M241" t="s">
        <v>53</v>
      </c>
      <c r="N241">
        <v>296</v>
      </c>
      <c r="O241">
        <v>1</v>
      </c>
      <c r="P241" t="s">
        <v>52</v>
      </c>
      <c r="Q241">
        <v>0</v>
      </c>
      <c r="R241">
        <v>0.75</v>
      </c>
      <c r="S241">
        <v>228</v>
      </c>
      <c r="T241" t="s">
        <v>284</v>
      </c>
      <c r="U241">
        <v>190</v>
      </c>
      <c r="V241" t="s">
        <v>285</v>
      </c>
      <c r="W241">
        <v>194</v>
      </c>
      <c r="X241" t="s">
        <v>285</v>
      </c>
      <c r="Y241">
        <v>225</v>
      </c>
      <c r="Z241" t="s">
        <v>285</v>
      </c>
      <c r="AA241">
        <v>247</v>
      </c>
      <c r="AB241" t="s">
        <v>285</v>
      </c>
      <c r="AC241">
        <v>241</v>
      </c>
      <c r="AD241" t="s">
        <v>285</v>
      </c>
      <c r="AE241">
        <v>219</v>
      </c>
      <c r="AF241" t="s">
        <v>285</v>
      </c>
      <c r="AG241">
        <v>219</v>
      </c>
      <c r="AH241" t="s">
        <v>286</v>
      </c>
      <c r="AI241" t="s">
        <v>287</v>
      </c>
      <c r="AX241">
        <v>263</v>
      </c>
      <c r="AY241" t="s">
        <v>286</v>
      </c>
      <c r="AZ241" t="s">
        <v>287</v>
      </c>
      <c r="BQ241" t="s">
        <v>52</v>
      </c>
      <c r="CH241" t="s">
        <v>52</v>
      </c>
    </row>
    <row r="242" spans="1:86" x14ac:dyDescent="0.25">
      <c r="A242" t="s">
        <v>47</v>
      </c>
      <c r="B242">
        <v>8</v>
      </c>
      <c r="C242" t="s">
        <v>120</v>
      </c>
      <c r="D242">
        <v>14</v>
      </c>
      <c r="E242" t="s">
        <v>70</v>
      </c>
      <c r="F242">
        <v>296</v>
      </c>
      <c r="G242" t="s">
        <v>71</v>
      </c>
      <c r="H242" t="s">
        <v>50</v>
      </c>
      <c r="K242" t="s">
        <v>52</v>
      </c>
      <c r="L242">
        <v>1</v>
      </c>
      <c r="M242" t="s">
        <v>53</v>
      </c>
      <c r="N242">
        <v>296</v>
      </c>
      <c r="O242">
        <v>1</v>
      </c>
      <c r="P242" t="s">
        <v>52</v>
      </c>
      <c r="Q242">
        <v>0</v>
      </c>
      <c r="R242">
        <v>0.75</v>
      </c>
      <c r="S242">
        <v>228</v>
      </c>
      <c r="T242" t="s">
        <v>284</v>
      </c>
      <c r="U242">
        <v>190</v>
      </c>
      <c r="V242" t="s">
        <v>285</v>
      </c>
      <c r="W242">
        <v>194</v>
      </c>
      <c r="X242" t="s">
        <v>285</v>
      </c>
      <c r="Y242">
        <v>225</v>
      </c>
      <c r="Z242" t="s">
        <v>285</v>
      </c>
      <c r="AA242">
        <v>247</v>
      </c>
      <c r="AB242" t="s">
        <v>285</v>
      </c>
      <c r="AC242">
        <v>241</v>
      </c>
      <c r="AD242" t="s">
        <v>285</v>
      </c>
      <c r="AE242">
        <v>219</v>
      </c>
      <c r="AF242" t="s">
        <v>285</v>
      </c>
      <c r="AG242">
        <v>219</v>
      </c>
      <c r="AH242" t="s">
        <v>286</v>
      </c>
      <c r="AI242" t="s">
        <v>287</v>
      </c>
      <c r="AX242">
        <v>263</v>
      </c>
      <c r="AY242" t="s">
        <v>286</v>
      </c>
      <c r="AZ242" t="s">
        <v>287</v>
      </c>
      <c r="BQ242" t="s">
        <v>52</v>
      </c>
      <c r="CH242" t="s">
        <v>52</v>
      </c>
    </row>
    <row r="243" spans="1:86" x14ac:dyDescent="0.25">
      <c r="A243" t="s">
        <v>47</v>
      </c>
      <c r="B243">
        <v>8</v>
      </c>
      <c r="C243" t="s">
        <v>120</v>
      </c>
      <c r="D243">
        <v>14</v>
      </c>
      <c r="E243" t="s">
        <v>70</v>
      </c>
      <c r="F243">
        <v>296</v>
      </c>
      <c r="G243" t="s">
        <v>72</v>
      </c>
      <c r="H243" t="s">
        <v>50</v>
      </c>
      <c r="K243" t="s">
        <v>51</v>
      </c>
      <c r="L243">
        <v>1</v>
      </c>
      <c r="M243" t="s">
        <v>53</v>
      </c>
      <c r="N243">
        <v>296</v>
      </c>
      <c r="O243">
        <v>1</v>
      </c>
      <c r="P243" t="s">
        <v>52</v>
      </c>
      <c r="Q243">
        <v>0.5</v>
      </c>
      <c r="R243">
        <v>0.75</v>
      </c>
      <c r="S243">
        <v>228</v>
      </c>
      <c r="T243" t="s">
        <v>284</v>
      </c>
      <c r="U243">
        <v>221</v>
      </c>
      <c r="V243" t="s">
        <v>284</v>
      </c>
      <c r="W243">
        <v>236</v>
      </c>
      <c r="X243" t="s">
        <v>284</v>
      </c>
      <c r="Y243">
        <v>244</v>
      </c>
      <c r="Z243" t="s">
        <v>284</v>
      </c>
      <c r="AA243">
        <v>215</v>
      </c>
      <c r="AB243" t="s">
        <v>285</v>
      </c>
      <c r="AG243">
        <v>228.33330000000001</v>
      </c>
      <c r="AH243" t="s">
        <v>54</v>
      </c>
      <c r="AI243" t="s">
        <v>52</v>
      </c>
      <c r="AZ243" t="s">
        <v>52</v>
      </c>
      <c r="BQ243" t="s">
        <v>52</v>
      </c>
      <c r="CH243" t="s">
        <v>52</v>
      </c>
    </row>
    <row r="244" spans="1:86" x14ac:dyDescent="0.25">
      <c r="A244" t="s">
        <v>47</v>
      </c>
      <c r="B244">
        <v>8</v>
      </c>
      <c r="C244" t="s">
        <v>120</v>
      </c>
      <c r="D244">
        <v>14</v>
      </c>
      <c r="E244" t="s">
        <v>70</v>
      </c>
      <c r="F244">
        <v>296</v>
      </c>
      <c r="G244" t="s">
        <v>72</v>
      </c>
      <c r="H244" t="s">
        <v>50</v>
      </c>
      <c r="K244" t="s">
        <v>52</v>
      </c>
      <c r="L244">
        <v>1</v>
      </c>
      <c r="M244" t="s">
        <v>53</v>
      </c>
      <c r="N244">
        <v>296</v>
      </c>
      <c r="O244">
        <v>1</v>
      </c>
      <c r="P244" t="s">
        <v>52</v>
      </c>
      <c r="Q244">
        <v>0.5</v>
      </c>
      <c r="R244">
        <v>0.75</v>
      </c>
      <c r="S244">
        <v>228</v>
      </c>
      <c r="T244" t="s">
        <v>284</v>
      </c>
      <c r="U244">
        <v>221</v>
      </c>
      <c r="V244" t="s">
        <v>284</v>
      </c>
      <c r="W244">
        <v>236</v>
      </c>
      <c r="X244" t="s">
        <v>284</v>
      </c>
      <c r="Y244">
        <v>244</v>
      </c>
      <c r="Z244" t="s">
        <v>284</v>
      </c>
      <c r="AA244">
        <v>215</v>
      </c>
      <c r="AB244" t="s">
        <v>285</v>
      </c>
      <c r="AG244">
        <v>228.33330000000001</v>
      </c>
      <c r="AH244" t="s">
        <v>54</v>
      </c>
      <c r="AI244" t="s">
        <v>52</v>
      </c>
      <c r="AZ244" t="s">
        <v>52</v>
      </c>
      <c r="BQ244" t="s">
        <v>52</v>
      </c>
      <c r="CH244" t="s">
        <v>52</v>
      </c>
    </row>
    <row r="245" spans="1:86" x14ac:dyDescent="0.25">
      <c r="A245" t="s">
        <v>47</v>
      </c>
      <c r="B245">
        <v>8</v>
      </c>
      <c r="C245" t="s">
        <v>120</v>
      </c>
      <c r="D245">
        <v>14</v>
      </c>
      <c r="E245" t="s">
        <v>70</v>
      </c>
      <c r="F245">
        <v>296</v>
      </c>
      <c r="G245" t="s">
        <v>73</v>
      </c>
      <c r="H245" t="s">
        <v>50</v>
      </c>
      <c r="K245" t="s">
        <v>51</v>
      </c>
      <c r="L245">
        <v>1</v>
      </c>
      <c r="M245" t="s">
        <v>53</v>
      </c>
      <c r="N245">
        <v>296</v>
      </c>
      <c r="O245">
        <v>1</v>
      </c>
      <c r="P245" t="s">
        <v>52</v>
      </c>
      <c r="Q245">
        <v>0</v>
      </c>
      <c r="R245">
        <v>0.75</v>
      </c>
      <c r="S245">
        <v>228</v>
      </c>
      <c r="T245" t="s">
        <v>284</v>
      </c>
      <c r="U245">
        <v>221</v>
      </c>
      <c r="V245" t="s">
        <v>284</v>
      </c>
      <c r="W245">
        <v>236</v>
      </c>
      <c r="X245" t="s">
        <v>284</v>
      </c>
      <c r="Y245">
        <v>244</v>
      </c>
      <c r="Z245" t="s">
        <v>284</v>
      </c>
      <c r="AA245">
        <v>225</v>
      </c>
      <c r="AB245" t="s">
        <v>285</v>
      </c>
      <c r="AG245">
        <v>229.66669999999999</v>
      </c>
      <c r="AH245" t="s">
        <v>54</v>
      </c>
      <c r="AI245" t="s">
        <v>52</v>
      </c>
      <c r="AZ245" t="s">
        <v>52</v>
      </c>
      <c r="BQ245" t="s">
        <v>52</v>
      </c>
      <c r="CH245" t="s">
        <v>52</v>
      </c>
    </row>
    <row r="246" spans="1:86" x14ac:dyDescent="0.25">
      <c r="A246" t="s">
        <v>47</v>
      </c>
      <c r="B246">
        <v>8</v>
      </c>
      <c r="C246" t="s">
        <v>120</v>
      </c>
      <c r="D246">
        <v>14</v>
      </c>
      <c r="E246" t="s">
        <v>70</v>
      </c>
      <c r="F246">
        <v>296</v>
      </c>
      <c r="G246" t="s">
        <v>73</v>
      </c>
      <c r="H246" t="s">
        <v>50</v>
      </c>
      <c r="K246" t="s">
        <v>52</v>
      </c>
      <c r="L246">
        <v>1</v>
      </c>
      <c r="M246" t="s">
        <v>53</v>
      </c>
      <c r="N246">
        <v>296</v>
      </c>
      <c r="O246">
        <v>1</v>
      </c>
      <c r="P246" t="s">
        <v>52</v>
      </c>
      <c r="Q246">
        <v>0</v>
      </c>
      <c r="R246">
        <v>0.75</v>
      </c>
      <c r="S246">
        <v>228</v>
      </c>
      <c r="T246" t="s">
        <v>284</v>
      </c>
      <c r="U246">
        <v>221</v>
      </c>
      <c r="V246" t="s">
        <v>284</v>
      </c>
      <c r="W246">
        <v>236</v>
      </c>
      <c r="X246" t="s">
        <v>284</v>
      </c>
      <c r="Y246">
        <v>244</v>
      </c>
      <c r="Z246" t="s">
        <v>284</v>
      </c>
      <c r="AA246">
        <v>225</v>
      </c>
      <c r="AB246" t="s">
        <v>285</v>
      </c>
      <c r="AG246">
        <v>229.66669999999999</v>
      </c>
      <c r="AH246" t="s">
        <v>54</v>
      </c>
      <c r="AI246" t="s">
        <v>52</v>
      </c>
      <c r="AZ246" t="s">
        <v>52</v>
      </c>
      <c r="BQ246" t="s">
        <v>52</v>
      </c>
      <c r="CH246" t="s">
        <v>52</v>
      </c>
    </row>
    <row r="247" spans="1:86" x14ac:dyDescent="0.25">
      <c r="A247" t="s">
        <v>47</v>
      </c>
      <c r="B247">
        <v>8</v>
      </c>
      <c r="C247" t="s">
        <v>120</v>
      </c>
      <c r="D247">
        <v>14</v>
      </c>
      <c r="E247" t="s">
        <v>70</v>
      </c>
      <c r="F247">
        <v>296</v>
      </c>
      <c r="G247" t="s">
        <v>74</v>
      </c>
      <c r="H247" t="s">
        <v>50</v>
      </c>
      <c r="K247" t="s">
        <v>51</v>
      </c>
      <c r="L247">
        <v>1</v>
      </c>
      <c r="M247" t="s">
        <v>53</v>
      </c>
      <c r="N247">
        <v>102</v>
      </c>
      <c r="O247">
        <v>1</v>
      </c>
      <c r="P247" t="s">
        <v>52</v>
      </c>
      <c r="Q247">
        <v>0</v>
      </c>
      <c r="R247">
        <v>0.75</v>
      </c>
      <c r="S247">
        <v>135</v>
      </c>
      <c r="T247" t="s">
        <v>284</v>
      </c>
      <c r="U247">
        <v>132</v>
      </c>
      <c r="V247" t="s">
        <v>284</v>
      </c>
      <c r="W247">
        <v>147</v>
      </c>
      <c r="X247" t="s">
        <v>284</v>
      </c>
      <c r="Y247">
        <v>170</v>
      </c>
      <c r="Z247" t="s">
        <v>284</v>
      </c>
      <c r="AA247">
        <v>205</v>
      </c>
      <c r="AB247" t="s">
        <v>285</v>
      </c>
      <c r="AG247">
        <v>150.66669999999999</v>
      </c>
      <c r="AH247" t="s">
        <v>54</v>
      </c>
      <c r="AI247" t="s">
        <v>52</v>
      </c>
      <c r="AZ247" t="s">
        <v>52</v>
      </c>
      <c r="BQ247" t="s">
        <v>52</v>
      </c>
      <c r="CH247" t="s">
        <v>52</v>
      </c>
    </row>
    <row r="248" spans="1:86" x14ac:dyDescent="0.25">
      <c r="A248" t="s">
        <v>47</v>
      </c>
      <c r="B248">
        <v>8</v>
      </c>
      <c r="C248" t="s">
        <v>120</v>
      </c>
      <c r="D248">
        <v>14</v>
      </c>
      <c r="E248" t="s">
        <v>70</v>
      </c>
      <c r="F248">
        <v>296</v>
      </c>
      <c r="G248" t="s">
        <v>74</v>
      </c>
      <c r="H248" t="s">
        <v>50</v>
      </c>
      <c r="K248" t="s">
        <v>52</v>
      </c>
      <c r="L248">
        <v>1</v>
      </c>
      <c r="M248" t="s">
        <v>53</v>
      </c>
      <c r="N248">
        <v>102</v>
      </c>
      <c r="O248">
        <v>1</v>
      </c>
      <c r="P248" t="s">
        <v>52</v>
      </c>
      <c r="Q248">
        <v>0</v>
      </c>
      <c r="R248">
        <v>0.75</v>
      </c>
      <c r="S248">
        <v>135</v>
      </c>
      <c r="T248" t="s">
        <v>284</v>
      </c>
      <c r="U248">
        <v>132</v>
      </c>
      <c r="V248" t="s">
        <v>284</v>
      </c>
      <c r="W248">
        <v>147</v>
      </c>
      <c r="X248" t="s">
        <v>284</v>
      </c>
      <c r="Y248">
        <v>170</v>
      </c>
      <c r="Z248" t="s">
        <v>284</v>
      </c>
      <c r="AA248">
        <v>205</v>
      </c>
      <c r="AB248" t="s">
        <v>285</v>
      </c>
      <c r="AG248">
        <v>150.66669999999999</v>
      </c>
      <c r="AH248" t="s">
        <v>54</v>
      </c>
      <c r="AI248" t="s">
        <v>52</v>
      </c>
      <c r="AZ248" t="s">
        <v>52</v>
      </c>
      <c r="BQ248" t="s">
        <v>52</v>
      </c>
      <c r="CH248" t="s">
        <v>52</v>
      </c>
    </row>
    <row r="249" spans="1:86" x14ac:dyDescent="0.25">
      <c r="A249" t="s">
        <v>47</v>
      </c>
      <c r="B249">
        <v>8</v>
      </c>
      <c r="C249" t="s">
        <v>120</v>
      </c>
      <c r="D249">
        <v>14</v>
      </c>
      <c r="E249" t="s">
        <v>75</v>
      </c>
      <c r="F249">
        <v>16</v>
      </c>
      <c r="G249" t="s">
        <v>76</v>
      </c>
      <c r="H249" t="s">
        <v>50</v>
      </c>
      <c r="K249" t="s">
        <v>51</v>
      </c>
      <c r="L249">
        <v>1</v>
      </c>
      <c r="M249" t="s">
        <v>53</v>
      </c>
      <c r="N249">
        <v>16</v>
      </c>
      <c r="O249">
        <v>2</v>
      </c>
      <c r="P249" t="s">
        <v>52</v>
      </c>
      <c r="Q249">
        <v>0.5</v>
      </c>
      <c r="R249">
        <v>0.75</v>
      </c>
      <c r="S249">
        <v>83.35</v>
      </c>
      <c r="T249" t="s">
        <v>285</v>
      </c>
      <c r="U249">
        <v>96.14</v>
      </c>
      <c r="V249" t="s">
        <v>284</v>
      </c>
      <c r="W249">
        <v>103.37</v>
      </c>
      <c r="X249" t="s">
        <v>284</v>
      </c>
      <c r="Y249">
        <v>106.14</v>
      </c>
      <c r="Z249" t="s">
        <v>284</v>
      </c>
      <c r="AA249">
        <v>128</v>
      </c>
      <c r="AB249" t="s">
        <v>285</v>
      </c>
      <c r="AG249">
        <v>101.88330000000001</v>
      </c>
      <c r="AH249" t="s">
        <v>54</v>
      </c>
      <c r="AI249" t="s">
        <v>52</v>
      </c>
      <c r="AX249">
        <v>146.69999999999999</v>
      </c>
      <c r="AY249" t="s">
        <v>285</v>
      </c>
      <c r="AZ249" t="s">
        <v>287</v>
      </c>
      <c r="BQ249" t="s">
        <v>52</v>
      </c>
      <c r="CH249" t="s">
        <v>52</v>
      </c>
    </row>
    <row r="250" spans="1:86" x14ac:dyDescent="0.25">
      <c r="A250" t="s">
        <v>47</v>
      </c>
      <c r="B250">
        <v>8</v>
      </c>
      <c r="C250" t="s">
        <v>120</v>
      </c>
      <c r="D250">
        <v>14</v>
      </c>
      <c r="E250" t="s">
        <v>75</v>
      </c>
      <c r="F250">
        <v>16</v>
      </c>
      <c r="G250" t="s">
        <v>76</v>
      </c>
      <c r="H250" t="s">
        <v>50</v>
      </c>
      <c r="K250" t="s">
        <v>52</v>
      </c>
      <c r="L250">
        <v>1</v>
      </c>
      <c r="M250" t="s">
        <v>53</v>
      </c>
      <c r="N250">
        <v>16</v>
      </c>
      <c r="O250">
        <v>2</v>
      </c>
      <c r="P250" t="s">
        <v>52</v>
      </c>
      <c r="Q250">
        <v>0.5</v>
      </c>
      <c r="R250">
        <v>0.75</v>
      </c>
      <c r="S250">
        <v>83.35</v>
      </c>
      <c r="T250" t="s">
        <v>285</v>
      </c>
      <c r="U250">
        <v>96.14</v>
      </c>
      <c r="V250" t="s">
        <v>284</v>
      </c>
      <c r="W250">
        <v>103.37</v>
      </c>
      <c r="X250" t="s">
        <v>284</v>
      </c>
      <c r="Y250">
        <v>106.14</v>
      </c>
      <c r="Z250" t="s">
        <v>284</v>
      </c>
      <c r="AA250">
        <v>128</v>
      </c>
      <c r="AB250" t="s">
        <v>285</v>
      </c>
      <c r="AG250">
        <v>101.88330000000001</v>
      </c>
      <c r="AH250" t="s">
        <v>54</v>
      </c>
      <c r="AI250" t="s">
        <v>52</v>
      </c>
      <c r="AX250">
        <v>146.69999999999999</v>
      </c>
      <c r="AY250" t="s">
        <v>285</v>
      </c>
      <c r="AZ250" t="s">
        <v>287</v>
      </c>
      <c r="BQ250" t="s">
        <v>52</v>
      </c>
      <c r="CH250" t="s">
        <v>52</v>
      </c>
    </row>
    <row r="251" spans="1:86" x14ac:dyDescent="0.25">
      <c r="A251" t="s">
        <v>47</v>
      </c>
      <c r="B251">
        <v>8</v>
      </c>
      <c r="C251" t="s">
        <v>120</v>
      </c>
      <c r="D251">
        <v>14</v>
      </c>
      <c r="E251" t="s">
        <v>79</v>
      </c>
      <c r="F251">
        <v>50</v>
      </c>
      <c r="G251" t="s">
        <v>80</v>
      </c>
      <c r="H251" t="s">
        <v>50</v>
      </c>
      <c r="K251" t="s">
        <v>51</v>
      </c>
      <c r="L251">
        <v>1</v>
      </c>
      <c r="M251" t="s">
        <v>53</v>
      </c>
      <c r="N251">
        <v>50</v>
      </c>
      <c r="O251">
        <v>1</v>
      </c>
      <c r="P251" t="s">
        <v>52</v>
      </c>
      <c r="Q251">
        <v>0.5</v>
      </c>
      <c r="R251">
        <v>0.75</v>
      </c>
      <c r="S251">
        <v>85</v>
      </c>
      <c r="T251" t="s">
        <v>285</v>
      </c>
      <c r="U251">
        <v>93</v>
      </c>
      <c r="V251" t="s">
        <v>284</v>
      </c>
      <c r="W251">
        <v>89.7</v>
      </c>
      <c r="X251" t="s">
        <v>284</v>
      </c>
      <c r="Y251">
        <v>92.72</v>
      </c>
      <c r="Z251" t="s">
        <v>284</v>
      </c>
      <c r="AA251">
        <v>109</v>
      </c>
      <c r="AB251" t="s">
        <v>285</v>
      </c>
      <c r="AG251">
        <v>91.806700000000006</v>
      </c>
      <c r="AH251" t="s">
        <v>54</v>
      </c>
      <c r="AI251" t="s">
        <v>52</v>
      </c>
      <c r="AZ251" t="s">
        <v>52</v>
      </c>
      <c r="BQ251" t="s">
        <v>52</v>
      </c>
      <c r="CH251" t="s">
        <v>52</v>
      </c>
    </row>
    <row r="252" spans="1:86" x14ac:dyDescent="0.25">
      <c r="A252" t="s">
        <v>47</v>
      </c>
      <c r="B252">
        <v>8</v>
      </c>
      <c r="C252" t="s">
        <v>120</v>
      </c>
      <c r="D252">
        <v>14</v>
      </c>
      <c r="E252" t="s">
        <v>79</v>
      </c>
      <c r="F252">
        <v>50</v>
      </c>
      <c r="G252" t="s">
        <v>80</v>
      </c>
      <c r="H252" t="s">
        <v>50</v>
      </c>
      <c r="K252" t="s">
        <v>52</v>
      </c>
      <c r="L252">
        <v>1</v>
      </c>
      <c r="M252" t="s">
        <v>53</v>
      </c>
      <c r="N252">
        <v>50</v>
      </c>
      <c r="O252">
        <v>1</v>
      </c>
      <c r="P252" t="s">
        <v>52</v>
      </c>
      <c r="Q252">
        <v>0.5</v>
      </c>
      <c r="R252">
        <v>0.75</v>
      </c>
      <c r="S252">
        <v>85</v>
      </c>
      <c r="T252" t="s">
        <v>285</v>
      </c>
      <c r="U252">
        <v>93</v>
      </c>
      <c r="V252" t="s">
        <v>284</v>
      </c>
      <c r="W252">
        <v>89.7</v>
      </c>
      <c r="X252" t="s">
        <v>284</v>
      </c>
      <c r="Y252">
        <v>92.72</v>
      </c>
      <c r="Z252" t="s">
        <v>284</v>
      </c>
      <c r="AA252">
        <v>109</v>
      </c>
      <c r="AB252" t="s">
        <v>285</v>
      </c>
      <c r="AG252">
        <v>91.806700000000006</v>
      </c>
      <c r="AH252" t="s">
        <v>54</v>
      </c>
      <c r="AI252" t="s">
        <v>52</v>
      </c>
      <c r="AZ252" t="s">
        <v>52</v>
      </c>
      <c r="BQ252" t="s">
        <v>52</v>
      </c>
      <c r="BR252">
        <v>0.75</v>
      </c>
      <c r="BS252" t="s">
        <v>289</v>
      </c>
      <c r="BT252">
        <v>0.84</v>
      </c>
      <c r="BU252" t="s">
        <v>285</v>
      </c>
      <c r="CH252" t="s">
        <v>52</v>
      </c>
    </row>
    <row r="253" spans="1:86" x14ac:dyDescent="0.25">
      <c r="A253" t="s">
        <v>47</v>
      </c>
      <c r="B253">
        <v>8</v>
      </c>
      <c r="C253" t="s">
        <v>120</v>
      </c>
      <c r="D253">
        <v>14</v>
      </c>
      <c r="E253" t="s">
        <v>79</v>
      </c>
      <c r="F253">
        <v>50</v>
      </c>
      <c r="G253" t="s">
        <v>65</v>
      </c>
      <c r="H253" t="s">
        <v>50</v>
      </c>
      <c r="K253" t="s">
        <v>51</v>
      </c>
      <c r="L253">
        <v>1</v>
      </c>
      <c r="M253" t="s">
        <v>53</v>
      </c>
      <c r="N253">
        <v>50</v>
      </c>
      <c r="O253">
        <v>1</v>
      </c>
      <c r="P253" t="s">
        <v>52</v>
      </c>
      <c r="Q253">
        <v>0.5</v>
      </c>
      <c r="R253">
        <v>0.75</v>
      </c>
      <c r="S253">
        <v>85</v>
      </c>
      <c r="T253" t="s">
        <v>285</v>
      </c>
      <c r="U253">
        <v>93</v>
      </c>
      <c r="V253" t="s">
        <v>284</v>
      </c>
      <c r="W253">
        <v>89.7</v>
      </c>
      <c r="X253" t="s">
        <v>284</v>
      </c>
      <c r="Y253">
        <v>92.72</v>
      </c>
      <c r="Z253" t="s">
        <v>284</v>
      </c>
      <c r="AA253">
        <v>109</v>
      </c>
      <c r="AB253" t="s">
        <v>285</v>
      </c>
      <c r="AG253">
        <v>91.806700000000006</v>
      </c>
      <c r="AH253" t="s">
        <v>54</v>
      </c>
      <c r="AI253" t="s">
        <v>52</v>
      </c>
      <c r="AZ253" t="s">
        <v>52</v>
      </c>
      <c r="BQ253" t="s">
        <v>52</v>
      </c>
      <c r="CH253" t="s">
        <v>52</v>
      </c>
    </row>
    <row r="254" spans="1:86" x14ac:dyDescent="0.25">
      <c r="A254" t="s">
        <v>47</v>
      </c>
      <c r="B254">
        <v>8</v>
      </c>
      <c r="C254" t="s">
        <v>120</v>
      </c>
      <c r="D254">
        <v>14</v>
      </c>
      <c r="E254" t="s">
        <v>79</v>
      </c>
      <c r="F254">
        <v>50</v>
      </c>
      <c r="G254" t="s">
        <v>65</v>
      </c>
      <c r="H254" t="s">
        <v>50</v>
      </c>
      <c r="K254" t="s">
        <v>52</v>
      </c>
      <c r="L254">
        <v>1</v>
      </c>
      <c r="M254" t="s">
        <v>53</v>
      </c>
      <c r="N254">
        <v>50</v>
      </c>
      <c r="O254">
        <v>1</v>
      </c>
      <c r="P254" t="s">
        <v>52</v>
      </c>
      <c r="Q254">
        <v>0.5</v>
      </c>
      <c r="R254">
        <v>0.75</v>
      </c>
      <c r="S254">
        <v>85</v>
      </c>
      <c r="T254" t="s">
        <v>285</v>
      </c>
      <c r="U254">
        <v>93</v>
      </c>
      <c r="V254" t="s">
        <v>284</v>
      </c>
      <c r="W254">
        <v>89.7</v>
      </c>
      <c r="X254" t="s">
        <v>284</v>
      </c>
      <c r="Y254">
        <v>92.72</v>
      </c>
      <c r="Z254" t="s">
        <v>284</v>
      </c>
      <c r="AA254">
        <v>109</v>
      </c>
      <c r="AB254" t="s">
        <v>285</v>
      </c>
      <c r="AG254">
        <v>91.806700000000006</v>
      </c>
      <c r="AH254" t="s">
        <v>54</v>
      </c>
      <c r="AI254" t="s">
        <v>52</v>
      </c>
      <c r="AZ254" t="s">
        <v>52</v>
      </c>
      <c r="BQ254" t="s">
        <v>52</v>
      </c>
      <c r="CH254" t="s">
        <v>52</v>
      </c>
    </row>
    <row r="255" spans="1:86" x14ac:dyDescent="0.25">
      <c r="A255" t="s">
        <v>47</v>
      </c>
      <c r="B255">
        <v>8</v>
      </c>
      <c r="C255" t="s">
        <v>120</v>
      </c>
      <c r="D255">
        <v>14</v>
      </c>
      <c r="E255" t="s">
        <v>79</v>
      </c>
      <c r="F255">
        <v>50</v>
      </c>
      <c r="G255" t="s">
        <v>81</v>
      </c>
      <c r="H255" t="s">
        <v>50</v>
      </c>
      <c r="K255" t="s">
        <v>51</v>
      </c>
      <c r="L255">
        <v>1</v>
      </c>
      <c r="M255" t="s">
        <v>53</v>
      </c>
      <c r="N255">
        <v>50</v>
      </c>
      <c r="O255">
        <v>1</v>
      </c>
      <c r="P255" t="s">
        <v>52</v>
      </c>
      <c r="Q255">
        <v>0.5</v>
      </c>
      <c r="R255">
        <v>0.75</v>
      </c>
      <c r="S255">
        <v>85</v>
      </c>
      <c r="T255" t="s">
        <v>285</v>
      </c>
      <c r="U255">
        <v>93</v>
      </c>
      <c r="V255" t="s">
        <v>284</v>
      </c>
      <c r="W255">
        <v>89.7</v>
      </c>
      <c r="X255" t="s">
        <v>284</v>
      </c>
      <c r="Y255">
        <v>92.72</v>
      </c>
      <c r="Z255" t="s">
        <v>284</v>
      </c>
      <c r="AA255">
        <v>109</v>
      </c>
      <c r="AB255" t="s">
        <v>285</v>
      </c>
      <c r="AG255">
        <v>91.806700000000006</v>
      </c>
      <c r="AH255" t="s">
        <v>54</v>
      </c>
      <c r="AI255" t="s">
        <v>52</v>
      </c>
      <c r="AZ255" t="s">
        <v>52</v>
      </c>
      <c r="BQ255" t="s">
        <v>52</v>
      </c>
      <c r="CH255" t="s">
        <v>52</v>
      </c>
    </row>
    <row r="256" spans="1:86" x14ac:dyDescent="0.25">
      <c r="A256" t="s">
        <v>47</v>
      </c>
      <c r="B256">
        <v>8</v>
      </c>
      <c r="C256" t="s">
        <v>120</v>
      </c>
      <c r="D256">
        <v>14</v>
      </c>
      <c r="E256" t="s">
        <v>79</v>
      </c>
      <c r="F256">
        <v>50</v>
      </c>
      <c r="G256" t="s">
        <v>81</v>
      </c>
      <c r="H256" t="s">
        <v>50</v>
      </c>
      <c r="K256" t="s">
        <v>52</v>
      </c>
      <c r="L256">
        <v>1</v>
      </c>
      <c r="M256" t="s">
        <v>53</v>
      </c>
      <c r="N256">
        <v>50</v>
      </c>
      <c r="O256">
        <v>1</v>
      </c>
      <c r="P256" t="s">
        <v>52</v>
      </c>
      <c r="Q256">
        <v>0.5</v>
      </c>
      <c r="R256">
        <v>0.75</v>
      </c>
      <c r="S256">
        <v>85</v>
      </c>
      <c r="T256" t="s">
        <v>285</v>
      </c>
      <c r="U256">
        <v>93</v>
      </c>
      <c r="V256" t="s">
        <v>284</v>
      </c>
      <c r="W256">
        <v>89.7</v>
      </c>
      <c r="X256" t="s">
        <v>284</v>
      </c>
      <c r="Y256">
        <v>92.72</v>
      </c>
      <c r="Z256" t="s">
        <v>284</v>
      </c>
      <c r="AA256">
        <v>109</v>
      </c>
      <c r="AB256" t="s">
        <v>285</v>
      </c>
      <c r="AG256">
        <v>91.806700000000006</v>
      </c>
      <c r="AH256" t="s">
        <v>54</v>
      </c>
      <c r="AI256" t="s">
        <v>52</v>
      </c>
      <c r="AZ256" t="s">
        <v>52</v>
      </c>
      <c r="BQ256" t="s">
        <v>52</v>
      </c>
      <c r="CH256" t="s">
        <v>52</v>
      </c>
    </row>
    <row r="257" spans="1:86" x14ac:dyDescent="0.25">
      <c r="A257" t="s">
        <v>47</v>
      </c>
      <c r="B257">
        <v>8</v>
      </c>
      <c r="C257" t="s">
        <v>120</v>
      </c>
      <c r="D257">
        <v>14</v>
      </c>
      <c r="E257" t="s">
        <v>82</v>
      </c>
      <c r="F257">
        <v>52</v>
      </c>
      <c r="H257" t="s">
        <v>50</v>
      </c>
      <c r="K257" t="s">
        <v>52</v>
      </c>
      <c r="L257">
        <v>1</v>
      </c>
      <c r="M257" t="s">
        <v>53</v>
      </c>
      <c r="N257">
        <v>50</v>
      </c>
      <c r="O257">
        <v>1</v>
      </c>
      <c r="P257" t="s">
        <v>52</v>
      </c>
      <c r="Q257">
        <v>0.5</v>
      </c>
      <c r="R257">
        <v>0.75</v>
      </c>
      <c r="S257">
        <v>85</v>
      </c>
      <c r="T257" t="s">
        <v>285</v>
      </c>
      <c r="U257">
        <v>93</v>
      </c>
      <c r="V257" t="s">
        <v>284</v>
      </c>
      <c r="W257">
        <v>191.5</v>
      </c>
      <c r="X257" t="s">
        <v>284</v>
      </c>
      <c r="Y257">
        <v>198</v>
      </c>
      <c r="Z257" t="s">
        <v>284</v>
      </c>
      <c r="AA257">
        <v>109</v>
      </c>
      <c r="AB257" t="s">
        <v>285</v>
      </c>
      <c r="AG257">
        <v>131.16669999999999</v>
      </c>
      <c r="AH257" t="s">
        <v>54</v>
      </c>
      <c r="AI257" t="s">
        <v>52</v>
      </c>
      <c r="AZ257" t="s">
        <v>52</v>
      </c>
      <c r="BQ257" t="s">
        <v>52</v>
      </c>
      <c r="BR257">
        <v>2.36</v>
      </c>
      <c r="BS257" t="s">
        <v>289</v>
      </c>
      <c r="BT257">
        <v>1</v>
      </c>
      <c r="BU257" t="s">
        <v>284</v>
      </c>
      <c r="CH257" t="s">
        <v>52</v>
      </c>
    </row>
    <row r="258" spans="1:86" x14ac:dyDescent="0.25">
      <c r="A258" t="s">
        <v>47</v>
      </c>
      <c r="B258">
        <v>8</v>
      </c>
      <c r="C258" t="s">
        <v>120</v>
      </c>
      <c r="D258">
        <v>14</v>
      </c>
      <c r="E258" t="s">
        <v>83</v>
      </c>
      <c r="F258">
        <v>158</v>
      </c>
      <c r="H258" t="s">
        <v>50</v>
      </c>
      <c r="K258" t="s">
        <v>52</v>
      </c>
      <c r="L258">
        <v>1</v>
      </c>
      <c r="M258" t="s">
        <v>53</v>
      </c>
      <c r="N258">
        <v>158</v>
      </c>
      <c r="O258">
        <v>2</v>
      </c>
      <c r="P258" t="s">
        <v>52</v>
      </c>
      <c r="Q258">
        <v>0.77</v>
      </c>
      <c r="R258">
        <v>0.93</v>
      </c>
      <c r="S258">
        <v>228</v>
      </c>
      <c r="T258" t="s">
        <v>284</v>
      </c>
      <c r="U258">
        <v>221</v>
      </c>
      <c r="V258" t="s">
        <v>284</v>
      </c>
      <c r="W258">
        <v>236</v>
      </c>
      <c r="X258" t="s">
        <v>284</v>
      </c>
      <c r="Y258">
        <v>244</v>
      </c>
      <c r="Z258" t="s">
        <v>284</v>
      </c>
      <c r="AA258">
        <v>252</v>
      </c>
      <c r="AB258" t="s">
        <v>284</v>
      </c>
      <c r="AG258">
        <v>236</v>
      </c>
      <c r="AH258" t="s">
        <v>54</v>
      </c>
      <c r="AI258" t="s">
        <v>52</v>
      </c>
      <c r="AX258">
        <v>339</v>
      </c>
      <c r="AY258" t="s">
        <v>285</v>
      </c>
      <c r="AZ258" t="s">
        <v>287</v>
      </c>
      <c r="BQ258" t="s">
        <v>52</v>
      </c>
      <c r="CH258" t="s">
        <v>52</v>
      </c>
    </row>
    <row r="259" spans="1:86" x14ac:dyDescent="0.25">
      <c r="A259" t="s">
        <v>47</v>
      </c>
      <c r="B259">
        <v>8</v>
      </c>
      <c r="C259" t="s">
        <v>120</v>
      </c>
      <c r="D259">
        <v>14</v>
      </c>
      <c r="E259" t="s">
        <v>84</v>
      </c>
      <c r="F259">
        <v>11</v>
      </c>
      <c r="G259" t="s">
        <v>85</v>
      </c>
      <c r="H259" t="s">
        <v>50</v>
      </c>
      <c r="K259" t="s">
        <v>51</v>
      </c>
      <c r="L259">
        <v>1</v>
      </c>
      <c r="M259" t="s">
        <v>53</v>
      </c>
      <c r="N259">
        <v>11</v>
      </c>
      <c r="O259">
        <v>2</v>
      </c>
      <c r="P259" t="s">
        <v>52</v>
      </c>
      <c r="Q259">
        <v>0.5</v>
      </c>
      <c r="R259">
        <v>0.75</v>
      </c>
      <c r="S259">
        <v>155</v>
      </c>
      <c r="T259" t="s">
        <v>284</v>
      </c>
      <c r="U259">
        <v>110</v>
      </c>
      <c r="V259" t="s">
        <v>284</v>
      </c>
      <c r="W259">
        <v>118</v>
      </c>
      <c r="X259" t="s">
        <v>284</v>
      </c>
      <c r="Y259">
        <v>122</v>
      </c>
      <c r="Z259" t="s">
        <v>284</v>
      </c>
      <c r="AA259">
        <v>126</v>
      </c>
      <c r="AB259" t="s">
        <v>284</v>
      </c>
      <c r="AG259">
        <v>122</v>
      </c>
      <c r="AH259" t="s">
        <v>54</v>
      </c>
      <c r="AI259" t="s">
        <v>52</v>
      </c>
      <c r="AZ259" t="s">
        <v>52</v>
      </c>
      <c r="BQ259" t="s">
        <v>52</v>
      </c>
      <c r="CH259" t="s">
        <v>52</v>
      </c>
    </row>
    <row r="260" spans="1:86" x14ac:dyDescent="0.25">
      <c r="A260" t="s">
        <v>47</v>
      </c>
      <c r="B260">
        <v>8</v>
      </c>
      <c r="C260" t="s">
        <v>121</v>
      </c>
      <c r="D260">
        <v>15</v>
      </c>
      <c r="E260" t="s">
        <v>49</v>
      </c>
      <c r="F260">
        <v>27</v>
      </c>
      <c r="H260" t="s">
        <v>50</v>
      </c>
      <c r="K260" t="s">
        <v>51</v>
      </c>
      <c r="L260">
        <v>1</v>
      </c>
      <c r="M260" t="s">
        <v>53</v>
      </c>
      <c r="N260">
        <v>27</v>
      </c>
      <c r="O260">
        <v>1</v>
      </c>
      <c r="P260" t="s">
        <v>52</v>
      </c>
      <c r="Q260">
        <v>0</v>
      </c>
      <c r="R260">
        <v>0.75</v>
      </c>
      <c r="S260">
        <v>231</v>
      </c>
      <c r="T260" t="s">
        <v>284</v>
      </c>
      <c r="U260">
        <v>208</v>
      </c>
      <c r="V260" t="s">
        <v>284</v>
      </c>
      <c r="W260">
        <v>224</v>
      </c>
      <c r="X260" t="s">
        <v>284</v>
      </c>
      <c r="Y260">
        <v>225</v>
      </c>
      <c r="Z260" t="s">
        <v>285</v>
      </c>
      <c r="AA260">
        <v>247</v>
      </c>
      <c r="AB260" t="s">
        <v>285</v>
      </c>
      <c r="AC260">
        <v>241</v>
      </c>
      <c r="AD260" t="s">
        <v>285</v>
      </c>
      <c r="AE260">
        <v>219</v>
      </c>
      <c r="AF260" t="s">
        <v>285</v>
      </c>
      <c r="AG260">
        <v>219</v>
      </c>
      <c r="AH260" t="s">
        <v>286</v>
      </c>
      <c r="AI260" t="s">
        <v>287</v>
      </c>
      <c r="AX260">
        <v>263</v>
      </c>
      <c r="AY260" t="s">
        <v>286</v>
      </c>
      <c r="AZ260" t="s">
        <v>287</v>
      </c>
      <c r="BQ260" t="s">
        <v>52</v>
      </c>
      <c r="BR260">
        <v>3.7</v>
      </c>
      <c r="BS260" t="s">
        <v>284</v>
      </c>
      <c r="BT260">
        <v>3.4</v>
      </c>
      <c r="BU260" t="s">
        <v>284</v>
      </c>
      <c r="BV260">
        <v>1.38</v>
      </c>
      <c r="BW260" t="s">
        <v>284</v>
      </c>
      <c r="BX260">
        <v>1.37</v>
      </c>
      <c r="BY260" t="s">
        <v>284</v>
      </c>
      <c r="BZ260">
        <v>3.49</v>
      </c>
      <c r="CA260" t="s">
        <v>288</v>
      </c>
      <c r="CF260">
        <v>2.76</v>
      </c>
      <c r="CG260" t="s">
        <v>54</v>
      </c>
      <c r="CH260" t="s">
        <v>52</v>
      </c>
    </row>
    <row r="261" spans="1:86" x14ac:dyDescent="0.25">
      <c r="A261" t="s">
        <v>47</v>
      </c>
      <c r="B261">
        <v>8</v>
      </c>
      <c r="C261" t="s">
        <v>121</v>
      </c>
      <c r="D261">
        <v>15</v>
      </c>
      <c r="E261" t="s">
        <v>58</v>
      </c>
      <c r="F261">
        <v>102</v>
      </c>
      <c r="G261" t="s">
        <v>62</v>
      </c>
      <c r="H261" t="s">
        <v>50</v>
      </c>
      <c r="K261" t="s">
        <v>51</v>
      </c>
      <c r="L261">
        <v>1</v>
      </c>
      <c r="M261" t="s">
        <v>53</v>
      </c>
      <c r="N261">
        <v>102</v>
      </c>
      <c r="O261">
        <v>1</v>
      </c>
      <c r="P261" t="s">
        <v>52</v>
      </c>
      <c r="Q261">
        <v>0</v>
      </c>
      <c r="R261">
        <v>0.92</v>
      </c>
      <c r="S261">
        <v>131.69999999999999</v>
      </c>
      <c r="T261" t="s">
        <v>284</v>
      </c>
      <c r="U261">
        <v>170</v>
      </c>
      <c r="V261" t="s">
        <v>284</v>
      </c>
      <c r="W261">
        <v>191</v>
      </c>
      <c r="X261" t="s">
        <v>284</v>
      </c>
      <c r="Y261">
        <v>207</v>
      </c>
      <c r="Z261" t="s">
        <v>284</v>
      </c>
      <c r="AA261">
        <v>205</v>
      </c>
      <c r="AB261" t="s">
        <v>285</v>
      </c>
      <c r="AG261">
        <v>188.66669999999999</v>
      </c>
      <c r="AH261" t="s">
        <v>54</v>
      </c>
      <c r="AI261" t="s">
        <v>52</v>
      </c>
      <c r="AX261">
        <v>271.60000000000002</v>
      </c>
      <c r="AY261" t="s">
        <v>285</v>
      </c>
      <c r="AZ261" t="s">
        <v>287</v>
      </c>
      <c r="BQ261" t="s">
        <v>52</v>
      </c>
      <c r="BR261">
        <v>1.85</v>
      </c>
      <c r="BS261" t="s">
        <v>284</v>
      </c>
      <c r="BT261">
        <v>0.94</v>
      </c>
      <c r="BU261" t="s">
        <v>284</v>
      </c>
      <c r="BV261">
        <v>0.53</v>
      </c>
      <c r="BW261" t="s">
        <v>285</v>
      </c>
      <c r="BX261">
        <v>0.42</v>
      </c>
      <c r="BY261" t="s">
        <v>285</v>
      </c>
      <c r="BZ261">
        <v>0.36</v>
      </c>
      <c r="CA261" t="s">
        <v>284</v>
      </c>
      <c r="CF261">
        <v>0.63</v>
      </c>
      <c r="CG261" t="s">
        <v>54</v>
      </c>
      <c r="CH261" t="s">
        <v>52</v>
      </c>
    </row>
    <row r="262" spans="1:86" x14ac:dyDescent="0.25">
      <c r="A262" t="s">
        <v>47</v>
      </c>
      <c r="B262">
        <v>8</v>
      </c>
      <c r="C262" t="s">
        <v>121</v>
      </c>
      <c r="D262">
        <v>15</v>
      </c>
      <c r="E262" t="s">
        <v>58</v>
      </c>
      <c r="F262">
        <v>102</v>
      </c>
      <c r="G262" t="s">
        <v>62</v>
      </c>
      <c r="H262" t="s">
        <v>50</v>
      </c>
      <c r="K262" t="s">
        <v>52</v>
      </c>
      <c r="L262">
        <v>1</v>
      </c>
      <c r="M262" t="s">
        <v>53</v>
      </c>
      <c r="N262">
        <v>102</v>
      </c>
      <c r="O262">
        <v>1</v>
      </c>
      <c r="P262" t="s">
        <v>52</v>
      </c>
      <c r="Q262">
        <v>0</v>
      </c>
      <c r="R262">
        <v>0.92</v>
      </c>
      <c r="S262">
        <v>131.69999999999999</v>
      </c>
      <c r="T262" t="s">
        <v>284</v>
      </c>
      <c r="U262">
        <v>170</v>
      </c>
      <c r="V262" t="s">
        <v>284</v>
      </c>
      <c r="W262">
        <v>191</v>
      </c>
      <c r="X262" t="s">
        <v>284</v>
      </c>
      <c r="Y262">
        <v>207</v>
      </c>
      <c r="Z262" t="s">
        <v>284</v>
      </c>
      <c r="AA262">
        <v>205</v>
      </c>
      <c r="AB262" t="s">
        <v>285</v>
      </c>
      <c r="AG262">
        <v>188.66669999999999</v>
      </c>
      <c r="AH262" t="s">
        <v>54</v>
      </c>
      <c r="AI262" t="s">
        <v>52</v>
      </c>
      <c r="AX262">
        <v>271.60000000000002</v>
      </c>
      <c r="AY262" t="s">
        <v>285</v>
      </c>
      <c r="AZ262" t="s">
        <v>287</v>
      </c>
      <c r="BQ262" t="s">
        <v>52</v>
      </c>
      <c r="BR262">
        <v>0.83</v>
      </c>
      <c r="BS262" t="s">
        <v>285</v>
      </c>
      <c r="BT262">
        <v>0.65</v>
      </c>
      <c r="BU262" t="s">
        <v>284</v>
      </c>
      <c r="BV262">
        <v>0.19</v>
      </c>
      <c r="BW262" t="s">
        <v>285</v>
      </c>
      <c r="BX262">
        <v>0.35</v>
      </c>
      <c r="BY262" t="s">
        <v>285</v>
      </c>
      <c r="BZ262">
        <v>0.3</v>
      </c>
      <c r="CA262" t="s">
        <v>284</v>
      </c>
      <c r="CF262">
        <v>0.43</v>
      </c>
      <c r="CG262" t="s">
        <v>54</v>
      </c>
      <c r="CH262" t="s">
        <v>52</v>
      </c>
    </row>
    <row r="263" spans="1:86" x14ac:dyDescent="0.25">
      <c r="A263" t="s">
        <v>47</v>
      </c>
      <c r="B263">
        <v>8</v>
      </c>
      <c r="C263" t="s">
        <v>121</v>
      </c>
      <c r="D263">
        <v>15</v>
      </c>
      <c r="E263" t="s">
        <v>70</v>
      </c>
      <c r="F263">
        <v>296</v>
      </c>
      <c r="G263" t="s">
        <v>71</v>
      </c>
      <c r="H263" t="s">
        <v>50</v>
      </c>
      <c r="K263" t="s">
        <v>51</v>
      </c>
      <c r="L263">
        <v>1</v>
      </c>
      <c r="M263" t="s">
        <v>53</v>
      </c>
      <c r="N263">
        <v>296</v>
      </c>
      <c r="O263">
        <v>1</v>
      </c>
      <c r="P263" t="s">
        <v>52</v>
      </c>
      <c r="Q263">
        <v>0</v>
      </c>
      <c r="R263">
        <v>0.75</v>
      </c>
      <c r="S263">
        <v>228</v>
      </c>
      <c r="T263" t="s">
        <v>284</v>
      </c>
      <c r="U263">
        <v>190</v>
      </c>
      <c r="V263" t="s">
        <v>285</v>
      </c>
      <c r="W263">
        <v>194</v>
      </c>
      <c r="X263" t="s">
        <v>285</v>
      </c>
      <c r="Y263">
        <v>225</v>
      </c>
      <c r="Z263" t="s">
        <v>285</v>
      </c>
      <c r="AA263">
        <v>247</v>
      </c>
      <c r="AB263" t="s">
        <v>285</v>
      </c>
      <c r="AC263">
        <v>241</v>
      </c>
      <c r="AD263" t="s">
        <v>285</v>
      </c>
      <c r="AE263">
        <v>219</v>
      </c>
      <c r="AF263" t="s">
        <v>285</v>
      </c>
      <c r="AG263">
        <v>219</v>
      </c>
      <c r="AH263" t="s">
        <v>286</v>
      </c>
      <c r="AI263" t="s">
        <v>287</v>
      </c>
      <c r="AX263">
        <v>263</v>
      </c>
      <c r="AY263" t="s">
        <v>286</v>
      </c>
      <c r="AZ263" t="s">
        <v>287</v>
      </c>
      <c r="BQ263" t="s">
        <v>52</v>
      </c>
      <c r="BR263">
        <v>1.85</v>
      </c>
      <c r="BS263" t="s">
        <v>284</v>
      </c>
      <c r="BT263">
        <v>2.4300000000000002</v>
      </c>
      <c r="BU263" t="s">
        <v>285</v>
      </c>
      <c r="BV263">
        <v>2.76</v>
      </c>
      <c r="BW263" t="s">
        <v>285</v>
      </c>
      <c r="BX263">
        <v>2.59</v>
      </c>
      <c r="BY263" t="s">
        <v>288</v>
      </c>
      <c r="BZ263">
        <v>2.69</v>
      </c>
      <c r="CA263" t="s">
        <v>288</v>
      </c>
      <c r="CF263">
        <v>2.57</v>
      </c>
      <c r="CG263" t="s">
        <v>54</v>
      </c>
      <c r="CH263" t="s">
        <v>52</v>
      </c>
    </row>
    <row r="264" spans="1:86" x14ac:dyDescent="0.25">
      <c r="A264" t="s">
        <v>47</v>
      </c>
      <c r="B264">
        <v>8</v>
      </c>
      <c r="C264" t="s">
        <v>121</v>
      </c>
      <c r="D264">
        <v>15</v>
      </c>
      <c r="E264" t="s">
        <v>70</v>
      </c>
      <c r="F264">
        <v>296</v>
      </c>
      <c r="G264" t="s">
        <v>72</v>
      </c>
      <c r="H264" t="s">
        <v>50</v>
      </c>
      <c r="K264" t="s">
        <v>51</v>
      </c>
      <c r="L264">
        <v>1</v>
      </c>
      <c r="M264" t="s">
        <v>53</v>
      </c>
      <c r="N264">
        <v>296</v>
      </c>
      <c r="O264">
        <v>1</v>
      </c>
      <c r="P264" t="s">
        <v>52</v>
      </c>
      <c r="Q264">
        <v>0.5</v>
      </c>
      <c r="R264">
        <v>0.75</v>
      </c>
      <c r="S264">
        <v>228</v>
      </c>
      <c r="T264" t="s">
        <v>284</v>
      </c>
      <c r="U264">
        <v>221</v>
      </c>
      <c r="V264" t="s">
        <v>284</v>
      </c>
      <c r="W264">
        <v>236</v>
      </c>
      <c r="X264" t="s">
        <v>284</v>
      </c>
      <c r="Y264">
        <v>244</v>
      </c>
      <c r="Z264" t="s">
        <v>284</v>
      </c>
      <c r="AA264">
        <v>215</v>
      </c>
      <c r="AB264" t="s">
        <v>285</v>
      </c>
      <c r="AG264">
        <v>228.33330000000001</v>
      </c>
      <c r="AH264" t="s">
        <v>54</v>
      </c>
      <c r="AI264" t="s">
        <v>52</v>
      </c>
      <c r="AZ264" t="s">
        <v>52</v>
      </c>
      <c r="BQ264" t="s">
        <v>52</v>
      </c>
      <c r="BR264">
        <v>1.85</v>
      </c>
      <c r="BS264" t="s">
        <v>284</v>
      </c>
      <c r="BT264">
        <v>0.94</v>
      </c>
      <c r="BU264" t="s">
        <v>284</v>
      </c>
      <c r="BV264">
        <v>0.89</v>
      </c>
      <c r="BW264" t="s">
        <v>284</v>
      </c>
      <c r="BX264">
        <v>0.71</v>
      </c>
      <c r="BY264" t="s">
        <v>284</v>
      </c>
      <c r="BZ264">
        <v>0.71</v>
      </c>
      <c r="CA264" t="s">
        <v>284</v>
      </c>
      <c r="CF264">
        <v>0.85</v>
      </c>
      <c r="CG264" t="s">
        <v>54</v>
      </c>
      <c r="CH264" t="s">
        <v>52</v>
      </c>
    </row>
    <row r="265" spans="1:86" x14ac:dyDescent="0.25">
      <c r="A265" t="s">
        <v>47</v>
      </c>
      <c r="B265">
        <v>8</v>
      </c>
      <c r="C265" t="s">
        <v>121</v>
      </c>
      <c r="D265">
        <v>15</v>
      </c>
      <c r="E265" t="s">
        <v>70</v>
      </c>
      <c r="F265">
        <v>296</v>
      </c>
      <c r="G265" t="s">
        <v>74</v>
      </c>
      <c r="H265" t="s">
        <v>50</v>
      </c>
      <c r="K265" t="s">
        <v>51</v>
      </c>
      <c r="L265">
        <v>1</v>
      </c>
      <c r="M265" t="s">
        <v>53</v>
      </c>
      <c r="N265">
        <v>102</v>
      </c>
      <c r="O265">
        <v>1</v>
      </c>
      <c r="P265" t="s">
        <v>52</v>
      </c>
      <c r="Q265">
        <v>0</v>
      </c>
      <c r="R265">
        <v>0.75</v>
      </c>
      <c r="S265">
        <v>135</v>
      </c>
      <c r="T265" t="s">
        <v>284</v>
      </c>
      <c r="U265">
        <v>132</v>
      </c>
      <c r="V265" t="s">
        <v>284</v>
      </c>
      <c r="W265">
        <v>147</v>
      </c>
      <c r="X265" t="s">
        <v>284</v>
      </c>
      <c r="Y265">
        <v>170</v>
      </c>
      <c r="Z265" t="s">
        <v>284</v>
      </c>
      <c r="AA265">
        <v>205</v>
      </c>
      <c r="AB265" t="s">
        <v>285</v>
      </c>
      <c r="AG265">
        <v>150.66669999999999</v>
      </c>
      <c r="AH265" t="s">
        <v>54</v>
      </c>
      <c r="AI265" t="s">
        <v>52</v>
      </c>
      <c r="AZ265" t="s">
        <v>52</v>
      </c>
      <c r="BQ265" t="s">
        <v>52</v>
      </c>
      <c r="BR265">
        <v>1.85</v>
      </c>
      <c r="BS265" t="s">
        <v>284</v>
      </c>
      <c r="BT265">
        <v>0.94</v>
      </c>
      <c r="BU265" t="s">
        <v>284</v>
      </c>
      <c r="BV265">
        <v>0.61</v>
      </c>
      <c r="BW265" t="s">
        <v>285</v>
      </c>
      <c r="BX265">
        <v>0.62</v>
      </c>
      <c r="BY265" t="s">
        <v>285</v>
      </c>
      <c r="BZ265">
        <v>1</v>
      </c>
      <c r="CA265" t="s">
        <v>288</v>
      </c>
      <c r="CF265">
        <v>0.85</v>
      </c>
      <c r="CG265" t="s">
        <v>54</v>
      </c>
      <c r="CH265" t="s">
        <v>52</v>
      </c>
    </row>
    <row r="266" spans="1:86" x14ac:dyDescent="0.25">
      <c r="A266" t="s">
        <v>47</v>
      </c>
      <c r="B266">
        <v>8</v>
      </c>
      <c r="C266" t="s">
        <v>121</v>
      </c>
      <c r="D266">
        <v>15</v>
      </c>
      <c r="E266" t="s">
        <v>70</v>
      </c>
      <c r="F266">
        <v>296</v>
      </c>
      <c r="G266" t="s">
        <v>74</v>
      </c>
      <c r="H266" t="s">
        <v>50</v>
      </c>
      <c r="K266" t="s">
        <v>52</v>
      </c>
      <c r="L266">
        <v>1</v>
      </c>
      <c r="M266" t="s">
        <v>53</v>
      </c>
      <c r="N266">
        <v>102</v>
      </c>
      <c r="O266">
        <v>1</v>
      </c>
      <c r="P266" t="s">
        <v>52</v>
      </c>
      <c r="Q266">
        <v>0</v>
      </c>
      <c r="R266">
        <v>0.75</v>
      </c>
      <c r="S266">
        <v>135</v>
      </c>
      <c r="T266" t="s">
        <v>284</v>
      </c>
      <c r="U266">
        <v>132</v>
      </c>
      <c r="V266" t="s">
        <v>284</v>
      </c>
      <c r="W266">
        <v>147</v>
      </c>
      <c r="X266" t="s">
        <v>284</v>
      </c>
      <c r="Y266">
        <v>170</v>
      </c>
      <c r="Z266" t="s">
        <v>284</v>
      </c>
      <c r="AA266">
        <v>205</v>
      </c>
      <c r="AB266" t="s">
        <v>285</v>
      </c>
      <c r="AG266">
        <v>150.66669999999999</v>
      </c>
      <c r="AH266" t="s">
        <v>54</v>
      </c>
      <c r="AI266" t="s">
        <v>52</v>
      </c>
      <c r="AZ266" t="s">
        <v>52</v>
      </c>
      <c r="BQ266" t="s">
        <v>52</v>
      </c>
      <c r="BR266">
        <v>0.65</v>
      </c>
      <c r="BS266" t="s">
        <v>284</v>
      </c>
      <c r="BT266">
        <v>0.54</v>
      </c>
      <c r="BU266" t="s">
        <v>284</v>
      </c>
      <c r="BV266">
        <v>0.11</v>
      </c>
      <c r="BW266" t="s">
        <v>284</v>
      </c>
      <c r="BX266">
        <v>0.25</v>
      </c>
      <c r="BY266" t="s">
        <v>285</v>
      </c>
      <c r="BZ266">
        <v>0.22</v>
      </c>
      <c r="CA266" t="s">
        <v>289</v>
      </c>
      <c r="CF266">
        <v>0.34</v>
      </c>
      <c r="CG266" t="s">
        <v>54</v>
      </c>
      <c r="CH266" t="s">
        <v>52</v>
      </c>
    </row>
    <row r="267" spans="1:86" x14ac:dyDescent="0.25">
      <c r="A267" t="s">
        <v>47</v>
      </c>
      <c r="B267">
        <v>8</v>
      </c>
      <c r="C267" t="s">
        <v>121</v>
      </c>
      <c r="D267">
        <v>15</v>
      </c>
      <c r="E267" t="s">
        <v>70</v>
      </c>
      <c r="F267">
        <v>296</v>
      </c>
      <c r="G267" t="s">
        <v>122</v>
      </c>
      <c r="H267" t="s">
        <v>50</v>
      </c>
      <c r="K267" t="s">
        <v>51</v>
      </c>
      <c r="L267">
        <v>1</v>
      </c>
      <c r="M267" t="s">
        <v>53</v>
      </c>
      <c r="N267">
        <v>102</v>
      </c>
      <c r="O267">
        <v>1</v>
      </c>
      <c r="P267" t="s">
        <v>52</v>
      </c>
      <c r="Q267">
        <v>0</v>
      </c>
      <c r="R267">
        <v>0.75</v>
      </c>
      <c r="S267">
        <v>228</v>
      </c>
      <c r="T267" t="s">
        <v>284</v>
      </c>
      <c r="U267">
        <v>190</v>
      </c>
      <c r="V267" t="s">
        <v>285</v>
      </c>
      <c r="W267">
        <v>194</v>
      </c>
      <c r="X267" t="s">
        <v>285</v>
      </c>
      <c r="Y267">
        <v>213</v>
      </c>
      <c r="Z267" t="s">
        <v>284</v>
      </c>
      <c r="AA267">
        <v>225</v>
      </c>
      <c r="AB267" t="s">
        <v>285</v>
      </c>
      <c r="AG267">
        <v>210.66669999999999</v>
      </c>
      <c r="AH267" t="s">
        <v>54</v>
      </c>
      <c r="AI267" t="s">
        <v>52</v>
      </c>
      <c r="AZ267" t="s">
        <v>52</v>
      </c>
      <c r="BQ267" t="s">
        <v>52</v>
      </c>
      <c r="BR267">
        <v>1.85</v>
      </c>
      <c r="BS267" t="s">
        <v>284</v>
      </c>
      <c r="BT267">
        <v>2.44</v>
      </c>
      <c r="BU267" t="s">
        <v>285</v>
      </c>
      <c r="BV267">
        <v>2.76</v>
      </c>
      <c r="BW267" t="s">
        <v>285</v>
      </c>
      <c r="BX267">
        <v>2.59</v>
      </c>
      <c r="BY267" t="s">
        <v>285</v>
      </c>
      <c r="BZ267">
        <v>2.21</v>
      </c>
      <c r="CA267" t="s">
        <v>288</v>
      </c>
      <c r="CF267">
        <v>2.41</v>
      </c>
      <c r="CG267" t="s">
        <v>54</v>
      </c>
      <c r="CH267" t="s">
        <v>52</v>
      </c>
    </row>
    <row r="268" spans="1:86" x14ac:dyDescent="0.25">
      <c r="A268" t="s">
        <v>47</v>
      </c>
      <c r="B268">
        <v>8</v>
      </c>
      <c r="C268" t="s">
        <v>121</v>
      </c>
      <c r="D268">
        <v>15</v>
      </c>
      <c r="E268" t="s">
        <v>70</v>
      </c>
      <c r="F268">
        <v>296</v>
      </c>
      <c r="G268" t="s">
        <v>122</v>
      </c>
      <c r="H268" t="s">
        <v>50</v>
      </c>
      <c r="K268" t="s">
        <v>52</v>
      </c>
      <c r="L268">
        <v>1</v>
      </c>
      <c r="M268" t="s">
        <v>53</v>
      </c>
      <c r="N268">
        <v>102</v>
      </c>
      <c r="O268">
        <v>1</v>
      </c>
      <c r="P268" t="s">
        <v>52</v>
      </c>
      <c r="Q268">
        <v>0</v>
      </c>
      <c r="R268">
        <v>0.75</v>
      </c>
      <c r="S268">
        <v>228</v>
      </c>
      <c r="T268" t="s">
        <v>284</v>
      </c>
      <c r="U268">
        <v>190</v>
      </c>
      <c r="V268" t="s">
        <v>285</v>
      </c>
      <c r="W268">
        <v>194</v>
      </c>
      <c r="X268" t="s">
        <v>285</v>
      </c>
      <c r="Y268">
        <v>213</v>
      </c>
      <c r="Z268" t="s">
        <v>284</v>
      </c>
      <c r="AA268">
        <v>225</v>
      </c>
      <c r="AB268" t="s">
        <v>285</v>
      </c>
      <c r="AG268">
        <v>210.66669999999999</v>
      </c>
      <c r="AH268" t="s">
        <v>54</v>
      </c>
      <c r="AI268" t="s">
        <v>52</v>
      </c>
      <c r="AZ268" t="s">
        <v>52</v>
      </c>
      <c r="BQ268" t="s">
        <v>52</v>
      </c>
      <c r="BR268">
        <v>0.65</v>
      </c>
      <c r="BS268" t="s">
        <v>284</v>
      </c>
      <c r="BT268">
        <v>0.47</v>
      </c>
      <c r="BU268" t="s">
        <v>284</v>
      </c>
      <c r="BV268">
        <v>0.14000000000000001</v>
      </c>
      <c r="BW268" t="s">
        <v>284</v>
      </c>
      <c r="BX268">
        <v>0.22</v>
      </c>
      <c r="BY268" t="s">
        <v>284</v>
      </c>
      <c r="BZ268">
        <v>0.22</v>
      </c>
      <c r="CA268" t="s">
        <v>284</v>
      </c>
      <c r="CF268">
        <v>0.3</v>
      </c>
      <c r="CG268" t="s">
        <v>54</v>
      </c>
      <c r="CH268" t="s">
        <v>52</v>
      </c>
    </row>
    <row r="269" spans="1:86" x14ac:dyDescent="0.25">
      <c r="A269" t="s">
        <v>47</v>
      </c>
      <c r="B269">
        <v>8</v>
      </c>
      <c r="C269" t="s">
        <v>121</v>
      </c>
      <c r="D269">
        <v>15</v>
      </c>
      <c r="E269" t="s">
        <v>70</v>
      </c>
      <c r="F269">
        <v>296</v>
      </c>
      <c r="G269" t="s">
        <v>90</v>
      </c>
      <c r="H269" t="s">
        <v>50</v>
      </c>
      <c r="K269" t="s">
        <v>51</v>
      </c>
      <c r="L269">
        <v>1</v>
      </c>
      <c r="M269" t="s">
        <v>53</v>
      </c>
      <c r="N269">
        <v>102</v>
      </c>
      <c r="O269">
        <v>1</v>
      </c>
      <c r="P269" t="s">
        <v>52</v>
      </c>
      <c r="Q269">
        <v>0.5</v>
      </c>
      <c r="R269">
        <v>0.75</v>
      </c>
      <c r="S269">
        <v>228</v>
      </c>
      <c r="T269" t="s">
        <v>284</v>
      </c>
      <c r="U269">
        <v>190</v>
      </c>
      <c r="V269" t="s">
        <v>285</v>
      </c>
      <c r="W269">
        <v>236</v>
      </c>
      <c r="X269" t="s">
        <v>284</v>
      </c>
      <c r="Y269">
        <v>244</v>
      </c>
      <c r="Z269" t="s">
        <v>284</v>
      </c>
      <c r="AA269">
        <v>215</v>
      </c>
      <c r="AB269" t="s">
        <v>285</v>
      </c>
      <c r="AG269">
        <v>226.33330000000001</v>
      </c>
      <c r="AH269" t="s">
        <v>54</v>
      </c>
      <c r="AI269" t="s">
        <v>52</v>
      </c>
      <c r="AZ269" t="s">
        <v>52</v>
      </c>
      <c r="BQ269" t="s">
        <v>52</v>
      </c>
      <c r="CH269" t="s">
        <v>52</v>
      </c>
    </row>
    <row r="270" spans="1:86" x14ac:dyDescent="0.25">
      <c r="A270" t="s">
        <v>47</v>
      </c>
      <c r="B270">
        <v>8</v>
      </c>
      <c r="C270" t="s">
        <v>121</v>
      </c>
      <c r="D270">
        <v>15</v>
      </c>
      <c r="E270" t="s">
        <v>70</v>
      </c>
      <c r="F270">
        <v>296</v>
      </c>
      <c r="G270" t="s">
        <v>90</v>
      </c>
      <c r="H270" t="s">
        <v>50</v>
      </c>
      <c r="K270" t="s">
        <v>52</v>
      </c>
      <c r="L270">
        <v>1</v>
      </c>
      <c r="M270" t="s">
        <v>53</v>
      </c>
      <c r="N270">
        <v>102</v>
      </c>
      <c r="O270">
        <v>1</v>
      </c>
      <c r="P270" t="s">
        <v>52</v>
      </c>
      <c r="Q270">
        <v>0.5</v>
      </c>
      <c r="R270">
        <v>0.75</v>
      </c>
      <c r="S270">
        <v>228</v>
      </c>
      <c r="T270" t="s">
        <v>284</v>
      </c>
      <c r="U270">
        <v>190</v>
      </c>
      <c r="V270" t="s">
        <v>285</v>
      </c>
      <c r="W270">
        <v>236</v>
      </c>
      <c r="X270" t="s">
        <v>284</v>
      </c>
      <c r="Y270">
        <v>244</v>
      </c>
      <c r="Z270" t="s">
        <v>284</v>
      </c>
      <c r="AA270">
        <v>215</v>
      </c>
      <c r="AB270" t="s">
        <v>285</v>
      </c>
      <c r="AG270">
        <v>226.33330000000001</v>
      </c>
      <c r="AH270" t="s">
        <v>54</v>
      </c>
      <c r="AI270" t="s">
        <v>52</v>
      </c>
      <c r="AZ270" t="s">
        <v>52</v>
      </c>
      <c r="BQ270" t="s">
        <v>52</v>
      </c>
      <c r="CH270" t="s">
        <v>52</v>
      </c>
    </row>
    <row r="271" spans="1:86" x14ac:dyDescent="0.25">
      <c r="A271" t="s">
        <v>47</v>
      </c>
      <c r="B271">
        <v>8</v>
      </c>
      <c r="C271" t="s">
        <v>121</v>
      </c>
      <c r="D271">
        <v>15</v>
      </c>
      <c r="E271" t="s">
        <v>70</v>
      </c>
      <c r="F271">
        <v>296</v>
      </c>
      <c r="G271" t="s">
        <v>116</v>
      </c>
      <c r="H271" t="s">
        <v>50</v>
      </c>
      <c r="K271" t="s">
        <v>51</v>
      </c>
      <c r="L271">
        <v>1</v>
      </c>
      <c r="M271" t="s">
        <v>53</v>
      </c>
      <c r="N271">
        <v>102</v>
      </c>
      <c r="O271">
        <v>1</v>
      </c>
      <c r="P271" t="s">
        <v>52</v>
      </c>
      <c r="Q271">
        <v>0.5</v>
      </c>
      <c r="R271">
        <v>0.75</v>
      </c>
      <c r="S271">
        <v>228</v>
      </c>
      <c r="T271" t="s">
        <v>284</v>
      </c>
      <c r="U271">
        <v>190</v>
      </c>
      <c r="V271" t="s">
        <v>285</v>
      </c>
      <c r="W271">
        <v>236</v>
      </c>
      <c r="X271" t="s">
        <v>284</v>
      </c>
      <c r="Y271">
        <v>244</v>
      </c>
      <c r="Z271" t="s">
        <v>284</v>
      </c>
      <c r="AA271">
        <v>215</v>
      </c>
      <c r="AB271" t="s">
        <v>285</v>
      </c>
      <c r="AG271">
        <v>226.33330000000001</v>
      </c>
      <c r="AH271" t="s">
        <v>54</v>
      </c>
      <c r="AI271" t="s">
        <v>52</v>
      </c>
      <c r="AZ271" t="s">
        <v>52</v>
      </c>
      <c r="BQ271" t="s">
        <v>52</v>
      </c>
      <c r="CH271" t="s">
        <v>52</v>
      </c>
    </row>
    <row r="272" spans="1:86" x14ac:dyDescent="0.25">
      <c r="A272" t="s">
        <v>47</v>
      </c>
      <c r="B272">
        <v>8</v>
      </c>
      <c r="C272" t="s">
        <v>121</v>
      </c>
      <c r="D272">
        <v>15</v>
      </c>
      <c r="E272" t="s">
        <v>75</v>
      </c>
      <c r="F272">
        <v>16</v>
      </c>
      <c r="G272" t="s">
        <v>76</v>
      </c>
      <c r="H272" t="s">
        <v>50</v>
      </c>
      <c r="K272" t="s">
        <v>51</v>
      </c>
      <c r="L272">
        <v>1</v>
      </c>
      <c r="M272" t="s">
        <v>53</v>
      </c>
      <c r="N272">
        <v>16</v>
      </c>
      <c r="O272">
        <v>2</v>
      </c>
      <c r="P272" t="s">
        <v>52</v>
      </c>
      <c r="Q272">
        <v>0.5</v>
      </c>
      <c r="R272">
        <v>0.75</v>
      </c>
      <c r="S272">
        <v>83.35</v>
      </c>
      <c r="T272" t="s">
        <v>285</v>
      </c>
      <c r="U272">
        <v>96.14</v>
      </c>
      <c r="V272" t="s">
        <v>284</v>
      </c>
      <c r="W272">
        <v>103.37</v>
      </c>
      <c r="X272" t="s">
        <v>284</v>
      </c>
      <c r="Y272">
        <v>106.14</v>
      </c>
      <c r="Z272" t="s">
        <v>284</v>
      </c>
      <c r="AA272">
        <v>128</v>
      </c>
      <c r="AB272" t="s">
        <v>285</v>
      </c>
      <c r="AG272">
        <v>101.88330000000001</v>
      </c>
      <c r="AH272" t="s">
        <v>54</v>
      </c>
      <c r="AI272" t="s">
        <v>52</v>
      </c>
      <c r="AX272">
        <v>146.69999999999999</v>
      </c>
      <c r="AY272" t="s">
        <v>285</v>
      </c>
      <c r="AZ272" t="s">
        <v>287</v>
      </c>
      <c r="BQ272" t="s">
        <v>52</v>
      </c>
      <c r="BR272">
        <v>1.85</v>
      </c>
      <c r="BS272" t="s">
        <v>284</v>
      </c>
      <c r="BT272">
        <v>1.1100000000000001</v>
      </c>
      <c r="BU272" t="s">
        <v>284</v>
      </c>
      <c r="BV272">
        <v>0.93</v>
      </c>
      <c r="BW272" t="s">
        <v>284</v>
      </c>
      <c r="BX272">
        <v>1.52</v>
      </c>
      <c r="BY272" t="s">
        <v>284</v>
      </c>
      <c r="BZ272">
        <v>1.78</v>
      </c>
      <c r="CA272" t="s">
        <v>289</v>
      </c>
      <c r="CF272">
        <v>1.47</v>
      </c>
      <c r="CG272" t="s">
        <v>54</v>
      </c>
      <c r="CH272" t="s">
        <v>52</v>
      </c>
    </row>
    <row r="273" spans="1:86" x14ac:dyDescent="0.25">
      <c r="A273" t="s">
        <v>47</v>
      </c>
      <c r="B273">
        <v>8</v>
      </c>
      <c r="C273" t="s">
        <v>121</v>
      </c>
      <c r="D273">
        <v>15</v>
      </c>
      <c r="E273" t="s">
        <v>75</v>
      </c>
      <c r="F273">
        <v>16</v>
      </c>
      <c r="G273" t="s">
        <v>103</v>
      </c>
      <c r="H273" t="s">
        <v>50</v>
      </c>
      <c r="K273" t="s">
        <v>51</v>
      </c>
      <c r="L273">
        <v>1</v>
      </c>
      <c r="M273" t="s">
        <v>53</v>
      </c>
      <c r="N273">
        <v>16</v>
      </c>
      <c r="O273">
        <v>2</v>
      </c>
      <c r="P273" t="s">
        <v>52</v>
      </c>
      <c r="Q273">
        <v>0.5</v>
      </c>
      <c r="R273">
        <v>0.75</v>
      </c>
      <c r="S273">
        <v>83.5</v>
      </c>
      <c r="T273" t="s">
        <v>285</v>
      </c>
      <c r="U273">
        <v>96.14</v>
      </c>
      <c r="V273" t="s">
        <v>284</v>
      </c>
      <c r="AI273" t="s">
        <v>52</v>
      </c>
      <c r="AJ273">
        <v>194.66</v>
      </c>
      <c r="AK273" t="s">
        <v>285</v>
      </c>
      <c r="AZ273" t="s">
        <v>52</v>
      </c>
      <c r="BQ273" t="s">
        <v>52</v>
      </c>
      <c r="BR273">
        <v>1.85</v>
      </c>
      <c r="BS273" t="s">
        <v>284</v>
      </c>
      <c r="BT273">
        <v>1.1100000000000001</v>
      </c>
      <c r="BU273" t="s">
        <v>284</v>
      </c>
      <c r="CH273" t="s">
        <v>52</v>
      </c>
    </row>
    <row r="274" spans="1:86" x14ac:dyDescent="0.25">
      <c r="A274" t="s">
        <v>47</v>
      </c>
      <c r="B274">
        <v>8</v>
      </c>
      <c r="C274" t="s">
        <v>121</v>
      </c>
      <c r="D274">
        <v>15</v>
      </c>
      <c r="E274" t="s">
        <v>79</v>
      </c>
      <c r="F274">
        <v>50</v>
      </c>
      <c r="G274" t="s">
        <v>65</v>
      </c>
      <c r="H274" t="s">
        <v>50</v>
      </c>
      <c r="K274" t="s">
        <v>51</v>
      </c>
      <c r="L274">
        <v>1</v>
      </c>
      <c r="M274" t="s">
        <v>53</v>
      </c>
      <c r="N274">
        <v>50</v>
      </c>
      <c r="O274">
        <v>1</v>
      </c>
      <c r="P274" t="s">
        <v>52</v>
      </c>
      <c r="Q274">
        <v>0.5</v>
      </c>
      <c r="R274">
        <v>0.75</v>
      </c>
      <c r="S274">
        <v>85</v>
      </c>
      <c r="T274" t="s">
        <v>285</v>
      </c>
      <c r="U274">
        <v>93</v>
      </c>
      <c r="V274" t="s">
        <v>284</v>
      </c>
      <c r="W274">
        <v>89.7</v>
      </c>
      <c r="X274" t="s">
        <v>284</v>
      </c>
      <c r="Y274">
        <v>92.72</v>
      </c>
      <c r="Z274" t="s">
        <v>284</v>
      </c>
      <c r="AA274">
        <v>109</v>
      </c>
      <c r="AB274" t="s">
        <v>285</v>
      </c>
      <c r="AG274">
        <v>91.806700000000006</v>
      </c>
      <c r="AH274" t="s">
        <v>54</v>
      </c>
      <c r="AI274" t="s">
        <v>52</v>
      </c>
      <c r="AZ274" t="s">
        <v>52</v>
      </c>
      <c r="BQ274" t="s">
        <v>52</v>
      </c>
      <c r="BR274">
        <v>3.57</v>
      </c>
      <c r="BS274" t="s">
        <v>289</v>
      </c>
      <c r="BT274">
        <v>1.84</v>
      </c>
      <c r="BU274" t="s">
        <v>284</v>
      </c>
      <c r="BV274">
        <v>2.66</v>
      </c>
      <c r="BW274" t="s">
        <v>284</v>
      </c>
      <c r="BX274">
        <v>2.5299999999999998</v>
      </c>
      <c r="BY274" t="s">
        <v>284</v>
      </c>
      <c r="BZ274">
        <v>3.31</v>
      </c>
      <c r="CA274" t="s">
        <v>289</v>
      </c>
      <c r="CF274">
        <v>2.83</v>
      </c>
      <c r="CG274" t="s">
        <v>54</v>
      </c>
      <c r="CH274" t="s">
        <v>52</v>
      </c>
    </row>
    <row r="275" spans="1:86" x14ac:dyDescent="0.25">
      <c r="A275" t="s">
        <v>47</v>
      </c>
      <c r="B275">
        <v>8</v>
      </c>
      <c r="C275" t="s">
        <v>121</v>
      </c>
      <c r="D275">
        <v>15</v>
      </c>
      <c r="E275" t="s">
        <v>79</v>
      </c>
      <c r="F275">
        <v>50</v>
      </c>
      <c r="G275" t="s">
        <v>81</v>
      </c>
      <c r="H275" t="s">
        <v>50</v>
      </c>
      <c r="K275" t="s">
        <v>51</v>
      </c>
      <c r="L275">
        <v>1</v>
      </c>
      <c r="M275" t="s">
        <v>53</v>
      </c>
      <c r="N275">
        <v>50</v>
      </c>
      <c r="O275">
        <v>1</v>
      </c>
      <c r="P275" t="s">
        <v>52</v>
      </c>
      <c r="Q275">
        <v>0.5</v>
      </c>
      <c r="R275">
        <v>0.75</v>
      </c>
      <c r="S275">
        <v>85</v>
      </c>
      <c r="T275" t="s">
        <v>285</v>
      </c>
      <c r="U275">
        <v>93</v>
      </c>
      <c r="V275" t="s">
        <v>284</v>
      </c>
      <c r="W275">
        <v>89.7</v>
      </c>
      <c r="X275" t="s">
        <v>284</v>
      </c>
      <c r="Y275">
        <v>92.72</v>
      </c>
      <c r="Z275" t="s">
        <v>284</v>
      </c>
      <c r="AA275">
        <v>109</v>
      </c>
      <c r="AB275" t="s">
        <v>285</v>
      </c>
      <c r="AG275">
        <v>91.806700000000006</v>
      </c>
      <c r="AH275" t="s">
        <v>54</v>
      </c>
      <c r="AI275" t="s">
        <v>52</v>
      </c>
      <c r="AZ275" t="s">
        <v>52</v>
      </c>
      <c r="BQ275" t="s">
        <v>52</v>
      </c>
      <c r="CH275" t="s">
        <v>52</v>
      </c>
    </row>
    <row r="276" spans="1:86" x14ac:dyDescent="0.25">
      <c r="A276" t="s">
        <v>47</v>
      </c>
      <c r="B276">
        <v>8</v>
      </c>
      <c r="C276" t="s">
        <v>121</v>
      </c>
      <c r="D276">
        <v>15</v>
      </c>
      <c r="E276" t="s">
        <v>83</v>
      </c>
      <c r="F276">
        <v>158</v>
      </c>
      <c r="H276" t="s">
        <v>50</v>
      </c>
      <c r="K276" t="s">
        <v>51</v>
      </c>
      <c r="L276">
        <v>1</v>
      </c>
      <c r="M276" t="s">
        <v>53</v>
      </c>
      <c r="N276">
        <v>158</v>
      </c>
      <c r="O276">
        <v>2</v>
      </c>
      <c r="P276" t="s">
        <v>52</v>
      </c>
      <c r="Q276">
        <v>0.77</v>
      </c>
      <c r="R276">
        <v>0.93</v>
      </c>
      <c r="S276">
        <v>228</v>
      </c>
      <c r="T276" t="s">
        <v>284</v>
      </c>
      <c r="U276">
        <v>221</v>
      </c>
      <c r="V276" t="s">
        <v>284</v>
      </c>
      <c r="W276">
        <v>236</v>
      </c>
      <c r="X276" t="s">
        <v>284</v>
      </c>
      <c r="Y276">
        <v>244</v>
      </c>
      <c r="Z276" t="s">
        <v>284</v>
      </c>
      <c r="AA276">
        <v>252</v>
      </c>
      <c r="AB276" t="s">
        <v>284</v>
      </c>
      <c r="AG276">
        <v>236</v>
      </c>
      <c r="AH276" t="s">
        <v>54</v>
      </c>
      <c r="AI276" t="s">
        <v>52</v>
      </c>
      <c r="AX276">
        <v>339</v>
      </c>
      <c r="AY276" t="s">
        <v>285</v>
      </c>
      <c r="AZ276" t="s">
        <v>287</v>
      </c>
      <c r="BQ276" t="s">
        <v>52</v>
      </c>
      <c r="BR276">
        <v>1.85</v>
      </c>
      <c r="BS276" t="s">
        <v>284</v>
      </c>
      <c r="BT276">
        <v>1.35</v>
      </c>
      <c r="BU276" t="s">
        <v>284</v>
      </c>
      <c r="BV276">
        <v>1.03</v>
      </c>
      <c r="BW276" t="s">
        <v>289</v>
      </c>
      <c r="BX276">
        <v>1.34</v>
      </c>
      <c r="BY276" t="s">
        <v>289</v>
      </c>
      <c r="BZ276">
        <v>1.22</v>
      </c>
      <c r="CA276" t="s">
        <v>289</v>
      </c>
      <c r="CF276">
        <v>1.3</v>
      </c>
      <c r="CG276" t="s">
        <v>54</v>
      </c>
      <c r="CH276" t="s">
        <v>52</v>
      </c>
    </row>
    <row r="277" spans="1:86" x14ac:dyDescent="0.25">
      <c r="A277" t="s">
        <v>47</v>
      </c>
      <c r="B277">
        <v>8</v>
      </c>
      <c r="C277" t="s">
        <v>121</v>
      </c>
      <c r="D277">
        <v>15</v>
      </c>
      <c r="E277" t="s">
        <v>84</v>
      </c>
      <c r="F277">
        <v>11</v>
      </c>
      <c r="G277" t="s">
        <v>96</v>
      </c>
      <c r="H277" t="s">
        <v>50</v>
      </c>
      <c r="K277" t="s">
        <v>51</v>
      </c>
      <c r="L277">
        <v>1</v>
      </c>
      <c r="M277" t="s">
        <v>53</v>
      </c>
      <c r="N277">
        <v>11</v>
      </c>
      <c r="O277">
        <v>2</v>
      </c>
      <c r="P277" t="s">
        <v>52</v>
      </c>
      <c r="Q277">
        <v>0.5</v>
      </c>
      <c r="R277">
        <v>0.75</v>
      </c>
      <c r="S277">
        <v>124</v>
      </c>
      <c r="T277" t="s">
        <v>284</v>
      </c>
      <c r="U277">
        <v>110</v>
      </c>
      <c r="V277" t="s">
        <v>284</v>
      </c>
      <c r="W277">
        <v>118</v>
      </c>
      <c r="X277" t="s">
        <v>284</v>
      </c>
      <c r="Y277">
        <v>122</v>
      </c>
      <c r="Z277" t="s">
        <v>284</v>
      </c>
      <c r="AA277">
        <v>126</v>
      </c>
      <c r="AB277" t="s">
        <v>284</v>
      </c>
      <c r="AG277">
        <v>121.33329999999999</v>
      </c>
      <c r="AH277" t="s">
        <v>54</v>
      </c>
      <c r="AI277" t="s">
        <v>52</v>
      </c>
      <c r="AZ277" t="s">
        <v>52</v>
      </c>
      <c r="BQ277" t="s">
        <v>52</v>
      </c>
      <c r="CH277" t="s">
        <v>52</v>
      </c>
    </row>
    <row r="278" spans="1:86" x14ac:dyDescent="0.25">
      <c r="A278" t="s">
        <v>47</v>
      </c>
      <c r="B278">
        <v>8</v>
      </c>
      <c r="C278" t="s">
        <v>123</v>
      </c>
      <c r="D278">
        <v>17</v>
      </c>
      <c r="E278" t="s">
        <v>49</v>
      </c>
      <c r="F278">
        <v>27</v>
      </c>
      <c r="H278" t="s">
        <v>50</v>
      </c>
      <c r="K278" t="s">
        <v>51</v>
      </c>
      <c r="L278">
        <v>1</v>
      </c>
      <c r="M278" t="s">
        <v>53</v>
      </c>
      <c r="N278">
        <v>27</v>
      </c>
      <c r="O278">
        <v>1</v>
      </c>
      <c r="P278" t="s">
        <v>52</v>
      </c>
      <c r="Q278">
        <v>0</v>
      </c>
      <c r="R278">
        <v>0.75</v>
      </c>
      <c r="S278">
        <v>231</v>
      </c>
      <c r="T278" t="s">
        <v>284</v>
      </c>
      <c r="U278">
        <v>208</v>
      </c>
      <c r="V278" t="s">
        <v>284</v>
      </c>
      <c r="W278">
        <v>224</v>
      </c>
      <c r="X278" t="s">
        <v>284</v>
      </c>
      <c r="Y278">
        <v>225</v>
      </c>
      <c r="Z278" t="s">
        <v>285</v>
      </c>
      <c r="AA278">
        <v>247</v>
      </c>
      <c r="AB278" t="s">
        <v>285</v>
      </c>
      <c r="AC278">
        <v>241</v>
      </c>
      <c r="AD278" t="s">
        <v>285</v>
      </c>
      <c r="AE278">
        <v>219</v>
      </c>
      <c r="AF278" t="s">
        <v>285</v>
      </c>
      <c r="AG278">
        <v>219</v>
      </c>
      <c r="AH278" t="s">
        <v>286</v>
      </c>
      <c r="AI278" t="s">
        <v>287</v>
      </c>
      <c r="AX278">
        <v>263</v>
      </c>
      <c r="AY278" t="s">
        <v>286</v>
      </c>
      <c r="AZ278" t="s">
        <v>287</v>
      </c>
      <c r="BQ278" t="s">
        <v>52</v>
      </c>
      <c r="BR278">
        <v>3.7</v>
      </c>
      <c r="BS278" t="s">
        <v>284</v>
      </c>
      <c r="BT278">
        <v>3.4</v>
      </c>
      <c r="BU278" t="s">
        <v>284</v>
      </c>
      <c r="BV278">
        <v>1.49</v>
      </c>
      <c r="BW278" t="s">
        <v>284</v>
      </c>
      <c r="BX278">
        <v>1.49</v>
      </c>
      <c r="BY278" t="s">
        <v>284</v>
      </c>
      <c r="BZ278">
        <v>1.5</v>
      </c>
      <c r="CA278" t="s">
        <v>289</v>
      </c>
      <c r="CF278">
        <v>2.13</v>
      </c>
      <c r="CG278" t="s">
        <v>54</v>
      </c>
      <c r="CH278" t="s">
        <v>52</v>
      </c>
    </row>
    <row r="279" spans="1:86" x14ac:dyDescent="0.25">
      <c r="A279" t="s">
        <v>47</v>
      </c>
      <c r="B279">
        <v>8</v>
      </c>
      <c r="C279" t="s">
        <v>123</v>
      </c>
      <c r="D279">
        <v>17</v>
      </c>
      <c r="E279" t="s">
        <v>49</v>
      </c>
      <c r="F279">
        <v>27</v>
      </c>
      <c r="H279" t="s">
        <v>50</v>
      </c>
      <c r="K279" t="s">
        <v>52</v>
      </c>
      <c r="L279">
        <v>1</v>
      </c>
      <c r="M279" t="s">
        <v>53</v>
      </c>
      <c r="N279">
        <v>27</v>
      </c>
      <c r="O279">
        <v>1</v>
      </c>
      <c r="P279" t="s">
        <v>52</v>
      </c>
      <c r="Q279">
        <v>0</v>
      </c>
      <c r="R279">
        <v>0.75</v>
      </c>
      <c r="S279">
        <v>231</v>
      </c>
      <c r="T279" t="s">
        <v>284</v>
      </c>
      <c r="U279">
        <v>208</v>
      </c>
      <c r="V279" t="s">
        <v>284</v>
      </c>
      <c r="W279">
        <v>224</v>
      </c>
      <c r="X279" t="s">
        <v>284</v>
      </c>
      <c r="Y279">
        <v>225</v>
      </c>
      <c r="Z279" t="s">
        <v>285</v>
      </c>
      <c r="AA279">
        <v>247</v>
      </c>
      <c r="AB279" t="s">
        <v>285</v>
      </c>
      <c r="AC279">
        <v>241</v>
      </c>
      <c r="AD279" t="s">
        <v>285</v>
      </c>
      <c r="AE279">
        <v>219</v>
      </c>
      <c r="AF279" t="s">
        <v>285</v>
      </c>
      <c r="AG279">
        <v>219</v>
      </c>
      <c r="AH279" t="s">
        <v>286</v>
      </c>
      <c r="AI279" t="s">
        <v>287</v>
      </c>
      <c r="AX279">
        <v>263</v>
      </c>
      <c r="AY279" t="s">
        <v>286</v>
      </c>
      <c r="AZ279" t="s">
        <v>287</v>
      </c>
      <c r="BQ279" t="s">
        <v>52</v>
      </c>
      <c r="BR279">
        <v>1.3</v>
      </c>
      <c r="BS279" t="s">
        <v>284</v>
      </c>
      <c r="BT279">
        <v>1.2</v>
      </c>
      <c r="BU279" t="s">
        <v>284</v>
      </c>
      <c r="BV279">
        <v>0.75</v>
      </c>
      <c r="BW279" t="s">
        <v>284</v>
      </c>
      <c r="BX279">
        <v>0.12</v>
      </c>
      <c r="BY279" t="s">
        <v>284</v>
      </c>
      <c r="BZ279">
        <v>0.14000000000000001</v>
      </c>
      <c r="CA279" t="s">
        <v>289</v>
      </c>
      <c r="CF279">
        <v>0.7</v>
      </c>
      <c r="CG279" t="s">
        <v>54</v>
      </c>
      <c r="CH279" t="s">
        <v>52</v>
      </c>
    </row>
    <row r="280" spans="1:86" x14ac:dyDescent="0.25">
      <c r="A280" t="s">
        <v>47</v>
      </c>
      <c r="B280">
        <v>8</v>
      </c>
      <c r="C280" t="s">
        <v>123</v>
      </c>
      <c r="D280">
        <v>17</v>
      </c>
      <c r="E280" t="s">
        <v>58</v>
      </c>
      <c r="F280">
        <v>102</v>
      </c>
      <c r="G280" t="s">
        <v>62</v>
      </c>
      <c r="H280" t="s">
        <v>50</v>
      </c>
      <c r="K280" t="s">
        <v>52</v>
      </c>
      <c r="L280">
        <v>1</v>
      </c>
      <c r="M280" t="s">
        <v>53</v>
      </c>
      <c r="N280">
        <v>102</v>
      </c>
      <c r="O280">
        <v>1</v>
      </c>
      <c r="P280" t="s">
        <v>52</v>
      </c>
      <c r="Q280">
        <v>0</v>
      </c>
      <c r="R280">
        <v>0.92</v>
      </c>
      <c r="S280">
        <v>131.69999999999999</v>
      </c>
      <c r="T280" t="s">
        <v>284</v>
      </c>
      <c r="U280">
        <v>170</v>
      </c>
      <c r="V280" t="s">
        <v>284</v>
      </c>
      <c r="W280">
        <v>191</v>
      </c>
      <c r="X280" t="s">
        <v>284</v>
      </c>
      <c r="Y280">
        <v>207</v>
      </c>
      <c r="Z280" t="s">
        <v>284</v>
      </c>
      <c r="AA280">
        <v>205</v>
      </c>
      <c r="AB280" t="s">
        <v>285</v>
      </c>
      <c r="AG280">
        <v>188.66669999999999</v>
      </c>
      <c r="AH280" t="s">
        <v>54</v>
      </c>
      <c r="AI280" t="s">
        <v>52</v>
      </c>
      <c r="AX280">
        <v>271.60000000000002</v>
      </c>
      <c r="AY280" t="s">
        <v>285</v>
      </c>
      <c r="AZ280" t="s">
        <v>287</v>
      </c>
      <c r="BQ280" t="s">
        <v>52</v>
      </c>
      <c r="BR280">
        <v>0.83</v>
      </c>
      <c r="BS280" t="s">
        <v>285</v>
      </c>
      <c r="BT280">
        <v>0.94</v>
      </c>
      <c r="BU280" t="s">
        <v>284</v>
      </c>
      <c r="BV280">
        <v>0.28000000000000003</v>
      </c>
      <c r="BW280" t="s">
        <v>285</v>
      </c>
      <c r="BX280">
        <v>0.5</v>
      </c>
      <c r="BY280" t="s">
        <v>285</v>
      </c>
      <c r="BZ280">
        <v>0.43</v>
      </c>
      <c r="CA280" t="s">
        <v>284</v>
      </c>
      <c r="CF280">
        <v>0.59</v>
      </c>
      <c r="CG280" t="s">
        <v>54</v>
      </c>
      <c r="CH280" t="s">
        <v>52</v>
      </c>
    </row>
    <row r="281" spans="1:86" x14ac:dyDescent="0.25">
      <c r="A281" t="s">
        <v>47</v>
      </c>
      <c r="B281">
        <v>8</v>
      </c>
      <c r="C281" t="s">
        <v>123</v>
      </c>
      <c r="D281">
        <v>17</v>
      </c>
      <c r="E281" t="s">
        <v>68</v>
      </c>
      <c r="F281">
        <v>80</v>
      </c>
      <c r="G281" t="s">
        <v>69</v>
      </c>
      <c r="H281" t="s">
        <v>50</v>
      </c>
      <c r="K281" t="s">
        <v>51</v>
      </c>
      <c r="L281">
        <v>1</v>
      </c>
      <c r="M281" t="s">
        <v>53</v>
      </c>
      <c r="N281">
        <v>80</v>
      </c>
      <c r="O281">
        <v>1</v>
      </c>
      <c r="P281" t="s">
        <v>52</v>
      </c>
      <c r="Q281">
        <v>0.5</v>
      </c>
      <c r="R281">
        <v>0.75</v>
      </c>
      <c r="S281">
        <v>202.92</v>
      </c>
      <c r="T281" t="s">
        <v>284</v>
      </c>
      <c r="U281">
        <v>198.9</v>
      </c>
      <c r="V281" t="s">
        <v>284</v>
      </c>
      <c r="W281">
        <v>212.4</v>
      </c>
      <c r="X281" t="s">
        <v>284</v>
      </c>
      <c r="Y281">
        <v>219.6</v>
      </c>
      <c r="Z281" t="s">
        <v>284</v>
      </c>
      <c r="AA281">
        <v>178</v>
      </c>
      <c r="AB281" t="s">
        <v>284</v>
      </c>
      <c r="AG281">
        <v>204.74</v>
      </c>
      <c r="AH281" t="s">
        <v>54</v>
      </c>
      <c r="AI281" t="s">
        <v>52</v>
      </c>
      <c r="AZ281" t="s">
        <v>52</v>
      </c>
      <c r="BQ281" t="s">
        <v>52</v>
      </c>
      <c r="BR281">
        <v>1.85</v>
      </c>
      <c r="BS281" t="s">
        <v>284</v>
      </c>
      <c r="BT281">
        <v>1.62</v>
      </c>
      <c r="BU281" t="s">
        <v>284</v>
      </c>
      <c r="BV281">
        <v>1.77</v>
      </c>
      <c r="BW281" t="s">
        <v>284</v>
      </c>
      <c r="BX281">
        <v>2.2000000000000002</v>
      </c>
      <c r="BY281" t="s">
        <v>284</v>
      </c>
      <c r="BZ281">
        <v>1.91</v>
      </c>
      <c r="CA281" t="s">
        <v>285</v>
      </c>
      <c r="CF281">
        <v>1.84</v>
      </c>
      <c r="CG281" t="s">
        <v>54</v>
      </c>
      <c r="CH281" t="s">
        <v>52</v>
      </c>
    </row>
    <row r="282" spans="1:86" x14ac:dyDescent="0.25">
      <c r="A282" t="s">
        <v>47</v>
      </c>
      <c r="B282">
        <v>8</v>
      </c>
      <c r="C282" t="s">
        <v>123</v>
      </c>
      <c r="D282">
        <v>17</v>
      </c>
      <c r="E282" t="s">
        <v>68</v>
      </c>
      <c r="F282">
        <v>80</v>
      </c>
      <c r="G282" t="s">
        <v>69</v>
      </c>
      <c r="H282" t="s">
        <v>50</v>
      </c>
      <c r="K282" t="s">
        <v>52</v>
      </c>
      <c r="L282">
        <v>1</v>
      </c>
      <c r="M282" t="s">
        <v>53</v>
      </c>
      <c r="N282">
        <v>80</v>
      </c>
      <c r="O282">
        <v>1</v>
      </c>
      <c r="P282" t="s">
        <v>52</v>
      </c>
      <c r="Q282">
        <v>0.5</v>
      </c>
      <c r="R282">
        <v>0.75</v>
      </c>
      <c r="S282">
        <v>202.92</v>
      </c>
      <c r="T282" t="s">
        <v>284</v>
      </c>
      <c r="U282">
        <v>198.9</v>
      </c>
      <c r="V282" t="s">
        <v>284</v>
      </c>
      <c r="W282">
        <v>212.4</v>
      </c>
      <c r="X282" t="s">
        <v>284</v>
      </c>
      <c r="Y282">
        <v>219.6</v>
      </c>
      <c r="Z282" t="s">
        <v>284</v>
      </c>
      <c r="AA282">
        <v>178</v>
      </c>
      <c r="AB282" t="s">
        <v>284</v>
      </c>
      <c r="AG282">
        <v>204.74</v>
      </c>
      <c r="AH282" t="s">
        <v>54</v>
      </c>
      <c r="AI282" t="s">
        <v>52</v>
      </c>
      <c r="AZ282" t="s">
        <v>52</v>
      </c>
      <c r="BQ282" t="s">
        <v>52</v>
      </c>
      <c r="BR282">
        <v>0.65</v>
      </c>
      <c r="BS282" t="s">
        <v>285</v>
      </c>
      <c r="BT282">
        <v>0.84</v>
      </c>
      <c r="BU282" t="s">
        <v>284</v>
      </c>
      <c r="BV282">
        <v>1.21</v>
      </c>
      <c r="BW282" t="s">
        <v>284</v>
      </c>
      <c r="BX282">
        <v>1.1499999999999999</v>
      </c>
      <c r="BY282" t="s">
        <v>284</v>
      </c>
      <c r="BZ282">
        <v>1</v>
      </c>
      <c r="CA282" t="s">
        <v>285</v>
      </c>
      <c r="CF282">
        <v>1</v>
      </c>
      <c r="CG282" t="s">
        <v>54</v>
      </c>
      <c r="CH282" t="s">
        <v>52</v>
      </c>
    </row>
    <row r="283" spans="1:86" x14ac:dyDescent="0.25">
      <c r="A283" t="s">
        <v>47</v>
      </c>
      <c r="B283">
        <v>8</v>
      </c>
      <c r="C283" t="s">
        <v>123</v>
      </c>
      <c r="D283">
        <v>17</v>
      </c>
      <c r="E283" t="s">
        <v>70</v>
      </c>
      <c r="F283">
        <v>296</v>
      </c>
      <c r="G283" t="s">
        <v>74</v>
      </c>
      <c r="H283" t="s">
        <v>50</v>
      </c>
      <c r="K283" t="s">
        <v>52</v>
      </c>
      <c r="L283">
        <v>1</v>
      </c>
      <c r="M283" t="s">
        <v>53</v>
      </c>
      <c r="N283">
        <v>102</v>
      </c>
      <c r="O283">
        <v>1</v>
      </c>
      <c r="P283" t="s">
        <v>52</v>
      </c>
      <c r="Q283">
        <v>0</v>
      </c>
      <c r="R283">
        <v>0.75</v>
      </c>
      <c r="S283">
        <v>135</v>
      </c>
      <c r="T283" t="s">
        <v>284</v>
      </c>
      <c r="U283">
        <v>132</v>
      </c>
      <c r="V283" t="s">
        <v>284</v>
      </c>
      <c r="W283">
        <v>147</v>
      </c>
      <c r="X283" t="s">
        <v>284</v>
      </c>
      <c r="Y283">
        <v>170</v>
      </c>
      <c r="Z283" t="s">
        <v>284</v>
      </c>
      <c r="AA283">
        <v>205</v>
      </c>
      <c r="AB283" t="s">
        <v>285</v>
      </c>
      <c r="AG283">
        <v>150.66669999999999</v>
      </c>
      <c r="AH283" t="s">
        <v>54</v>
      </c>
      <c r="AI283" t="s">
        <v>52</v>
      </c>
      <c r="AZ283" t="s">
        <v>52</v>
      </c>
      <c r="BQ283" t="s">
        <v>52</v>
      </c>
      <c r="CH283" t="s">
        <v>52</v>
      </c>
    </row>
    <row r="284" spans="1:86" x14ac:dyDescent="0.25">
      <c r="A284" t="s">
        <v>47</v>
      </c>
      <c r="B284">
        <v>8</v>
      </c>
      <c r="C284" t="s">
        <v>123</v>
      </c>
      <c r="D284">
        <v>17</v>
      </c>
      <c r="E284" t="s">
        <v>70</v>
      </c>
      <c r="F284">
        <v>296</v>
      </c>
      <c r="G284" t="s">
        <v>122</v>
      </c>
      <c r="H284" t="s">
        <v>50</v>
      </c>
      <c r="K284" t="s">
        <v>51</v>
      </c>
      <c r="L284">
        <v>1</v>
      </c>
      <c r="M284" t="s">
        <v>53</v>
      </c>
      <c r="N284">
        <v>102</v>
      </c>
      <c r="O284">
        <v>1</v>
      </c>
      <c r="P284" t="s">
        <v>52</v>
      </c>
      <c r="Q284">
        <v>0</v>
      </c>
      <c r="R284">
        <v>0.75</v>
      </c>
      <c r="S284">
        <v>228</v>
      </c>
      <c r="T284" t="s">
        <v>284</v>
      </c>
      <c r="U284">
        <v>190</v>
      </c>
      <c r="V284" t="s">
        <v>285</v>
      </c>
      <c r="W284">
        <v>194</v>
      </c>
      <c r="X284" t="s">
        <v>285</v>
      </c>
      <c r="Y284">
        <v>213</v>
      </c>
      <c r="Z284" t="s">
        <v>284</v>
      </c>
      <c r="AA284">
        <v>225</v>
      </c>
      <c r="AB284" t="s">
        <v>285</v>
      </c>
      <c r="AG284">
        <v>210.66669999999999</v>
      </c>
      <c r="AH284" t="s">
        <v>54</v>
      </c>
      <c r="AI284" t="s">
        <v>52</v>
      </c>
      <c r="AZ284" t="s">
        <v>52</v>
      </c>
      <c r="BQ284" t="s">
        <v>52</v>
      </c>
      <c r="CH284" t="s">
        <v>52</v>
      </c>
    </row>
    <row r="285" spans="1:86" x14ac:dyDescent="0.25">
      <c r="A285" t="s">
        <v>47</v>
      </c>
      <c r="B285">
        <v>8</v>
      </c>
      <c r="C285" t="s">
        <v>123</v>
      </c>
      <c r="D285">
        <v>17</v>
      </c>
      <c r="E285" t="s">
        <v>70</v>
      </c>
      <c r="F285">
        <v>296</v>
      </c>
      <c r="G285" t="s">
        <v>122</v>
      </c>
      <c r="H285" t="s">
        <v>50</v>
      </c>
      <c r="K285" t="s">
        <v>52</v>
      </c>
      <c r="L285">
        <v>1</v>
      </c>
      <c r="M285" t="s">
        <v>53</v>
      </c>
      <c r="N285">
        <v>102</v>
      </c>
      <c r="O285">
        <v>1</v>
      </c>
      <c r="P285" t="s">
        <v>52</v>
      </c>
      <c r="Q285">
        <v>0</v>
      </c>
      <c r="R285">
        <v>0.75</v>
      </c>
      <c r="S285">
        <v>228</v>
      </c>
      <c r="T285" t="s">
        <v>284</v>
      </c>
      <c r="U285">
        <v>190</v>
      </c>
      <c r="V285" t="s">
        <v>285</v>
      </c>
      <c r="W285">
        <v>194</v>
      </c>
      <c r="X285" t="s">
        <v>285</v>
      </c>
      <c r="Y285">
        <v>213</v>
      </c>
      <c r="Z285" t="s">
        <v>284</v>
      </c>
      <c r="AA285">
        <v>225</v>
      </c>
      <c r="AB285" t="s">
        <v>285</v>
      </c>
      <c r="AG285">
        <v>210.66669999999999</v>
      </c>
      <c r="AH285" t="s">
        <v>54</v>
      </c>
      <c r="AI285" t="s">
        <v>52</v>
      </c>
      <c r="AZ285" t="s">
        <v>52</v>
      </c>
      <c r="BQ285" t="s">
        <v>52</v>
      </c>
      <c r="BR285">
        <v>0.65</v>
      </c>
      <c r="BS285" t="s">
        <v>284</v>
      </c>
      <c r="BT285">
        <v>0.84</v>
      </c>
      <c r="BU285" t="s">
        <v>285</v>
      </c>
      <c r="BV285">
        <v>0.26</v>
      </c>
      <c r="BW285" t="s">
        <v>285</v>
      </c>
      <c r="BX285">
        <v>0.22</v>
      </c>
      <c r="BY285" t="s">
        <v>284</v>
      </c>
      <c r="BZ285">
        <v>0.22</v>
      </c>
      <c r="CA285" t="s">
        <v>284</v>
      </c>
      <c r="CF285">
        <v>0.38</v>
      </c>
      <c r="CG285" t="s">
        <v>54</v>
      </c>
      <c r="CH285" t="s">
        <v>52</v>
      </c>
    </row>
    <row r="286" spans="1:86" x14ac:dyDescent="0.25">
      <c r="A286" t="s">
        <v>47</v>
      </c>
      <c r="B286">
        <v>8</v>
      </c>
      <c r="C286" t="s">
        <v>123</v>
      </c>
      <c r="D286">
        <v>17</v>
      </c>
      <c r="E286" t="s">
        <v>70</v>
      </c>
      <c r="F286">
        <v>296</v>
      </c>
      <c r="G286" t="s">
        <v>90</v>
      </c>
      <c r="H286" t="s">
        <v>50</v>
      </c>
      <c r="K286" t="s">
        <v>52</v>
      </c>
      <c r="L286">
        <v>1</v>
      </c>
      <c r="M286" t="s">
        <v>53</v>
      </c>
      <c r="N286">
        <v>102</v>
      </c>
      <c r="O286">
        <v>1</v>
      </c>
      <c r="P286" t="s">
        <v>52</v>
      </c>
      <c r="Q286">
        <v>0.5</v>
      </c>
      <c r="R286">
        <v>0.75</v>
      </c>
      <c r="S286">
        <v>228</v>
      </c>
      <c r="T286" t="s">
        <v>284</v>
      </c>
      <c r="U286">
        <v>190</v>
      </c>
      <c r="V286" t="s">
        <v>285</v>
      </c>
      <c r="W286">
        <v>236</v>
      </c>
      <c r="X286" t="s">
        <v>284</v>
      </c>
      <c r="Y286">
        <v>244</v>
      </c>
      <c r="Z286" t="s">
        <v>284</v>
      </c>
      <c r="AA286">
        <v>215</v>
      </c>
      <c r="AB286" t="s">
        <v>285</v>
      </c>
      <c r="AG286">
        <v>226.33330000000001</v>
      </c>
      <c r="AH286" t="s">
        <v>54</v>
      </c>
      <c r="AI286" t="s">
        <v>52</v>
      </c>
      <c r="AZ286" t="s">
        <v>52</v>
      </c>
      <c r="BQ286" t="s">
        <v>52</v>
      </c>
      <c r="CH286" t="s">
        <v>52</v>
      </c>
    </row>
    <row r="287" spans="1:86" x14ac:dyDescent="0.25">
      <c r="A287" t="s">
        <v>47</v>
      </c>
      <c r="B287">
        <v>8</v>
      </c>
      <c r="C287" t="s">
        <v>123</v>
      </c>
      <c r="D287">
        <v>17</v>
      </c>
      <c r="E287" t="s">
        <v>70</v>
      </c>
      <c r="F287">
        <v>296</v>
      </c>
      <c r="G287" t="s">
        <v>124</v>
      </c>
      <c r="H287" t="s">
        <v>50</v>
      </c>
      <c r="K287" t="s">
        <v>52</v>
      </c>
      <c r="L287">
        <v>1</v>
      </c>
      <c r="M287" t="s">
        <v>53</v>
      </c>
      <c r="N287">
        <v>102</v>
      </c>
      <c r="O287">
        <v>1</v>
      </c>
      <c r="P287" t="s">
        <v>52</v>
      </c>
      <c r="Q287">
        <v>0</v>
      </c>
      <c r="R287">
        <v>0.75</v>
      </c>
      <c r="S287">
        <v>228</v>
      </c>
      <c r="T287" t="s">
        <v>284</v>
      </c>
      <c r="U287">
        <v>177</v>
      </c>
      <c r="V287" t="s">
        <v>284</v>
      </c>
      <c r="W287">
        <v>147</v>
      </c>
      <c r="X287" t="s">
        <v>284</v>
      </c>
      <c r="Y287">
        <v>170</v>
      </c>
      <c r="Z287" t="s">
        <v>284</v>
      </c>
      <c r="AA287">
        <v>205</v>
      </c>
      <c r="AB287" t="s">
        <v>285</v>
      </c>
      <c r="AG287">
        <v>184</v>
      </c>
      <c r="AH287" t="s">
        <v>54</v>
      </c>
      <c r="AI287" t="s">
        <v>52</v>
      </c>
      <c r="AZ287" t="s">
        <v>52</v>
      </c>
      <c r="BQ287" t="s">
        <v>52</v>
      </c>
      <c r="BR287">
        <v>0.65</v>
      </c>
      <c r="BS287" t="s">
        <v>285</v>
      </c>
      <c r="BT287">
        <v>0.69</v>
      </c>
      <c r="BU287" t="s">
        <v>285</v>
      </c>
      <c r="BV287">
        <v>0.11</v>
      </c>
      <c r="BW287" t="s">
        <v>285</v>
      </c>
      <c r="BX287">
        <v>0.25</v>
      </c>
      <c r="BY287" t="s">
        <v>285</v>
      </c>
      <c r="BZ287">
        <v>0.22</v>
      </c>
      <c r="CA287" t="s">
        <v>289</v>
      </c>
      <c r="CF287">
        <v>0.37</v>
      </c>
      <c r="CG287" t="s">
        <v>54</v>
      </c>
      <c r="CH287" t="s">
        <v>52</v>
      </c>
    </row>
    <row r="288" spans="1:86" x14ac:dyDescent="0.25">
      <c r="A288" t="s">
        <v>47</v>
      </c>
      <c r="B288">
        <v>8</v>
      </c>
      <c r="C288" t="s">
        <v>123</v>
      </c>
      <c r="D288">
        <v>17</v>
      </c>
      <c r="E288" t="s">
        <v>70</v>
      </c>
      <c r="F288">
        <v>296</v>
      </c>
      <c r="G288" t="s">
        <v>92</v>
      </c>
      <c r="H288" t="s">
        <v>50</v>
      </c>
      <c r="K288" t="s">
        <v>52</v>
      </c>
      <c r="L288">
        <v>1</v>
      </c>
      <c r="M288" t="s">
        <v>53</v>
      </c>
      <c r="N288">
        <v>102</v>
      </c>
      <c r="O288">
        <v>1</v>
      </c>
      <c r="P288" t="s">
        <v>52</v>
      </c>
      <c r="Q288">
        <v>0.5</v>
      </c>
      <c r="R288">
        <v>0.75</v>
      </c>
      <c r="S288">
        <v>228</v>
      </c>
      <c r="T288" t="s">
        <v>284</v>
      </c>
      <c r="U288">
        <v>189</v>
      </c>
      <c r="V288" t="s">
        <v>285</v>
      </c>
      <c r="W288">
        <v>199</v>
      </c>
      <c r="X288" t="s">
        <v>285</v>
      </c>
      <c r="Y288">
        <v>206</v>
      </c>
      <c r="Z288" t="s">
        <v>285</v>
      </c>
      <c r="AA288">
        <v>128</v>
      </c>
      <c r="AB288" t="s">
        <v>285</v>
      </c>
      <c r="AG288">
        <v>198</v>
      </c>
      <c r="AH288" t="s">
        <v>54</v>
      </c>
      <c r="AI288" t="s">
        <v>52</v>
      </c>
      <c r="AZ288" t="s">
        <v>52</v>
      </c>
      <c r="BQ288" t="s">
        <v>52</v>
      </c>
      <c r="CH288" t="s">
        <v>52</v>
      </c>
    </row>
    <row r="289" spans="1:86" x14ac:dyDescent="0.25">
      <c r="A289" t="s">
        <v>47</v>
      </c>
      <c r="B289">
        <v>8</v>
      </c>
      <c r="C289" t="s">
        <v>123</v>
      </c>
      <c r="D289">
        <v>17</v>
      </c>
      <c r="E289" t="s">
        <v>75</v>
      </c>
      <c r="F289">
        <v>16</v>
      </c>
      <c r="G289" t="s">
        <v>76</v>
      </c>
      <c r="H289" t="s">
        <v>50</v>
      </c>
      <c r="K289" t="s">
        <v>51</v>
      </c>
      <c r="L289">
        <v>1</v>
      </c>
      <c r="M289" t="s">
        <v>53</v>
      </c>
      <c r="N289">
        <v>16</v>
      </c>
      <c r="O289">
        <v>2</v>
      </c>
      <c r="P289" t="s">
        <v>52</v>
      </c>
      <c r="Q289">
        <v>0.5</v>
      </c>
      <c r="R289">
        <v>0.75</v>
      </c>
      <c r="S289">
        <v>83.35</v>
      </c>
      <c r="T289" t="s">
        <v>285</v>
      </c>
      <c r="U289">
        <v>96.14</v>
      </c>
      <c r="V289" t="s">
        <v>284</v>
      </c>
      <c r="W289">
        <v>103.37</v>
      </c>
      <c r="X289" t="s">
        <v>284</v>
      </c>
      <c r="Y289">
        <v>106.14</v>
      </c>
      <c r="Z289" t="s">
        <v>284</v>
      </c>
      <c r="AA289">
        <v>128</v>
      </c>
      <c r="AB289" t="s">
        <v>285</v>
      </c>
      <c r="AG289">
        <v>101.88330000000001</v>
      </c>
      <c r="AH289" t="s">
        <v>54</v>
      </c>
      <c r="AI289" t="s">
        <v>52</v>
      </c>
      <c r="AX289">
        <v>146.69999999999999</v>
      </c>
      <c r="AY289" t="s">
        <v>285</v>
      </c>
      <c r="AZ289" t="s">
        <v>287</v>
      </c>
      <c r="BQ289" t="s">
        <v>52</v>
      </c>
      <c r="BR289">
        <v>1.85</v>
      </c>
      <c r="BS289" t="s">
        <v>284</v>
      </c>
      <c r="BT289">
        <v>1.62</v>
      </c>
      <c r="BU289" t="s">
        <v>284</v>
      </c>
      <c r="BV289">
        <v>1.35</v>
      </c>
      <c r="BW289" t="s">
        <v>284</v>
      </c>
      <c r="BX289">
        <v>2.21</v>
      </c>
      <c r="BY289" t="s">
        <v>284</v>
      </c>
      <c r="BZ289">
        <v>2.59</v>
      </c>
      <c r="CA289" t="s">
        <v>289</v>
      </c>
      <c r="CF289">
        <v>1.89</v>
      </c>
      <c r="CG289" t="s">
        <v>54</v>
      </c>
      <c r="CH289" t="s">
        <v>52</v>
      </c>
    </row>
    <row r="290" spans="1:86" x14ac:dyDescent="0.25">
      <c r="A290" t="s">
        <v>47</v>
      </c>
      <c r="B290">
        <v>8</v>
      </c>
      <c r="C290" t="s">
        <v>123</v>
      </c>
      <c r="D290">
        <v>17</v>
      </c>
      <c r="E290" t="s">
        <v>75</v>
      </c>
      <c r="F290">
        <v>16</v>
      </c>
      <c r="G290" t="s">
        <v>76</v>
      </c>
      <c r="H290" t="s">
        <v>50</v>
      </c>
      <c r="K290" t="s">
        <v>52</v>
      </c>
      <c r="L290">
        <v>1</v>
      </c>
      <c r="M290" t="s">
        <v>53</v>
      </c>
      <c r="N290">
        <v>16</v>
      </c>
      <c r="O290">
        <v>2</v>
      </c>
      <c r="P290" t="s">
        <v>52</v>
      </c>
      <c r="Q290">
        <v>0.5</v>
      </c>
      <c r="R290">
        <v>0.75</v>
      </c>
      <c r="S290">
        <v>83.35</v>
      </c>
      <c r="T290" t="s">
        <v>285</v>
      </c>
      <c r="U290">
        <v>96.14</v>
      </c>
      <c r="V290" t="s">
        <v>284</v>
      </c>
      <c r="W290">
        <v>103.37</v>
      </c>
      <c r="X290" t="s">
        <v>284</v>
      </c>
      <c r="Y290">
        <v>106.14</v>
      </c>
      <c r="Z290" t="s">
        <v>284</v>
      </c>
      <c r="AA290">
        <v>128</v>
      </c>
      <c r="AB290" t="s">
        <v>285</v>
      </c>
      <c r="AG290">
        <v>101.88330000000001</v>
      </c>
      <c r="AH290" t="s">
        <v>54</v>
      </c>
      <c r="AI290" t="s">
        <v>52</v>
      </c>
      <c r="AX290">
        <v>146.69999999999999</v>
      </c>
      <c r="AY290" t="s">
        <v>285</v>
      </c>
      <c r="AZ290" t="s">
        <v>287</v>
      </c>
      <c r="BQ290" t="s">
        <v>52</v>
      </c>
      <c r="BR290">
        <v>0.65</v>
      </c>
      <c r="BS290" t="s">
        <v>284</v>
      </c>
      <c r="BT290">
        <v>0.84</v>
      </c>
      <c r="BU290" t="s">
        <v>284</v>
      </c>
      <c r="BV290">
        <v>1.51</v>
      </c>
      <c r="BW290" t="s">
        <v>284</v>
      </c>
      <c r="BX290">
        <v>1.55</v>
      </c>
      <c r="BY290" t="s">
        <v>284</v>
      </c>
      <c r="BZ290">
        <v>0.17</v>
      </c>
      <c r="CA290" t="s">
        <v>289</v>
      </c>
      <c r="CF290">
        <v>1</v>
      </c>
      <c r="CG290" t="s">
        <v>54</v>
      </c>
      <c r="CH290" t="s">
        <v>52</v>
      </c>
    </row>
    <row r="291" spans="1:86" x14ac:dyDescent="0.25">
      <c r="A291" t="s">
        <v>47</v>
      </c>
      <c r="B291">
        <v>8</v>
      </c>
      <c r="C291" t="s">
        <v>123</v>
      </c>
      <c r="D291">
        <v>17</v>
      </c>
      <c r="E291" t="s">
        <v>125</v>
      </c>
      <c r="F291">
        <v>67</v>
      </c>
      <c r="G291" t="s">
        <v>111</v>
      </c>
      <c r="H291" t="s">
        <v>50</v>
      </c>
      <c r="K291" t="s">
        <v>51</v>
      </c>
      <c r="L291">
        <v>1</v>
      </c>
      <c r="M291" t="s">
        <v>53</v>
      </c>
      <c r="N291">
        <v>67</v>
      </c>
      <c r="O291">
        <v>1</v>
      </c>
      <c r="P291" t="s">
        <v>52</v>
      </c>
      <c r="Q291">
        <v>0.5</v>
      </c>
      <c r="R291">
        <v>0.87</v>
      </c>
      <c r="S291">
        <v>228</v>
      </c>
      <c r="T291" t="s">
        <v>284</v>
      </c>
      <c r="AI291" t="s">
        <v>52</v>
      </c>
      <c r="AZ291" t="s">
        <v>52</v>
      </c>
      <c r="BQ291" t="s">
        <v>52</v>
      </c>
      <c r="CH291" t="s">
        <v>52</v>
      </c>
    </row>
    <row r="292" spans="1:86" x14ac:dyDescent="0.25">
      <c r="A292" t="s">
        <v>47</v>
      </c>
      <c r="B292">
        <v>8</v>
      </c>
      <c r="C292" t="s">
        <v>123</v>
      </c>
      <c r="D292">
        <v>17</v>
      </c>
      <c r="E292" t="s">
        <v>125</v>
      </c>
      <c r="F292">
        <v>67</v>
      </c>
      <c r="G292" t="s">
        <v>111</v>
      </c>
      <c r="H292" t="s">
        <v>50</v>
      </c>
      <c r="K292" t="s">
        <v>52</v>
      </c>
      <c r="L292">
        <v>1</v>
      </c>
      <c r="M292" t="s">
        <v>53</v>
      </c>
      <c r="N292">
        <v>67</v>
      </c>
      <c r="O292">
        <v>1</v>
      </c>
      <c r="P292" t="s">
        <v>52</v>
      </c>
      <c r="Q292">
        <v>0.5</v>
      </c>
      <c r="R292">
        <v>0.87</v>
      </c>
      <c r="S292">
        <v>228</v>
      </c>
      <c r="T292" t="s">
        <v>284</v>
      </c>
      <c r="AI292" t="s">
        <v>52</v>
      </c>
      <c r="AZ292" t="s">
        <v>52</v>
      </c>
      <c r="BQ292" t="s">
        <v>52</v>
      </c>
      <c r="CH292" t="s">
        <v>52</v>
      </c>
    </row>
    <row r="293" spans="1:86" x14ac:dyDescent="0.25">
      <c r="A293" t="s">
        <v>47</v>
      </c>
      <c r="B293">
        <v>8</v>
      </c>
      <c r="C293" t="s">
        <v>123</v>
      </c>
      <c r="D293">
        <v>17</v>
      </c>
      <c r="E293" t="s">
        <v>77</v>
      </c>
      <c r="F293">
        <v>51</v>
      </c>
      <c r="G293" t="s">
        <v>78</v>
      </c>
      <c r="H293" t="s">
        <v>50</v>
      </c>
      <c r="K293" t="s">
        <v>51</v>
      </c>
      <c r="L293">
        <v>1</v>
      </c>
      <c r="M293" t="s">
        <v>53</v>
      </c>
      <c r="N293">
        <v>51</v>
      </c>
      <c r="O293">
        <v>2</v>
      </c>
      <c r="P293" t="s">
        <v>52</v>
      </c>
      <c r="Q293">
        <v>0.5</v>
      </c>
      <c r="R293">
        <v>0.73</v>
      </c>
      <c r="S293">
        <v>228</v>
      </c>
      <c r="T293" t="s">
        <v>284</v>
      </c>
      <c r="U293">
        <v>218</v>
      </c>
      <c r="V293" t="s">
        <v>284</v>
      </c>
      <c r="W293">
        <v>147</v>
      </c>
      <c r="X293" t="s">
        <v>284</v>
      </c>
      <c r="Y293">
        <v>170</v>
      </c>
      <c r="Z293" t="s">
        <v>284</v>
      </c>
      <c r="AA293">
        <v>109</v>
      </c>
      <c r="AB293" t="s">
        <v>285</v>
      </c>
      <c r="AG293">
        <v>178.33330000000001</v>
      </c>
      <c r="AH293" t="s">
        <v>54</v>
      </c>
      <c r="AI293" t="s">
        <v>52</v>
      </c>
      <c r="AZ293" t="s">
        <v>52</v>
      </c>
      <c r="BQ293" t="s">
        <v>52</v>
      </c>
      <c r="CH293" t="s">
        <v>52</v>
      </c>
    </row>
    <row r="294" spans="1:86" x14ac:dyDescent="0.25">
      <c r="A294" t="s">
        <v>47</v>
      </c>
      <c r="B294">
        <v>8</v>
      </c>
      <c r="C294" t="s">
        <v>123</v>
      </c>
      <c r="D294">
        <v>17</v>
      </c>
      <c r="E294" t="s">
        <v>77</v>
      </c>
      <c r="F294">
        <v>51</v>
      </c>
      <c r="G294" t="s">
        <v>78</v>
      </c>
      <c r="H294" t="s">
        <v>50</v>
      </c>
      <c r="K294" t="s">
        <v>52</v>
      </c>
      <c r="L294">
        <v>1</v>
      </c>
      <c r="M294" t="s">
        <v>53</v>
      </c>
      <c r="N294">
        <v>51</v>
      </c>
      <c r="O294">
        <v>2</v>
      </c>
      <c r="P294" t="s">
        <v>52</v>
      </c>
      <c r="Q294">
        <v>0.5</v>
      </c>
      <c r="R294">
        <v>0.73</v>
      </c>
      <c r="S294">
        <v>228</v>
      </c>
      <c r="T294" t="s">
        <v>284</v>
      </c>
      <c r="U294">
        <v>218</v>
      </c>
      <c r="V294" t="s">
        <v>284</v>
      </c>
      <c r="W294">
        <v>147</v>
      </c>
      <c r="X294" t="s">
        <v>284</v>
      </c>
      <c r="Y294">
        <v>170</v>
      </c>
      <c r="Z294" t="s">
        <v>284</v>
      </c>
      <c r="AA294">
        <v>109</v>
      </c>
      <c r="AB294" t="s">
        <v>285</v>
      </c>
      <c r="AG294">
        <v>178.33330000000001</v>
      </c>
      <c r="AH294" t="s">
        <v>54</v>
      </c>
      <c r="AI294" t="s">
        <v>52</v>
      </c>
      <c r="AZ294" t="s">
        <v>52</v>
      </c>
      <c r="BQ294" t="s">
        <v>52</v>
      </c>
      <c r="CH294" t="s">
        <v>52</v>
      </c>
    </row>
    <row r="295" spans="1:86" x14ac:dyDescent="0.25">
      <c r="A295" t="s">
        <v>47</v>
      </c>
      <c r="B295">
        <v>8</v>
      </c>
      <c r="C295" t="s">
        <v>123</v>
      </c>
      <c r="D295">
        <v>17</v>
      </c>
      <c r="E295" t="s">
        <v>79</v>
      </c>
      <c r="F295">
        <v>50</v>
      </c>
      <c r="G295" t="s">
        <v>81</v>
      </c>
      <c r="H295" t="s">
        <v>50</v>
      </c>
      <c r="K295" t="s">
        <v>51</v>
      </c>
      <c r="L295">
        <v>1</v>
      </c>
      <c r="M295" t="s">
        <v>53</v>
      </c>
      <c r="N295">
        <v>50</v>
      </c>
      <c r="O295">
        <v>1</v>
      </c>
      <c r="P295" t="s">
        <v>52</v>
      </c>
      <c r="Q295">
        <v>0.5</v>
      </c>
      <c r="R295">
        <v>0.75</v>
      </c>
      <c r="S295">
        <v>85</v>
      </c>
      <c r="T295" t="s">
        <v>285</v>
      </c>
      <c r="U295">
        <v>93</v>
      </c>
      <c r="V295" t="s">
        <v>284</v>
      </c>
      <c r="W295">
        <v>89.7</v>
      </c>
      <c r="X295" t="s">
        <v>284</v>
      </c>
      <c r="Y295">
        <v>92.72</v>
      </c>
      <c r="Z295" t="s">
        <v>284</v>
      </c>
      <c r="AA295">
        <v>109</v>
      </c>
      <c r="AB295" t="s">
        <v>285</v>
      </c>
      <c r="AG295">
        <v>91.806700000000006</v>
      </c>
      <c r="AH295" t="s">
        <v>54</v>
      </c>
      <c r="AI295" t="s">
        <v>52</v>
      </c>
      <c r="AZ295" t="s">
        <v>52</v>
      </c>
      <c r="BQ295" t="s">
        <v>52</v>
      </c>
      <c r="BR295">
        <v>2.74</v>
      </c>
      <c r="BS295" t="s">
        <v>289</v>
      </c>
      <c r="BT295">
        <v>1.56</v>
      </c>
      <c r="BU295" t="s">
        <v>284</v>
      </c>
      <c r="BV295">
        <v>2.5499999999999998</v>
      </c>
      <c r="BW295" t="s">
        <v>284</v>
      </c>
      <c r="BX295">
        <v>2.14</v>
      </c>
      <c r="BY295" t="s">
        <v>284</v>
      </c>
      <c r="BZ295">
        <v>2.8</v>
      </c>
      <c r="CA295" t="s">
        <v>289</v>
      </c>
      <c r="CF295">
        <v>2.48</v>
      </c>
      <c r="CG295" t="s">
        <v>54</v>
      </c>
      <c r="CH295" t="s">
        <v>52</v>
      </c>
    </row>
    <row r="296" spans="1:86" x14ac:dyDescent="0.25">
      <c r="A296" t="s">
        <v>47</v>
      </c>
      <c r="B296">
        <v>8</v>
      </c>
      <c r="C296" t="s">
        <v>123</v>
      </c>
      <c r="D296">
        <v>17</v>
      </c>
      <c r="E296" t="s">
        <v>79</v>
      </c>
      <c r="F296">
        <v>50</v>
      </c>
      <c r="G296" t="s">
        <v>81</v>
      </c>
      <c r="H296" t="s">
        <v>50</v>
      </c>
      <c r="K296" t="s">
        <v>52</v>
      </c>
      <c r="L296">
        <v>1</v>
      </c>
      <c r="M296" t="s">
        <v>53</v>
      </c>
      <c r="N296">
        <v>50</v>
      </c>
      <c r="O296">
        <v>1</v>
      </c>
      <c r="P296" t="s">
        <v>52</v>
      </c>
      <c r="Q296">
        <v>0.5</v>
      </c>
      <c r="R296">
        <v>0.75</v>
      </c>
      <c r="S296">
        <v>85</v>
      </c>
      <c r="T296" t="s">
        <v>285</v>
      </c>
      <c r="U296">
        <v>93</v>
      </c>
      <c r="V296" t="s">
        <v>284</v>
      </c>
      <c r="W296">
        <v>89.7</v>
      </c>
      <c r="X296" t="s">
        <v>284</v>
      </c>
      <c r="Y296">
        <v>92.72</v>
      </c>
      <c r="Z296" t="s">
        <v>284</v>
      </c>
      <c r="AA296">
        <v>109</v>
      </c>
      <c r="AB296" t="s">
        <v>285</v>
      </c>
      <c r="AG296">
        <v>91.806700000000006</v>
      </c>
      <c r="AH296" t="s">
        <v>54</v>
      </c>
      <c r="AI296" t="s">
        <v>52</v>
      </c>
      <c r="AZ296" t="s">
        <v>52</v>
      </c>
      <c r="BQ296" t="s">
        <v>52</v>
      </c>
      <c r="BR296">
        <v>2.74</v>
      </c>
      <c r="BS296" t="s">
        <v>289</v>
      </c>
      <c r="BT296">
        <v>0.66</v>
      </c>
      <c r="BU296" t="s">
        <v>284</v>
      </c>
      <c r="BV296">
        <v>0.94</v>
      </c>
      <c r="BW296" t="s">
        <v>284</v>
      </c>
      <c r="BX296">
        <v>0.9</v>
      </c>
      <c r="BY296" t="s">
        <v>284</v>
      </c>
      <c r="BZ296">
        <v>0.5</v>
      </c>
      <c r="CA296" t="s">
        <v>289</v>
      </c>
      <c r="CF296">
        <v>0.83</v>
      </c>
      <c r="CG296" t="s">
        <v>54</v>
      </c>
      <c r="CH296" t="s">
        <v>52</v>
      </c>
    </row>
    <row r="297" spans="1:86" x14ac:dyDescent="0.25">
      <c r="A297" t="s">
        <v>47</v>
      </c>
      <c r="B297">
        <v>8</v>
      </c>
      <c r="C297" t="s">
        <v>123</v>
      </c>
      <c r="D297">
        <v>17</v>
      </c>
      <c r="E297" t="s">
        <v>82</v>
      </c>
      <c r="F297">
        <v>52</v>
      </c>
      <c r="H297" t="s">
        <v>50</v>
      </c>
      <c r="K297" t="s">
        <v>52</v>
      </c>
      <c r="L297">
        <v>1</v>
      </c>
      <c r="M297" t="s">
        <v>53</v>
      </c>
      <c r="N297">
        <v>50</v>
      </c>
      <c r="O297">
        <v>1</v>
      </c>
      <c r="P297" t="s">
        <v>52</v>
      </c>
      <c r="Q297">
        <v>0.5</v>
      </c>
      <c r="R297">
        <v>0.75</v>
      </c>
      <c r="S297">
        <v>85</v>
      </c>
      <c r="T297" t="s">
        <v>285</v>
      </c>
      <c r="U297">
        <v>93</v>
      </c>
      <c r="V297" t="s">
        <v>284</v>
      </c>
      <c r="W297">
        <v>191.5</v>
      </c>
      <c r="X297" t="s">
        <v>284</v>
      </c>
      <c r="Y297">
        <v>198</v>
      </c>
      <c r="Z297" t="s">
        <v>284</v>
      </c>
      <c r="AA297">
        <v>109</v>
      </c>
      <c r="AB297" t="s">
        <v>285</v>
      </c>
      <c r="AG297">
        <v>131.16669999999999</v>
      </c>
      <c r="AH297" t="s">
        <v>54</v>
      </c>
      <c r="AI297" t="s">
        <v>52</v>
      </c>
      <c r="AZ297" t="s">
        <v>52</v>
      </c>
      <c r="BQ297" t="s">
        <v>52</v>
      </c>
      <c r="BR297">
        <v>2.36</v>
      </c>
      <c r="BS297" t="s">
        <v>289</v>
      </c>
      <c r="BT297">
        <v>1</v>
      </c>
      <c r="BU297" t="s">
        <v>284</v>
      </c>
      <c r="CH297" t="s">
        <v>52</v>
      </c>
    </row>
    <row r="298" spans="1:86" x14ac:dyDescent="0.25">
      <c r="A298" t="s">
        <v>47</v>
      </c>
      <c r="B298">
        <v>8</v>
      </c>
      <c r="C298" t="s">
        <v>123</v>
      </c>
      <c r="D298">
        <v>17</v>
      </c>
      <c r="E298" t="s">
        <v>83</v>
      </c>
      <c r="F298">
        <v>158</v>
      </c>
      <c r="H298" t="s">
        <v>50</v>
      </c>
      <c r="K298" t="s">
        <v>51</v>
      </c>
      <c r="L298">
        <v>1</v>
      </c>
      <c r="M298" t="s">
        <v>53</v>
      </c>
      <c r="N298">
        <v>158</v>
      </c>
      <c r="O298">
        <v>2</v>
      </c>
      <c r="P298" t="s">
        <v>52</v>
      </c>
      <c r="Q298">
        <v>0.77</v>
      </c>
      <c r="R298">
        <v>0.93</v>
      </c>
      <c r="S298">
        <v>228</v>
      </c>
      <c r="T298" t="s">
        <v>284</v>
      </c>
      <c r="U298">
        <v>221</v>
      </c>
      <c r="V298" t="s">
        <v>284</v>
      </c>
      <c r="W298">
        <v>236</v>
      </c>
      <c r="X298" t="s">
        <v>284</v>
      </c>
      <c r="Y298">
        <v>244</v>
      </c>
      <c r="Z298" t="s">
        <v>284</v>
      </c>
      <c r="AA298">
        <v>252</v>
      </c>
      <c r="AB298" t="s">
        <v>284</v>
      </c>
      <c r="AG298">
        <v>236</v>
      </c>
      <c r="AH298" t="s">
        <v>54</v>
      </c>
      <c r="AI298" t="s">
        <v>52</v>
      </c>
      <c r="AX298">
        <v>339</v>
      </c>
      <c r="AY298" t="s">
        <v>285</v>
      </c>
      <c r="AZ298" t="s">
        <v>287</v>
      </c>
      <c r="BQ298" t="s">
        <v>52</v>
      </c>
      <c r="BR298">
        <v>1.85</v>
      </c>
      <c r="BS298" t="s">
        <v>284</v>
      </c>
      <c r="BT298">
        <v>1.35</v>
      </c>
      <c r="BU298" t="s">
        <v>284</v>
      </c>
      <c r="BV298">
        <v>1.03</v>
      </c>
      <c r="BW298" t="s">
        <v>288</v>
      </c>
      <c r="BX298">
        <v>1.34</v>
      </c>
      <c r="BY298" t="s">
        <v>289</v>
      </c>
      <c r="BZ298">
        <v>1.22</v>
      </c>
      <c r="CA298" t="s">
        <v>289</v>
      </c>
      <c r="CF298">
        <v>1.3</v>
      </c>
      <c r="CG298" t="s">
        <v>54</v>
      </c>
      <c r="CH298" t="s">
        <v>52</v>
      </c>
    </row>
    <row r="299" spans="1:86" x14ac:dyDescent="0.25">
      <c r="A299" t="s">
        <v>47</v>
      </c>
      <c r="B299">
        <v>8</v>
      </c>
      <c r="C299" t="s">
        <v>123</v>
      </c>
      <c r="D299">
        <v>17</v>
      </c>
      <c r="E299" t="s">
        <v>83</v>
      </c>
      <c r="F299">
        <v>158</v>
      </c>
      <c r="H299" t="s">
        <v>50</v>
      </c>
      <c r="K299" t="s">
        <v>52</v>
      </c>
      <c r="L299">
        <v>1</v>
      </c>
      <c r="M299" t="s">
        <v>53</v>
      </c>
      <c r="N299">
        <v>158</v>
      </c>
      <c r="O299">
        <v>2</v>
      </c>
      <c r="P299" t="s">
        <v>52</v>
      </c>
      <c r="Q299">
        <v>0.77</v>
      </c>
      <c r="R299">
        <v>0.93</v>
      </c>
      <c r="S299">
        <v>228</v>
      </c>
      <c r="T299" t="s">
        <v>284</v>
      </c>
      <c r="U299">
        <v>221</v>
      </c>
      <c r="V299" t="s">
        <v>284</v>
      </c>
      <c r="W299">
        <v>236</v>
      </c>
      <c r="X299" t="s">
        <v>284</v>
      </c>
      <c r="Y299">
        <v>244</v>
      </c>
      <c r="Z299" t="s">
        <v>284</v>
      </c>
      <c r="AA299">
        <v>252</v>
      </c>
      <c r="AB299" t="s">
        <v>284</v>
      </c>
      <c r="AG299">
        <v>236</v>
      </c>
      <c r="AH299" t="s">
        <v>54</v>
      </c>
      <c r="AI299" t="s">
        <v>52</v>
      </c>
      <c r="AX299">
        <v>339</v>
      </c>
      <c r="AY299" t="s">
        <v>285</v>
      </c>
      <c r="AZ299" t="s">
        <v>287</v>
      </c>
      <c r="BQ299" t="s">
        <v>52</v>
      </c>
      <c r="BR299">
        <v>1.31</v>
      </c>
      <c r="BS299" t="s">
        <v>285</v>
      </c>
      <c r="BT299">
        <v>1.01</v>
      </c>
      <c r="BU299" t="s">
        <v>284</v>
      </c>
      <c r="BV299">
        <v>0.33</v>
      </c>
      <c r="BW299" t="s">
        <v>288</v>
      </c>
      <c r="BX299">
        <v>0.56999999999999995</v>
      </c>
      <c r="BY299" t="s">
        <v>285</v>
      </c>
      <c r="BZ299">
        <v>0.1</v>
      </c>
      <c r="CA299" t="s">
        <v>289</v>
      </c>
      <c r="CF299">
        <v>0.64</v>
      </c>
      <c r="CG299" t="s">
        <v>54</v>
      </c>
      <c r="CH299" t="s">
        <v>52</v>
      </c>
    </row>
    <row r="300" spans="1:86" x14ac:dyDescent="0.25">
      <c r="A300" t="s">
        <v>47</v>
      </c>
      <c r="B300">
        <v>8</v>
      </c>
      <c r="C300" t="s">
        <v>126</v>
      </c>
      <c r="D300">
        <v>21</v>
      </c>
      <c r="E300" t="s">
        <v>49</v>
      </c>
      <c r="F300">
        <v>27</v>
      </c>
      <c r="H300" t="s">
        <v>50</v>
      </c>
      <c r="K300" t="s">
        <v>51</v>
      </c>
      <c r="L300">
        <v>1</v>
      </c>
      <c r="M300" t="s">
        <v>53</v>
      </c>
      <c r="N300">
        <v>27</v>
      </c>
      <c r="O300">
        <v>1</v>
      </c>
      <c r="P300" t="s">
        <v>52</v>
      </c>
      <c r="Q300">
        <v>0</v>
      </c>
      <c r="R300">
        <v>0.75</v>
      </c>
      <c r="S300">
        <v>231</v>
      </c>
      <c r="T300" t="s">
        <v>284</v>
      </c>
      <c r="U300">
        <v>208</v>
      </c>
      <c r="V300" t="s">
        <v>284</v>
      </c>
      <c r="W300">
        <v>224</v>
      </c>
      <c r="X300" t="s">
        <v>284</v>
      </c>
      <c r="Y300">
        <v>225</v>
      </c>
      <c r="Z300" t="s">
        <v>285</v>
      </c>
      <c r="AA300">
        <v>247</v>
      </c>
      <c r="AB300" t="s">
        <v>285</v>
      </c>
      <c r="AC300">
        <v>241</v>
      </c>
      <c r="AD300" t="s">
        <v>285</v>
      </c>
      <c r="AE300">
        <v>219</v>
      </c>
      <c r="AF300" t="s">
        <v>285</v>
      </c>
      <c r="AG300">
        <v>219</v>
      </c>
      <c r="AH300" t="s">
        <v>286</v>
      </c>
      <c r="AI300" t="s">
        <v>287</v>
      </c>
      <c r="AX300">
        <v>263</v>
      </c>
      <c r="AY300" t="s">
        <v>286</v>
      </c>
      <c r="AZ300" t="s">
        <v>287</v>
      </c>
      <c r="BQ300" t="s">
        <v>52</v>
      </c>
      <c r="BR300">
        <v>3.7</v>
      </c>
      <c r="BS300" t="s">
        <v>284</v>
      </c>
      <c r="BT300">
        <v>3.4</v>
      </c>
      <c r="BU300" t="s">
        <v>284</v>
      </c>
      <c r="BV300">
        <v>2.93</v>
      </c>
      <c r="BW300" t="s">
        <v>284</v>
      </c>
      <c r="BX300">
        <v>3.37</v>
      </c>
      <c r="BY300" t="s">
        <v>284</v>
      </c>
      <c r="BZ300">
        <v>3.32</v>
      </c>
      <c r="CA300" t="s">
        <v>288</v>
      </c>
      <c r="CF300">
        <v>3.36</v>
      </c>
      <c r="CG300" t="s">
        <v>54</v>
      </c>
      <c r="CH300" t="s">
        <v>52</v>
      </c>
    </row>
    <row r="301" spans="1:86" x14ac:dyDescent="0.25">
      <c r="A301" t="s">
        <v>47</v>
      </c>
      <c r="B301">
        <v>8</v>
      </c>
      <c r="C301" t="s">
        <v>126</v>
      </c>
      <c r="D301">
        <v>21</v>
      </c>
      <c r="E301" t="s">
        <v>87</v>
      </c>
      <c r="F301">
        <v>91</v>
      </c>
      <c r="G301" t="s">
        <v>76</v>
      </c>
      <c r="H301" t="s">
        <v>50</v>
      </c>
      <c r="K301" t="s">
        <v>51</v>
      </c>
      <c r="L301">
        <v>1</v>
      </c>
      <c r="M301" t="s">
        <v>53</v>
      </c>
      <c r="N301">
        <v>91</v>
      </c>
      <c r="O301">
        <v>2</v>
      </c>
      <c r="P301" t="s">
        <v>52</v>
      </c>
      <c r="Q301">
        <v>0.77</v>
      </c>
      <c r="R301">
        <v>0.93</v>
      </c>
      <c r="S301">
        <v>135</v>
      </c>
      <c r="T301" t="s">
        <v>284</v>
      </c>
      <c r="U301">
        <v>133</v>
      </c>
      <c r="V301" t="s">
        <v>284</v>
      </c>
      <c r="W301">
        <v>147</v>
      </c>
      <c r="X301" t="s">
        <v>284</v>
      </c>
      <c r="Y301">
        <v>170</v>
      </c>
      <c r="Z301" t="s">
        <v>284</v>
      </c>
      <c r="AA301">
        <v>167</v>
      </c>
      <c r="AB301" t="s">
        <v>284</v>
      </c>
      <c r="AG301">
        <v>149.66669999999999</v>
      </c>
      <c r="AH301" t="s">
        <v>54</v>
      </c>
      <c r="AI301" t="s">
        <v>52</v>
      </c>
      <c r="AZ301" t="s">
        <v>52</v>
      </c>
      <c r="BQ301" t="s">
        <v>52</v>
      </c>
      <c r="BR301">
        <v>1.42</v>
      </c>
      <c r="BS301" t="s">
        <v>285</v>
      </c>
      <c r="BT301">
        <v>1.35</v>
      </c>
      <c r="BU301" t="s">
        <v>284</v>
      </c>
      <c r="BV301">
        <v>0.83</v>
      </c>
      <c r="BW301" t="s">
        <v>288</v>
      </c>
      <c r="BX301">
        <v>3.52</v>
      </c>
      <c r="BY301" t="s">
        <v>284</v>
      </c>
      <c r="BZ301">
        <v>1.01</v>
      </c>
      <c r="CA301" t="s">
        <v>285</v>
      </c>
      <c r="CF301">
        <v>1.26</v>
      </c>
      <c r="CG301" t="s">
        <v>54</v>
      </c>
      <c r="CH301" t="s">
        <v>52</v>
      </c>
    </row>
    <row r="302" spans="1:86" x14ac:dyDescent="0.25">
      <c r="A302" t="s">
        <v>47</v>
      </c>
      <c r="B302">
        <v>8</v>
      </c>
      <c r="C302" t="s">
        <v>126</v>
      </c>
      <c r="D302">
        <v>21</v>
      </c>
      <c r="E302" t="s">
        <v>58</v>
      </c>
      <c r="F302">
        <v>102</v>
      </c>
      <c r="G302" t="s">
        <v>62</v>
      </c>
      <c r="H302" t="s">
        <v>50</v>
      </c>
      <c r="K302" t="s">
        <v>51</v>
      </c>
      <c r="L302">
        <v>1</v>
      </c>
      <c r="M302" t="s">
        <v>53</v>
      </c>
      <c r="N302">
        <v>102</v>
      </c>
      <c r="O302">
        <v>1</v>
      </c>
      <c r="P302" t="s">
        <v>52</v>
      </c>
      <c r="Q302">
        <v>0</v>
      </c>
      <c r="R302">
        <v>0.92</v>
      </c>
      <c r="S302">
        <v>131.69999999999999</v>
      </c>
      <c r="T302" t="s">
        <v>284</v>
      </c>
      <c r="U302">
        <v>170</v>
      </c>
      <c r="V302" t="s">
        <v>284</v>
      </c>
      <c r="W302">
        <v>191</v>
      </c>
      <c r="X302" t="s">
        <v>284</v>
      </c>
      <c r="Y302">
        <v>207</v>
      </c>
      <c r="Z302" t="s">
        <v>284</v>
      </c>
      <c r="AA302">
        <v>205</v>
      </c>
      <c r="AB302" t="s">
        <v>285</v>
      </c>
      <c r="AG302">
        <v>188.66669999999999</v>
      </c>
      <c r="AH302" t="s">
        <v>54</v>
      </c>
      <c r="AI302" t="s">
        <v>52</v>
      </c>
      <c r="AX302">
        <v>271.60000000000002</v>
      </c>
      <c r="AY302" t="s">
        <v>285</v>
      </c>
      <c r="AZ302" t="s">
        <v>287</v>
      </c>
      <c r="BQ302" t="s">
        <v>52</v>
      </c>
      <c r="BR302">
        <v>1.85</v>
      </c>
      <c r="BS302" t="s">
        <v>284</v>
      </c>
      <c r="BT302">
        <v>1.29</v>
      </c>
      <c r="BU302" t="s">
        <v>284</v>
      </c>
      <c r="BV302">
        <v>0.53</v>
      </c>
      <c r="BW302" t="s">
        <v>285</v>
      </c>
      <c r="BX302">
        <v>0.77</v>
      </c>
      <c r="BY302" t="s">
        <v>285</v>
      </c>
      <c r="BZ302">
        <v>0.56000000000000005</v>
      </c>
      <c r="CA302" t="s">
        <v>288</v>
      </c>
      <c r="CF302">
        <v>0.87</v>
      </c>
      <c r="CG302" t="s">
        <v>54</v>
      </c>
      <c r="CH302" t="s">
        <v>52</v>
      </c>
    </row>
    <row r="303" spans="1:86" x14ac:dyDescent="0.25">
      <c r="A303" t="s">
        <v>47</v>
      </c>
      <c r="B303">
        <v>8</v>
      </c>
      <c r="C303" t="s">
        <v>126</v>
      </c>
      <c r="D303">
        <v>21</v>
      </c>
      <c r="E303" t="s">
        <v>58</v>
      </c>
      <c r="F303">
        <v>102</v>
      </c>
      <c r="G303" t="s">
        <v>62</v>
      </c>
      <c r="H303" t="s">
        <v>50</v>
      </c>
      <c r="K303" t="s">
        <v>52</v>
      </c>
      <c r="L303">
        <v>1</v>
      </c>
      <c r="M303" t="s">
        <v>53</v>
      </c>
      <c r="N303">
        <v>102</v>
      </c>
      <c r="O303">
        <v>1</v>
      </c>
      <c r="P303" t="s">
        <v>52</v>
      </c>
      <c r="Q303">
        <v>0</v>
      </c>
      <c r="R303">
        <v>0.92</v>
      </c>
      <c r="S303">
        <v>131.69999999999999</v>
      </c>
      <c r="T303" t="s">
        <v>284</v>
      </c>
      <c r="U303">
        <v>170</v>
      </c>
      <c r="V303" t="s">
        <v>284</v>
      </c>
      <c r="W303">
        <v>191</v>
      </c>
      <c r="X303" t="s">
        <v>284</v>
      </c>
      <c r="Y303">
        <v>207</v>
      </c>
      <c r="Z303" t="s">
        <v>284</v>
      </c>
      <c r="AA303">
        <v>205</v>
      </c>
      <c r="AB303" t="s">
        <v>285</v>
      </c>
      <c r="AG303">
        <v>188.66669999999999</v>
      </c>
      <c r="AH303" t="s">
        <v>54</v>
      </c>
      <c r="AI303" t="s">
        <v>52</v>
      </c>
      <c r="AX303">
        <v>271.60000000000002</v>
      </c>
      <c r="AY303" t="s">
        <v>285</v>
      </c>
      <c r="AZ303" t="s">
        <v>287</v>
      </c>
      <c r="BQ303" t="s">
        <v>52</v>
      </c>
      <c r="BR303">
        <v>0.83</v>
      </c>
      <c r="BS303" t="s">
        <v>285</v>
      </c>
      <c r="BT303">
        <v>0.91</v>
      </c>
      <c r="BU303" t="s">
        <v>284</v>
      </c>
      <c r="BV303">
        <v>0.27</v>
      </c>
      <c r="BW303" t="s">
        <v>285</v>
      </c>
      <c r="BX303">
        <v>0.49</v>
      </c>
      <c r="BY303" t="s">
        <v>285</v>
      </c>
      <c r="BZ303">
        <v>0.42</v>
      </c>
      <c r="CA303" t="s">
        <v>284</v>
      </c>
      <c r="CF303">
        <v>0.57999999999999996</v>
      </c>
      <c r="CG303" t="s">
        <v>54</v>
      </c>
      <c r="CH303" t="s">
        <v>52</v>
      </c>
    </row>
    <row r="304" spans="1:86" x14ac:dyDescent="0.25">
      <c r="A304" t="s">
        <v>47</v>
      </c>
      <c r="B304">
        <v>8</v>
      </c>
      <c r="C304" t="s">
        <v>126</v>
      </c>
      <c r="D304">
        <v>21</v>
      </c>
      <c r="E304" t="s">
        <v>58</v>
      </c>
      <c r="F304">
        <v>102</v>
      </c>
      <c r="G304" t="s">
        <v>64</v>
      </c>
      <c r="H304" t="s">
        <v>50</v>
      </c>
      <c r="K304" t="s">
        <v>51</v>
      </c>
      <c r="L304">
        <v>1</v>
      </c>
      <c r="M304" t="s">
        <v>53</v>
      </c>
      <c r="N304">
        <v>102</v>
      </c>
      <c r="O304">
        <v>1</v>
      </c>
      <c r="P304" t="s">
        <v>52</v>
      </c>
      <c r="Q304">
        <v>0</v>
      </c>
      <c r="R304">
        <v>0.92</v>
      </c>
      <c r="S304">
        <v>131.69999999999999</v>
      </c>
      <c r="T304" t="s">
        <v>284</v>
      </c>
      <c r="U304">
        <v>170</v>
      </c>
      <c r="V304" t="s">
        <v>284</v>
      </c>
      <c r="W304">
        <v>191</v>
      </c>
      <c r="X304" t="s">
        <v>284</v>
      </c>
      <c r="Y304">
        <v>207</v>
      </c>
      <c r="Z304" t="s">
        <v>284</v>
      </c>
      <c r="AA304">
        <v>205</v>
      </c>
      <c r="AB304" t="s">
        <v>285</v>
      </c>
      <c r="AG304">
        <v>188.66669999999999</v>
      </c>
      <c r="AH304" t="s">
        <v>54</v>
      </c>
      <c r="AI304" t="s">
        <v>52</v>
      </c>
      <c r="AZ304" t="s">
        <v>52</v>
      </c>
      <c r="BQ304" t="s">
        <v>52</v>
      </c>
      <c r="CH304" t="s">
        <v>52</v>
      </c>
    </row>
    <row r="305" spans="1:86" x14ac:dyDescent="0.25">
      <c r="A305" t="s">
        <v>47</v>
      </c>
      <c r="B305">
        <v>8</v>
      </c>
      <c r="C305" t="s">
        <v>126</v>
      </c>
      <c r="D305">
        <v>21</v>
      </c>
      <c r="E305" t="s">
        <v>58</v>
      </c>
      <c r="F305">
        <v>102</v>
      </c>
      <c r="G305" t="s">
        <v>127</v>
      </c>
      <c r="H305" t="s">
        <v>50</v>
      </c>
      <c r="K305" t="s">
        <v>51</v>
      </c>
      <c r="L305">
        <v>1</v>
      </c>
      <c r="M305" t="s">
        <v>53</v>
      </c>
      <c r="N305">
        <v>102</v>
      </c>
      <c r="O305">
        <v>1</v>
      </c>
      <c r="P305" t="s">
        <v>52</v>
      </c>
      <c r="Q305">
        <v>0</v>
      </c>
      <c r="R305">
        <v>0.92</v>
      </c>
      <c r="S305">
        <v>131.69999999999999</v>
      </c>
      <c r="T305" t="s">
        <v>284</v>
      </c>
      <c r="U305">
        <v>170</v>
      </c>
      <c r="V305" t="s">
        <v>284</v>
      </c>
      <c r="W305">
        <v>191</v>
      </c>
      <c r="X305" t="s">
        <v>284</v>
      </c>
      <c r="Y305">
        <v>207</v>
      </c>
      <c r="Z305" t="s">
        <v>284</v>
      </c>
      <c r="AA305">
        <v>205</v>
      </c>
      <c r="AB305" t="s">
        <v>285</v>
      </c>
      <c r="AG305">
        <v>188.66669999999999</v>
      </c>
      <c r="AH305" t="s">
        <v>54</v>
      </c>
      <c r="AI305" t="s">
        <v>52</v>
      </c>
      <c r="AZ305" t="s">
        <v>52</v>
      </c>
      <c r="BQ305" t="s">
        <v>52</v>
      </c>
      <c r="BR305">
        <v>1.85</v>
      </c>
      <c r="BS305" t="s">
        <v>284</v>
      </c>
      <c r="BT305">
        <v>1.62</v>
      </c>
      <c r="BU305" t="s">
        <v>284</v>
      </c>
      <c r="BV305">
        <v>1.26</v>
      </c>
      <c r="BW305" t="s">
        <v>284</v>
      </c>
      <c r="BX305">
        <v>0.87</v>
      </c>
      <c r="BY305" t="s">
        <v>284</v>
      </c>
      <c r="BZ305">
        <v>0.75</v>
      </c>
      <c r="CA305" t="s">
        <v>284</v>
      </c>
      <c r="CF305">
        <v>1.25</v>
      </c>
      <c r="CG305" t="s">
        <v>54</v>
      </c>
      <c r="CH305" t="s">
        <v>52</v>
      </c>
    </row>
    <row r="306" spans="1:86" x14ac:dyDescent="0.25">
      <c r="A306" t="s">
        <v>47</v>
      </c>
      <c r="B306">
        <v>8</v>
      </c>
      <c r="C306" t="s">
        <v>126</v>
      </c>
      <c r="D306">
        <v>21</v>
      </c>
      <c r="E306" t="s">
        <v>58</v>
      </c>
      <c r="F306">
        <v>102</v>
      </c>
      <c r="G306" t="s">
        <v>128</v>
      </c>
      <c r="H306" t="s">
        <v>50</v>
      </c>
      <c r="K306" t="s">
        <v>51</v>
      </c>
      <c r="L306">
        <v>1</v>
      </c>
      <c r="M306" t="s">
        <v>53</v>
      </c>
      <c r="N306">
        <v>102</v>
      </c>
      <c r="O306">
        <v>1</v>
      </c>
      <c r="P306" t="s">
        <v>52</v>
      </c>
      <c r="Q306">
        <v>0</v>
      </c>
      <c r="R306">
        <v>0.92</v>
      </c>
      <c r="S306">
        <v>131.69999999999999</v>
      </c>
      <c r="T306" t="s">
        <v>284</v>
      </c>
      <c r="U306">
        <v>170</v>
      </c>
      <c r="V306" t="s">
        <v>284</v>
      </c>
      <c r="W306">
        <v>191</v>
      </c>
      <c r="X306" t="s">
        <v>284</v>
      </c>
      <c r="Y306">
        <v>207</v>
      </c>
      <c r="Z306" t="s">
        <v>284</v>
      </c>
      <c r="AA306">
        <v>315</v>
      </c>
      <c r="AB306" t="s">
        <v>285</v>
      </c>
      <c r="AG306">
        <v>189.33330000000001</v>
      </c>
      <c r="AH306" t="s">
        <v>54</v>
      </c>
      <c r="AI306" t="s">
        <v>52</v>
      </c>
      <c r="AZ306" t="s">
        <v>52</v>
      </c>
      <c r="BQ306" t="s">
        <v>52</v>
      </c>
      <c r="BR306">
        <v>1.3</v>
      </c>
      <c r="BS306" t="s">
        <v>285</v>
      </c>
      <c r="BT306">
        <v>1.08</v>
      </c>
      <c r="BU306" t="s">
        <v>285</v>
      </c>
      <c r="BV306">
        <v>0.43</v>
      </c>
      <c r="BW306" t="s">
        <v>285</v>
      </c>
      <c r="BX306">
        <v>0.87</v>
      </c>
      <c r="BY306" t="s">
        <v>285</v>
      </c>
      <c r="BZ306">
        <v>0.51</v>
      </c>
      <c r="CA306" t="s">
        <v>288</v>
      </c>
      <c r="CF306">
        <v>0.82</v>
      </c>
      <c r="CG306" t="s">
        <v>54</v>
      </c>
      <c r="CH306" t="s">
        <v>52</v>
      </c>
    </row>
    <row r="307" spans="1:86" x14ac:dyDescent="0.25">
      <c r="A307" t="s">
        <v>47</v>
      </c>
      <c r="B307">
        <v>8</v>
      </c>
      <c r="C307" t="s">
        <v>126</v>
      </c>
      <c r="D307">
        <v>21</v>
      </c>
      <c r="E307" t="s">
        <v>58</v>
      </c>
      <c r="F307">
        <v>102</v>
      </c>
      <c r="G307" t="s">
        <v>65</v>
      </c>
      <c r="H307" t="s">
        <v>50</v>
      </c>
      <c r="K307" t="s">
        <v>51</v>
      </c>
      <c r="L307">
        <v>1</v>
      </c>
      <c r="M307" t="s">
        <v>53</v>
      </c>
      <c r="N307">
        <v>102</v>
      </c>
      <c r="O307">
        <v>1</v>
      </c>
      <c r="P307" t="s">
        <v>52</v>
      </c>
      <c r="Q307">
        <v>0</v>
      </c>
      <c r="R307">
        <v>0.92</v>
      </c>
      <c r="S307">
        <v>131.69999999999999</v>
      </c>
      <c r="T307" t="s">
        <v>284</v>
      </c>
      <c r="U307">
        <v>170</v>
      </c>
      <c r="V307" t="s">
        <v>284</v>
      </c>
      <c r="W307">
        <v>191</v>
      </c>
      <c r="X307" t="s">
        <v>284</v>
      </c>
      <c r="Y307">
        <v>207</v>
      </c>
      <c r="Z307" t="s">
        <v>284</v>
      </c>
      <c r="AA307">
        <v>155</v>
      </c>
      <c r="AB307" t="s">
        <v>285</v>
      </c>
      <c r="AG307">
        <v>172</v>
      </c>
      <c r="AH307" t="s">
        <v>54</v>
      </c>
      <c r="AI307" t="s">
        <v>52</v>
      </c>
      <c r="AZ307" t="s">
        <v>52</v>
      </c>
      <c r="BQ307" t="s">
        <v>52</v>
      </c>
      <c r="BR307">
        <v>1.85</v>
      </c>
      <c r="BS307" t="s">
        <v>284</v>
      </c>
      <c r="BT307">
        <v>1.62</v>
      </c>
      <c r="BU307" t="s">
        <v>284</v>
      </c>
      <c r="BV307">
        <v>0.43</v>
      </c>
      <c r="BW307" t="s">
        <v>285</v>
      </c>
      <c r="BX307">
        <v>0.87</v>
      </c>
      <c r="BY307" t="s">
        <v>285</v>
      </c>
      <c r="BZ307">
        <v>0.75</v>
      </c>
      <c r="CA307" t="s">
        <v>284</v>
      </c>
      <c r="CF307">
        <v>1.08</v>
      </c>
      <c r="CG307" t="s">
        <v>54</v>
      </c>
      <c r="CH307" t="s">
        <v>52</v>
      </c>
    </row>
    <row r="308" spans="1:86" x14ac:dyDescent="0.25">
      <c r="A308" t="s">
        <v>47</v>
      </c>
      <c r="B308">
        <v>8</v>
      </c>
      <c r="C308" t="s">
        <v>126</v>
      </c>
      <c r="D308">
        <v>21</v>
      </c>
      <c r="E308" t="s">
        <v>70</v>
      </c>
      <c r="F308">
        <v>296</v>
      </c>
      <c r="G308" t="s">
        <v>71</v>
      </c>
      <c r="H308" t="s">
        <v>50</v>
      </c>
      <c r="K308" t="s">
        <v>51</v>
      </c>
      <c r="L308">
        <v>1</v>
      </c>
      <c r="M308" t="s">
        <v>53</v>
      </c>
      <c r="N308">
        <v>296</v>
      </c>
      <c r="O308">
        <v>1</v>
      </c>
      <c r="P308" t="s">
        <v>52</v>
      </c>
      <c r="Q308">
        <v>0</v>
      </c>
      <c r="R308">
        <v>0.75</v>
      </c>
      <c r="S308">
        <v>228</v>
      </c>
      <c r="T308" t="s">
        <v>284</v>
      </c>
      <c r="U308">
        <v>190</v>
      </c>
      <c r="V308" t="s">
        <v>285</v>
      </c>
      <c r="W308">
        <v>194</v>
      </c>
      <c r="X308" t="s">
        <v>285</v>
      </c>
      <c r="Y308">
        <v>225</v>
      </c>
      <c r="Z308" t="s">
        <v>285</v>
      </c>
      <c r="AA308">
        <v>247</v>
      </c>
      <c r="AB308" t="s">
        <v>285</v>
      </c>
      <c r="AC308">
        <v>241</v>
      </c>
      <c r="AD308" t="s">
        <v>285</v>
      </c>
      <c r="AE308">
        <v>219</v>
      </c>
      <c r="AF308" t="s">
        <v>285</v>
      </c>
      <c r="AG308">
        <v>219</v>
      </c>
      <c r="AH308" t="s">
        <v>286</v>
      </c>
      <c r="AI308" t="s">
        <v>287</v>
      </c>
      <c r="AX308">
        <v>263</v>
      </c>
      <c r="AY308" t="s">
        <v>286</v>
      </c>
      <c r="AZ308" t="s">
        <v>287</v>
      </c>
      <c r="BQ308" t="s">
        <v>52</v>
      </c>
      <c r="BR308">
        <v>1.85</v>
      </c>
      <c r="BS308" t="s">
        <v>284</v>
      </c>
      <c r="BT308">
        <v>1.62</v>
      </c>
      <c r="BU308" t="s">
        <v>284</v>
      </c>
      <c r="BV308">
        <v>0.9</v>
      </c>
      <c r="BW308" t="s">
        <v>285</v>
      </c>
      <c r="BX308">
        <v>1.21</v>
      </c>
      <c r="BY308" t="s">
        <v>288</v>
      </c>
      <c r="BZ308">
        <v>1.76</v>
      </c>
      <c r="CA308" t="s">
        <v>288</v>
      </c>
      <c r="CF308">
        <v>1.53</v>
      </c>
      <c r="CG308" t="s">
        <v>54</v>
      </c>
      <c r="CH308" t="s">
        <v>52</v>
      </c>
    </row>
    <row r="309" spans="1:86" x14ac:dyDescent="0.25">
      <c r="A309" t="s">
        <v>47</v>
      </c>
      <c r="B309">
        <v>8</v>
      </c>
      <c r="C309" t="s">
        <v>126</v>
      </c>
      <c r="D309">
        <v>21</v>
      </c>
      <c r="E309" t="s">
        <v>70</v>
      </c>
      <c r="F309">
        <v>296</v>
      </c>
      <c r="G309" t="s">
        <v>72</v>
      </c>
      <c r="H309" t="s">
        <v>50</v>
      </c>
      <c r="K309" t="s">
        <v>51</v>
      </c>
      <c r="L309">
        <v>1</v>
      </c>
      <c r="M309" t="s">
        <v>53</v>
      </c>
      <c r="N309">
        <v>296</v>
      </c>
      <c r="O309">
        <v>1</v>
      </c>
      <c r="P309" t="s">
        <v>52</v>
      </c>
      <c r="Q309">
        <v>0.5</v>
      </c>
      <c r="R309">
        <v>0.75</v>
      </c>
      <c r="S309">
        <v>228</v>
      </c>
      <c r="T309" t="s">
        <v>284</v>
      </c>
      <c r="U309">
        <v>221</v>
      </c>
      <c r="V309" t="s">
        <v>284</v>
      </c>
      <c r="W309">
        <v>236</v>
      </c>
      <c r="X309" t="s">
        <v>284</v>
      </c>
      <c r="Y309">
        <v>244</v>
      </c>
      <c r="Z309" t="s">
        <v>284</v>
      </c>
      <c r="AA309">
        <v>215</v>
      </c>
      <c r="AB309" t="s">
        <v>285</v>
      </c>
      <c r="AG309">
        <v>228.33330000000001</v>
      </c>
      <c r="AH309" t="s">
        <v>54</v>
      </c>
      <c r="AI309" t="s">
        <v>52</v>
      </c>
      <c r="AZ309" t="s">
        <v>52</v>
      </c>
      <c r="BQ309" t="s">
        <v>52</v>
      </c>
      <c r="BR309">
        <v>1.85</v>
      </c>
      <c r="BS309" t="s">
        <v>284</v>
      </c>
      <c r="BT309">
        <v>1.88</v>
      </c>
      <c r="BU309" t="s">
        <v>285</v>
      </c>
      <c r="BV309">
        <v>1.1599999999999999</v>
      </c>
      <c r="BW309" t="s">
        <v>285</v>
      </c>
      <c r="BX309">
        <v>1.68</v>
      </c>
      <c r="BY309" t="s">
        <v>285</v>
      </c>
      <c r="BZ309">
        <v>2.71</v>
      </c>
      <c r="CA309" t="s">
        <v>288</v>
      </c>
      <c r="CF309">
        <v>1.8</v>
      </c>
      <c r="CG309" t="s">
        <v>54</v>
      </c>
      <c r="CH309" t="s">
        <v>52</v>
      </c>
    </row>
    <row r="310" spans="1:86" x14ac:dyDescent="0.25">
      <c r="A310" t="s">
        <v>47</v>
      </c>
      <c r="B310">
        <v>8</v>
      </c>
      <c r="C310" t="s">
        <v>126</v>
      </c>
      <c r="D310">
        <v>21</v>
      </c>
      <c r="E310" t="s">
        <v>70</v>
      </c>
      <c r="F310">
        <v>296</v>
      </c>
      <c r="G310" t="s">
        <v>73</v>
      </c>
      <c r="H310" t="s">
        <v>50</v>
      </c>
      <c r="K310" t="s">
        <v>51</v>
      </c>
      <c r="L310">
        <v>1</v>
      </c>
      <c r="M310" t="s">
        <v>53</v>
      </c>
      <c r="N310">
        <v>296</v>
      </c>
      <c r="O310">
        <v>1</v>
      </c>
      <c r="P310" t="s">
        <v>52</v>
      </c>
      <c r="Q310">
        <v>0</v>
      </c>
      <c r="R310">
        <v>0.75</v>
      </c>
      <c r="S310">
        <v>228</v>
      </c>
      <c r="T310" t="s">
        <v>284</v>
      </c>
      <c r="U310">
        <v>221</v>
      </c>
      <c r="V310" t="s">
        <v>284</v>
      </c>
      <c r="W310">
        <v>236</v>
      </c>
      <c r="X310" t="s">
        <v>284</v>
      </c>
      <c r="Y310">
        <v>244</v>
      </c>
      <c r="Z310" t="s">
        <v>284</v>
      </c>
      <c r="AA310">
        <v>225</v>
      </c>
      <c r="AB310" t="s">
        <v>285</v>
      </c>
      <c r="AG310">
        <v>229.66669999999999</v>
      </c>
      <c r="AH310" t="s">
        <v>54</v>
      </c>
      <c r="AI310" t="s">
        <v>52</v>
      </c>
      <c r="AZ310" t="s">
        <v>52</v>
      </c>
      <c r="BQ310" t="s">
        <v>52</v>
      </c>
      <c r="BR310">
        <v>1.85</v>
      </c>
      <c r="BS310" t="s">
        <v>284</v>
      </c>
      <c r="BT310">
        <v>1.91</v>
      </c>
      <c r="BU310" t="s">
        <v>285</v>
      </c>
      <c r="BV310">
        <v>1.1399999999999999</v>
      </c>
      <c r="BW310" t="s">
        <v>285</v>
      </c>
      <c r="BX310">
        <v>1.36</v>
      </c>
      <c r="BY310" t="s">
        <v>285</v>
      </c>
      <c r="BZ310">
        <v>1.08</v>
      </c>
      <c r="CA310" t="s">
        <v>288</v>
      </c>
      <c r="CF310">
        <v>1.45</v>
      </c>
      <c r="CG310" t="s">
        <v>54</v>
      </c>
      <c r="CH310" t="s">
        <v>52</v>
      </c>
    </row>
    <row r="311" spans="1:86" x14ac:dyDescent="0.25">
      <c r="A311" t="s">
        <v>47</v>
      </c>
      <c r="B311">
        <v>8</v>
      </c>
      <c r="C311" t="s">
        <v>126</v>
      </c>
      <c r="D311">
        <v>21</v>
      </c>
      <c r="E311" t="s">
        <v>70</v>
      </c>
      <c r="F311">
        <v>296</v>
      </c>
      <c r="G311" t="s">
        <v>74</v>
      </c>
      <c r="H311" t="s">
        <v>50</v>
      </c>
      <c r="K311" t="s">
        <v>51</v>
      </c>
      <c r="L311">
        <v>1</v>
      </c>
      <c r="M311" t="s">
        <v>53</v>
      </c>
      <c r="N311">
        <v>102</v>
      </c>
      <c r="O311">
        <v>1</v>
      </c>
      <c r="P311" t="s">
        <v>52</v>
      </c>
      <c r="Q311">
        <v>0</v>
      </c>
      <c r="R311">
        <v>0.75</v>
      </c>
      <c r="S311">
        <v>135</v>
      </c>
      <c r="T311" t="s">
        <v>284</v>
      </c>
      <c r="U311">
        <v>132</v>
      </c>
      <c r="V311" t="s">
        <v>284</v>
      </c>
      <c r="W311">
        <v>147</v>
      </c>
      <c r="X311" t="s">
        <v>284</v>
      </c>
      <c r="Y311">
        <v>170</v>
      </c>
      <c r="Z311" t="s">
        <v>284</v>
      </c>
      <c r="AA311">
        <v>205</v>
      </c>
      <c r="AB311" t="s">
        <v>285</v>
      </c>
      <c r="AG311">
        <v>150.66669999999999</v>
      </c>
      <c r="AH311" t="s">
        <v>54</v>
      </c>
      <c r="AI311" t="s">
        <v>52</v>
      </c>
      <c r="AZ311" t="s">
        <v>52</v>
      </c>
      <c r="BQ311" t="s">
        <v>52</v>
      </c>
      <c r="BR311">
        <v>1.85</v>
      </c>
      <c r="BS311" t="s">
        <v>284</v>
      </c>
      <c r="BT311">
        <v>1.62</v>
      </c>
      <c r="BU311" t="s">
        <v>284</v>
      </c>
      <c r="BV311">
        <v>1.06</v>
      </c>
      <c r="BW311" t="s">
        <v>285</v>
      </c>
      <c r="BX311">
        <v>1.06</v>
      </c>
      <c r="BY311" t="s">
        <v>285</v>
      </c>
      <c r="BZ311">
        <v>1.36</v>
      </c>
      <c r="CA311" t="s">
        <v>288</v>
      </c>
      <c r="CF311">
        <v>1.35</v>
      </c>
      <c r="CG311" t="s">
        <v>54</v>
      </c>
      <c r="CH311" t="s">
        <v>52</v>
      </c>
    </row>
    <row r="312" spans="1:86" x14ac:dyDescent="0.25">
      <c r="A312" t="s">
        <v>47</v>
      </c>
      <c r="B312">
        <v>8</v>
      </c>
      <c r="C312" t="s">
        <v>126</v>
      </c>
      <c r="D312">
        <v>21</v>
      </c>
      <c r="E312" t="s">
        <v>70</v>
      </c>
      <c r="F312">
        <v>296</v>
      </c>
      <c r="G312" t="s">
        <v>129</v>
      </c>
      <c r="H312" t="s">
        <v>50</v>
      </c>
      <c r="K312" t="s">
        <v>51</v>
      </c>
      <c r="L312">
        <v>1</v>
      </c>
      <c r="M312" t="s">
        <v>53</v>
      </c>
      <c r="N312">
        <v>102</v>
      </c>
      <c r="O312">
        <v>1</v>
      </c>
      <c r="P312" t="s">
        <v>52</v>
      </c>
      <c r="Q312">
        <v>0</v>
      </c>
      <c r="R312">
        <v>0.75</v>
      </c>
      <c r="S312">
        <v>228</v>
      </c>
      <c r="T312" t="s">
        <v>284</v>
      </c>
      <c r="U312">
        <v>190</v>
      </c>
      <c r="V312" t="s">
        <v>284</v>
      </c>
      <c r="W312">
        <v>194</v>
      </c>
      <c r="X312" t="s">
        <v>284</v>
      </c>
      <c r="Y312">
        <v>213</v>
      </c>
      <c r="Z312" t="s">
        <v>284</v>
      </c>
      <c r="AA312">
        <v>225</v>
      </c>
      <c r="AB312" t="s">
        <v>285</v>
      </c>
      <c r="AG312">
        <v>210.66669999999999</v>
      </c>
      <c r="AH312" t="s">
        <v>54</v>
      </c>
      <c r="AI312" t="s">
        <v>52</v>
      </c>
      <c r="AZ312" t="s">
        <v>52</v>
      </c>
      <c r="BQ312" t="s">
        <v>52</v>
      </c>
      <c r="BR312">
        <v>1.85</v>
      </c>
      <c r="BS312" t="s">
        <v>284</v>
      </c>
      <c r="BT312">
        <v>1.62</v>
      </c>
      <c r="BU312" t="s">
        <v>284</v>
      </c>
      <c r="BV312">
        <v>0.9</v>
      </c>
      <c r="BW312" t="s">
        <v>285</v>
      </c>
      <c r="BX312">
        <v>1.21</v>
      </c>
      <c r="BY312" t="s">
        <v>285</v>
      </c>
      <c r="BZ312">
        <v>1.76</v>
      </c>
      <c r="CA312" t="s">
        <v>289</v>
      </c>
      <c r="CF312">
        <v>1.53</v>
      </c>
      <c r="CG312" t="s">
        <v>54</v>
      </c>
      <c r="CH312" t="s">
        <v>52</v>
      </c>
    </row>
    <row r="313" spans="1:86" x14ac:dyDescent="0.25">
      <c r="A313" t="s">
        <v>47</v>
      </c>
      <c r="B313">
        <v>8</v>
      </c>
      <c r="C313" t="s">
        <v>126</v>
      </c>
      <c r="D313">
        <v>21</v>
      </c>
      <c r="E313" t="s">
        <v>70</v>
      </c>
      <c r="F313">
        <v>296</v>
      </c>
      <c r="G313" t="s">
        <v>122</v>
      </c>
      <c r="H313" t="s">
        <v>50</v>
      </c>
      <c r="K313" t="s">
        <v>51</v>
      </c>
      <c r="L313">
        <v>1</v>
      </c>
      <c r="M313" t="s">
        <v>53</v>
      </c>
      <c r="N313">
        <v>102</v>
      </c>
      <c r="O313">
        <v>1</v>
      </c>
      <c r="P313" t="s">
        <v>52</v>
      </c>
      <c r="Q313">
        <v>0</v>
      </c>
      <c r="R313">
        <v>0.75</v>
      </c>
      <c r="S313">
        <v>228</v>
      </c>
      <c r="T313" t="s">
        <v>284</v>
      </c>
      <c r="U313">
        <v>190</v>
      </c>
      <c r="V313" t="s">
        <v>285</v>
      </c>
      <c r="W313">
        <v>194</v>
      </c>
      <c r="X313" t="s">
        <v>285</v>
      </c>
      <c r="Y313">
        <v>213</v>
      </c>
      <c r="Z313" t="s">
        <v>284</v>
      </c>
      <c r="AA313">
        <v>225</v>
      </c>
      <c r="AB313" t="s">
        <v>285</v>
      </c>
      <c r="AG313">
        <v>210.66669999999999</v>
      </c>
      <c r="AH313" t="s">
        <v>54</v>
      </c>
      <c r="AI313" t="s">
        <v>52</v>
      </c>
      <c r="AZ313" t="s">
        <v>52</v>
      </c>
      <c r="BQ313" t="s">
        <v>52</v>
      </c>
      <c r="BR313">
        <v>1.85</v>
      </c>
      <c r="BS313" t="s">
        <v>284</v>
      </c>
      <c r="BT313">
        <v>1.62</v>
      </c>
      <c r="BU313" t="s">
        <v>284</v>
      </c>
      <c r="BV313">
        <v>0.9</v>
      </c>
      <c r="BW313" t="s">
        <v>285</v>
      </c>
      <c r="BX313">
        <v>1.21</v>
      </c>
      <c r="BY313" t="s">
        <v>285</v>
      </c>
      <c r="BZ313">
        <v>1.76</v>
      </c>
      <c r="CA313" t="s">
        <v>285</v>
      </c>
      <c r="CF313">
        <v>1.53</v>
      </c>
      <c r="CG313" t="s">
        <v>54</v>
      </c>
      <c r="CH313" t="s">
        <v>52</v>
      </c>
    </row>
    <row r="314" spans="1:86" x14ac:dyDescent="0.25">
      <c r="A314" t="s">
        <v>47</v>
      </c>
      <c r="B314">
        <v>8</v>
      </c>
      <c r="C314" t="s">
        <v>126</v>
      </c>
      <c r="D314">
        <v>21</v>
      </c>
      <c r="E314" t="s">
        <v>70</v>
      </c>
      <c r="F314">
        <v>296</v>
      </c>
      <c r="G314" t="s">
        <v>91</v>
      </c>
      <c r="H314" t="s">
        <v>50</v>
      </c>
      <c r="K314" t="s">
        <v>51</v>
      </c>
      <c r="L314">
        <v>1</v>
      </c>
      <c r="M314" t="s">
        <v>53</v>
      </c>
      <c r="N314">
        <v>102</v>
      </c>
      <c r="O314">
        <v>1</v>
      </c>
      <c r="P314" t="s">
        <v>52</v>
      </c>
      <c r="Q314">
        <v>0.5</v>
      </c>
      <c r="R314">
        <v>0.75</v>
      </c>
      <c r="S314">
        <v>228</v>
      </c>
      <c r="T314" t="s">
        <v>284</v>
      </c>
      <c r="U314">
        <v>190</v>
      </c>
      <c r="V314" t="s">
        <v>285</v>
      </c>
      <c r="W314">
        <v>236</v>
      </c>
      <c r="X314" t="s">
        <v>284</v>
      </c>
      <c r="Y314">
        <v>244</v>
      </c>
      <c r="Z314" t="s">
        <v>284</v>
      </c>
      <c r="AA314">
        <v>215</v>
      </c>
      <c r="AB314" t="s">
        <v>285</v>
      </c>
      <c r="AG314">
        <v>226.33330000000001</v>
      </c>
      <c r="AH314" t="s">
        <v>54</v>
      </c>
      <c r="AI314" t="s">
        <v>52</v>
      </c>
      <c r="AZ314" t="s">
        <v>52</v>
      </c>
      <c r="BQ314" t="s">
        <v>52</v>
      </c>
      <c r="BR314">
        <v>1.85</v>
      </c>
      <c r="BS314" t="s">
        <v>284</v>
      </c>
      <c r="BT314">
        <v>1.88</v>
      </c>
      <c r="BU314" t="s">
        <v>285</v>
      </c>
      <c r="BV314">
        <v>1.1599999999999999</v>
      </c>
      <c r="BW314" t="s">
        <v>285</v>
      </c>
      <c r="BX314">
        <v>1.68</v>
      </c>
      <c r="BY314" t="s">
        <v>285</v>
      </c>
      <c r="BZ314">
        <v>1.68</v>
      </c>
      <c r="CA314" t="s">
        <v>284</v>
      </c>
      <c r="CF314">
        <v>1.74</v>
      </c>
      <c r="CG314" t="s">
        <v>54</v>
      </c>
      <c r="CH314" t="s">
        <v>52</v>
      </c>
    </row>
    <row r="315" spans="1:86" x14ac:dyDescent="0.25">
      <c r="A315" t="s">
        <v>47</v>
      </c>
      <c r="B315">
        <v>8</v>
      </c>
      <c r="C315" t="s">
        <v>126</v>
      </c>
      <c r="D315">
        <v>21</v>
      </c>
      <c r="E315" t="s">
        <v>70</v>
      </c>
      <c r="F315">
        <v>296</v>
      </c>
      <c r="G315" t="s">
        <v>124</v>
      </c>
      <c r="H315" t="s">
        <v>50</v>
      </c>
      <c r="K315" t="s">
        <v>51</v>
      </c>
      <c r="L315">
        <v>1</v>
      </c>
      <c r="M315" t="s">
        <v>53</v>
      </c>
      <c r="N315">
        <v>102</v>
      </c>
      <c r="O315">
        <v>1</v>
      </c>
      <c r="P315" t="s">
        <v>52</v>
      </c>
      <c r="Q315">
        <v>0</v>
      </c>
      <c r="R315">
        <v>0.75</v>
      </c>
      <c r="S315">
        <v>228</v>
      </c>
      <c r="T315" t="s">
        <v>284</v>
      </c>
      <c r="U315">
        <v>177</v>
      </c>
      <c r="V315" t="s">
        <v>284</v>
      </c>
      <c r="W315">
        <v>147</v>
      </c>
      <c r="X315" t="s">
        <v>284</v>
      </c>
      <c r="Y315">
        <v>170</v>
      </c>
      <c r="Z315" t="s">
        <v>284</v>
      </c>
      <c r="AA315">
        <v>205</v>
      </c>
      <c r="AB315" t="s">
        <v>285</v>
      </c>
      <c r="AG315">
        <v>184</v>
      </c>
      <c r="AH315" t="s">
        <v>54</v>
      </c>
      <c r="AI315" t="s">
        <v>52</v>
      </c>
      <c r="AZ315" t="s">
        <v>52</v>
      </c>
      <c r="BQ315" t="s">
        <v>52</v>
      </c>
      <c r="BR315">
        <v>1.85</v>
      </c>
      <c r="BS315" t="s">
        <v>284</v>
      </c>
      <c r="BT315">
        <v>1.62</v>
      </c>
      <c r="BU315" t="s">
        <v>284</v>
      </c>
      <c r="BV315">
        <v>1.06</v>
      </c>
      <c r="BW315" t="s">
        <v>285</v>
      </c>
      <c r="BX315">
        <v>1.06</v>
      </c>
      <c r="BY315" t="s">
        <v>285</v>
      </c>
      <c r="BZ315">
        <v>1.36</v>
      </c>
      <c r="CA315" t="s">
        <v>288</v>
      </c>
      <c r="CF315">
        <v>1.35</v>
      </c>
      <c r="CG315" t="s">
        <v>54</v>
      </c>
      <c r="CH315" t="s">
        <v>52</v>
      </c>
    </row>
    <row r="316" spans="1:86" x14ac:dyDescent="0.25">
      <c r="A316" t="s">
        <v>47</v>
      </c>
      <c r="B316">
        <v>8</v>
      </c>
      <c r="C316" t="s">
        <v>126</v>
      </c>
      <c r="D316">
        <v>21</v>
      </c>
      <c r="E316" t="s">
        <v>70</v>
      </c>
      <c r="F316">
        <v>296</v>
      </c>
      <c r="G316" t="s">
        <v>92</v>
      </c>
      <c r="H316" t="s">
        <v>50</v>
      </c>
      <c r="K316" t="s">
        <v>51</v>
      </c>
      <c r="L316">
        <v>1</v>
      </c>
      <c r="M316" t="s">
        <v>53</v>
      </c>
      <c r="N316">
        <v>102</v>
      </c>
      <c r="O316">
        <v>1</v>
      </c>
      <c r="P316" t="s">
        <v>52</v>
      </c>
      <c r="Q316">
        <v>0.5</v>
      </c>
      <c r="R316">
        <v>0.75</v>
      </c>
      <c r="S316">
        <v>228</v>
      </c>
      <c r="T316" t="s">
        <v>284</v>
      </c>
      <c r="U316">
        <v>189</v>
      </c>
      <c r="V316" t="s">
        <v>285</v>
      </c>
      <c r="W316">
        <v>199</v>
      </c>
      <c r="X316" t="s">
        <v>285</v>
      </c>
      <c r="Y316">
        <v>206</v>
      </c>
      <c r="Z316" t="s">
        <v>285</v>
      </c>
      <c r="AA316">
        <v>128</v>
      </c>
      <c r="AB316" t="s">
        <v>285</v>
      </c>
      <c r="AG316">
        <v>198</v>
      </c>
      <c r="AH316" t="s">
        <v>54</v>
      </c>
      <c r="AI316" t="s">
        <v>52</v>
      </c>
      <c r="AZ316" t="s">
        <v>52</v>
      </c>
      <c r="BQ316" t="s">
        <v>52</v>
      </c>
      <c r="BR316">
        <v>1.85</v>
      </c>
      <c r="BS316" t="s">
        <v>284</v>
      </c>
      <c r="BT316">
        <v>1.93</v>
      </c>
      <c r="BU316" t="s">
        <v>284</v>
      </c>
      <c r="BV316">
        <v>1.93</v>
      </c>
      <c r="BW316" t="s">
        <v>284</v>
      </c>
      <c r="BX316">
        <v>1.93</v>
      </c>
      <c r="BY316" t="s">
        <v>284</v>
      </c>
      <c r="BZ316">
        <v>3.45</v>
      </c>
      <c r="CA316" t="s">
        <v>288</v>
      </c>
      <c r="CF316">
        <v>1.93</v>
      </c>
      <c r="CG316" t="s">
        <v>54</v>
      </c>
      <c r="CH316" t="s">
        <v>52</v>
      </c>
    </row>
    <row r="317" spans="1:86" x14ac:dyDescent="0.25">
      <c r="A317" t="s">
        <v>47</v>
      </c>
      <c r="B317">
        <v>8</v>
      </c>
      <c r="C317" t="s">
        <v>126</v>
      </c>
      <c r="D317">
        <v>21</v>
      </c>
      <c r="E317" t="s">
        <v>75</v>
      </c>
      <c r="F317">
        <v>16</v>
      </c>
      <c r="G317" t="s">
        <v>76</v>
      </c>
      <c r="H317" t="s">
        <v>50</v>
      </c>
      <c r="K317" t="s">
        <v>51</v>
      </c>
      <c r="L317">
        <v>1</v>
      </c>
      <c r="M317" t="s">
        <v>53</v>
      </c>
      <c r="N317">
        <v>16</v>
      </c>
      <c r="O317">
        <v>2</v>
      </c>
      <c r="P317" t="s">
        <v>52</v>
      </c>
      <c r="Q317">
        <v>0.5</v>
      </c>
      <c r="R317">
        <v>0.75</v>
      </c>
      <c r="S317">
        <v>83.35</v>
      </c>
      <c r="T317" t="s">
        <v>285</v>
      </c>
      <c r="U317">
        <v>96.14</v>
      </c>
      <c r="V317" t="s">
        <v>284</v>
      </c>
      <c r="W317">
        <v>103.37</v>
      </c>
      <c r="X317" t="s">
        <v>284</v>
      </c>
      <c r="Y317">
        <v>106.14</v>
      </c>
      <c r="Z317" t="s">
        <v>284</v>
      </c>
      <c r="AA317">
        <v>128</v>
      </c>
      <c r="AB317" t="s">
        <v>285</v>
      </c>
      <c r="AG317">
        <v>101.88330000000001</v>
      </c>
      <c r="AH317" t="s">
        <v>54</v>
      </c>
      <c r="AI317" t="s">
        <v>52</v>
      </c>
      <c r="AX317">
        <v>146.69999999999999</v>
      </c>
      <c r="AY317" t="s">
        <v>285</v>
      </c>
      <c r="AZ317" t="s">
        <v>287</v>
      </c>
      <c r="BQ317" t="s">
        <v>52</v>
      </c>
      <c r="BR317">
        <v>1.85</v>
      </c>
      <c r="BS317" t="s">
        <v>284</v>
      </c>
      <c r="BT317">
        <v>2</v>
      </c>
      <c r="BU317" t="s">
        <v>285</v>
      </c>
      <c r="BV317">
        <v>1.53</v>
      </c>
      <c r="BW317" t="s">
        <v>285</v>
      </c>
      <c r="BX317">
        <v>2.48</v>
      </c>
      <c r="BY317" t="s">
        <v>284</v>
      </c>
      <c r="BZ317">
        <v>2.2200000000000002</v>
      </c>
      <c r="CA317" t="s">
        <v>288</v>
      </c>
      <c r="CF317">
        <v>2.02</v>
      </c>
      <c r="CG317" t="s">
        <v>54</v>
      </c>
      <c r="CH317" t="s">
        <v>52</v>
      </c>
    </row>
    <row r="318" spans="1:86" x14ac:dyDescent="0.25">
      <c r="A318" t="s">
        <v>47</v>
      </c>
      <c r="B318">
        <v>8</v>
      </c>
      <c r="C318" t="s">
        <v>126</v>
      </c>
      <c r="D318">
        <v>21</v>
      </c>
      <c r="E318" t="s">
        <v>125</v>
      </c>
      <c r="F318">
        <v>67</v>
      </c>
      <c r="G318" t="s">
        <v>164</v>
      </c>
      <c r="H318" t="s">
        <v>50</v>
      </c>
      <c r="K318" t="s">
        <v>51</v>
      </c>
      <c r="L318">
        <v>1</v>
      </c>
      <c r="M318" t="s">
        <v>53</v>
      </c>
      <c r="N318">
        <v>67</v>
      </c>
      <c r="O318">
        <v>1</v>
      </c>
      <c r="P318" t="s">
        <v>52</v>
      </c>
      <c r="Q318">
        <v>0.5</v>
      </c>
      <c r="R318">
        <v>0.87</v>
      </c>
      <c r="S318">
        <v>228</v>
      </c>
      <c r="T318" t="s">
        <v>284</v>
      </c>
      <c r="AI318" t="s">
        <v>52</v>
      </c>
      <c r="AZ318" t="s">
        <v>52</v>
      </c>
      <c r="BQ318" t="s">
        <v>52</v>
      </c>
      <c r="BR318">
        <v>1.85</v>
      </c>
      <c r="BS318" t="s">
        <v>284</v>
      </c>
      <c r="CH318" t="s">
        <v>52</v>
      </c>
    </row>
    <row r="319" spans="1:86" x14ac:dyDescent="0.25">
      <c r="A319" t="s">
        <v>47</v>
      </c>
      <c r="B319">
        <v>8</v>
      </c>
      <c r="C319" t="s">
        <v>126</v>
      </c>
      <c r="D319">
        <v>21</v>
      </c>
      <c r="E319" t="s">
        <v>93</v>
      </c>
      <c r="F319">
        <v>94</v>
      </c>
      <c r="H319" t="s">
        <v>50</v>
      </c>
      <c r="K319" t="s">
        <v>51</v>
      </c>
      <c r="L319">
        <v>1</v>
      </c>
      <c r="M319" t="s">
        <v>53</v>
      </c>
      <c r="N319">
        <v>94</v>
      </c>
      <c r="O319">
        <v>2</v>
      </c>
      <c r="P319" t="s">
        <v>52</v>
      </c>
      <c r="Q319">
        <v>0.77</v>
      </c>
      <c r="R319">
        <v>0.93</v>
      </c>
      <c r="S319">
        <v>205</v>
      </c>
      <c r="T319" t="s">
        <v>284</v>
      </c>
      <c r="U319">
        <v>175</v>
      </c>
      <c r="V319" t="s">
        <v>284</v>
      </c>
      <c r="W319">
        <v>188</v>
      </c>
      <c r="X319" t="s">
        <v>284</v>
      </c>
      <c r="Y319">
        <v>202.32</v>
      </c>
      <c r="Z319" t="s">
        <v>284</v>
      </c>
      <c r="AA319">
        <v>209.16</v>
      </c>
      <c r="AB319" t="s">
        <v>284</v>
      </c>
      <c r="AG319">
        <v>198.44</v>
      </c>
      <c r="AH319" t="s">
        <v>54</v>
      </c>
      <c r="AI319" t="s">
        <v>52</v>
      </c>
      <c r="AZ319" t="s">
        <v>52</v>
      </c>
      <c r="BQ319" t="s">
        <v>52</v>
      </c>
      <c r="BR319">
        <v>2.15</v>
      </c>
      <c r="BS319" t="s">
        <v>284</v>
      </c>
      <c r="BT319">
        <v>1.04</v>
      </c>
      <c r="BU319" t="s">
        <v>284</v>
      </c>
      <c r="BV319">
        <v>1.98</v>
      </c>
      <c r="BW319" t="s">
        <v>284</v>
      </c>
      <c r="BX319">
        <v>1.98</v>
      </c>
      <c r="BY319" t="s">
        <v>284</v>
      </c>
      <c r="BZ319">
        <v>1.72</v>
      </c>
      <c r="CA319" t="s">
        <v>284</v>
      </c>
      <c r="CF319">
        <v>1.89</v>
      </c>
      <c r="CG319" t="s">
        <v>54</v>
      </c>
      <c r="CH319" t="s">
        <v>52</v>
      </c>
    </row>
    <row r="320" spans="1:86" x14ac:dyDescent="0.25">
      <c r="A320" t="s">
        <v>47</v>
      </c>
      <c r="B320">
        <v>8</v>
      </c>
      <c r="C320" t="s">
        <v>126</v>
      </c>
      <c r="D320">
        <v>21</v>
      </c>
      <c r="E320" t="s">
        <v>94</v>
      </c>
      <c r="F320">
        <v>26</v>
      </c>
      <c r="H320" t="s">
        <v>50</v>
      </c>
      <c r="K320" t="s">
        <v>51</v>
      </c>
      <c r="L320">
        <v>1</v>
      </c>
      <c r="M320" t="s">
        <v>53</v>
      </c>
      <c r="N320">
        <v>102</v>
      </c>
      <c r="O320">
        <v>1</v>
      </c>
      <c r="P320" t="s">
        <v>52</v>
      </c>
      <c r="Q320">
        <v>0</v>
      </c>
      <c r="R320">
        <v>0.92</v>
      </c>
      <c r="S320">
        <v>131.69999999999999</v>
      </c>
      <c r="T320" t="s">
        <v>284</v>
      </c>
      <c r="U320">
        <v>170</v>
      </c>
      <c r="V320" t="s">
        <v>284</v>
      </c>
      <c r="W320">
        <v>191</v>
      </c>
      <c r="X320" t="s">
        <v>284</v>
      </c>
      <c r="Y320">
        <v>207</v>
      </c>
      <c r="Z320" t="s">
        <v>284</v>
      </c>
      <c r="AA320">
        <v>186</v>
      </c>
      <c r="AB320" t="s">
        <v>284</v>
      </c>
      <c r="AG320">
        <v>182.33330000000001</v>
      </c>
      <c r="AH320" t="s">
        <v>54</v>
      </c>
      <c r="AI320" t="s">
        <v>52</v>
      </c>
      <c r="AZ320" t="s">
        <v>52</v>
      </c>
      <c r="BQ320" t="s">
        <v>52</v>
      </c>
      <c r="BR320">
        <v>1.53</v>
      </c>
      <c r="BS320" t="s">
        <v>285</v>
      </c>
      <c r="BT320">
        <v>2.13</v>
      </c>
      <c r="BU320" t="s">
        <v>285</v>
      </c>
      <c r="BV320">
        <v>1.88</v>
      </c>
      <c r="BW320" t="s">
        <v>285</v>
      </c>
      <c r="BX320">
        <v>1.88</v>
      </c>
      <c r="BY320" t="s">
        <v>288</v>
      </c>
      <c r="BZ320">
        <v>1.04</v>
      </c>
      <c r="CA320" t="s">
        <v>289</v>
      </c>
      <c r="CF320">
        <v>1.76</v>
      </c>
      <c r="CG320" t="s">
        <v>54</v>
      </c>
      <c r="CH320" t="s">
        <v>52</v>
      </c>
    </row>
    <row r="321" spans="1:86" x14ac:dyDescent="0.25">
      <c r="A321" t="s">
        <v>47</v>
      </c>
      <c r="B321">
        <v>8</v>
      </c>
      <c r="C321" t="s">
        <v>126</v>
      </c>
      <c r="D321">
        <v>21</v>
      </c>
      <c r="E321" t="s">
        <v>77</v>
      </c>
      <c r="F321">
        <v>51</v>
      </c>
      <c r="G321" t="s">
        <v>78</v>
      </c>
      <c r="H321" t="s">
        <v>50</v>
      </c>
      <c r="K321" t="s">
        <v>51</v>
      </c>
      <c r="L321">
        <v>1</v>
      </c>
      <c r="M321" t="s">
        <v>53</v>
      </c>
      <c r="N321">
        <v>51</v>
      </c>
      <c r="O321">
        <v>2</v>
      </c>
      <c r="P321" t="s">
        <v>52</v>
      </c>
      <c r="Q321">
        <v>0.5</v>
      </c>
      <c r="R321">
        <v>0.73</v>
      </c>
      <c r="S321">
        <v>228</v>
      </c>
      <c r="T321" t="s">
        <v>284</v>
      </c>
      <c r="U321">
        <v>218</v>
      </c>
      <c r="V321" t="s">
        <v>284</v>
      </c>
      <c r="W321">
        <v>147</v>
      </c>
      <c r="X321" t="s">
        <v>284</v>
      </c>
      <c r="Y321">
        <v>170</v>
      </c>
      <c r="Z321" t="s">
        <v>284</v>
      </c>
      <c r="AA321">
        <v>109</v>
      </c>
      <c r="AB321" t="s">
        <v>285</v>
      </c>
      <c r="AG321">
        <v>178.33330000000001</v>
      </c>
      <c r="AH321" t="s">
        <v>54</v>
      </c>
      <c r="AI321" t="s">
        <v>52</v>
      </c>
      <c r="AZ321" t="s">
        <v>52</v>
      </c>
      <c r="BQ321" t="s">
        <v>52</v>
      </c>
      <c r="CH321" t="s">
        <v>52</v>
      </c>
    </row>
    <row r="322" spans="1:86" x14ac:dyDescent="0.25">
      <c r="A322" t="s">
        <v>47</v>
      </c>
      <c r="B322">
        <v>8</v>
      </c>
      <c r="C322" t="s">
        <v>126</v>
      </c>
      <c r="D322">
        <v>21</v>
      </c>
      <c r="E322" t="s">
        <v>79</v>
      </c>
      <c r="F322">
        <v>50</v>
      </c>
      <c r="G322" t="s">
        <v>65</v>
      </c>
      <c r="H322" t="s">
        <v>50</v>
      </c>
      <c r="K322" t="s">
        <v>51</v>
      </c>
      <c r="L322">
        <v>1</v>
      </c>
      <c r="M322" t="s">
        <v>53</v>
      </c>
      <c r="N322">
        <v>50</v>
      </c>
      <c r="O322">
        <v>1</v>
      </c>
      <c r="P322" t="s">
        <v>52</v>
      </c>
      <c r="Q322">
        <v>0.5</v>
      </c>
      <c r="R322">
        <v>0.75</v>
      </c>
      <c r="S322">
        <v>85</v>
      </c>
      <c r="T322" t="s">
        <v>285</v>
      </c>
      <c r="U322">
        <v>93</v>
      </c>
      <c r="V322" t="s">
        <v>284</v>
      </c>
      <c r="W322">
        <v>89.7</v>
      </c>
      <c r="X322" t="s">
        <v>284</v>
      </c>
      <c r="Y322">
        <v>92.72</v>
      </c>
      <c r="Z322" t="s">
        <v>284</v>
      </c>
      <c r="AA322">
        <v>109</v>
      </c>
      <c r="AB322" t="s">
        <v>285</v>
      </c>
      <c r="AG322">
        <v>91.806700000000006</v>
      </c>
      <c r="AH322" t="s">
        <v>54</v>
      </c>
      <c r="AI322" t="s">
        <v>52</v>
      </c>
      <c r="AZ322" t="s">
        <v>52</v>
      </c>
      <c r="BQ322" t="s">
        <v>52</v>
      </c>
      <c r="BR322">
        <v>3.57</v>
      </c>
      <c r="BS322" t="s">
        <v>289</v>
      </c>
      <c r="BT322">
        <v>1.76</v>
      </c>
      <c r="BU322" t="s">
        <v>284</v>
      </c>
      <c r="BV322">
        <v>2.54</v>
      </c>
      <c r="BW322" t="s">
        <v>284</v>
      </c>
      <c r="BX322">
        <v>2.41</v>
      </c>
      <c r="BY322" t="s">
        <v>284</v>
      </c>
      <c r="BZ322">
        <v>3.16</v>
      </c>
      <c r="CA322" t="s">
        <v>289</v>
      </c>
      <c r="CF322">
        <v>2.7</v>
      </c>
      <c r="CG322" t="s">
        <v>54</v>
      </c>
      <c r="CH322" t="s">
        <v>52</v>
      </c>
    </row>
    <row r="323" spans="1:86" x14ac:dyDescent="0.25">
      <c r="A323" t="s">
        <v>47</v>
      </c>
      <c r="B323">
        <v>8</v>
      </c>
      <c r="C323" t="s">
        <v>126</v>
      </c>
      <c r="D323">
        <v>21</v>
      </c>
      <c r="E323" t="s">
        <v>82</v>
      </c>
      <c r="F323">
        <v>52</v>
      </c>
      <c r="H323" t="s">
        <v>50</v>
      </c>
      <c r="K323" t="s">
        <v>51</v>
      </c>
      <c r="L323">
        <v>1</v>
      </c>
      <c r="M323" t="s">
        <v>53</v>
      </c>
      <c r="N323">
        <v>50</v>
      </c>
      <c r="O323">
        <v>1</v>
      </c>
      <c r="P323" t="s">
        <v>52</v>
      </c>
      <c r="Q323">
        <v>0.5</v>
      </c>
      <c r="R323">
        <v>0.75</v>
      </c>
      <c r="S323">
        <v>85</v>
      </c>
      <c r="T323" t="s">
        <v>285</v>
      </c>
      <c r="U323">
        <v>93</v>
      </c>
      <c r="V323" t="s">
        <v>284</v>
      </c>
      <c r="W323">
        <v>191.5</v>
      </c>
      <c r="X323" t="s">
        <v>284</v>
      </c>
      <c r="Y323">
        <v>198</v>
      </c>
      <c r="Z323" t="s">
        <v>284</v>
      </c>
      <c r="AA323">
        <v>109</v>
      </c>
      <c r="AB323" t="s">
        <v>285</v>
      </c>
      <c r="AG323">
        <v>131.16669999999999</v>
      </c>
      <c r="AH323" t="s">
        <v>54</v>
      </c>
      <c r="AI323" t="s">
        <v>52</v>
      </c>
      <c r="AZ323" t="s">
        <v>52</v>
      </c>
      <c r="BQ323" t="s">
        <v>52</v>
      </c>
      <c r="BR323">
        <v>1.81</v>
      </c>
      <c r="BS323" t="s">
        <v>285</v>
      </c>
      <c r="BT323">
        <v>1.44</v>
      </c>
      <c r="BU323" t="s">
        <v>284</v>
      </c>
      <c r="CH323" t="s">
        <v>52</v>
      </c>
    </row>
    <row r="324" spans="1:86" x14ac:dyDescent="0.25">
      <c r="A324" t="s">
        <v>47</v>
      </c>
      <c r="B324">
        <v>8</v>
      </c>
      <c r="C324" t="s">
        <v>126</v>
      </c>
      <c r="D324">
        <v>21</v>
      </c>
      <c r="E324" t="s">
        <v>83</v>
      </c>
      <c r="F324">
        <v>158</v>
      </c>
      <c r="H324" t="s">
        <v>50</v>
      </c>
      <c r="K324" t="s">
        <v>51</v>
      </c>
      <c r="L324">
        <v>1</v>
      </c>
      <c r="M324" t="s">
        <v>53</v>
      </c>
      <c r="N324">
        <v>158</v>
      </c>
      <c r="O324">
        <v>2</v>
      </c>
      <c r="P324" t="s">
        <v>52</v>
      </c>
      <c r="Q324">
        <v>0.77</v>
      </c>
      <c r="R324">
        <v>0.93</v>
      </c>
      <c r="S324">
        <v>228</v>
      </c>
      <c r="T324" t="s">
        <v>284</v>
      </c>
      <c r="U324">
        <v>221</v>
      </c>
      <c r="V324" t="s">
        <v>284</v>
      </c>
      <c r="W324">
        <v>236</v>
      </c>
      <c r="X324" t="s">
        <v>284</v>
      </c>
      <c r="Y324">
        <v>244</v>
      </c>
      <c r="Z324" t="s">
        <v>284</v>
      </c>
      <c r="AA324">
        <v>252</v>
      </c>
      <c r="AB324" t="s">
        <v>284</v>
      </c>
      <c r="AG324">
        <v>236</v>
      </c>
      <c r="AH324" t="s">
        <v>54</v>
      </c>
      <c r="AI324" t="s">
        <v>52</v>
      </c>
      <c r="AX324">
        <v>339</v>
      </c>
      <c r="AY324" t="s">
        <v>285</v>
      </c>
      <c r="AZ324" t="s">
        <v>287</v>
      </c>
      <c r="BQ324" t="s">
        <v>52</v>
      </c>
      <c r="BR324">
        <v>1.85</v>
      </c>
      <c r="BS324" t="s">
        <v>284</v>
      </c>
      <c r="BT324">
        <v>1.35</v>
      </c>
      <c r="BU324" t="s">
        <v>284</v>
      </c>
      <c r="BV324">
        <v>1.47</v>
      </c>
      <c r="BW324" t="s">
        <v>288</v>
      </c>
      <c r="BX324">
        <v>1.34</v>
      </c>
      <c r="BY324" t="s">
        <v>289</v>
      </c>
      <c r="BZ324">
        <v>1.22</v>
      </c>
      <c r="CA324" t="s">
        <v>289</v>
      </c>
      <c r="CF324">
        <v>1.39</v>
      </c>
      <c r="CG324" t="s">
        <v>54</v>
      </c>
      <c r="CH324" t="s">
        <v>52</v>
      </c>
    </row>
    <row r="325" spans="1:86" x14ac:dyDescent="0.25">
      <c r="A325" t="s">
        <v>47</v>
      </c>
      <c r="B325">
        <v>8</v>
      </c>
      <c r="C325" t="s">
        <v>126</v>
      </c>
      <c r="D325">
        <v>21</v>
      </c>
      <c r="E325" t="s">
        <v>84</v>
      </c>
      <c r="F325">
        <v>11</v>
      </c>
      <c r="G325" t="s">
        <v>85</v>
      </c>
      <c r="H325" t="s">
        <v>50</v>
      </c>
      <c r="K325" t="s">
        <v>51</v>
      </c>
      <c r="L325">
        <v>1</v>
      </c>
      <c r="M325" t="s">
        <v>53</v>
      </c>
      <c r="N325">
        <v>11</v>
      </c>
      <c r="O325">
        <v>2</v>
      </c>
      <c r="P325" t="s">
        <v>52</v>
      </c>
      <c r="Q325">
        <v>0.5</v>
      </c>
      <c r="R325">
        <v>0.75</v>
      </c>
      <c r="S325">
        <v>155</v>
      </c>
      <c r="T325" t="s">
        <v>284</v>
      </c>
      <c r="U325">
        <v>110</v>
      </c>
      <c r="V325" t="s">
        <v>284</v>
      </c>
      <c r="W325">
        <v>118</v>
      </c>
      <c r="X325" t="s">
        <v>284</v>
      </c>
      <c r="Y325">
        <v>122</v>
      </c>
      <c r="Z325" t="s">
        <v>284</v>
      </c>
      <c r="AA325">
        <v>126</v>
      </c>
      <c r="AB325" t="s">
        <v>284</v>
      </c>
      <c r="AG325">
        <v>122</v>
      </c>
      <c r="AH325" t="s">
        <v>54</v>
      </c>
      <c r="AI325" t="s">
        <v>52</v>
      </c>
      <c r="AZ325" t="s">
        <v>52</v>
      </c>
      <c r="BQ325" t="s">
        <v>52</v>
      </c>
      <c r="BR325">
        <v>2.4</v>
      </c>
      <c r="BS325" t="s">
        <v>285</v>
      </c>
      <c r="BT325">
        <v>2.33</v>
      </c>
      <c r="BU325" t="s">
        <v>284</v>
      </c>
      <c r="BV325">
        <v>2.52</v>
      </c>
      <c r="BW325" t="s">
        <v>284</v>
      </c>
      <c r="BX325">
        <v>2.2000000000000002</v>
      </c>
      <c r="BY325" t="s">
        <v>284</v>
      </c>
      <c r="BZ325">
        <v>2.0699999999999998</v>
      </c>
      <c r="CA325" t="s">
        <v>284</v>
      </c>
      <c r="CF325">
        <v>2.31</v>
      </c>
      <c r="CG325" t="s">
        <v>54</v>
      </c>
      <c r="CH325" t="s">
        <v>52</v>
      </c>
    </row>
    <row r="326" spans="1:86" x14ac:dyDescent="0.25">
      <c r="A326" t="s">
        <v>47</v>
      </c>
      <c r="B326">
        <v>8</v>
      </c>
      <c r="C326" t="s">
        <v>126</v>
      </c>
      <c r="D326">
        <v>21</v>
      </c>
      <c r="E326" t="s">
        <v>84</v>
      </c>
      <c r="F326">
        <v>11</v>
      </c>
      <c r="G326" t="s">
        <v>96</v>
      </c>
      <c r="H326" t="s">
        <v>50</v>
      </c>
      <c r="K326" t="s">
        <v>51</v>
      </c>
      <c r="L326">
        <v>1</v>
      </c>
      <c r="M326" t="s">
        <v>53</v>
      </c>
      <c r="N326">
        <v>11</v>
      </c>
      <c r="O326">
        <v>2</v>
      </c>
      <c r="P326" t="s">
        <v>52</v>
      </c>
      <c r="Q326">
        <v>0.5</v>
      </c>
      <c r="R326">
        <v>0.75</v>
      </c>
      <c r="S326">
        <v>124</v>
      </c>
      <c r="T326" t="s">
        <v>284</v>
      </c>
      <c r="U326">
        <v>110</v>
      </c>
      <c r="V326" t="s">
        <v>284</v>
      </c>
      <c r="W326">
        <v>118</v>
      </c>
      <c r="X326" t="s">
        <v>284</v>
      </c>
      <c r="Y326">
        <v>122</v>
      </c>
      <c r="Z326" t="s">
        <v>284</v>
      </c>
      <c r="AA326">
        <v>126</v>
      </c>
      <c r="AB326" t="s">
        <v>284</v>
      </c>
      <c r="AG326">
        <v>121.33329999999999</v>
      </c>
      <c r="AH326" t="s">
        <v>54</v>
      </c>
      <c r="AI326" t="s">
        <v>52</v>
      </c>
      <c r="AZ326" t="s">
        <v>52</v>
      </c>
      <c r="BQ326" t="s">
        <v>52</v>
      </c>
      <c r="BR326">
        <v>2.4</v>
      </c>
      <c r="BS326" t="s">
        <v>285</v>
      </c>
      <c r="BT326">
        <v>2.33</v>
      </c>
      <c r="BU326" t="s">
        <v>284</v>
      </c>
      <c r="BV326">
        <v>2.52</v>
      </c>
      <c r="BW326" t="s">
        <v>284</v>
      </c>
      <c r="BX326">
        <v>2.2000000000000002</v>
      </c>
      <c r="BY326" t="s">
        <v>284</v>
      </c>
      <c r="BZ326">
        <v>1.89</v>
      </c>
      <c r="CA326" t="s">
        <v>284</v>
      </c>
      <c r="CF326">
        <v>2.31</v>
      </c>
      <c r="CG326" t="s">
        <v>54</v>
      </c>
      <c r="CH326" t="s">
        <v>52</v>
      </c>
    </row>
    <row r="327" spans="1:86" x14ac:dyDescent="0.25">
      <c r="A327" t="s">
        <v>47</v>
      </c>
      <c r="B327">
        <v>8</v>
      </c>
      <c r="C327" t="s">
        <v>130</v>
      </c>
      <c r="D327">
        <v>23</v>
      </c>
      <c r="E327" t="s">
        <v>49</v>
      </c>
      <c r="F327">
        <v>27</v>
      </c>
      <c r="H327" t="s">
        <v>50</v>
      </c>
      <c r="K327" t="s">
        <v>51</v>
      </c>
      <c r="L327">
        <v>1</v>
      </c>
      <c r="M327" t="s">
        <v>53</v>
      </c>
      <c r="N327">
        <v>27</v>
      </c>
      <c r="O327">
        <v>1</v>
      </c>
      <c r="P327" t="s">
        <v>52</v>
      </c>
      <c r="Q327">
        <v>0</v>
      </c>
      <c r="R327">
        <v>0.75</v>
      </c>
      <c r="S327">
        <v>231</v>
      </c>
      <c r="T327" t="s">
        <v>284</v>
      </c>
      <c r="U327">
        <v>208</v>
      </c>
      <c r="V327" t="s">
        <v>284</v>
      </c>
      <c r="W327">
        <v>224</v>
      </c>
      <c r="X327" t="s">
        <v>284</v>
      </c>
      <c r="Y327">
        <v>225</v>
      </c>
      <c r="Z327" t="s">
        <v>285</v>
      </c>
      <c r="AA327">
        <v>247</v>
      </c>
      <c r="AB327" t="s">
        <v>285</v>
      </c>
      <c r="AC327">
        <v>241</v>
      </c>
      <c r="AD327" t="s">
        <v>285</v>
      </c>
      <c r="AE327">
        <v>219</v>
      </c>
      <c r="AF327" t="s">
        <v>285</v>
      </c>
      <c r="AG327">
        <v>219</v>
      </c>
      <c r="AH327" t="s">
        <v>286</v>
      </c>
      <c r="AI327" t="s">
        <v>287</v>
      </c>
      <c r="AX327">
        <v>263</v>
      </c>
      <c r="AY327" t="s">
        <v>286</v>
      </c>
      <c r="AZ327" t="s">
        <v>287</v>
      </c>
      <c r="BQ327" t="s">
        <v>52</v>
      </c>
      <c r="BR327">
        <v>3.7</v>
      </c>
      <c r="BS327" t="s">
        <v>284</v>
      </c>
      <c r="BT327">
        <v>3.4</v>
      </c>
      <c r="BU327" t="s">
        <v>284</v>
      </c>
      <c r="BV327">
        <v>1</v>
      </c>
      <c r="BW327" t="s">
        <v>284</v>
      </c>
      <c r="BX327">
        <v>2.68</v>
      </c>
      <c r="BY327" t="s">
        <v>284</v>
      </c>
      <c r="BZ327">
        <v>2.93</v>
      </c>
      <c r="CA327" t="s">
        <v>288</v>
      </c>
      <c r="CF327">
        <v>3</v>
      </c>
      <c r="CG327" t="s">
        <v>54</v>
      </c>
      <c r="CH327" t="s">
        <v>52</v>
      </c>
    </row>
    <row r="328" spans="1:86" x14ac:dyDescent="0.25">
      <c r="A328" t="s">
        <v>47</v>
      </c>
      <c r="B328">
        <v>8</v>
      </c>
      <c r="C328" t="s">
        <v>130</v>
      </c>
      <c r="D328">
        <v>23</v>
      </c>
      <c r="E328" t="s">
        <v>58</v>
      </c>
      <c r="F328">
        <v>102</v>
      </c>
      <c r="G328" t="s">
        <v>62</v>
      </c>
      <c r="H328" t="s">
        <v>50</v>
      </c>
      <c r="K328" t="s">
        <v>51</v>
      </c>
      <c r="L328">
        <v>1</v>
      </c>
      <c r="M328" t="s">
        <v>53</v>
      </c>
      <c r="N328">
        <v>102</v>
      </c>
      <c r="O328">
        <v>1</v>
      </c>
      <c r="P328" t="s">
        <v>52</v>
      </c>
      <c r="Q328">
        <v>0</v>
      </c>
      <c r="R328">
        <v>0.92</v>
      </c>
      <c r="S328">
        <v>131.69999999999999</v>
      </c>
      <c r="T328" t="s">
        <v>284</v>
      </c>
      <c r="U328">
        <v>170</v>
      </c>
      <c r="V328" t="s">
        <v>284</v>
      </c>
      <c r="W328">
        <v>191</v>
      </c>
      <c r="X328" t="s">
        <v>284</v>
      </c>
      <c r="Y328">
        <v>207</v>
      </c>
      <c r="Z328" t="s">
        <v>284</v>
      </c>
      <c r="AA328">
        <v>205</v>
      </c>
      <c r="AB328" t="s">
        <v>285</v>
      </c>
      <c r="AG328">
        <v>188.66669999999999</v>
      </c>
      <c r="AH328" t="s">
        <v>54</v>
      </c>
      <c r="AI328" t="s">
        <v>52</v>
      </c>
      <c r="AX328">
        <v>271.60000000000002</v>
      </c>
      <c r="AY328" t="s">
        <v>285</v>
      </c>
      <c r="AZ328" t="s">
        <v>287</v>
      </c>
      <c r="BQ328" t="s">
        <v>52</v>
      </c>
      <c r="BR328">
        <v>1.85</v>
      </c>
      <c r="BS328" t="s">
        <v>284</v>
      </c>
      <c r="BT328">
        <v>1.61</v>
      </c>
      <c r="BU328" t="s">
        <v>284</v>
      </c>
      <c r="BV328">
        <v>0.53</v>
      </c>
      <c r="BW328" t="s">
        <v>285</v>
      </c>
      <c r="BX328">
        <v>0.82</v>
      </c>
      <c r="BY328" t="s">
        <v>285</v>
      </c>
      <c r="BZ328">
        <v>0.21</v>
      </c>
      <c r="CA328" t="s">
        <v>288</v>
      </c>
      <c r="CF328">
        <v>0.99</v>
      </c>
      <c r="CG328" t="s">
        <v>54</v>
      </c>
      <c r="CH328" t="s">
        <v>52</v>
      </c>
    </row>
    <row r="329" spans="1:86" x14ac:dyDescent="0.25">
      <c r="A329" t="s">
        <v>47</v>
      </c>
      <c r="B329">
        <v>8</v>
      </c>
      <c r="C329" t="s">
        <v>130</v>
      </c>
      <c r="D329">
        <v>23</v>
      </c>
      <c r="E329" t="s">
        <v>58</v>
      </c>
      <c r="F329">
        <v>102</v>
      </c>
      <c r="G329" t="s">
        <v>62</v>
      </c>
      <c r="H329" t="s">
        <v>50</v>
      </c>
      <c r="K329" t="s">
        <v>52</v>
      </c>
      <c r="L329">
        <v>1</v>
      </c>
      <c r="M329" t="s">
        <v>53</v>
      </c>
      <c r="N329">
        <v>102</v>
      </c>
      <c r="O329">
        <v>1</v>
      </c>
      <c r="P329" t="s">
        <v>52</v>
      </c>
      <c r="Q329">
        <v>0</v>
      </c>
      <c r="R329">
        <v>0.92</v>
      </c>
      <c r="S329">
        <v>131.69999999999999</v>
      </c>
      <c r="T329" t="s">
        <v>284</v>
      </c>
      <c r="U329">
        <v>170</v>
      </c>
      <c r="V329" t="s">
        <v>284</v>
      </c>
      <c r="W329">
        <v>191</v>
      </c>
      <c r="X329" t="s">
        <v>284</v>
      </c>
      <c r="Y329">
        <v>207</v>
      </c>
      <c r="Z329" t="s">
        <v>284</v>
      </c>
      <c r="AA329">
        <v>205</v>
      </c>
      <c r="AB329" t="s">
        <v>285</v>
      </c>
      <c r="AG329">
        <v>188.66669999999999</v>
      </c>
      <c r="AH329" t="s">
        <v>54</v>
      </c>
      <c r="AI329" t="s">
        <v>52</v>
      </c>
      <c r="AX329">
        <v>271.60000000000002</v>
      </c>
      <c r="AY329" t="s">
        <v>285</v>
      </c>
      <c r="AZ329" t="s">
        <v>287</v>
      </c>
      <c r="BQ329" t="s">
        <v>52</v>
      </c>
      <c r="BR329">
        <v>0.83</v>
      </c>
      <c r="BS329" t="s">
        <v>285</v>
      </c>
      <c r="BT329">
        <v>1.1399999999999999</v>
      </c>
      <c r="BU329" t="s">
        <v>284</v>
      </c>
      <c r="BV329">
        <v>0.34</v>
      </c>
      <c r="BW329" t="s">
        <v>285</v>
      </c>
      <c r="BX329">
        <v>0.61</v>
      </c>
      <c r="BY329" t="s">
        <v>285</v>
      </c>
      <c r="BZ329">
        <v>0.52</v>
      </c>
      <c r="CA329" t="s">
        <v>284</v>
      </c>
      <c r="CF329">
        <v>0.65</v>
      </c>
      <c r="CG329" t="s">
        <v>54</v>
      </c>
      <c r="CH329" t="s">
        <v>52</v>
      </c>
    </row>
    <row r="330" spans="1:86" x14ac:dyDescent="0.25">
      <c r="A330" t="s">
        <v>47</v>
      </c>
      <c r="B330">
        <v>8</v>
      </c>
      <c r="C330" t="s">
        <v>130</v>
      </c>
      <c r="D330">
        <v>23</v>
      </c>
      <c r="E330" t="s">
        <v>58</v>
      </c>
      <c r="F330">
        <v>102</v>
      </c>
      <c r="G330" t="s">
        <v>64</v>
      </c>
      <c r="H330" t="s">
        <v>50</v>
      </c>
      <c r="K330" t="s">
        <v>51</v>
      </c>
      <c r="L330">
        <v>1</v>
      </c>
      <c r="M330" t="s">
        <v>53</v>
      </c>
      <c r="N330">
        <v>102</v>
      </c>
      <c r="O330">
        <v>1</v>
      </c>
      <c r="P330" t="s">
        <v>52</v>
      </c>
      <c r="Q330">
        <v>0</v>
      </c>
      <c r="R330">
        <v>0.92</v>
      </c>
      <c r="S330">
        <v>131.69999999999999</v>
      </c>
      <c r="T330" t="s">
        <v>284</v>
      </c>
      <c r="U330">
        <v>170</v>
      </c>
      <c r="V330" t="s">
        <v>284</v>
      </c>
      <c r="W330">
        <v>191</v>
      </c>
      <c r="X330" t="s">
        <v>284</v>
      </c>
      <c r="Y330">
        <v>207</v>
      </c>
      <c r="Z330" t="s">
        <v>284</v>
      </c>
      <c r="AA330">
        <v>205</v>
      </c>
      <c r="AB330" t="s">
        <v>285</v>
      </c>
      <c r="AG330">
        <v>188.66669999999999</v>
      </c>
      <c r="AH330" t="s">
        <v>54</v>
      </c>
      <c r="AI330" t="s">
        <v>52</v>
      </c>
      <c r="AZ330" t="s">
        <v>52</v>
      </c>
      <c r="BQ330" t="s">
        <v>52</v>
      </c>
      <c r="BR330">
        <v>1.85</v>
      </c>
      <c r="BS330" t="s">
        <v>284</v>
      </c>
      <c r="BT330">
        <v>2.19</v>
      </c>
      <c r="BU330" t="s">
        <v>284</v>
      </c>
      <c r="BV330">
        <v>1.7</v>
      </c>
      <c r="BW330" t="s">
        <v>285</v>
      </c>
      <c r="BX330">
        <v>1.18</v>
      </c>
      <c r="BY330" t="s">
        <v>285</v>
      </c>
      <c r="BZ330">
        <v>1.01</v>
      </c>
      <c r="CA330" t="s">
        <v>284</v>
      </c>
      <c r="CF330">
        <v>1.58</v>
      </c>
      <c r="CG330" t="s">
        <v>54</v>
      </c>
      <c r="CH330" t="s">
        <v>52</v>
      </c>
    </row>
    <row r="331" spans="1:86" x14ac:dyDescent="0.25">
      <c r="A331" t="s">
        <v>47</v>
      </c>
      <c r="B331">
        <v>8</v>
      </c>
      <c r="C331" t="s">
        <v>130</v>
      </c>
      <c r="D331">
        <v>23</v>
      </c>
      <c r="E331" t="s">
        <v>58</v>
      </c>
      <c r="F331">
        <v>102</v>
      </c>
      <c r="G331" t="s">
        <v>127</v>
      </c>
      <c r="H331" t="s">
        <v>50</v>
      </c>
      <c r="K331" t="s">
        <v>51</v>
      </c>
      <c r="L331">
        <v>1</v>
      </c>
      <c r="M331" t="s">
        <v>53</v>
      </c>
      <c r="N331">
        <v>102</v>
      </c>
      <c r="O331">
        <v>1</v>
      </c>
      <c r="P331" t="s">
        <v>52</v>
      </c>
      <c r="Q331">
        <v>0</v>
      </c>
      <c r="R331">
        <v>0.92</v>
      </c>
      <c r="S331">
        <v>131.69999999999999</v>
      </c>
      <c r="T331" t="s">
        <v>284</v>
      </c>
      <c r="U331">
        <v>170</v>
      </c>
      <c r="V331" t="s">
        <v>284</v>
      </c>
      <c r="W331">
        <v>191</v>
      </c>
      <c r="X331" t="s">
        <v>284</v>
      </c>
      <c r="Y331">
        <v>207</v>
      </c>
      <c r="Z331" t="s">
        <v>284</v>
      </c>
      <c r="AA331">
        <v>205</v>
      </c>
      <c r="AB331" t="s">
        <v>285</v>
      </c>
      <c r="AG331">
        <v>188.66669999999999</v>
      </c>
      <c r="AH331" t="s">
        <v>54</v>
      </c>
      <c r="AI331" t="s">
        <v>52</v>
      </c>
      <c r="AZ331" t="s">
        <v>52</v>
      </c>
      <c r="BQ331" t="s">
        <v>52</v>
      </c>
      <c r="BR331">
        <v>1.85</v>
      </c>
      <c r="BS331" t="s">
        <v>284</v>
      </c>
      <c r="BT331">
        <v>2.0099999999999998</v>
      </c>
      <c r="BU331" t="s">
        <v>284</v>
      </c>
      <c r="BV331">
        <v>1.56</v>
      </c>
      <c r="BW331" t="s">
        <v>284</v>
      </c>
      <c r="BX331">
        <v>1.08</v>
      </c>
      <c r="BY331" t="s">
        <v>284</v>
      </c>
      <c r="BZ331">
        <v>0.93</v>
      </c>
      <c r="CA331" t="s">
        <v>284</v>
      </c>
      <c r="CF331">
        <v>1.5</v>
      </c>
      <c r="CG331" t="s">
        <v>54</v>
      </c>
      <c r="CH331" t="s">
        <v>52</v>
      </c>
    </row>
    <row r="332" spans="1:86" x14ac:dyDescent="0.25">
      <c r="A332" t="s">
        <v>47</v>
      </c>
      <c r="B332">
        <v>8</v>
      </c>
      <c r="C332" t="s">
        <v>130</v>
      </c>
      <c r="D332">
        <v>23</v>
      </c>
      <c r="E332" t="s">
        <v>58</v>
      </c>
      <c r="F332">
        <v>102</v>
      </c>
      <c r="G332" t="s">
        <v>65</v>
      </c>
      <c r="H332" t="s">
        <v>50</v>
      </c>
      <c r="K332" t="s">
        <v>51</v>
      </c>
      <c r="L332">
        <v>1</v>
      </c>
      <c r="M332" t="s">
        <v>53</v>
      </c>
      <c r="N332">
        <v>102</v>
      </c>
      <c r="O332">
        <v>1</v>
      </c>
      <c r="P332" t="s">
        <v>52</v>
      </c>
      <c r="Q332">
        <v>0</v>
      </c>
      <c r="R332">
        <v>0.92</v>
      </c>
      <c r="S332">
        <v>131.69999999999999</v>
      </c>
      <c r="T332" t="s">
        <v>284</v>
      </c>
      <c r="U332">
        <v>170</v>
      </c>
      <c r="V332" t="s">
        <v>284</v>
      </c>
      <c r="W332">
        <v>191</v>
      </c>
      <c r="X332" t="s">
        <v>284</v>
      </c>
      <c r="Y332">
        <v>207</v>
      </c>
      <c r="Z332" t="s">
        <v>284</v>
      </c>
      <c r="AA332">
        <v>155</v>
      </c>
      <c r="AB332" t="s">
        <v>285</v>
      </c>
      <c r="AG332">
        <v>172</v>
      </c>
      <c r="AH332" t="s">
        <v>54</v>
      </c>
      <c r="AI332" t="s">
        <v>52</v>
      </c>
      <c r="AZ332" t="s">
        <v>52</v>
      </c>
      <c r="BQ332" t="s">
        <v>52</v>
      </c>
      <c r="BR332">
        <v>1.85</v>
      </c>
      <c r="BS332" t="s">
        <v>284</v>
      </c>
      <c r="BT332">
        <v>2.0099999999999998</v>
      </c>
      <c r="BU332" t="s">
        <v>284</v>
      </c>
      <c r="BV332">
        <v>1.56</v>
      </c>
      <c r="BW332" t="s">
        <v>285</v>
      </c>
      <c r="BX332">
        <v>1.08</v>
      </c>
      <c r="BY332" t="s">
        <v>285</v>
      </c>
      <c r="BZ332">
        <v>0.93</v>
      </c>
      <c r="CA332" t="s">
        <v>284</v>
      </c>
      <c r="CF332">
        <v>1.5</v>
      </c>
      <c r="CG332" t="s">
        <v>54</v>
      </c>
      <c r="CH332" t="s">
        <v>52</v>
      </c>
    </row>
    <row r="333" spans="1:86" x14ac:dyDescent="0.25">
      <c r="A333" t="s">
        <v>47</v>
      </c>
      <c r="B333">
        <v>8</v>
      </c>
      <c r="C333" t="s">
        <v>130</v>
      </c>
      <c r="D333">
        <v>23</v>
      </c>
      <c r="E333" t="s">
        <v>70</v>
      </c>
      <c r="F333">
        <v>296</v>
      </c>
      <c r="G333" t="s">
        <v>71</v>
      </c>
      <c r="H333" t="s">
        <v>50</v>
      </c>
      <c r="K333" t="s">
        <v>51</v>
      </c>
      <c r="L333">
        <v>1</v>
      </c>
      <c r="M333" t="s">
        <v>53</v>
      </c>
      <c r="N333">
        <v>296</v>
      </c>
      <c r="O333">
        <v>1</v>
      </c>
      <c r="P333" t="s">
        <v>52</v>
      </c>
      <c r="Q333">
        <v>0</v>
      </c>
      <c r="R333">
        <v>0.75</v>
      </c>
      <c r="S333">
        <v>228</v>
      </c>
      <c r="T333" t="s">
        <v>284</v>
      </c>
      <c r="U333">
        <v>190</v>
      </c>
      <c r="V333" t="s">
        <v>285</v>
      </c>
      <c r="W333">
        <v>194</v>
      </c>
      <c r="X333" t="s">
        <v>285</v>
      </c>
      <c r="Y333">
        <v>225</v>
      </c>
      <c r="Z333" t="s">
        <v>285</v>
      </c>
      <c r="AA333">
        <v>247</v>
      </c>
      <c r="AB333" t="s">
        <v>285</v>
      </c>
      <c r="AC333">
        <v>241</v>
      </c>
      <c r="AD333" t="s">
        <v>285</v>
      </c>
      <c r="AE333">
        <v>219</v>
      </c>
      <c r="AF333" t="s">
        <v>285</v>
      </c>
      <c r="AG333">
        <v>219</v>
      </c>
      <c r="AH333" t="s">
        <v>286</v>
      </c>
      <c r="AI333" t="s">
        <v>287</v>
      </c>
      <c r="AX333">
        <v>263</v>
      </c>
      <c r="AY333" t="s">
        <v>286</v>
      </c>
      <c r="AZ333" t="s">
        <v>287</v>
      </c>
      <c r="BQ333" t="s">
        <v>52</v>
      </c>
      <c r="BR333">
        <v>1.85</v>
      </c>
      <c r="BS333" t="s">
        <v>284</v>
      </c>
      <c r="BT333">
        <v>2.0099999999999998</v>
      </c>
      <c r="BU333" t="s">
        <v>284</v>
      </c>
      <c r="BV333">
        <v>1.19</v>
      </c>
      <c r="BW333" t="s">
        <v>285</v>
      </c>
      <c r="BX333">
        <v>1.19</v>
      </c>
      <c r="BY333" t="s">
        <v>285</v>
      </c>
      <c r="BZ333">
        <v>0.46</v>
      </c>
      <c r="CA333" t="s">
        <v>288</v>
      </c>
      <c r="CF333">
        <v>1.41</v>
      </c>
      <c r="CG333" t="s">
        <v>54</v>
      </c>
      <c r="CH333" t="s">
        <v>52</v>
      </c>
    </row>
    <row r="334" spans="1:86" x14ac:dyDescent="0.25">
      <c r="A334" t="s">
        <v>47</v>
      </c>
      <c r="B334">
        <v>8</v>
      </c>
      <c r="C334" t="s">
        <v>130</v>
      </c>
      <c r="D334">
        <v>23</v>
      </c>
      <c r="E334" t="s">
        <v>70</v>
      </c>
      <c r="F334">
        <v>296</v>
      </c>
      <c r="G334" t="s">
        <v>73</v>
      </c>
      <c r="H334" t="s">
        <v>50</v>
      </c>
      <c r="K334" t="s">
        <v>51</v>
      </c>
      <c r="L334">
        <v>1</v>
      </c>
      <c r="M334" t="s">
        <v>53</v>
      </c>
      <c r="N334">
        <v>296</v>
      </c>
      <c r="O334">
        <v>1</v>
      </c>
      <c r="P334" t="s">
        <v>52</v>
      </c>
      <c r="Q334">
        <v>0</v>
      </c>
      <c r="R334">
        <v>0.75</v>
      </c>
      <c r="S334">
        <v>228</v>
      </c>
      <c r="T334" t="s">
        <v>284</v>
      </c>
      <c r="U334">
        <v>221</v>
      </c>
      <c r="V334" t="s">
        <v>284</v>
      </c>
      <c r="W334">
        <v>236</v>
      </c>
      <c r="X334" t="s">
        <v>284</v>
      </c>
      <c r="Y334">
        <v>244</v>
      </c>
      <c r="Z334" t="s">
        <v>284</v>
      </c>
      <c r="AA334">
        <v>225</v>
      </c>
      <c r="AB334" t="s">
        <v>285</v>
      </c>
      <c r="AG334">
        <v>229.66669999999999</v>
      </c>
      <c r="AH334" t="s">
        <v>54</v>
      </c>
      <c r="AI334" t="s">
        <v>52</v>
      </c>
      <c r="AZ334" t="s">
        <v>52</v>
      </c>
      <c r="BQ334" t="s">
        <v>52</v>
      </c>
      <c r="BR334">
        <v>1.85</v>
      </c>
      <c r="BS334" t="s">
        <v>284</v>
      </c>
      <c r="BT334">
        <v>2.4500000000000002</v>
      </c>
      <c r="BU334" t="s">
        <v>285</v>
      </c>
      <c r="BV334">
        <v>1.47</v>
      </c>
      <c r="BW334" t="s">
        <v>285</v>
      </c>
      <c r="BX334">
        <v>1.84</v>
      </c>
      <c r="BY334" t="s">
        <v>285</v>
      </c>
      <c r="BZ334">
        <v>1.84</v>
      </c>
      <c r="CA334" t="s">
        <v>284</v>
      </c>
      <c r="CF334">
        <v>1.84</v>
      </c>
      <c r="CG334" t="s">
        <v>54</v>
      </c>
      <c r="CH334" t="s">
        <v>52</v>
      </c>
    </row>
    <row r="335" spans="1:86" x14ac:dyDescent="0.25">
      <c r="A335" t="s">
        <v>47</v>
      </c>
      <c r="B335">
        <v>8</v>
      </c>
      <c r="C335" t="s">
        <v>130</v>
      </c>
      <c r="D335">
        <v>23</v>
      </c>
      <c r="E335" t="s">
        <v>70</v>
      </c>
      <c r="F335">
        <v>296</v>
      </c>
      <c r="G335" t="s">
        <v>74</v>
      </c>
      <c r="H335" t="s">
        <v>50</v>
      </c>
      <c r="K335" t="s">
        <v>51</v>
      </c>
      <c r="L335">
        <v>1</v>
      </c>
      <c r="M335" t="s">
        <v>53</v>
      </c>
      <c r="N335">
        <v>102</v>
      </c>
      <c r="O335">
        <v>1</v>
      </c>
      <c r="P335" t="s">
        <v>52</v>
      </c>
      <c r="Q335">
        <v>0</v>
      </c>
      <c r="R335">
        <v>0.75</v>
      </c>
      <c r="S335">
        <v>135</v>
      </c>
      <c r="T335" t="s">
        <v>284</v>
      </c>
      <c r="U335">
        <v>132</v>
      </c>
      <c r="V335" t="s">
        <v>284</v>
      </c>
      <c r="W335">
        <v>147</v>
      </c>
      <c r="X335" t="s">
        <v>284</v>
      </c>
      <c r="Y335">
        <v>170</v>
      </c>
      <c r="Z335" t="s">
        <v>284</v>
      </c>
      <c r="AA335">
        <v>205</v>
      </c>
      <c r="AB335" t="s">
        <v>285</v>
      </c>
      <c r="AG335">
        <v>150.66669999999999</v>
      </c>
      <c r="AH335" t="s">
        <v>54</v>
      </c>
      <c r="AI335" t="s">
        <v>52</v>
      </c>
      <c r="AZ335" t="s">
        <v>52</v>
      </c>
      <c r="BQ335" t="s">
        <v>52</v>
      </c>
      <c r="BR335">
        <v>1.85</v>
      </c>
      <c r="BS335" t="s">
        <v>284</v>
      </c>
      <c r="BT335">
        <v>2.19</v>
      </c>
      <c r="BU335" t="s">
        <v>284</v>
      </c>
      <c r="BV335">
        <v>1.44</v>
      </c>
      <c r="BW335" t="s">
        <v>285</v>
      </c>
      <c r="BX335">
        <v>1.45</v>
      </c>
      <c r="BY335" t="s">
        <v>285</v>
      </c>
      <c r="BZ335">
        <v>1.38</v>
      </c>
      <c r="CA335" t="s">
        <v>289</v>
      </c>
      <c r="CF335">
        <v>1.58</v>
      </c>
      <c r="CG335" t="s">
        <v>54</v>
      </c>
      <c r="CH335" t="s">
        <v>52</v>
      </c>
    </row>
    <row r="336" spans="1:86" x14ac:dyDescent="0.25">
      <c r="A336" t="s">
        <v>47</v>
      </c>
      <c r="B336">
        <v>8</v>
      </c>
      <c r="C336" t="s">
        <v>130</v>
      </c>
      <c r="D336">
        <v>23</v>
      </c>
      <c r="E336" t="s">
        <v>70</v>
      </c>
      <c r="F336">
        <v>296</v>
      </c>
      <c r="G336" t="s">
        <v>122</v>
      </c>
      <c r="H336" t="s">
        <v>50</v>
      </c>
      <c r="K336" t="s">
        <v>51</v>
      </c>
      <c r="L336">
        <v>1</v>
      </c>
      <c r="M336" t="s">
        <v>53</v>
      </c>
      <c r="N336">
        <v>102</v>
      </c>
      <c r="O336">
        <v>1</v>
      </c>
      <c r="P336" t="s">
        <v>52</v>
      </c>
      <c r="Q336">
        <v>0</v>
      </c>
      <c r="R336">
        <v>0.75</v>
      </c>
      <c r="S336">
        <v>228</v>
      </c>
      <c r="T336" t="s">
        <v>284</v>
      </c>
      <c r="U336">
        <v>190</v>
      </c>
      <c r="V336" t="s">
        <v>285</v>
      </c>
      <c r="W336">
        <v>194</v>
      </c>
      <c r="X336" t="s">
        <v>285</v>
      </c>
      <c r="Y336">
        <v>213</v>
      </c>
      <c r="Z336" t="s">
        <v>284</v>
      </c>
      <c r="AA336">
        <v>225</v>
      </c>
      <c r="AB336" t="s">
        <v>285</v>
      </c>
      <c r="AG336">
        <v>210.66669999999999</v>
      </c>
      <c r="AH336" t="s">
        <v>54</v>
      </c>
      <c r="AI336" t="s">
        <v>52</v>
      </c>
      <c r="AZ336" t="s">
        <v>52</v>
      </c>
      <c r="BQ336" t="s">
        <v>52</v>
      </c>
      <c r="BR336">
        <v>1.85</v>
      </c>
      <c r="BS336" t="s">
        <v>284</v>
      </c>
      <c r="BT336">
        <v>2</v>
      </c>
      <c r="BU336" t="s">
        <v>284</v>
      </c>
      <c r="BV336">
        <v>1.19</v>
      </c>
      <c r="BW336" t="s">
        <v>285</v>
      </c>
      <c r="BX336">
        <v>1.19</v>
      </c>
      <c r="BY336" t="s">
        <v>285</v>
      </c>
      <c r="BZ336">
        <v>0.46</v>
      </c>
      <c r="CA336" t="s">
        <v>285</v>
      </c>
      <c r="CF336">
        <v>1.41</v>
      </c>
      <c r="CG336" t="s">
        <v>54</v>
      </c>
      <c r="CH336" t="s">
        <v>52</v>
      </c>
    </row>
    <row r="337" spans="1:86" x14ac:dyDescent="0.25">
      <c r="A337" t="s">
        <v>47</v>
      </c>
      <c r="B337">
        <v>8</v>
      </c>
      <c r="C337" t="s">
        <v>130</v>
      </c>
      <c r="D337">
        <v>23</v>
      </c>
      <c r="E337" t="s">
        <v>70</v>
      </c>
      <c r="F337">
        <v>296</v>
      </c>
      <c r="G337" t="s">
        <v>91</v>
      </c>
      <c r="H337" t="s">
        <v>50</v>
      </c>
      <c r="K337" t="s">
        <v>51</v>
      </c>
      <c r="L337">
        <v>1</v>
      </c>
      <c r="M337" t="s">
        <v>53</v>
      </c>
      <c r="N337">
        <v>102</v>
      </c>
      <c r="O337">
        <v>1</v>
      </c>
      <c r="P337" t="s">
        <v>52</v>
      </c>
      <c r="Q337">
        <v>0.5</v>
      </c>
      <c r="R337">
        <v>0.75</v>
      </c>
      <c r="S337">
        <v>228</v>
      </c>
      <c r="T337" t="s">
        <v>284</v>
      </c>
      <c r="U337">
        <v>190</v>
      </c>
      <c r="V337" t="s">
        <v>285</v>
      </c>
      <c r="W337">
        <v>236</v>
      </c>
      <c r="X337" t="s">
        <v>284</v>
      </c>
      <c r="Y337">
        <v>244</v>
      </c>
      <c r="Z337" t="s">
        <v>284</v>
      </c>
      <c r="AA337">
        <v>215</v>
      </c>
      <c r="AB337" t="s">
        <v>285</v>
      </c>
      <c r="AG337">
        <v>226.33330000000001</v>
      </c>
      <c r="AH337" t="s">
        <v>54</v>
      </c>
      <c r="AI337" t="s">
        <v>52</v>
      </c>
      <c r="AZ337" t="s">
        <v>52</v>
      </c>
      <c r="BQ337" t="s">
        <v>52</v>
      </c>
      <c r="BR337">
        <v>1.85</v>
      </c>
      <c r="BS337" t="s">
        <v>284</v>
      </c>
      <c r="BT337">
        <v>1.67</v>
      </c>
      <c r="BU337" t="s">
        <v>284</v>
      </c>
      <c r="BV337">
        <v>1.58</v>
      </c>
      <c r="BW337" t="s">
        <v>284</v>
      </c>
      <c r="BX337">
        <v>1.27</v>
      </c>
      <c r="BY337" t="s">
        <v>284</v>
      </c>
      <c r="BZ337">
        <v>1.27</v>
      </c>
      <c r="CA337" t="s">
        <v>284</v>
      </c>
      <c r="CF337">
        <v>1.51</v>
      </c>
      <c r="CG337" t="s">
        <v>54</v>
      </c>
      <c r="CH337" t="s">
        <v>52</v>
      </c>
    </row>
    <row r="338" spans="1:86" x14ac:dyDescent="0.25">
      <c r="A338" t="s">
        <v>47</v>
      </c>
      <c r="B338">
        <v>8</v>
      </c>
      <c r="C338" t="s">
        <v>130</v>
      </c>
      <c r="D338">
        <v>23</v>
      </c>
      <c r="E338" t="s">
        <v>70</v>
      </c>
      <c r="F338">
        <v>296</v>
      </c>
      <c r="G338" t="s">
        <v>92</v>
      </c>
      <c r="H338" t="s">
        <v>50</v>
      </c>
      <c r="K338" t="s">
        <v>51</v>
      </c>
      <c r="L338">
        <v>1</v>
      </c>
      <c r="M338" t="s">
        <v>53</v>
      </c>
      <c r="N338">
        <v>102</v>
      </c>
      <c r="O338">
        <v>1</v>
      </c>
      <c r="P338" t="s">
        <v>52</v>
      </c>
      <c r="Q338">
        <v>0.5</v>
      </c>
      <c r="R338">
        <v>0.75</v>
      </c>
      <c r="S338">
        <v>228</v>
      </c>
      <c r="T338" t="s">
        <v>284</v>
      </c>
      <c r="U338">
        <v>189</v>
      </c>
      <c r="V338" t="s">
        <v>285</v>
      </c>
      <c r="W338">
        <v>199</v>
      </c>
      <c r="X338" t="s">
        <v>285</v>
      </c>
      <c r="Y338">
        <v>206</v>
      </c>
      <c r="Z338" t="s">
        <v>285</v>
      </c>
      <c r="AA338">
        <v>128</v>
      </c>
      <c r="AB338" t="s">
        <v>285</v>
      </c>
      <c r="AG338">
        <v>198</v>
      </c>
      <c r="AH338" t="s">
        <v>54</v>
      </c>
      <c r="AI338" t="s">
        <v>52</v>
      </c>
      <c r="AZ338" t="s">
        <v>52</v>
      </c>
      <c r="BQ338" t="s">
        <v>52</v>
      </c>
      <c r="BR338">
        <v>1.85</v>
      </c>
      <c r="BS338" t="s">
        <v>284</v>
      </c>
      <c r="BT338">
        <v>2.19</v>
      </c>
      <c r="BU338" t="s">
        <v>284</v>
      </c>
      <c r="BV338">
        <v>2.19</v>
      </c>
      <c r="BW338" t="s">
        <v>284</v>
      </c>
      <c r="BX338">
        <v>2.19</v>
      </c>
      <c r="BY338" t="s">
        <v>284</v>
      </c>
      <c r="BZ338">
        <v>2.19</v>
      </c>
      <c r="CA338" t="s">
        <v>285</v>
      </c>
      <c r="CF338">
        <v>2.19</v>
      </c>
      <c r="CG338" t="s">
        <v>54</v>
      </c>
      <c r="CH338" t="s">
        <v>52</v>
      </c>
    </row>
    <row r="339" spans="1:86" x14ac:dyDescent="0.25">
      <c r="A339" t="s">
        <v>47</v>
      </c>
      <c r="B339">
        <v>8</v>
      </c>
      <c r="C339" t="s">
        <v>130</v>
      </c>
      <c r="D339">
        <v>23</v>
      </c>
      <c r="E339" t="s">
        <v>75</v>
      </c>
      <c r="F339">
        <v>16</v>
      </c>
      <c r="G339" t="s">
        <v>76</v>
      </c>
      <c r="H339" t="s">
        <v>50</v>
      </c>
      <c r="K339" t="s">
        <v>51</v>
      </c>
      <c r="L339">
        <v>1</v>
      </c>
      <c r="M339" t="s">
        <v>53</v>
      </c>
      <c r="N339">
        <v>16</v>
      </c>
      <c r="O339">
        <v>2</v>
      </c>
      <c r="P339" t="s">
        <v>52</v>
      </c>
      <c r="Q339">
        <v>0.5</v>
      </c>
      <c r="R339">
        <v>0.75</v>
      </c>
      <c r="S339">
        <v>83.35</v>
      </c>
      <c r="T339" t="s">
        <v>285</v>
      </c>
      <c r="U339">
        <v>96.14</v>
      </c>
      <c r="V339" t="s">
        <v>284</v>
      </c>
      <c r="W339">
        <v>103.37</v>
      </c>
      <c r="X339" t="s">
        <v>284</v>
      </c>
      <c r="Y339">
        <v>106.14</v>
      </c>
      <c r="Z339" t="s">
        <v>284</v>
      </c>
      <c r="AA339">
        <v>128</v>
      </c>
      <c r="AB339" t="s">
        <v>285</v>
      </c>
      <c r="AG339">
        <v>101.88330000000001</v>
      </c>
      <c r="AH339" t="s">
        <v>54</v>
      </c>
      <c r="AI339" t="s">
        <v>52</v>
      </c>
      <c r="AX339">
        <v>146.69999999999999</v>
      </c>
      <c r="AY339" t="s">
        <v>285</v>
      </c>
      <c r="AZ339" t="s">
        <v>287</v>
      </c>
      <c r="BQ339" t="s">
        <v>52</v>
      </c>
      <c r="BR339">
        <v>1.85</v>
      </c>
      <c r="BS339" t="s">
        <v>284</v>
      </c>
      <c r="BT339">
        <v>2.19</v>
      </c>
      <c r="BU339" t="s">
        <v>284</v>
      </c>
      <c r="BV339">
        <v>1.84</v>
      </c>
      <c r="BW339" t="s">
        <v>285</v>
      </c>
      <c r="BX339">
        <v>3</v>
      </c>
      <c r="BY339" t="s">
        <v>284</v>
      </c>
      <c r="BZ339">
        <v>3.51</v>
      </c>
      <c r="CA339" t="s">
        <v>289</v>
      </c>
      <c r="CF339">
        <v>2.35</v>
      </c>
      <c r="CG339" t="s">
        <v>54</v>
      </c>
      <c r="CH339" t="s">
        <v>52</v>
      </c>
    </row>
    <row r="340" spans="1:86" x14ac:dyDescent="0.25">
      <c r="A340" t="s">
        <v>47</v>
      </c>
      <c r="B340">
        <v>8</v>
      </c>
      <c r="C340" t="s">
        <v>130</v>
      </c>
      <c r="D340">
        <v>23</v>
      </c>
      <c r="E340" t="s">
        <v>125</v>
      </c>
      <c r="F340">
        <v>67</v>
      </c>
      <c r="G340" t="s">
        <v>164</v>
      </c>
      <c r="H340" t="s">
        <v>50</v>
      </c>
      <c r="K340" t="s">
        <v>51</v>
      </c>
      <c r="L340">
        <v>1</v>
      </c>
      <c r="M340" t="s">
        <v>53</v>
      </c>
      <c r="N340">
        <v>67</v>
      </c>
      <c r="O340">
        <v>1</v>
      </c>
      <c r="P340" t="s">
        <v>52</v>
      </c>
      <c r="Q340">
        <v>0.5</v>
      </c>
      <c r="R340">
        <v>0.87</v>
      </c>
      <c r="S340">
        <v>228</v>
      </c>
      <c r="T340" t="s">
        <v>284</v>
      </c>
      <c r="AI340" t="s">
        <v>52</v>
      </c>
      <c r="AZ340" t="s">
        <v>52</v>
      </c>
      <c r="BQ340" t="s">
        <v>52</v>
      </c>
      <c r="BR340">
        <v>1.85</v>
      </c>
      <c r="BS340" t="s">
        <v>284</v>
      </c>
      <c r="CH340" t="s">
        <v>52</v>
      </c>
    </row>
    <row r="341" spans="1:86" x14ac:dyDescent="0.25">
      <c r="A341" t="s">
        <v>47</v>
      </c>
      <c r="B341">
        <v>8</v>
      </c>
      <c r="C341" t="s">
        <v>130</v>
      </c>
      <c r="D341">
        <v>23</v>
      </c>
      <c r="E341" t="s">
        <v>77</v>
      </c>
      <c r="F341">
        <v>51</v>
      </c>
      <c r="G341" t="s">
        <v>78</v>
      </c>
      <c r="H341" t="s">
        <v>50</v>
      </c>
      <c r="K341" t="s">
        <v>51</v>
      </c>
      <c r="L341">
        <v>1</v>
      </c>
      <c r="M341" t="s">
        <v>53</v>
      </c>
      <c r="N341">
        <v>51</v>
      </c>
      <c r="O341">
        <v>2</v>
      </c>
      <c r="P341" t="s">
        <v>52</v>
      </c>
      <c r="Q341">
        <v>0.5</v>
      </c>
      <c r="R341">
        <v>0.73</v>
      </c>
      <c r="S341">
        <v>228</v>
      </c>
      <c r="T341" t="s">
        <v>284</v>
      </c>
      <c r="U341">
        <v>218</v>
      </c>
      <c r="V341" t="s">
        <v>284</v>
      </c>
      <c r="W341">
        <v>147</v>
      </c>
      <c r="X341" t="s">
        <v>284</v>
      </c>
      <c r="Y341">
        <v>170</v>
      </c>
      <c r="Z341" t="s">
        <v>284</v>
      </c>
      <c r="AA341">
        <v>109</v>
      </c>
      <c r="AB341" t="s">
        <v>285</v>
      </c>
      <c r="AG341">
        <v>178.33330000000001</v>
      </c>
      <c r="AH341" t="s">
        <v>54</v>
      </c>
      <c r="AI341" t="s">
        <v>52</v>
      </c>
      <c r="AZ341" t="s">
        <v>52</v>
      </c>
      <c r="BQ341" t="s">
        <v>52</v>
      </c>
      <c r="CH341" t="s">
        <v>52</v>
      </c>
    </row>
    <row r="342" spans="1:86" x14ac:dyDescent="0.25">
      <c r="A342" t="s">
        <v>47</v>
      </c>
      <c r="B342">
        <v>8</v>
      </c>
      <c r="C342" t="s">
        <v>130</v>
      </c>
      <c r="D342">
        <v>23</v>
      </c>
      <c r="E342" t="s">
        <v>79</v>
      </c>
      <c r="F342">
        <v>50</v>
      </c>
      <c r="G342" t="s">
        <v>65</v>
      </c>
      <c r="H342" t="s">
        <v>50</v>
      </c>
      <c r="K342" t="s">
        <v>51</v>
      </c>
      <c r="L342">
        <v>1</v>
      </c>
      <c r="M342" t="s">
        <v>53</v>
      </c>
      <c r="N342">
        <v>50</v>
      </c>
      <c r="O342">
        <v>1</v>
      </c>
      <c r="P342" t="s">
        <v>52</v>
      </c>
      <c r="Q342">
        <v>0.5</v>
      </c>
      <c r="R342">
        <v>0.75</v>
      </c>
      <c r="S342">
        <v>85</v>
      </c>
      <c r="T342" t="s">
        <v>285</v>
      </c>
      <c r="U342">
        <v>93</v>
      </c>
      <c r="V342" t="s">
        <v>284</v>
      </c>
      <c r="W342">
        <v>89.7</v>
      </c>
      <c r="X342" t="s">
        <v>284</v>
      </c>
      <c r="Y342">
        <v>92.72</v>
      </c>
      <c r="Z342" t="s">
        <v>284</v>
      </c>
      <c r="AA342">
        <v>109</v>
      </c>
      <c r="AB342" t="s">
        <v>285</v>
      </c>
      <c r="AG342">
        <v>91.806700000000006</v>
      </c>
      <c r="AH342" t="s">
        <v>54</v>
      </c>
      <c r="AI342" t="s">
        <v>52</v>
      </c>
      <c r="AZ342" t="s">
        <v>52</v>
      </c>
      <c r="BQ342" t="s">
        <v>52</v>
      </c>
      <c r="BR342">
        <v>3.57</v>
      </c>
      <c r="BS342" t="s">
        <v>289</v>
      </c>
      <c r="BT342">
        <v>1.96</v>
      </c>
      <c r="BU342" t="s">
        <v>284</v>
      </c>
      <c r="BV342">
        <v>2.83</v>
      </c>
      <c r="BW342" t="s">
        <v>284</v>
      </c>
      <c r="BX342">
        <v>2.69</v>
      </c>
      <c r="BY342" t="s">
        <v>284</v>
      </c>
      <c r="BZ342">
        <v>3.52</v>
      </c>
      <c r="CA342" t="s">
        <v>289</v>
      </c>
      <c r="CF342">
        <v>3.01</v>
      </c>
      <c r="CG342" t="s">
        <v>54</v>
      </c>
      <c r="CH342" t="s">
        <v>52</v>
      </c>
    </row>
    <row r="343" spans="1:86" x14ac:dyDescent="0.25">
      <c r="A343" t="s">
        <v>47</v>
      </c>
      <c r="B343">
        <v>8</v>
      </c>
      <c r="C343" t="s">
        <v>130</v>
      </c>
      <c r="D343">
        <v>23</v>
      </c>
      <c r="E343" t="s">
        <v>82</v>
      </c>
      <c r="F343">
        <v>52</v>
      </c>
      <c r="H343" t="s">
        <v>50</v>
      </c>
      <c r="K343" t="s">
        <v>51</v>
      </c>
      <c r="L343">
        <v>1</v>
      </c>
      <c r="M343" t="s">
        <v>53</v>
      </c>
      <c r="N343">
        <v>50</v>
      </c>
      <c r="O343">
        <v>1</v>
      </c>
      <c r="P343" t="s">
        <v>52</v>
      </c>
      <c r="Q343">
        <v>0.5</v>
      </c>
      <c r="R343">
        <v>0.75</v>
      </c>
      <c r="S343">
        <v>85</v>
      </c>
      <c r="T343" t="s">
        <v>285</v>
      </c>
      <c r="U343">
        <v>93</v>
      </c>
      <c r="V343" t="s">
        <v>284</v>
      </c>
      <c r="W343">
        <v>191.5</v>
      </c>
      <c r="X343" t="s">
        <v>284</v>
      </c>
      <c r="Y343">
        <v>198</v>
      </c>
      <c r="Z343" t="s">
        <v>284</v>
      </c>
      <c r="AA343">
        <v>109</v>
      </c>
      <c r="AB343" t="s">
        <v>285</v>
      </c>
      <c r="AG343">
        <v>131.16669999999999</v>
      </c>
      <c r="AH343" t="s">
        <v>54</v>
      </c>
      <c r="AI343" t="s">
        <v>52</v>
      </c>
      <c r="AZ343" t="s">
        <v>52</v>
      </c>
      <c r="BQ343" t="s">
        <v>52</v>
      </c>
      <c r="BR343">
        <v>3.58</v>
      </c>
      <c r="BS343" t="s">
        <v>289</v>
      </c>
      <c r="BT343">
        <v>2.0499999999999998</v>
      </c>
      <c r="BU343" t="s">
        <v>284</v>
      </c>
      <c r="CH343" t="s">
        <v>52</v>
      </c>
    </row>
    <row r="344" spans="1:86" x14ac:dyDescent="0.25">
      <c r="A344" t="s">
        <v>47</v>
      </c>
      <c r="B344">
        <v>8</v>
      </c>
      <c r="C344" t="s">
        <v>130</v>
      </c>
      <c r="D344">
        <v>23</v>
      </c>
      <c r="E344" t="s">
        <v>83</v>
      </c>
      <c r="F344">
        <v>158</v>
      </c>
      <c r="H344" t="s">
        <v>50</v>
      </c>
      <c r="K344" t="s">
        <v>51</v>
      </c>
      <c r="L344">
        <v>1</v>
      </c>
      <c r="M344" t="s">
        <v>53</v>
      </c>
      <c r="N344">
        <v>158</v>
      </c>
      <c r="O344">
        <v>2</v>
      </c>
      <c r="P344" t="s">
        <v>52</v>
      </c>
      <c r="Q344">
        <v>0.77</v>
      </c>
      <c r="R344">
        <v>0.93</v>
      </c>
      <c r="S344">
        <v>228</v>
      </c>
      <c r="T344" t="s">
        <v>284</v>
      </c>
      <c r="U344">
        <v>221</v>
      </c>
      <c r="V344" t="s">
        <v>284</v>
      </c>
      <c r="W344">
        <v>236</v>
      </c>
      <c r="X344" t="s">
        <v>284</v>
      </c>
      <c r="Y344">
        <v>244</v>
      </c>
      <c r="Z344" t="s">
        <v>284</v>
      </c>
      <c r="AA344">
        <v>252</v>
      </c>
      <c r="AB344" t="s">
        <v>284</v>
      </c>
      <c r="AG344">
        <v>236</v>
      </c>
      <c r="AH344" t="s">
        <v>54</v>
      </c>
      <c r="AI344" t="s">
        <v>52</v>
      </c>
      <c r="AX344">
        <v>339</v>
      </c>
      <c r="AY344" t="s">
        <v>285</v>
      </c>
      <c r="AZ344" t="s">
        <v>287</v>
      </c>
      <c r="BQ344" t="s">
        <v>52</v>
      </c>
      <c r="BR344">
        <v>1.85</v>
      </c>
      <c r="BS344" t="s">
        <v>284</v>
      </c>
      <c r="BT344">
        <v>1.35</v>
      </c>
      <c r="BU344" t="s">
        <v>284</v>
      </c>
      <c r="BV344">
        <v>1.03</v>
      </c>
      <c r="BW344" t="s">
        <v>288</v>
      </c>
      <c r="BX344">
        <v>1.34</v>
      </c>
      <c r="BY344" t="s">
        <v>289</v>
      </c>
      <c r="BZ344">
        <v>1.22</v>
      </c>
      <c r="CA344" t="s">
        <v>289</v>
      </c>
      <c r="CF344">
        <v>1.3</v>
      </c>
      <c r="CG344" t="s">
        <v>54</v>
      </c>
      <c r="CH344" t="s">
        <v>52</v>
      </c>
    </row>
    <row r="345" spans="1:86" x14ac:dyDescent="0.25">
      <c r="A345" t="s">
        <v>47</v>
      </c>
      <c r="B345">
        <v>8</v>
      </c>
      <c r="C345" t="s">
        <v>130</v>
      </c>
      <c r="D345">
        <v>23</v>
      </c>
      <c r="E345" t="s">
        <v>84</v>
      </c>
      <c r="F345">
        <v>11</v>
      </c>
      <c r="G345" t="s">
        <v>96</v>
      </c>
      <c r="H345" t="s">
        <v>50</v>
      </c>
      <c r="K345" t="s">
        <v>51</v>
      </c>
      <c r="L345">
        <v>1</v>
      </c>
      <c r="M345" t="s">
        <v>53</v>
      </c>
      <c r="N345">
        <v>11</v>
      </c>
      <c r="O345">
        <v>2</v>
      </c>
      <c r="P345" t="s">
        <v>52</v>
      </c>
      <c r="Q345">
        <v>0.5</v>
      </c>
      <c r="R345">
        <v>0.75</v>
      </c>
      <c r="S345">
        <v>124</v>
      </c>
      <c r="T345" t="s">
        <v>284</v>
      </c>
      <c r="U345">
        <v>110</v>
      </c>
      <c r="V345" t="s">
        <v>284</v>
      </c>
      <c r="W345">
        <v>118</v>
      </c>
      <c r="X345" t="s">
        <v>284</v>
      </c>
      <c r="Y345">
        <v>122</v>
      </c>
      <c r="Z345" t="s">
        <v>284</v>
      </c>
      <c r="AA345">
        <v>126</v>
      </c>
      <c r="AB345" t="s">
        <v>284</v>
      </c>
      <c r="AG345">
        <v>121.33329999999999</v>
      </c>
      <c r="AH345" t="s">
        <v>54</v>
      </c>
      <c r="AI345" t="s">
        <v>52</v>
      </c>
      <c r="AZ345" t="s">
        <v>52</v>
      </c>
      <c r="BQ345" t="s">
        <v>52</v>
      </c>
      <c r="BR345">
        <v>2.31</v>
      </c>
      <c r="BS345" t="s">
        <v>285</v>
      </c>
      <c r="BT345">
        <v>2.23</v>
      </c>
      <c r="BU345" t="s">
        <v>284</v>
      </c>
      <c r="BV345">
        <v>2.4300000000000002</v>
      </c>
      <c r="BW345" t="s">
        <v>284</v>
      </c>
      <c r="BX345">
        <v>2.11</v>
      </c>
      <c r="BY345" t="s">
        <v>284</v>
      </c>
      <c r="BZ345">
        <v>1.81</v>
      </c>
      <c r="CA345" t="s">
        <v>284</v>
      </c>
      <c r="CF345">
        <v>2.2200000000000002</v>
      </c>
      <c r="CG345" t="s">
        <v>54</v>
      </c>
      <c r="CH345" t="s">
        <v>52</v>
      </c>
    </row>
    <row r="346" spans="1:86" x14ac:dyDescent="0.25">
      <c r="A346" t="s">
        <v>47</v>
      </c>
      <c r="B346">
        <v>8</v>
      </c>
      <c r="C346" t="s">
        <v>131</v>
      </c>
      <c r="D346">
        <v>25</v>
      </c>
      <c r="E346" t="s">
        <v>49</v>
      </c>
      <c r="F346">
        <v>27</v>
      </c>
      <c r="H346" t="s">
        <v>50</v>
      </c>
      <c r="K346" t="s">
        <v>51</v>
      </c>
      <c r="L346">
        <v>1</v>
      </c>
      <c r="M346" t="s">
        <v>53</v>
      </c>
      <c r="N346">
        <v>27</v>
      </c>
      <c r="O346">
        <v>1</v>
      </c>
      <c r="P346" t="s">
        <v>52</v>
      </c>
      <c r="Q346">
        <v>0</v>
      </c>
      <c r="R346">
        <v>0.75</v>
      </c>
      <c r="S346">
        <v>231</v>
      </c>
      <c r="T346" t="s">
        <v>284</v>
      </c>
      <c r="U346">
        <v>208</v>
      </c>
      <c r="V346" t="s">
        <v>284</v>
      </c>
      <c r="W346">
        <v>224</v>
      </c>
      <c r="X346" t="s">
        <v>284</v>
      </c>
      <c r="Y346">
        <v>225</v>
      </c>
      <c r="Z346" t="s">
        <v>285</v>
      </c>
      <c r="AA346">
        <v>247</v>
      </c>
      <c r="AB346" t="s">
        <v>285</v>
      </c>
      <c r="AC346">
        <v>241</v>
      </c>
      <c r="AD346" t="s">
        <v>285</v>
      </c>
      <c r="AE346">
        <v>219</v>
      </c>
      <c r="AF346" t="s">
        <v>285</v>
      </c>
      <c r="AG346">
        <v>219</v>
      </c>
      <c r="AH346" t="s">
        <v>286</v>
      </c>
      <c r="AI346" t="s">
        <v>287</v>
      </c>
      <c r="AX346">
        <v>263</v>
      </c>
      <c r="AY346" t="s">
        <v>286</v>
      </c>
      <c r="AZ346" t="s">
        <v>287</v>
      </c>
      <c r="BQ346" t="s">
        <v>52</v>
      </c>
      <c r="BR346">
        <v>3.7</v>
      </c>
      <c r="BS346" t="s">
        <v>284</v>
      </c>
      <c r="BT346">
        <v>3.4</v>
      </c>
      <c r="BU346" t="s">
        <v>284</v>
      </c>
      <c r="BV346">
        <v>1</v>
      </c>
      <c r="BW346" t="s">
        <v>284</v>
      </c>
      <c r="BX346">
        <v>2.25</v>
      </c>
      <c r="BY346" t="s">
        <v>284</v>
      </c>
      <c r="BZ346">
        <v>1.3</v>
      </c>
      <c r="CA346" t="s">
        <v>288</v>
      </c>
      <c r="CF346">
        <v>2.3199999999999998</v>
      </c>
      <c r="CG346" t="s">
        <v>54</v>
      </c>
      <c r="CH346" t="s">
        <v>52</v>
      </c>
    </row>
    <row r="347" spans="1:86" x14ac:dyDescent="0.25">
      <c r="A347" t="s">
        <v>47</v>
      </c>
      <c r="B347">
        <v>8</v>
      </c>
      <c r="C347" t="s">
        <v>131</v>
      </c>
      <c r="D347">
        <v>25</v>
      </c>
      <c r="E347" t="s">
        <v>49</v>
      </c>
      <c r="F347">
        <v>27</v>
      </c>
      <c r="H347" t="s">
        <v>50</v>
      </c>
      <c r="K347" t="s">
        <v>52</v>
      </c>
      <c r="L347">
        <v>1</v>
      </c>
      <c r="M347" t="s">
        <v>53</v>
      </c>
      <c r="N347">
        <v>27</v>
      </c>
      <c r="O347">
        <v>1</v>
      </c>
      <c r="P347" t="s">
        <v>52</v>
      </c>
      <c r="Q347">
        <v>0</v>
      </c>
      <c r="R347">
        <v>0.75</v>
      </c>
      <c r="S347">
        <v>231</v>
      </c>
      <c r="T347" t="s">
        <v>284</v>
      </c>
      <c r="U347">
        <v>208</v>
      </c>
      <c r="V347" t="s">
        <v>284</v>
      </c>
      <c r="W347">
        <v>224</v>
      </c>
      <c r="X347" t="s">
        <v>284</v>
      </c>
      <c r="Y347">
        <v>225</v>
      </c>
      <c r="Z347" t="s">
        <v>285</v>
      </c>
      <c r="AA347">
        <v>247</v>
      </c>
      <c r="AB347" t="s">
        <v>285</v>
      </c>
      <c r="AC347">
        <v>241</v>
      </c>
      <c r="AD347" t="s">
        <v>285</v>
      </c>
      <c r="AE347">
        <v>219</v>
      </c>
      <c r="AF347" t="s">
        <v>285</v>
      </c>
      <c r="AG347">
        <v>219</v>
      </c>
      <c r="AH347" t="s">
        <v>286</v>
      </c>
      <c r="AI347" t="s">
        <v>287</v>
      </c>
      <c r="AX347">
        <v>263</v>
      </c>
      <c r="AY347" t="s">
        <v>286</v>
      </c>
      <c r="AZ347" t="s">
        <v>287</v>
      </c>
      <c r="BQ347" t="s">
        <v>52</v>
      </c>
      <c r="BR347">
        <v>1.3</v>
      </c>
      <c r="BS347" t="s">
        <v>284</v>
      </c>
      <c r="BT347">
        <v>1.2</v>
      </c>
      <c r="BU347" t="s">
        <v>284</v>
      </c>
      <c r="BV347">
        <v>0.68</v>
      </c>
      <c r="BW347" t="s">
        <v>284</v>
      </c>
      <c r="BX347">
        <v>0.73</v>
      </c>
      <c r="BY347" t="s">
        <v>284</v>
      </c>
      <c r="BZ347">
        <v>0.7</v>
      </c>
      <c r="CA347" t="s">
        <v>289</v>
      </c>
      <c r="CF347">
        <v>0.88</v>
      </c>
      <c r="CG347" t="s">
        <v>54</v>
      </c>
      <c r="CH347" t="s">
        <v>52</v>
      </c>
    </row>
    <row r="348" spans="1:86" x14ac:dyDescent="0.25">
      <c r="A348" t="s">
        <v>47</v>
      </c>
      <c r="B348">
        <v>8</v>
      </c>
      <c r="C348" t="s">
        <v>131</v>
      </c>
      <c r="D348">
        <v>25</v>
      </c>
      <c r="E348" t="s">
        <v>87</v>
      </c>
      <c r="F348">
        <v>91</v>
      </c>
      <c r="G348" t="s">
        <v>76</v>
      </c>
      <c r="H348" t="s">
        <v>50</v>
      </c>
      <c r="K348" t="s">
        <v>51</v>
      </c>
      <c r="L348">
        <v>1</v>
      </c>
      <c r="M348" t="s">
        <v>53</v>
      </c>
      <c r="N348">
        <v>91</v>
      </c>
      <c r="O348">
        <v>2</v>
      </c>
      <c r="P348" t="s">
        <v>52</v>
      </c>
      <c r="Q348">
        <v>0.77</v>
      </c>
      <c r="R348">
        <v>0.93</v>
      </c>
      <c r="S348">
        <v>135</v>
      </c>
      <c r="T348" t="s">
        <v>284</v>
      </c>
      <c r="U348">
        <v>133</v>
      </c>
      <c r="V348" t="s">
        <v>284</v>
      </c>
      <c r="W348">
        <v>147</v>
      </c>
      <c r="X348" t="s">
        <v>284</v>
      </c>
      <c r="Y348">
        <v>170</v>
      </c>
      <c r="Z348" t="s">
        <v>284</v>
      </c>
      <c r="AA348">
        <v>167</v>
      </c>
      <c r="AB348" t="s">
        <v>284</v>
      </c>
      <c r="AG348">
        <v>149.66669999999999</v>
      </c>
      <c r="AH348" t="s">
        <v>54</v>
      </c>
      <c r="AI348" t="s">
        <v>52</v>
      </c>
      <c r="AZ348" t="s">
        <v>52</v>
      </c>
      <c r="BQ348" t="s">
        <v>52</v>
      </c>
      <c r="BR348">
        <v>1.42</v>
      </c>
      <c r="BS348" t="s">
        <v>285</v>
      </c>
      <c r="BT348">
        <v>1.35</v>
      </c>
      <c r="BU348" t="s">
        <v>284</v>
      </c>
      <c r="BV348">
        <v>0.83</v>
      </c>
      <c r="BW348" t="s">
        <v>288</v>
      </c>
      <c r="BX348">
        <v>1.85</v>
      </c>
      <c r="BY348" t="s">
        <v>284</v>
      </c>
      <c r="BZ348">
        <v>1.01</v>
      </c>
      <c r="CA348" t="s">
        <v>285</v>
      </c>
      <c r="CF348">
        <v>1.26</v>
      </c>
      <c r="CG348" t="s">
        <v>54</v>
      </c>
      <c r="CH348" t="s">
        <v>52</v>
      </c>
    </row>
    <row r="349" spans="1:86" x14ac:dyDescent="0.25">
      <c r="A349" t="s">
        <v>47</v>
      </c>
      <c r="B349">
        <v>8</v>
      </c>
      <c r="C349" t="s">
        <v>131</v>
      </c>
      <c r="D349">
        <v>25</v>
      </c>
      <c r="E349" t="s">
        <v>87</v>
      </c>
      <c r="F349">
        <v>91</v>
      </c>
      <c r="G349" t="s">
        <v>103</v>
      </c>
      <c r="H349" t="s">
        <v>50</v>
      </c>
      <c r="K349" t="s">
        <v>51</v>
      </c>
      <c r="L349">
        <v>1</v>
      </c>
      <c r="M349" t="s">
        <v>53</v>
      </c>
      <c r="N349">
        <v>91</v>
      </c>
      <c r="O349">
        <v>2</v>
      </c>
      <c r="P349" t="s">
        <v>52</v>
      </c>
      <c r="Q349">
        <v>0.77</v>
      </c>
      <c r="R349">
        <v>0.93</v>
      </c>
      <c r="S349">
        <v>135</v>
      </c>
      <c r="T349" t="s">
        <v>284</v>
      </c>
      <c r="U349">
        <v>133</v>
      </c>
      <c r="V349" t="s">
        <v>284</v>
      </c>
      <c r="W349">
        <v>147</v>
      </c>
      <c r="X349" t="s">
        <v>284</v>
      </c>
      <c r="Y349">
        <v>170</v>
      </c>
      <c r="Z349" t="s">
        <v>284</v>
      </c>
      <c r="AA349">
        <v>167</v>
      </c>
      <c r="AB349" t="s">
        <v>284</v>
      </c>
      <c r="AG349">
        <v>149.66669999999999</v>
      </c>
      <c r="AH349" t="s">
        <v>54</v>
      </c>
      <c r="AI349" t="s">
        <v>52</v>
      </c>
      <c r="AZ349" t="s">
        <v>52</v>
      </c>
      <c r="BQ349" t="s">
        <v>52</v>
      </c>
      <c r="CH349" t="s">
        <v>52</v>
      </c>
    </row>
    <row r="350" spans="1:86" x14ac:dyDescent="0.25">
      <c r="A350" t="s">
        <v>47</v>
      </c>
      <c r="B350">
        <v>8</v>
      </c>
      <c r="C350" t="s">
        <v>131</v>
      </c>
      <c r="D350">
        <v>25</v>
      </c>
      <c r="E350" t="s">
        <v>132</v>
      </c>
      <c r="F350">
        <v>47</v>
      </c>
      <c r="G350" t="s">
        <v>133</v>
      </c>
      <c r="H350" t="s">
        <v>50</v>
      </c>
      <c r="K350" t="s">
        <v>51</v>
      </c>
      <c r="L350">
        <v>1</v>
      </c>
      <c r="M350" t="s">
        <v>53</v>
      </c>
      <c r="N350">
        <v>47</v>
      </c>
      <c r="O350">
        <v>1</v>
      </c>
      <c r="P350" t="s">
        <v>52</v>
      </c>
      <c r="Q350">
        <v>0.63</v>
      </c>
      <c r="R350">
        <v>0.8</v>
      </c>
      <c r="S350">
        <v>228</v>
      </c>
      <c r="T350" t="s">
        <v>284</v>
      </c>
      <c r="U350">
        <v>218</v>
      </c>
      <c r="V350" t="s">
        <v>284</v>
      </c>
      <c r="AI350" t="s">
        <v>52</v>
      </c>
      <c r="AZ350" t="s">
        <v>52</v>
      </c>
      <c r="BQ350" t="s">
        <v>52</v>
      </c>
      <c r="BR350">
        <v>1.85</v>
      </c>
      <c r="BS350" t="s">
        <v>284</v>
      </c>
      <c r="BT350">
        <v>1.35</v>
      </c>
      <c r="BU350" t="s">
        <v>284</v>
      </c>
      <c r="CH350" t="s">
        <v>52</v>
      </c>
    </row>
    <row r="351" spans="1:86" x14ac:dyDescent="0.25">
      <c r="A351" t="s">
        <v>47</v>
      </c>
      <c r="B351">
        <v>8</v>
      </c>
      <c r="C351" t="s">
        <v>131</v>
      </c>
      <c r="D351">
        <v>25</v>
      </c>
      <c r="E351" t="s">
        <v>58</v>
      </c>
      <c r="F351">
        <v>102</v>
      </c>
      <c r="G351" t="s">
        <v>62</v>
      </c>
      <c r="H351" t="s">
        <v>50</v>
      </c>
      <c r="K351" t="s">
        <v>52</v>
      </c>
      <c r="L351">
        <v>1</v>
      </c>
      <c r="M351" t="s">
        <v>53</v>
      </c>
      <c r="N351">
        <v>102</v>
      </c>
      <c r="O351">
        <v>1</v>
      </c>
      <c r="P351" t="s">
        <v>52</v>
      </c>
      <c r="Q351">
        <v>0</v>
      </c>
      <c r="R351">
        <v>0.92</v>
      </c>
      <c r="S351">
        <v>131.69999999999999</v>
      </c>
      <c r="T351" t="s">
        <v>284</v>
      </c>
      <c r="U351">
        <v>170</v>
      </c>
      <c r="V351" t="s">
        <v>284</v>
      </c>
      <c r="W351">
        <v>191</v>
      </c>
      <c r="X351" t="s">
        <v>284</v>
      </c>
      <c r="Y351">
        <v>207</v>
      </c>
      <c r="Z351" t="s">
        <v>284</v>
      </c>
      <c r="AA351">
        <v>205</v>
      </c>
      <c r="AB351" t="s">
        <v>285</v>
      </c>
      <c r="AG351">
        <v>188.66669999999999</v>
      </c>
      <c r="AH351" t="s">
        <v>54</v>
      </c>
      <c r="AI351" t="s">
        <v>52</v>
      </c>
      <c r="AX351">
        <v>271.60000000000002</v>
      </c>
      <c r="AY351" t="s">
        <v>285</v>
      </c>
      <c r="AZ351" t="s">
        <v>287</v>
      </c>
      <c r="BQ351" t="s">
        <v>52</v>
      </c>
      <c r="BR351">
        <v>0.83</v>
      </c>
      <c r="BS351" t="s">
        <v>285</v>
      </c>
      <c r="BT351">
        <v>0.91</v>
      </c>
      <c r="BU351" t="s">
        <v>284</v>
      </c>
      <c r="BV351">
        <v>0.27</v>
      </c>
      <c r="BW351" t="s">
        <v>285</v>
      </c>
      <c r="BX351">
        <v>0.49</v>
      </c>
      <c r="BY351" t="s">
        <v>285</v>
      </c>
      <c r="BZ351">
        <v>0.42</v>
      </c>
      <c r="CA351" t="s">
        <v>284</v>
      </c>
      <c r="CF351">
        <v>0.57999999999999996</v>
      </c>
      <c r="CG351" t="s">
        <v>54</v>
      </c>
      <c r="CH351" t="s">
        <v>52</v>
      </c>
    </row>
    <row r="352" spans="1:86" x14ac:dyDescent="0.25">
      <c r="A352" t="s">
        <v>47</v>
      </c>
      <c r="B352">
        <v>8</v>
      </c>
      <c r="C352" t="s">
        <v>131</v>
      </c>
      <c r="D352">
        <v>25</v>
      </c>
      <c r="E352" t="s">
        <v>68</v>
      </c>
      <c r="F352">
        <v>80</v>
      </c>
      <c r="G352" t="s">
        <v>69</v>
      </c>
      <c r="H352" t="s">
        <v>50</v>
      </c>
      <c r="K352" t="s">
        <v>51</v>
      </c>
      <c r="L352">
        <v>1</v>
      </c>
      <c r="M352" t="s">
        <v>53</v>
      </c>
      <c r="N352">
        <v>80</v>
      </c>
      <c r="O352">
        <v>1</v>
      </c>
      <c r="P352" t="s">
        <v>52</v>
      </c>
      <c r="Q352">
        <v>0.5</v>
      </c>
      <c r="R352">
        <v>0.75</v>
      </c>
      <c r="S352">
        <v>202.92</v>
      </c>
      <c r="T352" t="s">
        <v>284</v>
      </c>
      <c r="U352">
        <v>198.9</v>
      </c>
      <c r="V352" t="s">
        <v>284</v>
      </c>
      <c r="W352">
        <v>212.4</v>
      </c>
      <c r="X352" t="s">
        <v>284</v>
      </c>
      <c r="Y352">
        <v>219.6</v>
      </c>
      <c r="Z352" t="s">
        <v>284</v>
      </c>
      <c r="AA352">
        <v>178</v>
      </c>
      <c r="AB352" t="s">
        <v>284</v>
      </c>
      <c r="AG352">
        <v>204.74</v>
      </c>
      <c r="AH352" t="s">
        <v>54</v>
      </c>
      <c r="AI352" t="s">
        <v>52</v>
      </c>
      <c r="AZ352" t="s">
        <v>52</v>
      </c>
      <c r="BQ352" t="s">
        <v>52</v>
      </c>
      <c r="BR352">
        <v>1.85</v>
      </c>
      <c r="BS352" t="s">
        <v>284</v>
      </c>
      <c r="BT352">
        <v>0.97</v>
      </c>
      <c r="BU352" t="s">
        <v>285</v>
      </c>
      <c r="BV352">
        <v>1.96</v>
      </c>
      <c r="BW352" t="s">
        <v>284</v>
      </c>
      <c r="BX352">
        <v>1.46</v>
      </c>
      <c r="BY352" t="s">
        <v>288</v>
      </c>
      <c r="BZ352">
        <v>1.27</v>
      </c>
      <c r="CA352" t="s">
        <v>285</v>
      </c>
      <c r="CF352">
        <v>1.53</v>
      </c>
      <c r="CG352" t="s">
        <v>54</v>
      </c>
      <c r="CH352" t="s">
        <v>52</v>
      </c>
    </row>
    <row r="353" spans="1:86" x14ac:dyDescent="0.25">
      <c r="A353" t="s">
        <v>47</v>
      </c>
      <c r="B353">
        <v>8</v>
      </c>
      <c r="C353" t="s">
        <v>131</v>
      </c>
      <c r="D353">
        <v>25</v>
      </c>
      <c r="E353" t="s">
        <v>70</v>
      </c>
      <c r="F353">
        <v>296</v>
      </c>
      <c r="G353" t="s">
        <v>71</v>
      </c>
      <c r="H353" t="s">
        <v>50</v>
      </c>
      <c r="K353" t="s">
        <v>51</v>
      </c>
      <c r="L353">
        <v>1</v>
      </c>
      <c r="M353" t="s">
        <v>53</v>
      </c>
      <c r="N353">
        <v>296</v>
      </c>
      <c r="O353">
        <v>1</v>
      </c>
      <c r="P353" t="s">
        <v>52</v>
      </c>
      <c r="Q353">
        <v>0</v>
      </c>
      <c r="R353">
        <v>0.75</v>
      </c>
      <c r="S353">
        <v>228</v>
      </c>
      <c r="T353" t="s">
        <v>284</v>
      </c>
      <c r="U353">
        <v>190</v>
      </c>
      <c r="V353" t="s">
        <v>285</v>
      </c>
      <c r="W353">
        <v>194</v>
      </c>
      <c r="X353" t="s">
        <v>285</v>
      </c>
      <c r="Y353">
        <v>225</v>
      </c>
      <c r="Z353" t="s">
        <v>285</v>
      </c>
      <c r="AA353">
        <v>247</v>
      </c>
      <c r="AB353" t="s">
        <v>285</v>
      </c>
      <c r="AC353">
        <v>241</v>
      </c>
      <c r="AD353" t="s">
        <v>285</v>
      </c>
      <c r="AE353">
        <v>219</v>
      </c>
      <c r="AF353" t="s">
        <v>285</v>
      </c>
      <c r="AG353">
        <v>219</v>
      </c>
      <c r="AH353" t="s">
        <v>286</v>
      </c>
      <c r="AI353" t="s">
        <v>287</v>
      </c>
      <c r="AX353">
        <v>263</v>
      </c>
      <c r="AY353" t="s">
        <v>286</v>
      </c>
      <c r="AZ353" t="s">
        <v>287</v>
      </c>
      <c r="BQ353" t="s">
        <v>52</v>
      </c>
      <c r="BR353">
        <v>1.85</v>
      </c>
      <c r="BS353" t="s">
        <v>284</v>
      </c>
      <c r="BT353">
        <v>1.61</v>
      </c>
      <c r="BU353" t="s">
        <v>284</v>
      </c>
      <c r="BV353">
        <v>0.64</v>
      </c>
      <c r="BW353" t="s">
        <v>285</v>
      </c>
      <c r="BX353">
        <v>0.64</v>
      </c>
      <c r="BY353" t="s">
        <v>285</v>
      </c>
      <c r="BZ353">
        <v>2.33</v>
      </c>
      <c r="CA353" t="s">
        <v>285</v>
      </c>
      <c r="CF353">
        <v>1.37</v>
      </c>
      <c r="CG353" t="s">
        <v>54</v>
      </c>
      <c r="CH353" t="s">
        <v>52</v>
      </c>
    </row>
    <row r="354" spans="1:86" x14ac:dyDescent="0.25">
      <c r="A354" t="s">
        <v>47</v>
      </c>
      <c r="B354">
        <v>8</v>
      </c>
      <c r="C354" t="s">
        <v>131</v>
      </c>
      <c r="D354">
        <v>25</v>
      </c>
      <c r="E354" t="s">
        <v>70</v>
      </c>
      <c r="F354">
        <v>296</v>
      </c>
      <c r="G354" t="s">
        <v>71</v>
      </c>
      <c r="H354" t="s">
        <v>50</v>
      </c>
      <c r="K354" t="s">
        <v>52</v>
      </c>
      <c r="L354">
        <v>1</v>
      </c>
      <c r="M354" t="s">
        <v>53</v>
      </c>
      <c r="N354">
        <v>296</v>
      </c>
      <c r="O354">
        <v>1</v>
      </c>
      <c r="P354" t="s">
        <v>52</v>
      </c>
      <c r="Q354">
        <v>0</v>
      </c>
      <c r="R354">
        <v>0.75</v>
      </c>
      <c r="S354">
        <v>228</v>
      </c>
      <c r="T354" t="s">
        <v>284</v>
      </c>
      <c r="U354">
        <v>190</v>
      </c>
      <c r="V354" t="s">
        <v>285</v>
      </c>
      <c r="W354">
        <v>194</v>
      </c>
      <c r="X354" t="s">
        <v>285</v>
      </c>
      <c r="Y354">
        <v>225</v>
      </c>
      <c r="Z354" t="s">
        <v>285</v>
      </c>
      <c r="AA354">
        <v>247</v>
      </c>
      <c r="AB354" t="s">
        <v>285</v>
      </c>
      <c r="AC354">
        <v>241</v>
      </c>
      <c r="AD354" t="s">
        <v>285</v>
      </c>
      <c r="AE354">
        <v>219</v>
      </c>
      <c r="AF354" t="s">
        <v>285</v>
      </c>
      <c r="AG354">
        <v>219</v>
      </c>
      <c r="AH354" t="s">
        <v>286</v>
      </c>
      <c r="AI354" t="s">
        <v>287</v>
      </c>
      <c r="AX354">
        <v>263</v>
      </c>
      <c r="AY354" t="s">
        <v>286</v>
      </c>
      <c r="AZ354" t="s">
        <v>287</v>
      </c>
      <c r="BQ354" t="s">
        <v>52</v>
      </c>
      <c r="BR354">
        <v>0.65</v>
      </c>
      <c r="BS354" t="s">
        <v>284</v>
      </c>
      <c r="BT354">
        <v>0.81</v>
      </c>
      <c r="BU354" t="s">
        <v>285</v>
      </c>
      <c r="BV354">
        <v>0.25</v>
      </c>
      <c r="BW354" t="s">
        <v>285</v>
      </c>
      <c r="BX354">
        <v>0.22</v>
      </c>
      <c r="BY354" t="s">
        <v>284</v>
      </c>
      <c r="BZ354">
        <v>0.22</v>
      </c>
      <c r="CA354" t="s">
        <v>284</v>
      </c>
      <c r="CF354">
        <v>0.37</v>
      </c>
      <c r="CG354" t="s">
        <v>54</v>
      </c>
      <c r="CH354" t="s">
        <v>52</v>
      </c>
    </row>
    <row r="355" spans="1:86" x14ac:dyDescent="0.25">
      <c r="A355" t="s">
        <v>47</v>
      </c>
      <c r="B355">
        <v>8</v>
      </c>
      <c r="C355" t="s">
        <v>131</v>
      </c>
      <c r="D355">
        <v>25</v>
      </c>
      <c r="E355" t="s">
        <v>70</v>
      </c>
      <c r="F355">
        <v>296</v>
      </c>
      <c r="G355" t="s">
        <v>74</v>
      </c>
      <c r="H355" t="s">
        <v>50</v>
      </c>
      <c r="K355" t="s">
        <v>51</v>
      </c>
      <c r="L355">
        <v>1</v>
      </c>
      <c r="M355" t="s">
        <v>53</v>
      </c>
      <c r="N355">
        <v>102</v>
      </c>
      <c r="O355">
        <v>1</v>
      </c>
      <c r="P355" t="s">
        <v>52</v>
      </c>
      <c r="Q355">
        <v>0</v>
      </c>
      <c r="R355">
        <v>0.75</v>
      </c>
      <c r="S355">
        <v>135</v>
      </c>
      <c r="T355" t="s">
        <v>284</v>
      </c>
      <c r="U355">
        <v>132</v>
      </c>
      <c r="V355" t="s">
        <v>284</v>
      </c>
      <c r="W355">
        <v>147</v>
      </c>
      <c r="X355" t="s">
        <v>284</v>
      </c>
      <c r="Y355">
        <v>170</v>
      </c>
      <c r="Z355" t="s">
        <v>284</v>
      </c>
      <c r="AA355">
        <v>205</v>
      </c>
      <c r="AB355" t="s">
        <v>285</v>
      </c>
      <c r="AG355">
        <v>150.66669999999999</v>
      </c>
      <c r="AH355" t="s">
        <v>54</v>
      </c>
      <c r="AI355" t="s">
        <v>52</v>
      </c>
      <c r="AZ355" t="s">
        <v>52</v>
      </c>
      <c r="BQ355" t="s">
        <v>52</v>
      </c>
      <c r="BR355">
        <v>1.85</v>
      </c>
      <c r="BS355" t="s">
        <v>284</v>
      </c>
      <c r="BT355">
        <v>1.61</v>
      </c>
      <c r="BU355" t="s">
        <v>284</v>
      </c>
      <c r="BV355">
        <v>1.06</v>
      </c>
      <c r="BW355" t="s">
        <v>284</v>
      </c>
      <c r="BX355">
        <v>1.06</v>
      </c>
      <c r="BY355" t="s">
        <v>284</v>
      </c>
      <c r="BZ355">
        <v>1.01</v>
      </c>
      <c r="CA355" t="s">
        <v>289</v>
      </c>
      <c r="CF355">
        <v>1.24</v>
      </c>
      <c r="CG355" t="s">
        <v>54</v>
      </c>
      <c r="CH355" t="s">
        <v>52</v>
      </c>
    </row>
    <row r="356" spans="1:86" x14ac:dyDescent="0.25">
      <c r="A356" t="s">
        <v>47</v>
      </c>
      <c r="B356">
        <v>8</v>
      </c>
      <c r="C356" t="s">
        <v>131</v>
      </c>
      <c r="D356">
        <v>25</v>
      </c>
      <c r="E356" t="s">
        <v>70</v>
      </c>
      <c r="F356">
        <v>296</v>
      </c>
      <c r="G356" t="s">
        <v>74</v>
      </c>
      <c r="H356" t="s">
        <v>50</v>
      </c>
      <c r="K356" t="s">
        <v>52</v>
      </c>
      <c r="L356">
        <v>1</v>
      </c>
      <c r="M356" t="s">
        <v>53</v>
      </c>
      <c r="N356">
        <v>102</v>
      </c>
      <c r="O356">
        <v>1</v>
      </c>
      <c r="P356" t="s">
        <v>52</v>
      </c>
      <c r="Q356">
        <v>0</v>
      </c>
      <c r="R356">
        <v>0.75</v>
      </c>
      <c r="S356">
        <v>135</v>
      </c>
      <c r="T356" t="s">
        <v>284</v>
      </c>
      <c r="U356">
        <v>132</v>
      </c>
      <c r="V356" t="s">
        <v>284</v>
      </c>
      <c r="W356">
        <v>147</v>
      </c>
      <c r="X356" t="s">
        <v>284</v>
      </c>
      <c r="Y356">
        <v>170</v>
      </c>
      <c r="Z356" t="s">
        <v>284</v>
      </c>
      <c r="AA356">
        <v>205</v>
      </c>
      <c r="AB356" t="s">
        <v>285</v>
      </c>
      <c r="AG356">
        <v>150.66669999999999</v>
      </c>
      <c r="AH356" t="s">
        <v>54</v>
      </c>
      <c r="AI356" t="s">
        <v>52</v>
      </c>
      <c r="AZ356" t="s">
        <v>52</v>
      </c>
      <c r="BQ356" t="s">
        <v>52</v>
      </c>
      <c r="BR356">
        <v>0.65</v>
      </c>
      <c r="BS356" t="s">
        <v>284</v>
      </c>
      <c r="BT356">
        <v>0.46</v>
      </c>
      <c r="BU356" t="s">
        <v>284</v>
      </c>
      <c r="BV356">
        <v>0.11</v>
      </c>
      <c r="BW356" t="s">
        <v>284</v>
      </c>
      <c r="BX356">
        <v>0.25</v>
      </c>
      <c r="BY356" t="s">
        <v>285</v>
      </c>
      <c r="BZ356">
        <v>0.22</v>
      </c>
      <c r="CA356" t="s">
        <v>289</v>
      </c>
      <c r="CF356">
        <v>0.31</v>
      </c>
      <c r="CG356" t="s">
        <v>54</v>
      </c>
      <c r="CH356" t="s">
        <v>52</v>
      </c>
    </row>
    <row r="357" spans="1:86" x14ac:dyDescent="0.25">
      <c r="A357" t="s">
        <v>47</v>
      </c>
      <c r="B357">
        <v>8</v>
      </c>
      <c r="C357" t="s">
        <v>131</v>
      </c>
      <c r="D357">
        <v>25</v>
      </c>
      <c r="E357" t="s">
        <v>70</v>
      </c>
      <c r="F357">
        <v>296</v>
      </c>
      <c r="G357" t="s">
        <v>90</v>
      </c>
      <c r="H357" t="s">
        <v>50</v>
      </c>
      <c r="K357" t="s">
        <v>51</v>
      </c>
      <c r="L357">
        <v>1</v>
      </c>
      <c r="M357" t="s">
        <v>53</v>
      </c>
      <c r="N357">
        <v>102</v>
      </c>
      <c r="O357">
        <v>1</v>
      </c>
      <c r="P357" t="s">
        <v>52</v>
      </c>
      <c r="Q357">
        <v>0.5</v>
      </c>
      <c r="R357">
        <v>0.75</v>
      </c>
      <c r="S357">
        <v>228</v>
      </c>
      <c r="T357" t="s">
        <v>284</v>
      </c>
      <c r="U357">
        <v>190</v>
      </c>
      <c r="V357" t="s">
        <v>285</v>
      </c>
      <c r="W357">
        <v>236</v>
      </c>
      <c r="X357" t="s">
        <v>284</v>
      </c>
      <c r="Y357">
        <v>244</v>
      </c>
      <c r="Z357" t="s">
        <v>284</v>
      </c>
      <c r="AA357">
        <v>215</v>
      </c>
      <c r="AB357" t="s">
        <v>285</v>
      </c>
      <c r="AG357">
        <v>226.33330000000001</v>
      </c>
      <c r="AH357" t="s">
        <v>54</v>
      </c>
      <c r="AI357" t="s">
        <v>52</v>
      </c>
      <c r="AZ357" t="s">
        <v>52</v>
      </c>
      <c r="BQ357" t="s">
        <v>52</v>
      </c>
      <c r="BR357">
        <v>0.65</v>
      </c>
      <c r="BS357" t="s">
        <v>285</v>
      </c>
      <c r="BT357">
        <v>1.48</v>
      </c>
      <c r="BU357" t="s">
        <v>285</v>
      </c>
      <c r="BV357">
        <v>1.4</v>
      </c>
      <c r="BW357" t="s">
        <v>285</v>
      </c>
      <c r="BX357">
        <v>1.1200000000000001</v>
      </c>
      <c r="BY357" t="s">
        <v>285</v>
      </c>
      <c r="BZ357">
        <v>1.1200000000000001</v>
      </c>
      <c r="CA357" t="s">
        <v>284</v>
      </c>
      <c r="CF357">
        <v>1.21</v>
      </c>
      <c r="CG357" t="s">
        <v>54</v>
      </c>
      <c r="CH357" t="s">
        <v>52</v>
      </c>
    </row>
    <row r="358" spans="1:86" x14ac:dyDescent="0.25">
      <c r="A358" t="s">
        <v>47</v>
      </c>
      <c r="B358">
        <v>8</v>
      </c>
      <c r="C358" t="s">
        <v>131</v>
      </c>
      <c r="D358">
        <v>25</v>
      </c>
      <c r="E358" t="s">
        <v>70</v>
      </c>
      <c r="F358">
        <v>296</v>
      </c>
      <c r="G358" t="s">
        <v>124</v>
      </c>
      <c r="H358" t="s">
        <v>50</v>
      </c>
      <c r="K358" t="s">
        <v>52</v>
      </c>
      <c r="L358">
        <v>1</v>
      </c>
      <c r="M358" t="s">
        <v>53</v>
      </c>
      <c r="N358">
        <v>102</v>
      </c>
      <c r="O358">
        <v>1</v>
      </c>
      <c r="P358" t="s">
        <v>52</v>
      </c>
      <c r="Q358">
        <v>0</v>
      </c>
      <c r="R358">
        <v>0.75</v>
      </c>
      <c r="S358">
        <v>228</v>
      </c>
      <c r="T358" t="s">
        <v>284</v>
      </c>
      <c r="U358">
        <v>177</v>
      </c>
      <c r="V358" t="s">
        <v>284</v>
      </c>
      <c r="W358">
        <v>147</v>
      </c>
      <c r="X358" t="s">
        <v>284</v>
      </c>
      <c r="Y358">
        <v>170</v>
      </c>
      <c r="Z358" t="s">
        <v>284</v>
      </c>
      <c r="AA358">
        <v>205</v>
      </c>
      <c r="AB358" t="s">
        <v>285</v>
      </c>
      <c r="AG358">
        <v>184</v>
      </c>
      <c r="AH358" t="s">
        <v>54</v>
      </c>
      <c r="AI358" t="s">
        <v>52</v>
      </c>
      <c r="AZ358" t="s">
        <v>52</v>
      </c>
      <c r="BQ358" t="s">
        <v>52</v>
      </c>
      <c r="BR358">
        <v>0.65</v>
      </c>
      <c r="BS358" t="s">
        <v>285</v>
      </c>
      <c r="BT358">
        <v>0.46</v>
      </c>
      <c r="BU358" t="s">
        <v>284</v>
      </c>
      <c r="BV358">
        <v>0.11</v>
      </c>
      <c r="BW358" t="s">
        <v>289</v>
      </c>
      <c r="BX358">
        <v>0.25</v>
      </c>
      <c r="BY358" t="s">
        <v>285</v>
      </c>
      <c r="BZ358">
        <v>0.22</v>
      </c>
      <c r="CA358" t="s">
        <v>289</v>
      </c>
      <c r="CF358">
        <v>0.31</v>
      </c>
      <c r="CG358" t="s">
        <v>54</v>
      </c>
      <c r="CH358" t="s">
        <v>52</v>
      </c>
    </row>
    <row r="359" spans="1:86" x14ac:dyDescent="0.25">
      <c r="A359" t="s">
        <v>47</v>
      </c>
      <c r="B359">
        <v>8</v>
      </c>
      <c r="C359" t="s">
        <v>131</v>
      </c>
      <c r="D359">
        <v>25</v>
      </c>
      <c r="E359" t="s">
        <v>75</v>
      </c>
      <c r="F359">
        <v>16</v>
      </c>
      <c r="G359" t="s">
        <v>76</v>
      </c>
      <c r="H359" t="s">
        <v>50</v>
      </c>
      <c r="K359" t="s">
        <v>51</v>
      </c>
      <c r="L359">
        <v>1</v>
      </c>
      <c r="M359" t="s">
        <v>53</v>
      </c>
      <c r="N359">
        <v>16</v>
      </c>
      <c r="O359">
        <v>2</v>
      </c>
      <c r="P359" t="s">
        <v>52</v>
      </c>
      <c r="Q359">
        <v>0.5</v>
      </c>
      <c r="R359">
        <v>0.75</v>
      </c>
      <c r="S359">
        <v>83.35</v>
      </c>
      <c r="T359" t="s">
        <v>285</v>
      </c>
      <c r="U359">
        <v>96.14</v>
      </c>
      <c r="V359" t="s">
        <v>284</v>
      </c>
      <c r="W359">
        <v>103.37</v>
      </c>
      <c r="X359" t="s">
        <v>284</v>
      </c>
      <c r="Y359">
        <v>106.14</v>
      </c>
      <c r="Z359" t="s">
        <v>284</v>
      </c>
      <c r="AA359">
        <v>128</v>
      </c>
      <c r="AB359" t="s">
        <v>285</v>
      </c>
      <c r="AG359">
        <v>101.88330000000001</v>
      </c>
      <c r="AH359" t="s">
        <v>54</v>
      </c>
      <c r="AI359" t="s">
        <v>52</v>
      </c>
      <c r="AX359">
        <v>146.69999999999999</v>
      </c>
      <c r="AY359" t="s">
        <v>285</v>
      </c>
      <c r="AZ359" t="s">
        <v>287</v>
      </c>
      <c r="BQ359" t="s">
        <v>52</v>
      </c>
      <c r="BR359">
        <v>1.85</v>
      </c>
      <c r="BS359" t="s">
        <v>284</v>
      </c>
      <c r="BT359">
        <v>1.61</v>
      </c>
      <c r="BU359" t="s">
        <v>284</v>
      </c>
      <c r="BV359">
        <v>1.17</v>
      </c>
      <c r="BW359" t="s">
        <v>284</v>
      </c>
      <c r="BX359">
        <v>1.57</v>
      </c>
      <c r="BY359" t="s">
        <v>284</v>
      </c>
      <c r="BZ359">
        <v>0.17</v>
      </c>
      <c r="CA359" t="s">
        <v>288</v>
      </c>
      <c r="CF359">
        <v>1.45</v>
      </c>
      <c r="CG359" t="s">
        <v>54</v>
      </c>
      <c r="CH359" t="s">
        <v>52</v>
      </c>
    </row>
    <row r="360" spans="1:86" x14ac:dyDescent="0.25">
      <c r="A360" t="s">
        <v>47</v>
      </c>
      <c r="B360">
        <v>8</v>
      </c>
      <c r="C360" t="s">
        <v>131</v>
      </c>
      <c r="D360">
        <v>25</v>
      </c>
      <c r="E360" t="s">
        <v>77</v>
      </c>
      <c r="F360">
        <v>51</v>
      </c>
      <c r="G360" t="s">
        <v>78</v>
      </c>
      <c r="H360" t="s">
        <v>50</v>
      </c>
      <c r="K360" t="s">
        <v>51</v>
      </c>
      <c r="L360">
        <v>1</v>
      </c>
      <c r="M360" t="s">
        <v>53</v>
      </c>
      <c r="N360">
        <v>51</v>
      </c>
      <c r="O360">
        <v>2</v>
      </c>
      <c r="P360" t="s">
        <v>52</v>
      </c>
      <c r="Q360">
        <v>0.5</v>
      </c>
      <c r="R360">
        <v>0.73</v>
      </c>
      <c r="S360">
        <v>228</v>
      </c>
      <c r="T360" t="s">
        <v>284</v>
      </c>
      <c r="U360">
        <v>218</v>
      </c>
      <c r="V360" t="s">
        <v>284</v>
      </c>
      <c r="W360">
        <v>147</v>
      </c>
      <c r="X360" t="s">
        <v>284</v>
      </c>
      <c r="Y360">
        <v>170</v>
      </c>
      <c r="Z360" t="s">
        <v>284</v>
      </c>
      <c r="AA360">
        <v>109</v>
      </c>
      <c r="AB360" t="s">
        <v>285</v>
      </c>
      <c r="AG360">
        <v>178.33330000000001</v>
      </c>
      <c r="AH360" t="s">
        <v>54</v>
      </c>
      <c r="AI360" t="s">
        <v>52</v>
      </c>
      <c r="AZ360" t="s">
        <v>52</v>
      </c>
      <c r="BQ360" t="s">
        <v>52</v>
      </c>
      <c r="BR360">
        <v>1.2</v>
      </c>
      <c r="BS360" t="s">
        <v>284</v>
      </c>
      <c r="BT360">
        <v>1.35</v>
      </c>
      <c r="BU360" t="s">
        <v>284</v>
      </c>
      <c r="BV360">
        <v>1.35</v>
      </c>
      <c r="BW360" t="s">
        <v>285</v>
      </c>
      <c r="BX360">
        <v>1.35</v>
      </c>
      <c r="BY360" t="s">
        <v>285</v>
      </c>
      <c r="BZ360">
        <v>0.3</v>
      </c>
      <c r="CA360" t="s">
        <v>285</v>
      </c>
      <c r="CF360">
        <v>1.3</v>
      </c>
      <c r="CG360" t="s">
        <v>54</v>
      </c>
      <c r="CH360" t="s">
        <v>52</v>
      </c>
    </row>
    <row r="361" spans="1:86" x14ac:dyDescent="0.25">
      <c r="A361" t="s">
        <v>47</v>
      </c>
      <c r="B361">
        <v>8</v>
      </c>
      <c r="C361" t="s">
        <v>131</v>
      </c>
      <c r="D361">
        <v>25</v>
      </c>
      <c r="E361" t="s">
        <v>77</v>
      </c>
      <c r="F361">
        <v>51</v>
      </c>
      <c r="G361" t="s">
        <v>78</v>
      </c>
      <c r="H361" t="s">
        <v>50</v>
      </c>
      <c r="K361" t="s">
        <v>52</v>
      </c>
      <c r="L361">
        <v>1</v>
      </c>
      <c r="M361" t="s">
        <v>53</v>
      </c>
      <c r="N361">
        <v>51</v>
      </c>
      <c r="O361">
        <v>2</v>
      </c>
      <c r="P361" t="s">
        <v>52</v>
      </c>
      <c r="Q361">
        <v>0.5</v>
      </c>
      <c r="R361">
        <v>0.73</v>
      </c>
      <c r="S361">
        <v>228</v>
      </c>
      <c r="T361" t="s">
        <v>284</v>
      </c>
      <c r="U361">
        <v>218</v>
      </c>
      <c r="V361" t="s">
        <v>284</v>
      </c>
      <c r="W361">
        <v>147</v>
      </c>
      <c r="X361" t="s">
        <v>284</v>
      </c>
      <c r="Y361">
        <v>170</v>
      </c>
      <c r="Z361" t="s">
        <v>284</v>
      </c>
      <c r="AA361">
        <v>109</v>
      </c>
      <c r="AB361" t="s">
        <v>285</v>
      </c>
      <c r="AG361">
        <v>178.33330000000001</v>
      </c>
      <c r="AH361" t="s">
        <v>54</v>
      </c>
      <c r="AI361" t="s">
        <v>52</v>
      </c>
      <c r="AZ361" t="s">
        <v>52</v>
      </c>
      <c r="BQ361" t="s">
        <v>52</v>
      </c>
      <c r="BR361">
        <v>0.8</v>
      </c>
      <c r="BS361" t="s">
        <v>284</v>
      </c>
      <c r="BT361">
        <v>0.8</v>
      </c>
      <c r="BU361" t="s">
        <v>285</v>
      </c>
      <c r="BV361">
        <v>0.8</v>
      </c>
      <c r="BW361" t="s">
        <v>285</v>
      </c>
      <c r="BX361">
        <v>0.8</v>
      </c>
      <c r="BY361" t="s">
        <v>285</v>
      </c>
      <c r="BZ361">
        <v>0.18</v>
      </c>
      <c r="CA361" t="s">
        <v>285</v>
      </c>
      <c r="CF361">
        <v>0.8</v>
      </c>
      <c r="CG361" t="s">
        <v>54</v>
      </c>
      <c r="CH361" t="s">
        <v>52</v>
      </c>
    </row>
    <row r="362" spans="1:86" x14ac:dyDescent="0.25">
      <c r="A362" t="s">
        <v>47</v>
      </c>
      <c r="B362">
        <v>8</v>
      </c>
      <c r="C362" t="s">
        <v>131</v>
      </c>
      <c r="D362">
        <v>25</v>
      </c>
      <c r="E362" t="s">
        <v>79</v>
      </c>
      <c r="F362">
        <v>50</v>
      </c>
      <c r="G362" t="s">
        <v>81</v>
      </c>
      <c r="H362" t="s">
        <v>50</v>
      </c>
      <c r="K362" t="s">
        <v>51</v>
      </c>
      <c r="L362">
        <v>1</v>
      </c>
      <c r="M362" t="s">
        <v>53</v>
      </c>
      <c r="N362">
        <v>50</v>
      </c>
      <c r="O362">
        <v>1</v>
      </c>
      <c r="P362" t="s">
        <v>52</v>
      </c>
      <c r="Q362">
        <v>0.5</v>
      </c>
      <c r="R362">
        <v>0.75</v>
      </c>
      <c r="S362">
        <v>85</v>
      </c>
      <c r="T362" t="s">
        <v>285</v>
      </c>
      <c r="U362">
        <v>93</v>
      </c>
      <c r="V362" t="s">
        <v>284</v>
      </c>
      <c r="W362">
        <v>89.7</v>
      </c>
      <c r="X362" t="s">
        <v>284</v>
      </c>
      <c r="Y362">
        <v>92.72</v>
      </c>
      <c r="Z362" t="s">
        <v>284</v>
      </c>
      <c r="AA362">
        <v>109</v>
      </c>
      <c r="AB362" t="s">
        <v>285</v>
      </c>
      <c r="AG362">
        <v>91.806700000000006</v>
      </c>
      <c r="AH362" t="s">
        <v>54</v>
      </c>
      <c r="AI362" t="s">
        <v>52</v>
      </c>
      <c r="AZ362" t="s">
        <v>52</v>
      </c>
      <c r="BQ362" t="s">
        <v>52</v>
      </c>
      <c r="BR362">
        <v>2.74</v>
      </c>
      <c r="BS362" t="s">
        <v>289</v>
      </c>
      <c r="BT362">
        <v>2.2599999999999998</v>
      </c>
      <c r="BU362" t="s">
        <v>285</v>
      </c>
      <c r="BV362">
        <v>1.93</v>
      </c>
      <c r="BW362" t="s">
        <v>284</v>
      </c>
      <c r="BX362">
        <v>2.48</v>
      </c>
      <c r="BY362" t="s">
        <v>284</v>
      </c>
      <c r="BZ362">
        <v>1.26</v>
      </c>
      <c r="CA362" t="s">
        <v>288</v>
      </c>
      <c r="CF362">
        <v>2.2200000000000002</v>
      </c>
      <c r="CG362" t="s">
        <v>54</v>
      </c>
      <c r="CH362" t="s">
        <v>52</v>
      </c>
    </row>
    <row r="363" spans="1:86" x14ac:dyDescent="0.25">
      <c r="A363" t="s">
        <v>47</v>
      </c>
      <c r="B363">
        <v>8</v>
      </c>
      <c r="C363" t="s">
        <v>131</v>
      </c>
      <c r="D363">
        <v>25</v>
      </c>
      <c r="E363" t="s">
        <v>79</v>
      </c>
      <c r="F363">
        <v>50</v>
      </c>
      <c r="G363" t="s">
        <v>81</v>
      </c>
      <c r="H363" t="s">
        <v>50</v>
      </c>
      <c r="K363" t="s">
        <v>52</v>
      </c>
      <c r="L363">
        <v>1</v>
      </c>
      <c r="M363" t="s">
        <v>53</v>
      </c>
      <c r="N363">
        <v>50</v>
      </c>
      <c r="O363">
        <v>1</v>
      </c>
      <c r="P363" t="s">
        <v>52</v>
      </c>
      <c r="Q363">
        <v>0.5</v>
      </c>
      <c r="R363">
        <v>0.75</v>
      </c>
      <c r="S363">
        <v>85</v>
      </c>
      <c r="T363" t="s">
        <v>285</v>
      </c>
      <c r="U363">
        <v>93</v>
      </c>
      <c r="V363" t="s">
        <v>284</v>
      </c>
      <c r="W363">
        <v>89.7</v>
      </c>
      <c r="X363" t="s">
        <v>284</v>
      </c>
      <c r="Y363">
        <v>92.72</v>
      </c>
      <c r="Z363" t="s">
        <v>284</v>
      </c>
      <c r="AA363">
        <v>109</v>
      </c>
      <c r="AB363" t="s">
        <v>285</v>
      </c>
      <c r="AG363">
        <v>91.806700000000006</v>
      </c>
      <c r="AH363" t="s">
        <v>54</v>
      </c>
      <c r="AI363" t="s">
        <v>52</v>
      </c>
      <c r="AZ363" t="s">
        <v>52</v>
      </c>
      <c r="BQ363" t="s">
        <v>52</v>
      </c>
      <c r="BR363">
        <v>2.74</v>
      </c>
      <c r="BS363" t="s">
        <v>289</v>
      </c>
      <c r="BT363">
        <v>0.83</v>
      </c>
      <c r="BU363" t="s">
        <v>285</v>
      </c>
      <c r="BV363">
        <v>1.08</v>
      </c>
      <c r="BW363" t="s">
        <v>284</v>
      </c>
      <c r="BX363">
        <v>1.04</v>
      </c>
      <c r="BY363" t="s">
        <v>284</v>
      </c>
      <c r="BZ363">
        <v>0.56999999999999995</v>
      </c>
      <c r="CA363" t="s">
        <v>289</v>
      </c>
      <c r="CF363">
        <v>0.98</v>
      </c>
      <c r="CG363" t="s">
        <v>54</v>
      </c>
      <c r="CH363" t="s">
        <v>52</v>
      </c>
    </row>
    <row r="364" spans="1:86" x14ac:dyDescent="0.25">
      <c r="A364" t="s">
        <v>47</v>
      </c>
      <c r="B364">
        <v>8</v>
      </c>
      <c r="C364" t="s">
        <v>131</v>
      </c>
      <c r="D364">
        <v>25</v>
      </c>
      <c r="E364" t="s">
        <v>82</v>
      </c>
      <c r="F364">
        <v>52</v>
      </c>
      <c r="H364" t="s">
        <v>50</v>
      </c>
      <c r="K364" t="s">
        <v>51</v>
      </c>
      <c r="L364">
        <v>1</v>
      </c>
      <c r="M364" t="s">
        <v>53</v>
      </c>
      <c r="N364">
        <v>50</v>
      </c>
      <c r="O364">
        <v>1</v>
      </c>
      <c r="P364" t="s">
        <v>52</v>
      </c>
      <c r="Q364">
        <v>0.5</v>
      </c>
      <c r="R364">
        <v>0.75</v>
      </c>
      <c r="S364">
        <v>85</v>
      </c>
      <c r="T364" t="s">
        <v>285</v>
      </c>
      <c r="U364">
        <v>93</v>
      </c>
      <c r="V364" t="s">
        <v>284</v>
      </c>
      <c r="W364">
        <v>191.5</v>
      </c>
      <c r="X364" t="s">
        <v>284</v>
      </c>
      <c r="Y364">
        <v>198</v>
      </c>
      <c r="Z364" t="s">
        <v>284</v>
      </c>
      <c r="AA364">
        <v>109</v>
      </c>
      <c r="AB364" t="s">
        <v>285</v>
      </c>
      <c r="AG364">
        <v>131.16669999999999</v>
      </c>
      <c r="AH364" t="s">
        <v>54</v>
      </c>
      <c r="AI364" t="s">
        <v>52</v>
      </c>
      <c r="AZ364" t="s">
        <v>52</v>
      </c>
      <c r="BQ364" t="s">
        <v>52</v>
      </c>
      <c r="BR364">
        <v>2.11</v>
      </c>
      <c r="BS364" t="s">
        <v>288</v>
      </c>
      <c r="BT364">
        <v>2.1800000000000002</v>
      </c>
      <c r="BU364" t="s">
        <v>285</v>
      </c>
      <c r="BV364">
        <v>2.17</v>
      </c>
      <c r="BW364" t="s">
        <v>285</v>
      </c>
      <c r="BX364">
        <v>2.04</v>
      </c>
      <c r="BY364" t="s">
        <v>285</v>
      </c>
      <c r="BZ364">
        <v>0.45</v>
      </c>
      <c r="CA364" t="s">
        <v>285</v>
      </c>
      <c r="CF364">
        <v>2.11</v>
      </c>
      <c r="CG364" t="s">
        <v>54</v>
      </c>
      <c r="CH364" t="s">
        <v>52</v>
      </c>
    </row>
    <row r="365" spans="1:86" x14ac:dyDescent="0.25">
      <c r="A365" t="s">
        <v>47</v>
      </c>
      <c r="B365">
        <v>8</v>
      </c>
      <c r="C365" t="s">
        <v>131</v>
      </c>
      <c r="D365">
        <v>25</v>
      </c>
      <c r="E365" t="s">
        <v>82</v>
      </c>
      <c r="F365">
        <v>52</v>
      </c>
      <c r="H365" t="s">
        <v>50</v>
      </c>
      <c r="K365" t="s">
        <v>52</v>
      </c>
      <c r="L365">
        <v>1</v>
      </c>
      <c r="M365" t="s">
        <v>53</v>
      </c>
      <c r="N365">
        <v>50</v>
      </c>
      <c r="O365">
        <v>1</v>
      </c>
      <c r="P365" t="s">
        <v>52</v>
      </c>
      <c r="Q365">
        <v>0.5</v>
      </c>
      <c r="R365">
        <v>0.75</v>
      </c>
      <c r="S365">
        <v>85</v>
      </c>
      <c r="T365" t="s">
        <v>285</v>
      </c>
      <c r="U365">
        <v>93</v>
      </c>
      <c r="V365" t="s">
        <v>284</v>
      </c>
      <c r="W365">
        <v>191.5</v>
      </c>
      <c r="X365" t="s">
        <v>284</v>
      </c>
      <c r="Y365">
        <v>198</v>
      </c>
      <c r="Z365" t="s">
        <v>284</v>
      </c>
      <c r="AA365">
        <v>109</v>
      </c>
      <c r="AB365" t="s">
        <v>285</v>
      </c>
      <c r="AG365">
        <v>131.16669999999999</v>
      </c>
      <c r="AH365" t="s">
        <v>54</v>
      </c>
      <c r="AI365" t="s">
        <v>52</v>
      </c>
      <c r="AZ365" t="s">
        <v>52</v>
      </c>
      <c r="BQ365" t="s">
        <v>52</v>
      </c>
      <c r="BR365">
        <v>2.36</v>
      </c>
      <c r="BS365" t="s">
        <v>289</v>
      </c>
      <c r="BT365">
        <v>1.0900000000000001</v>
      </c>
      <c r="BU365" t="s">
        <v>285</v>
      </c>
      <c r="BV365">
        <v>0.66</v>
      </c>
      <c r="BW365" t="s">
        <v>285</v>
      </c>
      <c r="BX365">
        <v>0.31</v>
      </c>
      <c r="BY365" t="s">
        <v>285</v>
      </c>
      <c r="BZ365">
        <v>0.2</v>
      </c>
      <c r="CA365" t="s">
        <v>285</v>
      </c>
      <c r="CF365">
        <v>0.69</v>
      </c>
      <c r="CG365" t="s">
        <v>54</v>
      </c>
      <c r="CH365" t="s">
        <v>52</v>
      </c>
    </row>
    <row r="366" spans="1:86" x14ac:dyDescent="0.25">
      <c r="A366" t="s">
        <v>47</v>
      </c>
      <c r="B366">
        <v>8</v>
      </c>
      <c r="C366" t="s">
        <v>131</v>
      </c>
      <c r="D366">
        <v>25</v>
      </c>
      <c r="E366" t="s">
        <v>83</v>
      </c>
      <c r="F366">
        <v>158</v>
      </c>
      <c r="H366" t="s">
        <v>50</v>
      </c>
      <c r="K366" t="s">
        <v>51</v>
      </c>
      <c r="L366">
        <v>1</v>
      </c>
      <c r="M366" t="s">
        <v>53</v>
      </c>
      <c r="N366">
        <v>158</v>
      </c>
      <c r="O366">
        <v>2</v>
      </c>
      <c r="P366" t="s">
        <v>52</v>
      </c>
      <c r="Q366">
        <v>0.77</v>
      </c>
      <c r="R366">
        <v>0.93</v>
      </c>
      <c r="S366">
        <v>228</v>
      </c>
      <c r="T366" t="s">
        <v>284</v>
      </c>
      <c r="U366">
        <v>221</v>
      </c>
      <c r="V366" t="s">
        <v>284</v>
      </c>
      <c r="W366">
        <v>236</v>
      </c>
      <c r="X366" t="s">
        <v>284</v>
      </c>
      <c r="Y366">
        <v>244</v>
      </c>
      <c r="Z366" t="s">
        <v>284</v>
      </c>
      <c r="AA366">
        <v>252</v>
      </c>
      <c r="AB366" t="s">
        <v>284</v>
      </c>
      <c r="AG366">
        <v>236</v>
      </c>
      <c r="AH366" t="s">
        <v>54</v>
      </c>
      <c r="AI366" t="s">
        <v>52</v>
      </c>
      <c r="AX366">
        <v>339</v>
      </c>
      <c r="AY366" t="s">
        <v>285</v>
      </c>
      <c r="AZ366" t="s">
        <v>287</v>
      </c>
      <c r="BQ366" t="s">
        <v>52</v>
      </c>
      <c r="BR366">
        <v>1.85</v>
      </c>
      <c r="BS366" t="s">
        <v>284</v>
      </c>
      <c r="BT366">
        <v>1.35</v>
      </c>
      <c r="BU366" t="s">
        <v>284</v>
      </c>
      <c r="BV366">
        <v>1.54</v>
      </c>
      <c r="BW366" t="s">
        <v>288</v>
      </c>
      <c r="BX366">
        <v>1.34</v>
      </c>
      <c r="BY366" t="s">
        <v>289</v>
      </c>
      <c r="BZ366">
        <v>1.22</v>
      </c>
      <c r="CA366" t="s">
        <v>289</v>
      </c>
      <c r="CF366">
        <v>1.41</v>
      </c>
      <c r="CG366" t="s">
        <v>54</v>
      </c>
      <c r="CH366" t="s">
        <v>52</v>
      </c>
    </row>
    <row r="367" spans="1:86" x14ac:dyDescent="0.25">
      <c r="A367" t="s">
        <v>47</v>
      </c>
      <c r="B367">
        <v>8</v>
      </c>
      <c r="C367" t="s">
        <v>131</v>
      </c>
      <c r="D367">
        <v>25</v>
      </c>
      <c r="E367" t="s">
        <v>83</v>
      </c>
      <c r="F367">
        <v>158</v>
      </c>
      <c r="H367" t="s">
        <v>50</v>
      </c>
      <c r="K367" t="s">
        <v>52</v>
      </c>
      <c r="L367">
        <v>1</v>
      </c>
      <c r="M367" t="s">
        <v>53</v>
      </c>
      <c r="N367">
        <v>158</v>
      </c>
      <c r="O367">
        <v>2</v>
      </c>
      <c r="P367" t="s">
        <v>52</v>
      </c>
      <c r="Q367">
        <v>0.77</v>
      </c>
      <c r="R367">
        <v>0.93</v>
      </c>
      <c r="S367">
        <v>228</v>
      </c>
      <c r="T367" t="s">
        <v>284</v>
      </c>
      <c r="U367">
        <v>221</v>
      </c>
      <c r="V367" t="s">
        <v>284</v>
      </c>
      <c r="W367">
        <v>236</v>
      </c>
      <c r="X367" t="s">
        <v>284</v>
      </c>
      <c r="Y367">
        <v>244</v>
      </c>
      <c r="Z367" t="s">
        <v>284</v>
      </c>
      <c r="AA367">
        <v>252</v>
      </c>
      <c r="AB367" t="s">
        <v>284</v>
      </c>
      <c r="AG367">
        <v>236</v>
      </c>
      <c r="AH367" t="s">
        <v>54</v>
      </c>
      <c r="AI367" t="s">
        <v>52</v>
      </c>
      <c r="AX367">
        <v>339</v>
      </c>
      <c r="AY367" t="s">
        <v>285</v>
      </c>
      <c r="AZ367" t="s">
        <v>287</v>
      </c>
      <c r="BQ367" t="s">
        <v>52</v>
      </c>
      <c r="BR367">
        <v>0.42</v>
      </c>
      <c r="BS367" t="s">
        <v>285</v>
      </c>
      <c r="BT367">
        <v>1.31</v>
      </c>
      <c r="BU367" t="s">
        <v>285</v>
      </c>
      <c r="BV367">
        <v>1.01</v>
      </c>
      <c r="BW367" t="s">
        <v>284</v>
      </c>
      <c r="BX367">
        <v>0.33</v>
      </c>
      <c r="BY367" t="s">
        <v>289</v>
      </c>
      <c r="BZ367">
        <v>0.1</v>
      </c>
      <c r="CA367" t="s">
        <v>289</v>
      </c>
      <c r="CF367">
        <v>0.59</v>
      </c>
      <c r="CG367" t="s">
        <v>54</v>
      </c>
      <c r="CH367" t="s">
        <v>52</v>
      </c>
    </row>
    <row r="368" spans="1:86" x14ac:dyDescent="0.25">
      <c r="A368" t="s">
        <v>47</v>
      </c>
      <c r="B368">
        <v>8</v>
      </c>
      <c r="C368" t="s">
        <v>131</v>
      </c>
      <c r="D368">
        <v>25</v>
      </c>
      <c r="E368" t="s">
        <v>84</v>
      </c>
      <c r="F368">
        <v>11</v>
      </c>
      <c r="G368" t="s">
        <v>85</v>
      </c>
      <c r="H368" t="s">
        <v>50</v>
      </c>
      <c r="K368" t="s">
        <v>51</v>
      </c>
      <c r="L368">
        <v>1</v>
      </c>
      <c r="M368" t="s">
        <v>53</v>
      </c>
      <c r="N368">
        <v>11</v>
      </c>
      <c r="O368">
        <v>2</v>
      </c>
      <c r="P368" t="s">
        <v>52</v>
      </c>
      <c r="Q368">
        <v>0.5</v>
      </c>
      <c r="R368">
        <v>0.75</v>
      </c>
      <c r="S368">
        <v>155</v>
      </c>
      <c r="T368" t="s">
        <v>284</v>
      </c>
      <c r="U368">
        <v>110</v>
      </c>
      <c r="V368" t="s">
        <v>284</v>
      </c>
      <c r="W368">
        <v>118</v>
      </c>
      <c r="X368" t="s">
        <v>284</v>
      </c>
      <c r="Y368">
        <v>122</v>
      </c>
      <c r="Z368" t="s">
        <v>284</v>
      </c>
      <c r="AA368">
        <v>126</v>
      </c>
      <c r="AB368" t="s">
        <v>284</v>
      </c>
      <c r="AG368">
        <v>122</v>
      </c>
      <c r="AH368" t="s">
        <v>54</v>
      </c>
      <c r="AI368" t="s">
        <v>52</v>
      </c>
      <c r="AZ368" t="s">
        <v>52</v>
      </c>
      <c r="BQ368" t="s">
        <v>52</v>
      </c>
      <c r="BR368">
        <v>1.1100000000000001</v>
      </c>
      <c r="BS368" t="s">
        <v>285</v>
      </c>
      <c r="BT368">
        <v>1.06</v>
      </c>
      <c r="BU368" t="s">
        <v>284</v>
      </c>
      <c r="BV368">
        <v>1.17</v>
      </c>
      <c r="BW368" t="s">
        <v>284</v>
      </c>
      <c r="BX368">
        <v>1.01</v>
      </c>
      <c r="BY368" t="s">
        <v>284</v>
      </c>
      <c r="BZ368">
        <v>0.96</v>
      </c>
      <c r="CA368" t="s">
        <v>284</v>
      </c>
      <c r="CF368">
        <v>1.06</v>
      </c>
      <c r="CG368" t="s">
        <v>54</v>
      </c>
      <c r="CH368" t="s">
        <v>52</v>
      </c>
    </row>
    <row r="369" spans="1:86" x14ac:dyDescent="0.25">
      <c r="A369" t="s">
        <v>47</v>
      </c>
      <c r="B369">
        <v>8</v>
      </c>
      <c r="C369" t="s">
        <v>131</v>
      </c>
      <c r="D369">
        <v>25</v>
      </c>
      <c r="E369" t="s">
        <v>84</v>
      </c>
      <c r="F369">
        <v>11</v>
      </c>
      <c r="G369" t="s">
        <v>96</v>
      </c>
      <c r="H369" t="s">
        <v>50</v>
      </c>
      <c r="K369" t="s">
        <v>51</v>
      </c>
      <c r="L369">
        <v>1</v>
      </c>
      <c r="M369" t="s">
        <v>53</v>
      </c>
      <c r="N369">
        <v>11</v>
      </c>
      <c r="O369">
        <v>2</v>
      </c>
      <c r="P369" t="s">
        <v>52</v>
      </c>
      <c r="Q369">
        <v>0.5</v>
      </c>
      <c r="R369">
        <v>0.75</v>
      </c>
      <c r="S369">
        <v>124</v>
      </c>
      <c r="T369" t="s">
        <v>284</v>
      </c>
      <c r="U369">
        <v>110</v>
      </c>
      <c r="V369" t="s">
        <v>284</v>
      </c>
      <c r="W369">
        <v>118</v>
      </c>
      <c r="X369" t="s">
        <v>284</v>
      </c>
      <c r="Y369">
        <v>122</v>
      </c>
      <c r="Z369" t="s">
        <v>284</v>
      </c>
      <c r="AA369">
        <v>126</v>
      </c>
      <c r="AB369" t="s">
        <v>284</v>
      </c>
      <c r="AG369">
        <v>121.33329999999999</v>
      </c>
      <c r="AH369" t="s">
        <v>54</v>
      </c>
      <c r="AI369" t="s">
        <v>52</v>
      </c>
      <c r="AZ369" t="s">
        <v>52</v>
      </c>
      <c r="BQ369" t="s">
        <v>52</v>
      </c>
      <c r="BR369">
        <v>1.1100000000000001</v>
      </c>
      <c r="BS369" t="s">
        <v>285</v>
      </c>
      <c r="BT369">
        <v>1.06</v>
      </c>
      <c r="BU369" t="s">
        <v>284</v>
      </c>
      <c r="BV369">
        <v>1.17</v>
      </c>
      <c r="BW369" t="s">
        <v>284</v>
      </c>
      <c r="BX369">
        <v>1.01</v>
      </c>
      <c r="BY369" t="s">
        <v>284</v>
      </c>
      <c r="BZ369">
        <v>0.87</v>
      </c>
      <c r="CA369" t="s">
        <v>284</v>
      </c>
      <c r="CF369">
        <v>1.06</v>
      </c>
      <c r="CG369" t="s">
        <v>54</v>
      </c>
      <c r="CH369" t="s">
        <v>52</v>
      </c>
    </row>
    <row r="370" spans="1:86" x14ac:dyDescent="0.25">
      <c r="A370" t="s">
        <v>47</v>
      </c>
      <c r="B370">
        <v>8</v>
      </c>
      <c r="C370" t="s">
        <v>134</v>
      </c>
      <c r="D370">
        <v>27</v>
      </c>
      <c r="E370" t="s">
        <v>49</v>
      </c>
      <c r="F370">
        <v>27</v>
      </c>
      <c r="H370" t="s">
        <v>50</v>
      </c>
      <c r="K370" t="s">
        <v>51</v>
      </c>
      <c r="L370">
        <v>1</v>
      </c>
      <c r="M370" t="s">
        <v>53</v>
      </c>
      <c r="N370">
        <v>27</v>
      </c>
      <c r="O370">
        <v>1</v>
      </c>
      <c r="P370" t="s">
        <v>52</v>
      </c>
      <c r="Q370">
        <v>0</v>
      </c>
      <c r="R370">
        <v>0.75</v>
      </c>
      <c r="S370">
        <v>231</v>
      </c>
      <c r="T370" t="s">
        <v>284</v>
      </c>
      <c r="U370">
        <v>208</v>
      </c>
      <c r="V370" t="s">
        <v>284</v>
      </c>
      <c r="W370">
        <v>224</v>
      </c>
      <c r="X370" t="s">
        <v>284</v>
      </c>
      <c r="Y370">
        <v>225</v>
      </c>
      <c r="Z370" t="s">
        <v>285</v>
      </c>
      <c r="AA370">
        <v>247</v>
      </c>
      <c r="AB370" t="s">
        <v>285</v>
      </c>
      <c r="AC370">
        <v>241</v>
      </c>
      <c r="AD370" t="s">
        <v>285</v>
      </c>
      <c r="AE370">
        <v>219</v>
      </c>
      <c r="AF370" t="s">
        <v>285</v>
      </c>
      <c r="AG370">
        <v>219</v>
      </c>
      <c r="AH370" t="s">
        <v>286</v>
      </c>
      <c r="AI370" t="s">
        <v>287</v>
      </c>
      <c r="AX370">
        <v>263</v>
      </c>
      <c r="AY370" t="s">
        <v>286</v>
      </c>
      <c r="AZ370" t="s">
        <v>287</v>
      </c>
      <c r="BQ370" t="s">
        <v>52</v>
      </c>
      <c r="BR370">
        <v>3.7</v>
      </c>
      <c r="BS370" t="s">
        <v>284</v>
      </c>
      <c r="BT370">
        <v>3.4</v>
      </c>
      <c r="BU370" t="s">
        <v>284</v>
      </c>
      <c r="BV370">
        <v>3.83</v>
      </c>
      <c r="BW370" t="s">
        <v>284</v>
      </c>
      <c r="BX370">
        <v>3.83</v>
      </c>
      <c r="BY370" t="s">
        <v>284</v>
      </c>
      <c r="BZ370">
        <v>3.8</v>
      </c>
      <c r="CA370" t="s">
        <v>289</v>
      </c>
      <c r="CF370">
        <v>3.78</v>
      </c>
      <c r="CG370" t="s">
        <v>54</v>
      </c>
      <c r="CH370" t="s">
        <v>52</v>
      </c>
    </row>
    <row r="371" spans="1:86" x14ac:dyDescent="0.25">
      <c r="A371" t="s">
        <v>47</v>
      </c>
      <c r="B371">
        <v>8</v>
      </c>
      <c r="C371" t="s">
        <v>134</v>
      </c>
      <c r="D371">
        <v>27</v>
      </c>
      <c r="E371" t="s">
        <v>49</v>
      </c>
      <c r="F371">
        <v>27</v>
      </c>
      <c r="H371" t="s">
        <v>50</v>
      </c>
      <c r="K371" t="s">
        <v>52</v>
      </c>
      <c r="L371">
        <v>1</v>
      </c>
      <c r="M371" t="s">
        <v>53</v>
      </c>
      <c r="N371">
        <v>27</v>
      </c>
      <c r="O371">
        <v>1</v>
      </c>
      <c r="P371" t="s">
        <v>52</v>
      </c>
      <c r="Q371">
        <v>0</v>
      </c>
      <c r="R371">
        <v>0.75</v>
      </c>
      <c r="S371">
        <v>231</v>
      </c>
      <c r="T371" t="s">
        <v>284</v>
      </c>
      <c r="U371">
        <v>208</v>
      </c>
      <c r="V371" t="s">
        <v>284</v>
      </c>
      <c r="W371">
        <v>224</v>
      </c>
      <c r="X371" t="s">
        <v>284</v>
      </c>
      <c r="Y371">
        <v>225</v>
      </c>
      <c r="Z371" t="s">
        <v>285</v>
      </c>
      <c r="AA371">
        <v>247</v>
      </c>
      <c r="AB371" t="s">
        <v>285</v>
      </c>
      <c r="AC371">
        <v>241</v>
      </c>
      <c r="AD371" t="s">
        <v>285</v>
      </c>
      <c r="AE371">
        <v>219</v>
      </c>
      <c r="AF371" t="s">
        <v>285</v>
      </c>
      <c r="AG371">
        <v>219</v>
      </c>
      <c r="AH371" t="s">
        <v>286</v>
      </c>
      <c r="AI371" t="s">
        <v>287</v>
      </c>
      <c r="AX371">
        <v>263</v>
      </c>
      <c r="AY371" t="s">
        <v>286</v>
      </c>
      <c r="AZ371" t="s">
        <v>287</v>
      </c>
      <c r="BQ371" t="s">
        <v>52</v>
      </c>
      <c r="BR371">
        <v>1.3</v>
      </c>
      <c r="BS371" t="s">
        <v>284</v>
      </c>
      <c r="BT371">
        <v>1.2</v>
      </c>
      <c r="BU371" t="s">
        <v>284</v>
      </c>
      <c r="BV371">
        <v>1.01</v>
      </c>
      <c r="BW371" t="s">
        <v>284</v>
      </c>
      <c r="BX371">
        <v>1.59</v>
      </c>
      <c r="BY371" t="s">
        <v>284</v>
      </c>
      <c r="BZ371">
        <v>2.98</v>
      </c>
      <c r="CA371" t="s">
        <v>288</v>
      </c>
      <c r="CF371">
        <v>1.36</v>
      </c>
      <c r="CG371" t="s">
        <v>54</v>
      </c>
      <c r="CH371" t="s">
        <v>52</v>
      </c>
    </row>
    <row r="372" spans="1:86" x14ac:dyDescent="0.25">
      <c r="A372" t="s">
        <v>47</v>
      </c>
      <c r="B372">
        <v>8</v>
      </c>
      <c r="C372" t="s">
        <v>134</v>
      </c>
      <c r="D372">
        <v>27</v>
      </c>
      <c r="E372" t="s">
        <v>58</v>
      </c>
      <c r="F372">
        <v>102</v>
      </c>
      <c r="G372" t="s">
        <v>62</v>
      </c>
      <c r="H372" t="s">
        <v>50</v>
      </c>
      <c r="K372" t="s">
        <v>51</v>
      </c>
      <c r="L372">
        <v>1</v>
      </c>
      <c r="M372" t="s">
        <v>53</v>
      </c>
      <c r="N372">
        <v>102</v>
      </c>
      <c r="O372">
        <v>1</v>
      </c>
      <c r="P372" t="s">
        <v>52</v>
      </c>
      <c r="Q372">
        <v>0</v>
      </c>
      <c r="R372">
        <v>0.92</v>
      </c>
      <c r="S372">
        <v>131.69999999999999</v>
      </c>
      <c r="T372" t="s">
        <v>284</v>
      </c>
      <c r="U372">
        <v>170</v>
      </c>
      <c r="V372" t="s">
        <v>284</v>
      </c>
      <c r="W372">
        <v>191</v>
      </c>
      <c r="X372" t="s">
        <v>284</v>
      </c>
      <c r="Y372">
        <v>207</v>
      </c>
      <c r="Z372" t="s">
        <v>284</v>
      </c>
      <c r="AA372">
        <v>205</v>
      </c>
      <c r="AB372" t="s">
        <v>285</v>
      </c>
      <c r="AG372">
        <v>188.66669999999999</v>
      </c>
      <c r="AH372" t="s">
        <v>54</v>
      </c>
      <c r="AI372" t="s">
        <v>52</v>
      </c>
      <c r="AX372">
        <v>271.60000000000002</v>
      </c>
      <c r="AY372" t="s">
        <v>285</v>
      </c>
      <c r="AZ372" t="s">
        <v>287</v>
      </c>
      <c r="BQ372" t="s">
        <v>52</v>
      </c>
      <c r="BR372">
        <v>1.85</v>
      </c>
      <c r="BS372" t="s">
        <v>284</v>
      </c>
      <c r="BT372">
        <v>1.65</v>
      </c>
      <c r="BU372" t="s">
        <v>284</v>
      </c>
      <c r="BV372">
        <v>1.07</v>
      </c>
      <c r="BW372" t="s">
        <v>285</v>
      </c>
      <c r="BX372">
        <v>0.63</v>
      </c>
      <c r="BY372" t="s">
        <v>285</v>
      </c>
      <c r="BZ372">
        <v>3.23</v>
      </c>
      <c r="CA372" t="s">
        <v>288</v>
      </c>
      <c r="CF372">
        <v>1.52</v>
      </c>
      <c r="CG372" t="s">
        <v>54</v>
      </c>
      <c r="CH372" t="s">
        <v>52</v>
      </c>
    </row>
    <row r="373" spans="1:86" x14ac:dyDescent="0.25">
      <c r="A373" t="s">
        <v>47</v>
      </c>
      <c r="B373">
        <v>8</v>
      </c>
      <c r="C373" t="s">
        <v>134</v>
      </c>
      <c r="D373">
        <v>27</v>
      </c>
      <c r="E373" t="s">
        <v>58</v>
      </c>
      <c r="F373">
        <v>102</v>
      </c>
      <c r="G373" t="s">
        <v>62</v>
      </c>
      <c r="H373" t="s">
        <v>50</v>
      </c>
      <c r="K373" t="s">
        <v>52</v>
      </c>
      <c r="L373">
        <v>1</v>
      </c>
      <c r="M373" t="s">
        <v>53</v>
      </c>
      <c r="N373">
        <v>102</v>
      </c>
      <c r="O373">
        <v>1</v>
      </c>
      <c r="P373" t="s">
        <v>52</v>
      </c>
      <c r="Q373">
        <v>0</v>
      </c>
      <c r="R373">
        <v>0.92</v>
      </c>
      <c r="S373">
        <v>131.69999999999999</v>
      </c>
      <c r="T373" t="s">
        <v>284</v>
      </c>
      <c r="U373">
        <v>170</v>
      </c>
      <c r="V373" t="s">
        <v>284</v>
      </c>
      <c r="W373">
        <v>191</v>
      </c>
      <c r="X373" t="s">
        <v>284</v>
      </c>
      <c r="Y373">
        <v>207</v>
      </c>
      <c r="Z373" t="s">
        <v>284</v>
      </c>
      <c r="AA373">
        <v>205</v>
      </c>
      <c r="AB373" t="s">
        <v>285</v>
      </c>
      <c r="AG373">
        <v>188.66669999999999</v>
      </c>
      <c r="AH373" t="s">
        <v>54</v>
      </c>
      <c r="AI373" t="s">
        <v>52</v>
      </c>
      <c r="AX373">
        <v>271.60000000000002</v>
      </c>
      <c r="AY373" t="s">
        <v>285</v>
      </c>
      <c r="AZ373" t="s">
        <v>287</v>
      </c>
      <c r="BQ373" t="s">
        <v>52</v>
      </c>
      <c r="BR373">
        <v>1.3</v>
      </c>
      <c r="BS373" t="s">
        <v>285</v>
      </c>
      <c r="BT373">
        <v>1.38</v>
      </c>
      <c r="BU373" t="s">
        <v>285</v>
      </c>
      <c r="BV373">
        <v>0.32</v>
      </c>
      <c r="BW373" t="s">
        <v>285</v>
      </c>
      <c r="BX373">
        <v>0.57999999999999996</v>
      </c>
      <c r="BY373" t="s">
        <v>285</v>
      </c>
      <c r="BZ373">
        <v>0.5</v>
      </c>
      <c r="CA373" t="s">
        <v>284</v>
      </c>
      <c r="CF373">
        <v>0.79</v>
      </c>
      <c r="CG373" t="s">
        <v>54</v>
      </c>
      <c r="CH373" t="s">
        <v>52</v>
      </c>
    </row>
    <row r="374" spans="1:86" x14ac:dyDescent="0.25">
      <c r="A374" t="s">
        <v>47</v>
      </c>
      <c r="B374">
        <v>8</v>
      </c>
      <c r="C374" t="s">
        <v>134</v>
      </c>
      <c r="D374">
        <v>27</v>
      </c>
      <c r="E374" t="s">
        <v>58</v>
      </c>
      <c r="F374">
        <v>102</v>
      </c>
      <c r="G374" t="s">
        <v>67</v>
      </c>
      <c r="H374" t="s">
        <v>50</v>
      </c>
      <c r="K374" t="s">
        <v>51</v>
      </c>
      <c r="L374">
        <v>1</v>
      </c>
      <c r="M374" t="s">
        <v>53</v>
      </c>
      <c r="N374">
        <v>102</v>
      </c>
      <c r="O374">
        <v>1</v>
      </c>
      <c r="P374" t="s">
        <v>52</v>
      </c>
      <c r="Q374">
        <v>0</v>
      </c>
      <c r="R374">
        <v>0.92</v>
      </c>
      <c r="S374">
        <v>131.69999999999999</v>
      </c>
      <c r="T374" t="s">
        <v>284</v>
      </c>
      <c r="U374">
        <v>170</v>
      </c>
      <c r="V374" t="s">
        <v>284</v>
      </c>
      <c r="W374">
        <v>191</v>
      </c>
      <c r="X374" t="s">
        <v>284</v>
      </c>
      <c r="Y374">
        <v>207</v>
      </c>
      <c r="Z374" t="s">
        <v>285</v>
      </c>
      <c r="AA374">
        <v>205</v>
      </c>
      <c r="AB374" t="s">
        <v>285</v>
      </c>
      <c r="AG374">
        <v>188.66669999999999</v>
      </c>
      <c r="AH374" t="s">
        <v>54</v>
      </c>
      <c r="AI374" t="s">
        <v>52</v>
      </c>
      <c r="AZ374" t="s">
        <v>52</v>
      </c>
      <c r="BQ374" t="s">
        <v>52</v>
      </c>
      <c r="CH374" t="s">
        <v>52</v>
      </c>
    </row>
    <row r="375" spans="1:86" x14ac:dyDescent="0.25">
      <c r="A375" t="s">
        <v>47</v>
      </c>
      <c r="B375">
        <v>8</v>
      </c>
      <c r="C375" t="s">
        <v>134</v>
      </c>
      <c r="D375">
        <v>27</v>
      </c>
      <c r="E375" t="s">
        <v>58</v>
      </c>
      <c r="F375">
        <v>102</v>
      </c>
      <c r="G375" t="s">
        <v>67</v>
      </c>
      <c r="H375" t="s">
        <v>50</v>
      </c>
      <c r="K375" t="s">
        <v>52</v>
      </c>
      <c r="L375">
        <v>1</v>
      </c>
      <c r="M375" t="s">
        <v>53</v>
      </c>
      <c r="N375">
        <v>102</v>
      </c>
      <c r="O375">
        <v>1</v>
      </c>
      <c r="P375" t="s">
        <v>52</v>
      </c>
      <c r="Q375">
        <v>0</v>
      </c>
      <c r="R375">
        <v>0.92</v>
      </c>
      <c r="S375">
        <v>131.69999999999999</v>
      </c>
      <c r="T375" t="s">
        <v>284</v>
      </c>
      <c r="U375">
        <v>170</v>
      </c>
      <c r="V375" t="s">
        <v>284</v>
      </c>
      <c r="W375">
        <v>191</v>
      </c>
      <c r="X375" t="s">
        <v>284</v>
      </c>
      <c r="Y375">
        <v>207</v>
      </c>
      <c r="Z375" t="s">
        <v>285</v>
      </c>
      <c r="AA375">
        <v>205</v>
      </c>
      <c r="AB375" t="s">
        <v>285</v>
      </c>
      <c r="AG375">
        <v>188.66669999999999</v>
      </c>
      <c r="AH375" t="s">
        <v>54</v>
      </c>
      <c r="AI375" t="s">
        <v>52</v>
      </c>
      <c r="AZ375" t="s">
        <v>52</v>
      </c>
      <c r="BQ375" t="s">
        <v>52</v>
      </c>
      <c r="CH375" t="s">
        <v>52</v>
      </c>
    </row>
    <row r="376" spans="1:86" x14ac:dyDescent="0.25">
      <c r="A376" t="s">
        <v>47</v>
      </c>
      <c r="B376">
        <v>8</v>
      </c>
      <c r="C376" t="s">
        <v>134</v>
      </c>
      <c r="D376">
        <v>27</v>
      </c>
      <c r="E376" t="s">
        <v>70</v>
      </c>
      <c r="F376">
        <v>296</v>
      </c>
      <c r="G376" t="s">
        <v>71</v>
      </c>
      <c r="H376" t="s">
        <v>50</v>
      </c>
      <c r="K376" t="s">
        <v>51</v>
      </c>
      <c r="L376">
        <v>1</v>
      </c>
      <c r="M376" t="s">
        <v>53</v>
      </c>
      <c r="N376">
        <v>296</v>
      </c>
      <c r="O376">
        <v>1</v>
      </c>
      <c r="P376" t="s">
        <v>52</v>
      </c>
      <c r="Q376">
        <v>0</v>
      </c>
      <c r="R376">
        <v>0.75</v>
      </c>
      <c r="S376">
        <v>228</v>
      </c>
      <c r="T376" t="s">
        <v>284</v>
      </c>
      <c r="U376">
        <v>190</v>
      </c>
      <c r="V376" t="s">
        <v>285</v>
      </c>
      <c r="W376">
        <v>194</v>
      </c>
      <c r="X376" t="s">
        <v>285</v>
      </c>
      <c r="Y376">
        <v>225</v>
      </c>
      <c r="Z376" t="s">
        <v>285</v>
      </c>
      <c r="AA376">
        <v>247</v>
      </c>
      <c r="AB376" t="s">
        <v>285</v>
      </c>
      <c r="AC376">
        <v>241</v>
      </c>
      <c r="AD376" t="s">
        <v>285</v>
      </c>
      <c r="AE376">
        <v>219</v>
      </c>
      <c r="AF376" t="s">
        <v>285</v>
      </c>
      <c r="AG376">
        <v>219</v>
      </c>
      <c r="AH376" t="s">
        <v>286</v>
      </c>
      <c r="AI376" t="s">
        <v>287</v>
      </c>
      <c r="AX376">
        <v>263</v>
      </c>
      <c r="AY376" t="s">
        <v>286</v>
      </c>
      <c r="AZ376" t="s">
        <v>287</v>
      </c>
      <c r="BQ376" t="s">
        <v>52</v>
      </c>
      <c r="BR376">
        <v>1.85</v>
      </c>
      <c r="BS376" t="s">
        <v>284</v>
      </c>
      <c r="BT376">
        <v>1.65</v>
      </c>
      <c r="BU376" t="s">
        <v>285</v>
      </c>
      <c r="BV376">
        <v>0.99</v>
      </c>
      <c r="BW376" t="s">
        <v>289</v>
      </c>
      <c r="BX376">
        <v>2.62</v>
      </c>
      <c r="BY376" t="s">
        <v>288</v>
      </c>
      <c r="BZ376">
        <v>0.93</v>
      </c>
      <c r="CA376" t="s">
        <v>288</v>
      </c>
      <c r="CF376">
        <v>1.5</v>
      </c>
      <c r="CG376" t="s">
        <v>54</v>
      </c>
      <c r="CH376" t="s">
        <v>52</v>
      </c>
    </row>
    <row r="377" spans="1:86" x14ac:dyDescent="0.25">
      <c r="A377" t="s">
        <v>47</v>
      </c>
      <c r="B377">
        <v>8</v>
      </c>
      <c r="C377" t="s">
        <v>134</v>
      </c>
      <c r="D377">
        <v>27</v>
      </c>
      <c r="E377" t="s">
        <v>70</v>
      </c>
      <c r="F377">
        <v>296</v>
      </c>
      <c r="G377" t="s">
        <v>71</v>
      </c>
      <c r="H377" t="s">
        <v>50</v>
      </c>
      <c r="K377" t="s">
        <v>52</v>
      </c>
      <c r="L377">
        <v>1</v>
      </c>
      <c r="M377" t="s">
        <v>53</v>
      </c>
      <c r="N377">
        <v>296</v>
      </c>
      <c r="O377">
        <v>1</v>
      </c>
      <c r="P377" t="s">
        <v>52</v>
      </c>
      <c r="Q377">
        <v>0</v>
      </c>
      <c r="R377">
        <v>0.75</v>
      </c>
      <c r="S377">
        <v>228</v>
      </c>
      <c r="T377" t="s">
        <v>284</v>
      </c>
      <c r="U377">
        <v>190</v>
      </c>
      <c r="V377" t="s">
        <v>285</v>
      </c>
      <c r="W377">
        <v>194</v>
      </c>
      <c r="X377" t="s">
        <v>285</v>
      </c>
      <c r="Y377">
        <v>225</v>
      </c>
      <c r="Z377" t="s">
        <v>285</v>
      </c>
      <c r="AA377">
        <v>247</v>
      </c>
      <c r="AB377" t="s">
        <v>285</v>
      </c>
      <c r="AC377">
        <v>241</v>
      </c>
      <c r="AD377" t="s">
        <v>285</v>
      </c>
      <c r="AE377">
        <v>219</v>
      </c>
      <c r="AF377" t="s">
        <v>285</v>
      </c>
      <c r="AG377">
        <v>219</v>
      </c>
      <c r="AH377" t="s">
        <v>286</v>
      </c>
      <c r="AI377" t="s">
        <v>287</v>
      </c>
      <c r="AX377">
        <v>263</v>
      </c>
      <c r="AY377" t="s">
        <v>286</v>
      </c>
      <c r="AZ377" t="s">
        <v>287</v>
      </c>
      <c r="BQ377" t="s">
        <v>52</v>
      </c>
      <c r="BR377">
        <v>0.65</v>
      </c>
      <c r="BS377" t="s">
        <v>284</v>
      </c>
      <c r="BT377">
        <v>1.07</v>
      </c>
      <c r="BU377" t="s">
        <v>285</v>
      </c>
      <c r="BV377">
        <v>0.33</v>
      </c>
      <c r="BW377" t="s">
        <v>285</v>
      </c>
      <c r="BX377">
        <v>0.22</v>
      </c>
      <c r="BY377" t="s">
        <v>284</v>
      </c>
      <c r="BZ377">
        <v>1.62</v>
      </c>
      <c r="CA377" t="s">
        <v>288</v>
      </c>
      <c r="CF377">
        <v>0.68</v>
      </c>
      <c r="CG377" t="s">
        <v>54</v>
      </c>
      <c r="CH377" t="s">
        <v>52</v>
      </c>
    </row>
    <row r="378" spans="1:86" x14ac:dyDescent="0.25">
      <c r="A378" t="s">
        <v>47</v>
      </c>
      <c r="B378">
        <v>8</v>
      </c>
      <c r="C378" t="s">
        <v>134</v>
      </c>
      <c r="D378">
        <v>27</v>
      </c>
      <c r="E378" t="s">
        <v>70</v>
      </c>
      <c r="F378">
        <v>296</v>
      </c>
      <c r="G378" t="s">
        <v>72</v>
      </c>
      <c r="H378" t="s">
        <v>50</v>
      </c>
      <c r="K378" t="s">
        <v>51</v>
      </c>
      <c r="L378">
        <v>1</v>
      </c>
      <c r="M378" t="s">
        <v>53</v>
      </c>
      <c r="N378">
        <v>296</v>
      </c>
      <c r="O378">
        <v>1</v>
      </c>
      <c r="P378" t="s">
        <v>52</v>
      </c>
      <c r="Q378">
        <v>0.5</v>
      </c>
      <c r="R378">
        <v>0.75</v>
      </c>
      <c r="S378">
        <v>228</v>
      </c>
      <c r="T378" t="s">
        <v>284</v>
      </c>
      <c r="U378">
        <v>221</v>
      </c>
      <c r="V378" t="s">
        <v>284</v>
      </c>
      <c r="W378">
        <v>236</v>
      </c>
      <c r="X378" t="s">
        <v>284</v>
      </c>
      <c r="Y378">
        <v>244</v>
      </c>
      <c r="Z378" t="s">
        <v>284</v>
      </c>
      <c r="AA378">
        <v>215</v>
      </c>
      <c r="AB378" t="s">
        <v>285</v>
      </c>
      <c r="AG378">
        <v>228.33330000000001</v>
      </c>
      <c r="AH378" t="s">
        <v>54</v>
      </c>
      <c r="AI378" t="s">
        <v>52</v>
      </c>
      <c r="AZ378" t="s">
        <v>52</v>
      </c>
      <c r="BQ378" t="s">
        <v>52</v>
      </c>
      <c r="CH378" t="s">
        <v>52</v>
      </c>
    </row>
    <row r="379" spans="1:86" x14ac:dyDescent="0.25">
      <c r="A379" t="s">
        <v>47</v>
      </c>
      <c r="B379">
        <v>8</v>
      </c>
      <c r="C379" t="s">
        <v>134</v>
      </c>
      <c r="D379">
        <v>27</v>
      </c>
      <c r="E379" t="s">
        <v>70</v>
      </c>
      <c r="F379">
        <v>296</v>
      </c>
      <c r="G379" t="s">
        <v>72</v>
      </c>
      <c r="H379" t="s">
        <v>50</v>
      </c>
      <c r="K379" t="s">
        <v>52</v>
      </c>
      <c r="L379">
        <v>1</v>
      </c>
      <c r="M379" t="s">
        <v>53</v>
      </c>
      <c r="N379">
        <v>296</v>
      </c>
      <c r="O379">
        <v>1</v>
      </c>
      <c r="P379" t="s">
        <v>52</v>
      </c>
      <c r="Q379">
        <v>0.5</v>
      </c>
      <c r="R379">
        <v>0.75</v>
      </c>
      <c r="S379">
        <v>228</v>
      </c>
      <c r="T379" t="s">
        <v>284</v>
      </c>
      <c r="U379">
        <v>221</v>
      </c>
      <c r="V379" t="s">
        <v>284</v>
      </c>
      <c r="W379">
        <v>236</v>
      </c>
      <c r="X379" t="s">
        <v>284</v>
      </c>
      <c r="Y379">
        <v>244</v>
      </c>
      <c r="Z379" t="s">
        <v>284</v>
      </c>
      <c r="AA379">
        <v>215</v>
      </c>
      <c r="AB379" t="s">
        <v>285</v>
      </c>
      <c r="AG379">
        <v>228.33330000000001</v>
      </c>
      <c r="AH379" t="s">
        <v>54</v>
      </c>
      <c r="AI379" t="s">
        <v>52</v>
      </c>
      <c r="AZ379" t="s">
        <v>52</v>
      </c>
      <c r="BQ379" t="s">
        <v>52</v>
      </c>
      <c r="CH379" t="s">
        <v>52</v>
      </c>
    </row>
    <row r="380" spans="1:86" x14ac:dyDescent="0.25">
      <c r="A380" t="s">
        <v>47</v>
      </c>
      <c r="B380">
        <v>8</v>
      </c>
      <c r="C380" t="s">
        <v>134</v>
      </c>
      <c r="D380">
        <v>27</v>
      </c>
      <c r="E380" t="s">
        <v>70</v>
      </c>
      <c r="F380">
        <v>296</v>
      </c>
      <c r="G380" t="s">
        <v>74</v>
      </c>
      <c r="H380" t="s">
        <v>50</v>
      </c>
      <c r="K380" t="s">
        <v>51</v>
      </c>
      <c r="L380">
        <v>1</v>
      </c>
      <c r="M380" t="s">
        <v>53</v>
      </c>
      <c r="N380">
        <v>102</v>
      </c>
      <c r="O380">
        <v>1</v>
      </c>
      <c r="P380" t="s">
        <v>52</v>
      </c>
      <c r="Q380">
        <v>0</v>
      </c>
      <c r="R380">
        <v>0.75</v>
      </c>
      <c r="S380">
        <v>135</v>
      </c>
      <c r="T380" t="s">
        <v>284</v>
      </c>
      <c r="U380">
        <v>132</v>
      </c>
      <c r="V380" t="s">
        <v>284</v>
      </c>
      <c r="W380">
        <v>147</v>
      </c>
      <c r="X380" t="s">
        <v>284</v>
      </c>
      <c r="Y380">
        <v>170</v>
      </c>
      <c r="Z380" t="s">
        <v>284</v>
      </c>
      <c r="AA380">
        <v>205</v>
      </c>
      <c r="AB380" t="s">
        <v>285</v>
      </c>
      <c r="AG380">
        <v>150.66669999999999</v>
      </c>
      <c r="AH380" t="s">
        <v>54</v>
      </c>
      <c r="AI380" t="s">
        <v>52</v>
      </c>
      <c r="AZ380" t="s">
        <v>52</v>
      </c>
      <c r="BQ380" t="s">
        <v>52</v>
      </c>
      <c r="BR380">
        <v>1.85</v>
      </c>
      <c r="BS380" t="s">
        <v>284</v>
      </c>
      <c r="BT380">
        <v>1.65</v>
      </c>
      <c r="BU380" t="s">
        <v>284</v>
      </c>
      <c r="BV380">
        <v>1.08</v>
      </c>
      <c r="BW380" t="s">
        <v>289</v>
      </c>
      <c r="BX380">
        <v>1.0900000000000001</v>
      </c>
      <c r="BY380" t="s">
        <v>289</v>
      </c>
      <c r="BZ380">
        <v>1.04</v>
      </c>
      <c r="CA380" t="s">
        <v>289</v>
      </c>
      <c r="CF380">
        <v>1.27</v>
      </c>
      <c r="CG380" t="s">
        <v>54</v>
      </c>
      <c r="CH380" t="s">
        <v>52</v>
      </c>
    </row>
    <row r="381" spans="1:86" x14ac:dyDescent="0.25">
      <c r="A381" t="s">
        <v>47</v>
      </c>
      <c r="B381">
        <v>8</v>
      </c>
      <c r="C381" t="s">
        <v>134</v>
      </c>
      <c r="D381">
        <v>27</v>
      </c>
      <c r="E381" t="s">
        <v>70</v>
      </c>
      <c r="F381">
        <v>296</v>
      </c>
      <c r="G381" t="s">
        <v>74</v>
      </c>
      <c r="H381" t="s">
        <v>50</v>
      </c>
      <c r="K381" t="s">
        <v>52</v>
      </c>
      <c r="L381">
        <v>1</v>
      </c>
      <c r="M381" t="s">
        <v>53</v>
      </c>
      <c r="N381">
        <v>102</v>
      </c>
      <c r="O381">
        <v>1</v>
      </c>
      <c r="P381" t="s">
        <v>52</v>
      </c>
      <c r="Q381">
        <v>0</v>
      </c>
      <c r="R381">
        <v>0.75</v>
      </c>
      <c r="S381">
        <v>135</v>
      </c>
      <c r="T381" t="s">
        <v>284</v>
      </c>
      <c r="U381">
        <v>132</v>
      </c>
      <c r="V381" t="s">
        <v>284</v>
      </c>
      <c r="W381">
        <v>147</v>
      </c>
      <c r="X381" t="s">
        <v>284</v>
      </c>
      <c r="Y381">
        <v>170</v>
      </c>
      <c r="Z381" t="s">
        <v>284</v>
      </c>
      <c r="AA381">
        <v>205</v>
      </c>
      <c r="AB381" t="s">
        <v>285</v>
      </c>
      <c r="AG381">
        <v>150.66669999999999</v>
      </c>
      <c r="AH381" t="s">
        <v>54</v>
      </c>
      <c r="AI381" t="s">
        <v>52</v>
      </c>
      <c r="AZ381" t="s">
        <v>52</v>
      </c>
      <c r="BQ381" t="s">
        <v>52</v>
      </c>
      <c r="BR381">
        <v>0.65</v>
      </c>
      <c r="BS381" t="s">
        <v>284</v>
      </c>
      <c r="BT381">
        <v>0.52</v>
      </c>
      <c r="BU381" t="s">
        <v>284</v>
      </c>
      <c r="BV381">
        <v>0.11</v>
      </c>
      <c r="BW381" t="s">
        <v>284</v>
      </c>
      <c r="BX381">
        <v>0.25</v>
      </c>
      <c r="BY381" t="s">
        <v>285</v>
      </c>
      <c r="BZ381">
        <v>0.22</v>
      </c>
      <c r="CA381" t="s">
        <v>289</v>
      </c>
      <c r="CF381">
        <v>0.33</v>
      </c>
      <c r="CG381" t="s">
        <v>54</v>
      </c>
      <c r="CH381" t="s">
        <v>52</v>
      </c>
    </row>
    <row r="382" spans="1:86" x14ac:dyDescent="0.25">
      <c r="A382" t="s">
        <v>47</v>
      </c>
      <c r="B382">
        <v>8</v>
      </c>
      <c r="C382" t="s">
        <v>134</v>
      </c>
      <c r="D382">
        <v>27</v>
      </c>
      <c r="E382" t="s">
        <v>70</v>
      </c>
      <c r="F382">
        <v>296</v>
      </c>
      <c r="G382" t="s">
        <v>122</v>
      </c>
      <c r="H382" t="s">
        <v>50</v>
      </c>
      <c r="K382" t="s">
        <v>51</v>
      </c>
      <c r="L382">
        <v>1</v>
      </c>
      <c r="M382" t="s">
        <v>53</v>
      </c>
      <c r="N382">
        <v>102</v>
      </c>
      <c r="O382">
        <v>1</v>
      </c>
      <c r="P382" t="s">
        <v>52</v>
      </c>
      <c r="Q382">
        <v>0</v>
      </c>
      <c r="R382">
        <v>0.75</v>
      </c>
      <c r="S382">
        <v>228</v>
      </c>
      <c r="T382" t="s">
        <v>284</v>
      </c>
      <c r="U382">
        <v>190</v>
      </c>
      <c r="V382" t="s">
        <v>285</v>
      </c>
      <c r="W382">
        <v>194</v>
      </c>
      <c r="X382" t="s">
        <v>285</v>
      </c>
      <c r="Y382">
        <v>213</v>
      </c>
      <c r="Z382" t="s">
        <v>284</v>
      </c>
      <c r="AA382">
        <v>225</v>
      </c>
      <c r="AB382" t="s">
        <v>285</v>
      </c>
      <c r="AG382">
        <v>210.66669999999999</v>
      </c>
      <c r="AH382" t="s">
        <v>54</v>
      </c>
      <c r="AI382" t="s">
        <v>52</v>
      </c>
      <c r="AZ382" t="s">
        <v>52</v>
      </c>
      <c r="BQ382" t="s">
        <v>52</v>
      </c>
      <c r="BR382">
        <v>1.85</v>
      </c>
      <c r="BS382" t="s">
        <v>284</v>
      </c>
      <c r="BT382">
        <v>1.65</v>
      </c>
      <c r="BU382" t="s">
        <v>284</v>
      </c>
      <c r="BV382">
        <v>0.99</v>
      </c>
      <c r="BW382" t="s">
        <v>285</v>
      </c>
      <c r="BX382">
        <v>0.99</v>
      </c>
      <c r="BY382" t="s">
        <v>285</v>
      </c>
      <c r="BZ382">
        <v>1.53</v>
      </c>
      <c r="CA382" t="s">
        <v>288</v>
      </c>
      <c r="CF382">
        <v>1.39</v>
      </c>
      <c r="CG382" t="s">
        <v>54</v>
      </c>
      <c r="CH382" t="s">
        <v>52</v>
      </c>
    </row>
    <row r="383" spans="1:86" x14ac:dyDescent="0.25">
      <c r="A383" t="s">
        <v>47</v>
      </c>
      <c r="B383">
        <v>8</v>
      </c>
      <c r="C383" t="s">
        <v>134</v>
      </c>
      <c r="D383">
        <v>27</v>
      </c>
      <c r="E383" t="s">
        <v>70</v>
      </c>
      <c r="F383">
        <v>296</v>
      </c>
      <c r="G383" t="s">
        <v>122</v>
      </c>
      <c r="H383" t="s">
        <v>50</v>
      </c>
      <c r="K383" t="s">
        <v>52</v>
      </c>
      <c r="L383">
        <v>1</v>
      </c>
      <c r="M383" t="s">
        <v>53</v>
      </c>
      <c r="N383">
        <v>102</v>
      </c>
      <c r="O383">
        <v>1</v>
      </c>
      <c r="P383" t="s">
        <v>52</v>
      </c>
      <c r="Q383">
        <v>0</v>
      </c>
      <c r="R383">
        <v>0.75</v>
      </c>
      <c r="S383">
        <v>228</v>
      </c>
      <c r="T383" t="s">
        <v>284</v>
      </c>
      <c r="U383">
        <v>190</v>
      </c>
      <c r="V383" t="s">
        <v>285</v>
      </c>
      <c r="W383">
        <v>194</v>
      </c>
      <c r="X383" t="s">
        <v>285</v>
      </c>
      <c r="Y383">
        <v>213</v>
      </c>
      <c r="Z383" t="s">
        <v>284</v>
      </c>
      <c r="AA383">
        <v>225</v>
      </c>
      <c r="AB383" t="s">
        <v>285</v>
      </c>
      <c r="AG383">
        <v>210.66669999999999</v>
      </c>
      <c r="AH383" t="s">
        <v>54</v>
      </c>
      <c r="AI383" t="s">
        <v>52</v>
      </c>
      <c r="AZ383" t="s">
        <v>52</v>
      </c>
      <c r="BQ383" t="s">
        <v>52</v>
      </c>
      <c r="BR383">
        <v>0.65</v>
      </c>
      <c r="BS383" t="s">
        <v>284</v>
      </c>
      <c r="BT383">
        <v>1.07</v>
      </c>
      <c r="BU383" t="s">
        <v>285</v>
      </c>
      <c r="BV383">
        <v>0.33</v>
      </c>
      <c r="BW383" t="s">
        <v>285</v>
      </c>
      <c r="BX383">
        <v>0.22</v>
      </c>
      <c r="BY383" t="s">
        <v>284</v>
      </c>
      <c r="BZ383">
        <v>1.85</v>
      </c>
      <c r="CA383" t="s">
        <v>288</v>
      </c>
      <c r="CF383">
        <v>0.68</v>
      </c>
      <c r="CG383" t="s">
        <v>54</v>
      </c>
      <c r="CH383" t="s">
        <v>52</v>
      </c>
    </row>
    <row r="384" spans="1:86" x14ac:dyDescent="0.25">
      <c r="A384" t="s">
        <v>47</v>
      </c>
      <c r="B384">
        <v>8</v>
      </c>
      <c r="C384" t="s">
        <v>134</v>
      </c>
      <c r="D384">
        <v>27</v>
      </c>
      <c r="E384" t="s">
        <v>70</v>
      </c>
      <c r="F384">
        <v>296</v>
      </c>
      <c r="G384" t="s">
        <v>124</v>
      </c>
      <c r="H384" t="s">
        <v>50</v>
      </c>
      <c r="K384" t="s">
        <v>52</v>
      </c>
      <c r="L384">
        <v>1</v>
      </c>
      <c r="M384" t="s">
        <v>53</v>
      </c>
      <c r="N384">
        <v>102</v>
      </c>
      <c r="O384">
        <v>1</v>
      </c>
      <c r="P384" t="s">
        <v>52</v>
      </c>
      <c r="Q384">
        <v>0</v>
      </c>
      <c r="R384">
        <v>0.75</v>
      </c>
      <c r="S384">
        <v>228</v>
      </c>
      <c r="T384" t="s">
        <v>284</v>
      </c>
      <c r="U384">
        <v>177</v>
      </c>
      <c r="V384" t="s">
        <v>284</v>
      </c>
      <c r="W384">
        <v>147</v>
      </c>
      <c r="X384" t="s">
        <v>284</v>
      </c>
      <c r="Y384">
        <v>170</v>
      </c>
      <c r="Z384" t="s">
        <v>284</v>
      </c>
      <c r="AA384">
        <v>205</v>
      </c>
      <c r="AB384" t="s">
        <v>285</v>
      </c>
      <c r="AG384">
        <v>184</v>
      </c>
      <c r="AH384" t="s">
        <v>54</v>
      </c>
      <c r="AI384" t="s">
        <v>52</v>
      </c>
      <c r="AZ384" t="s">
        <v>52</v>
      </c>
      <c r="BQ384" t="s">
        <v>52</v>
      </c>
      <c r="BR384">
        <v>0.65</v>
      </c>
      <c r="BS384" t="s">
        <v>285</v>
      </c>
      <c r="BT384">
        <v>0.52</v>
      </c>
      <c r="BU384" t="s">
        <v>284</v>
      </c>
      <c r="BV384">
        <v>0.11</v>
      </c>
      <c r="BW384" t="s">
        <v>284</v>
      </c>
      <c r="BX384">
        <v>0.25</v>
      </c>
      <c r="BY384" t="s">
        <v>285</v>
      </c>
      <c r="BZ384">
        <v>0.22</v>
      </c>
      <c r="CA384" t="s">
        <v>289</v>
      </c>
      <c r="CF384">
        <v>0.33</v>
      </c>
      <c r="CG384" t="s">
        <v>54</v>
      </c>
      <c r="CH384" t="s">
        <v>52</v>
      </c>
    </row>
    <row r="385" spans="1:86" x14ac:dyDescent="0.25">
      <c r="A385" t="s">
        <v>47</v>
      </c>
      <c r="B385">
        <v>8</v>
      </c>
      <c r="C385" t="s">
        <v>134</v>
      </c>
      <c r="D385">
        <v>27</v>
      </c>
      <c r="E385" t="s">
        <v>70</v>
      </c>
      <c r="F385">
        <v>296</v>
      </c>
      <c r="G385" t="s">
        <v>92</v>
      </c>
      <c r="H385" t="s">
        <v>50</v>
      </c>
      <c r="K385" t="s">
        <v>51</v>
      </c>
      <c r="L385">
        <v>1</v>
      </c>
      <c r="M385" t="s">
        <v>53</v>
      </c>
      <c r="N385">
        <v>102</v>
      </c>
      <c r="O385">
        <v>1</v>
      </c>
      <c r="P385" t="s">
        <v>52</v>
      </c>
      <c r="Q385">
        <v>0.5</v>
      </c>
      <c r="R385">
        <v>0.75</v>
      </c>
      <c r="S385">
        <v>228</v>
      </c>
      <c r="T385" t="s">
        <v>284</v>
      </c>
      <c r="U385">
        <v>189</v>
      </c>
      <c r="V385" t="s">
        <v>285</v>
      </c>
      <c r="W385">
        <v>199</v>
      </c>
      <c r="X385" t="s">
        <v>285</v>
      </c>
      <c r="Y385">
        <v>206</v>
      </c>
      <c r="Z385" t="s">
        <v>285</v>
      </c>
      <c r="AA385">
        <v>128</v>
      </c>
      <c r="AB385" t="s">
        <v>285</v>
      </c>
      <c r="AG385">
        <v>198</v>
      </c>
      <c r="AH385" t="s">
        <v>54</v>
      </c>
      <c r="AI385" t="s">
        <v>52</v>
      </c>
      <c r="AZ385" t="s">
        <v>52</v>
      </c>
      <c r="BQ385" t="s">
        <v>52</v>
      </c>
      <c r="BR385">
        <v>1.85</v>
      </c>
      <c r="BS385" t="s">
        <v>284</v>
      </c>
      <c r="BT385">
        <v>1.82</v>
      </c>
      <c r="BU385" t="s">
        <v>284</v>
      </c>
      <c r="BV385">
        <v>1.82</v>
      </c>
      <c r="BW385" t="s">
        <v>284</v>
      </c>
      <c r="BX385">
        <v>1.82</v>
      </c>
      <c r="BY385" t="s">
        <v>284</v>
      </c>
      <c r="BZ385">
        <v>1.82</v>
      </c>
      <c r="CA385" t="s">
        <v>285</v>
      </c>
      <c r="CF385">
        <v>1.82</v>
      </c>
      <c r="CG385" t="s">
        <v>54</v>
      </c>
      <c r="CH385" t="s">
        <v>52</v>
      </c>
    </row>
    <row r="386" spans="1:86" x14ac:dyDescent="0.25">
      <c r="A386" t="s">
        <v>47</v>
      </c>
      <c r="B386">
        <v>8</v>
      </c>
      <c r="C386" t="s">
        <v>134</v>
      </c>
      <c r="D386">
        <v>27</v>
      </c>
      <c r="E386" t="s">
        <v>70</v>
      </c>
      <c r="F386">
        <v>296</v>
      </c>
      <c r="G386" t="s">
        <v>116</v>
      </c>
      <c r="H386" t="s">
        <v>50</v>
      </c>
      <c r="K386" t="s">
        <v>51</v>
      </c>
      <c r="L386">
        <v>1</v>
      </c>
      <c r="M386" t="s">
        <v>53</v>
      </c>
      <c r="N386">
        <v>102</v>
      </c>
      <c r="O386">
        <v>1</v>
      </c>
      <c r="P386" t="s">
        <v>52</v>
      </c>
      <c r="Q386">
        <v>0.5</v>
      </c>
      <c r="R386">
        <v>0.75</v>
      </c>
      <c r="S386">
        <v>228</v>
      </c>
      <c r="T386" t="s">
        <v>284</v>
      </c>
      <c r="U386">
        <v>190</v>
      </c>
      <c r="V386" t="s">
        <v>285</v>
      </c>
      <c r="W386">
        <v>236</v>
      </c>
      <c r="X386" t="s">
        <v>284</v>
      </c>
      <c r="Y386">
        <v>244</v>
      </c>
      <c r="Z386" t="s">
        <v>284</v>
      </c>
      <c r="AA386">
        <v>215</v>
      </c>
      <c r="AB386" t="s">
        <v>285</v>
      </c>
      <c r="AG386">
        <v>226.33330000000001</v>
      </c>
      <c r="AH386" t="s">
        <v>54</v>
      </c>
      <c r="AI386" t="s">
        <v>52</v>
      </c>
      <c r="AZ386" t="s">
        <v>52</v>
      </c>
      <c r="BQ386" t="s">
        <v>52</v>
      </c>
      <c r="CH386" t="s">
        <v>52</v>
      </c>
    </row>
    <row r="387" spans="1:86" x14ac:dyDescent="0.25">
      <c r="A387" t="s">
        <v>47</v>
      </c>
      <c r="B387">
        <v>8</v>
      </c>
      <c r="C387" t="s">
        <v>134</v>
      </c>
      <c r="D387">
        <v>27</v>
      </c>
      <c r="E387" t="s">
        <v>75</v>
      </c>
      <c r="F387">
        <v>16</v>
      </c>
      <c r="G387" t="s">
        <v>76</v>
      </c>
      <c r="H387" t="s">
        <v>50</v>
      </c>
      <c r="K387" t="s">
        <v>51</v>
      </c>
      <c r="L387">
        <v>1</v>
      </c>
      <c r="M387" t="s">
        <v>53</v>
      </c>
      <c r="N387">
        <v>16</v>
      </c>
      <c r="O387">
        <v>2</v>
      </c>
      <c r="P387" t="s">
        <v>52</v>
      </c>
      <c r="Q387">
        <v>0.5</v>
      </c>
      <c r="R387">
        <v>0.75</v>
      </c>
      <c r="S387">
        <v>83.35</v>
      </c>
      <c r="T387" t="s">
        <v>285</v>
      </c>
      <c r="U387">
        <v>96.14</v>
      </c>
      <c r="V387" t="s">
        <v>284</v>
      </c>
      <c r="W387">
        <v>103.37</v>
      </c>
      <c r="X387" t="s">
        <v>284</v>
      </c>
      <c r="Y387">
        <v>106.14</v>
      </c>
      <c r="Z387" t="s">
        <v>284</v>
      </c>
      <c r="AA387">
        <v>128</v>
      </c>
      <c r="AB387" t="s">
        <v>285</v>
      </c>
      <c r="AG387">
        <v>101.88330000000001</v>
      </c>
      <c r="AH387" t="s">
        <v>54</v>
      </c>
      <c r="AI387" t="s">
        <v>52</v>
      </c>
      <c r="AX387">
        <v>146.69999999999999</v>
      </c>
      <c r="AY387" t="s">
        <v>285</v>
      </c>
      <c r="AZ387" t="s">
        <v>287</v>
      </c>
      <c r="BQ387" t="s">
        <v>52</v>
      </c>
      <c r="CH387" t="s">
        <v>52</v>
      </c>
    </row>
    <row r="388" spans="1:86" x14ac:dyDescent="0.25">
      <c r="A388" t="s">
        <v>47</v>
      </c>
      <c r="B388">
        <v>8</v>
      </c>
      <c r="C388" t="s">
        <v>134</v>
      </c>
      <c r="D388">
        <v>27</v>
      </c>
      <c r="E388" t="s">
        <v>79</v>
      </c>
      <c r="F388">
        <v>50</v>
      </c>
      <c r="G388" t="s">
        <v>81</v>
      </c>
      <c r="H388" t="s">
        <v>50</v>
      </c>
      <c r="K388" t="s">
        <v>51</v>
      </c>
      <c r="L388">
        <v>1</v>
      </c>
      <c r="M388" t="s">
        <v>53</v>
      </c>
      <c r="N388">
        <v>50</v>
      </c>
      <c r="O388">
        <v>1</v>
      </c>
      <c r="P388" t="s">
        <v>52</v>
      </c>
      <c r="Q388">
        <v>0.5</v>
      </c>
      <c r="R388">
        <v>0.75</v>
      </c>
      <c r="S388">
        <v>85</v>
      </c>
      <c r="T388" t="s">
        <v>285</v>
      </c>
      <c r="U388">
        <v>93</v>
      </c>
      <c r="V388" t="s">
        <v>284</v>
      </c>
      <c r="W388">
        <v>89.7</v>
      </c>
      <c r="X388" t="s">
        <v>284</v>
      </c>
      <c r="Y388">
        <v>92.72</v>
      </c>
      <c r="Z388" t="s">
        <v>284</v>
      </c>
      <c r="AA388">
        <v>109</v>
      </c>
      <c r="AB388" t="s">
        <v>285</v>
      </c>
      <c r="AG388">
        <v>91.806700000000006</v>
      </c>
      <c r="AH388" t="s">
        <v>54</v>
      </c>
      <c r="AI388" t="s">
        <v>52</v>
      </c>
      <c r="AZ388" t="s">
        <v>52</v>
      </c>
      <c r="BQ388" t="s">
        <v>52</v>
      </c>
      <c r="BR388">
        <v>2.74</v>
      </c>
      <c r="BS388" t="s">
        <v>289</v>
      </c>
      <c r="BT388">
        <v>2.09</v>
      </c>
      <c r="BU388" t="s">
        <v>284</v>
      </c>
      <c r="BV388">
        <v>3.01</v>
      </c>
      <c r="BW388" t="s">
        <v>284</v>
      </c>
      <c r="BX388">
        <v>2.86</v>
      </c>
      <c r="BY388" t="s">
        <v>284</v>
      </c>
      <c r="BZ388">
        <v>3.75</v>
      </c>
      <c r="CA388" t="s">
        <v>289</v>
      </c>
      <c r="CF388">
        <v>2.87</v>
      </c>
      <c r="CG388" t="s">
        <v>54</v>
      </c>
      <c r="CH388" t="s">
        <v>52</v>
      </c>
    </row>
    <row r="389" spans="1:86" x14ac:dyDescent="0.25">
      <c r="A389" t="s">
        <v>47</v>
      </c>
      <c r="B389">
        <v>8</v>
      </c>
      <c r="C389" t="s">
        <v>134</v>
      </c>
      <c r="D389">
        <v>27</v>
      </c>
      <c r="E389" t="s">
        <v>83</v>
      </c>
      <c r="F389">
        <v>158</v>
      </c>
      <c r="H389" t="s">
        <v>50</v>
      </c>
      <c r="K389" t="s">
        <v>51</v>
      </c>
      <c r="L389">
        <v>1</v>
      </c>
      <c r="M389" t="s">
        <v>53</v>
      </c>
      <c r="N389">
        <v>158</v>
      </c>
      <c r="O389">
        <v>2</v>
      </c>
      <c r="P389" t="s">
        <v>52</v>
      </c>
      <c r="Q389">
        <v>0.77</v>
      </c>
      <c r="R389">
        <v>0.93</v>
      </c>
      <c r="S389">
        <v>228</v>
      </c>
      <c r="T389" t="s">
        <v>284</v>
      </c>
      <c r="U389">
        <v>221</v>
      </c>
      <c r="V389" t="s">
        <v>284</v>
      </c>
      <c r="W389">
        <v>236</v>
      </c>
      <c r="X389" t="s">
        <v>284</v>
      </c>
      <c r="Y389">
        <v>244</v>
      </c>
      <c r="Z389" t="s">
        <v>284</v>
      </c>
      <c r="AA389">
        <v>252</v>
      </c>
      <c r="AB389" t="s">
        <v>284</v>
      </c>
      <c r="AG389">
        <v>236</v>
      </c>
      <c r="AH389" t="s">
        <v>54</v>
      </c>
      <c r="AI389" t="s">
        <v>52</v>
      </c>
      <c r="AX389">
        <v>339</v>
      </c>
      <c r="AY389" t="s">
        <v>285</v>
      </c>
      <c r="AZ389" t="s">
        <v>287</v>
      </c>
      <c r="BQ389" t="s">
        <v>52</v>
      </c>
      <c r="CH389" t="s">
        <v>52</v>
      </c>
    </row>
    <row r="390" spans="1:86" x14ac:dyDescent="0.25">
      <c r="A390" t="s">
        <v>47</v>
      </c>
      <c r="B390">
        <v>8</v>
      </c>
      <c r="C390" t="s">
        <v>135</v>
      </c>
      <c r="D390">
        <v>29</v>
      </c>
      <c r="E390" t="s">
        <v>49</v>
      </c>
      <c r="F390">
        <v>27</v>
      </c>
      <c r="H390" t="s">
        <v>50</v>
      </c>
      <c r="K390" t="s">
        <v>51</v>
      </c>
      <c r="L390">
        <v>1</v>
      </c>
      <c r="M390" t="s">
        <v>53</v>
      </c>
      <c r="N390">
        <v>27</v>
      </c>
      <c r="O390">
        <v>1</v>
      </c>
      <c r="P390" t="s">
        <v>52</v>
      </c>
      <c r="Q390">
        <v>0</v>
      </c>
      <c r="R390">
        <v>0.75</v>
      </c>
      <c r="S390">
        <v>231</v>
      </c>
      <c r="T390" t="s">
        <v>284</v>
      </c>
      <c r="U390">
        <v>208</v>
      </c>
      <c r="V390" t="s">
        <v>284</v>
      </c>
      <c r="W390">
        <v>224</v>
      </c>
      <c r="X390" t="s">
        <v>284</v>
      </c>
      <c r="Y390">
        <v>225</v>
      </c>
      <c r="Z390" t="s">
        <v>285</v>
      </c>
      <c r="AA390">
        <v>247</v>
      </c>
      <c r="AB390" t="s">
        <v>285</v>
      </c>
      <c r="AC390">
        <v>241</v>
      </c>
      <c r="AD390" t="s">
        <v>285</v>
      </c>
      <c r="AE390">
        <v>219</v>
      </c>
      <c r="AF390" t="s">
        <v>285</v>
      </c>
      <c r="AG390">
        <v>219</v>
      </c>
      <c r="AH390" t="s">
        <v>286</v>
      </c>
      <c r="AI390" t="s">
        <v>287</v>
      </c>
      <c r="AX390">
        <v>263</v>
      </c>
      <c r="AY390" t="s">
        <v>286</v>
      </c>
      <c r="AZ390" t="s">
        <v>287</v>
      </c>
      <c r="BQ390" t="s">
        <v>52</v>
      </c>
      <c r="BR390">
        <v>3.7</v>
      </c>
      <c r="BS390" t="s">
        <v>284</v>
      </c>
      <c r="BT390">
        <v>3.4</v>
      </c>
      <c r="BU390" t="s">
        <v>284</v>
      </c>
      <c r="BV390">
        <v>1.39</v>
      </c>
      <c r="BW390" t="s">
        <v>284</v>
      </c>
      <c r="BX390">
        <v>1</v>
      </c>
      <c r="BY390" t="s">
        <v>284</v>
      </c>
      <c r="BZ390">
        <v>1.0900000000000001</v>
      </c>
      <c r="CA390" t="s">
        <v>288</v>
      </c>
      <c r="CF390">
        <v>1.96</v>
      </c>
      <c r="CG390" t="s">
        <v>54</v>
      </c>
      <c r="CH390" t="s">
        <v>52</v>
      </c>
    </row>
    <row r="391" spans="1:86" x14ac:dyDescent="0.25">
      <c r="A391" t="s">
        <v>47</v>
      </c>
      <c r="B391">
        <v>8</v>
      </c>
      <c r="C391" t="s">
        <v>135</v>
      </c>
      <c r="D391">
        <v>29</v>
      </c>
      <c r="E391" t="s">
        <v>58</v>
      </c>
      <c r="F391">
        <v>102</v>
      </c>
      <c r="G391" t="s">
        <v>59</v>
      </c>
      <c r="H391" t="s">
        <v>50</v>
      </c>
      <c r="K391" t="s">
        <v>51</v>
      </c>
      <c r="L391">
        <v>1</v>
      </c>
      <c r="M391" t="s">
        <v>53</v>
      </c>
      <c r="N391">
        <v>102</v>
      </c>
      <c r="O391">
        <v>1</v>
      </c>
      <c r="P391" t="s">
        <v>52</v>
      </c>
      <c r="Q391">
        <v>0</v>
      </c>
      <c r="R391">
        <v>0.92</v>
      </c>
      <c r="S391">
        <v>131.69999999999999</v>
      </c>
      <c r="T391" t="s">
        <v>284</v>
      </c>
      <c r="U391">
        <v>126.5</v>
      </c>
      <c r="V391" t="s">
        <v>284</v>
      </c>
      <c r="W391">
        <v>170</v>
      </c>
      <c r="X391" t="s">
        <v>284</v>
      </c>
      <c r="Y391">
        <v>207</v>
      </c>
      <c r="Z391" t="s">
        <v>284</v>
      </c>
      <c r="AA391">
        <v>315</v>
      </c>
      <c r="AB391" t="s">
        <v>285</v>
      </c>
      <c r="AG391">
        <v>169.5667</v>
      </c>
      <c r="AH391" t="s">
        <v>54</v>
      </c>
      <c r="AI391" t="s">
        <v>52</v>
      </c>
      <c r="AZ391" t="s">
        <v>52</v>
      </c>
      <c r="BQ391" t="s">
        <v>52</v>
      </c>
      <c r="BR391">
        <v>1.49</v>
      </c>
      <c r="BS391" t="s">
        <v>285</v>
      </c>
      <c r="BT391">
        <v>1.77</v>
      </c>
      <c r="BU391" t="s">
        <v>284</v>
      </c>
      <c r="BV391">
        <v>1.37</v>
      </c>
      <c r="BW391" t="s">
        <v>285</v>
      </c>
      <c r="BX391">
        <v>0.54</v>
      </c>
      <c r="BY391" t="s">
        <v>285</v>
      </c>
      <c r="BZ391">
        <v>0.46</v>
      </c>
      <c r="CA391" t="s">
        <v>284</v>
      </c>
      <c r="CF391">
        <v>1.1299999999999999</v>
      </c>
      <c r="CG391" t="s">
        <v>54</v>
      </c>
      <c r="CH391" t="s">
        <v>52</v>
      </c>
    </row>
    <row r="392" spans="1:86" x14ac:dyDescent="0.25">
      <c r="A392" t="s">
        <v>47</v>
      </c>
      <c r="B392">
        <v>8</v>
      </c>
      <c r="C392" t="s">
        <v>135</v>
      </c>
      <c r="D392">
        <v>29</v>
      </c>
      <c r="E392" t="s">
        <v>58</v>
      </c>
      <c r="F392">
        <v>102</v>
      </c>
      <c r="G392" t="s">
        <v>61</v>
      </c>
      <c r="H392" t="s">
        <v>50</v>
      </c>
      <c r="K392" t="s">
        <v>51</v>
      </c>
      <c r="L392">
        <v>1</v>
      </c>
      <c r="M392" t="s">
        <v>53</v>
      </c>
      <c r="N392">
        <v>102</v>
      </c>
      <c r="O392">
        <v>1</v>
      </c>
      <c r="P392" t="s">
        <v>52</v>
      </c>
      <c r="Q392">
        <v>0</v>
      </c>
      <c r="R392">
        <v>0.92</v>
      </c>
      <c r="S392">
        <v>131.69999999999999</v>
      </c>
      <c r="T392" t="s">
        <v>284</v>
      </c>
      <c r="U392">
        <v>170</v>
      </c>
      <c r="V392" t="s">
        <v>284</v>
      </c>
      <c r="W392">
        <v>191</v>
      </c>
      <c r="X392" t="s">
        <v>284</v>
      </c>
      <c r="Y392">
        <v>207</v>
      </c>
      <c r="Z392" t="s">
        <v>284</v>
      </c>
      <c r="AA392">
        <v>315</v>
      </c>
      <c r="AB392" t="s">
        <v>285</v>
      </c>
      <c r="AG392">
        <v>189.33330000000001</v>
      </c>
      <c r="AH392" t="s">
        <v>54</v>
      </c>
      <c r="AI392" t="s">
        <v>52</v>
      </c>
      <c r="AZ392" t="s">
        <v>52</v>
      </c>
      <c r="BQ392" t="s">
        <v>52</v>
      </c>
      <c r="CH392" t="s">
        <v>52</v>
      </c>
    </row>
    <row r="393" spans="1:86" x14ac:dyDescent="0.25">
      <c r="A393" t="s">
        <v>47</v>
      </c>
      <c r="B393">
        <v>8</v>
      </c>
      <c r="C393" t="s">
        <v>135</v>
      </c>
      <c r="D393">
        <v>29</v>
      </c>
      <c r="E393" t="s">
        <v>58</v>
      </c>
      <c r="F393">
        <v>102</v>
      </c>
      <c r="G393" t="s">
        <v>113</v>
      </c>
      <c r="H393" t="s">
        <v>50</v>
      </c>
      <c r="K393" t="s">
        <v>51</v>
      </c>
      <c r="L393">
        <v>1</v>
      </c>
      <c r="M393" t="s">
        <v>53</v>
      </c>
      <c r="N393">
        <v>102</v>
      </c>
      <c r="O393">
        <v>1</v>
      </c>
      <c r="P393" t="s">
        <v>52</v>
      </c>
      <c r="Q393">
        <v>0</v>
      </c>
      <c r="R393">
        <v>0.92</v>
      </c>
      <c r="S393">
        <v>131.69999999999999</v>
      </c>
      <c r="T393" t="s">
        <v>284</v>
      </c>
      <c r="U393">
        <v>170</v>
      </c>
      <c r="V393" t="s">
        <v>284</v>
      </c>
      <c r="W393">
        <v>191</v>
      </c>
      <c r="X393" t="s">
        <v>284</v>
      </c>
      <c r="Y393">
        <v>207</v>
      </c>
      <c r="Z393" t="s">
        <v>284</v>
      </c>
      <c r="AA393">
        <v>205</v>
      </c>
      <c r="AB393" t="s">
        <v>285</v>
      </c>
      <c r="AG393">
        <v>188.66669999999999</v>
      </c>
      <c r="AH393" t="s">
        <v>54</v>
      </c>
      <c r="AI393" t="s">
        <v>52</v>
      </c>
      <c r="AZ393" t="s">
        <v>52</v>
      </c>
      <c r="BQ393" t="s">
        <v>52</v>
      </c>
      <c r="BR393">
        <v>1.85</v>
      </c>
      <c r="BS393" t="s">
        <v>284</v>
      </c>
      <c r="BT393">
        <v>1.77</v>
      </c>
      <c r="BU393" t="s">
        <v>284</v>
      </c>
      <c r="BV393">
        <v>1.37</v>
      </c>
      <c r="BW393" t="s">
        <v>284</v>
      </c>
      <c r="BX393">
        <v>0.95</v>
      </c>
      <c r="BY393" t="s">
        <v>285</v>
      </c>
      <c r="BZ393">
        <v>0.82</v>
      </c>
      <c r="CA393" t="s">
        <v>284</v>
      </c>
      <c r="CF393">
        <v>1.36</v>
      </c>
      <c r="CG393" t="s">
        <v>54</v>
      </c>
      <c r="CH393" t="s">
        <v>52</v>
      </c>
    </row>
    <row r="394" spans="1:86" x14ac:dyDescent="0.25">
      <c r="A394" t="s">
        <v>47</v>
      </c>
      <c r="B394">
        <v>8</v>
      </c>
      <c r="C394" t="s">
        <v>135</v>
      </c>
      <c r="D394">
        <v>29</v>
      </c>
      <c r="E394" t="s">
        <v>58</v>
      </c>
      <c r="F394">
        <v>102</v>
      </c>
      <c r="G394" t="s">
        <v>62</v>
      </c>
      <c r="H394" t="s">
        <v>50</v>
      </c>
      <c r="K394" t="s">
        <v>51</v>
      </c>
      <c r="L394">
        <v>1</v>
      </c>
      <c r="M394" t="s">
        <v>53</v>
      </c>
      <c r="N394">
        <v>102</v>
      </c>
      <c r="O394">
        <v>1</v>
      </c>
      <c r="P394" t="s">
        <v>52</v>
      </c>
      <c r="Q394">
        <v>0</v>
      </c>
      <c r="R394">
        <v>0.92</v>
      </c>
      <c r="S394">
        <v>131.69999999999999</v>
      </c>
      <c r="T394" t="s">
        <v>284</v>
      </c>
      <c r="U394">
        <v>170</v>
      </c>
      <c r="V394" t="s">
        <v>284</v>
      </c>
      <c r="W394">
        <v>191</v>
      </c>
      <c r="X394" t="s">
        <v>284</v>
      </c>
      <c r="Y394">
        <v>207</v>
      </c>
      <c r="Z394" t="s">
        <v>284</v>
      </c>
      <c r="AA394">
        <v>205</v>
      </c>
      <c r="AB394" t="s">
        <v>285</v>
      </c>
      <c r="AG394">
        <v>188.66669999999999</v>
      </c>
      <c r="AH394" t="s">
        <v>54</v>
      </c>
      <c r="AI394" t="s">
        <v>52</v>
      </c>
      <c r="AX394">
        <v>271.60000000000002</v>
      </c>
      <c r="AY394" t="s">
        <v>285</v>
      </c>
      <c r="AZ394" t="s">
        <v>287</v>
      </c>
      <c r="BQ394" t="s">
        <v>52</v>
      </c>
      <c r="BR394">
        <v>1.85</v>
      </c>
      <c r="BS394" t="s">
        <v>284</v>
      </c>
      <c r="BT394">
        <v>1.77</v>
      </c>
      <c r="BU394" t="s">
        <v>284</v>
      </c>
      <c r="BV394">
        <v>0.53</v>
      </c>
      <c r="BW394" t="s">
        <v>285</v>
      </c>
      <c r="BX394">
        <v>0.55000000000000004</v>
      </c>
      <c r="BY394" t="s">
        <v>285</v>
      </c>
      <c r="BZ394">
        <v>0.33</v>
      </c>
      <c r="CA394" t="s">
        <v>288</v>
      </c>
      <c r="CF394">
        <v>0.95</v>
      </c>
      <c r="CG394" t="s">
        <v>54</v>
      </c>
      <c r="CH394" t="s">
        <v>52</v>
      </c>
    </row>
    <row r="395" spans="1:86" x14ac:dyDescent="0.25">
      <c r="A395" t="s">
        <v>47</v>
      </c>
      <c r="B395">
        <v>8</v>
      </c>
      <c r="C395" t="s">
        <v>135</v>
      </c>
      <c r="D395">
        <v>29</v>
      </c>
      <c r="E395" t="s">
        <v>58</v>
      </c>
      <c r="F395">
        <v>102</v>
      </c>
      <c r="G395" t="s">
        <v>63</v>
      </c>
      <c r="H395" t="s">
        <v>50</v>
      </c>
      <c r="K395" t="s">
        <v>51</v>
      </c>
      <c r="L395">
        <v>1</v>
      </c>
      <c r="M395" t="s">
        <v>53</v>
      </c>
      <c r="N395">
        <v>102</v>
      </c>
      <c r="O395">
        <v>1</v>
      </c>
      <c r="P395" t="s">
        <v>52</v>
      </c>
      <c r="Q395">
        <v>0</v>
      </c>
      <c r="R395">
        <v>0.92</v>
      </c>
      <c r="S395">
        <v>131.69999999999999</v>
      </c>
      <c r="T395" t="s">
        <v>284</v>
      </c>
      <c r="U395">
        <v>170</v>
      </c>
      <c r="V395" t="s">
        <v>284</v>
      </c>
      <c r="W395">
        <v>191</v>
      </c>
      <c r="X395" t="s">
        <v>285</v>
      </c>
      <c r="Y395">
        <v>207</v>
      </c>
      <c r="Z395" t="s">
        <v>285</v>
      </c>
      <c r="AA395">
        <v>265</v>
      </c>
      <c r="AB395" t="s">
        <v>285</v>
      </c>
      <c r="AG395">
        <v>189.33330000000001</v>
      </c>
      <c r="AH395" t="s">
        <v>54</v>
      </c>
      <c r="AI395" t="s">
        <v>52</v>
      </c>
      <c r="AZ395" t="s">
        <v>52</v>
      </c>
      <c r="BQ395" t="s">
        <v>52</v>
      </c>
      <c r="BR395">
        <v>2.1</v>
      </c>
      <c r="BS395" t="s">
        <v>285</v>
      </c>
      <c r="BT395">
        <v>1.91</v>
      </c>
      <c r="BU395" t="s">
        <v>284</v>
      </c>
      <c r="BV395">
        <v>1.48</v>
      </c>
      <c r="BW395" t="s">
        <v>285</v>
      </c>
      <c r="BX395">
        <v>1.02</v>
      </c>
      <c r="BY395" t="s">
        <v>285</v>
      </c>
      <c r="BZ395">
        <v>0.88</v>
      </c>
      <c r="CA395" t="s">
        <v>284</v>
      </c>
      <c r="CF395">
        <v>1.47</v>
      </c>
      <c r="CG395" t="s">
        <v>54</v>
      </c>
      <c r="CH395" t="s">
        <v>52</v>
      </c>
    </row>
    <row r="396" spans="1:86" x14ac:dyDescent="0.25">
      <c r="A396" t="s">
        <v>47</v>
      </c>
      <c r="B396">
        <v>8</v>
      </c>
      <c r="C396" t="s">
        <v>135</v>
      </c>
      <c r="D396">
        <v>29</v>
      </c>
      <c r="E396" t="s">
        <v>58</v>
      </c>
      <c r="F396">
        <v>102</v>
      </c>
      <c r="G396" t="s">
        <v>64</v>
      </c>
      <c r="H396" t="s">
        <v>50</v>
      </c>
      <c r="K396" t="s">
        <v>51</v>
      </c>
      <c r="L396">
        <v>1</v>
      </c>
      <c r="M396" t="s">
        <v>53</v>
      </c>
      <c r="N396">
        <v>102</v>
      </c>
      <c r="O396">
        <v>1</v>
      </c>
      <c r="P396" t="s">
        <v>52</v>
      </c>
      <c r="Q396">
        <v>0</v>
      </c>
      <c r="R396">
        <v>0.92</v>
      </c>
      <c r="S396">
        <v>131.69999999999999</v>
      </c>
      <c r="T396" t="s">
        <v>284</v>
      </c>
      <c r="U396">
        <v>170</v>
      </c>
      <c r="V396" t="s">
        <v>284</v>
      </c>
      <c r="W396">
        <v>191</v>
      </c>
      <c r="X396" t="s">
        <v>284</v>
      </c>
      <c r="Y396">
        <v>207</v>
      </c>
      <c r="Z396" t="s">
        <v>284</v>
      </c>
      <c r="AA396">
        <v>205</v>
      </c>
      <c r="AB396" t="s">
        <v>285</v>
      </c>
      <c r="AG396">
        <v>188.66669999999999</v>
      </c>
      <c r="AH396" t="s">
        <v>54</v>
      </c>
      <c r="AI396" t="s">
        <v>52</v>
      </c>
      <c r="AZ396" t="s">
        <v>52</v>
      </c>
      <c r="BQ396" t="s">
        <v>52</v>
      </c>
      <c r="CH396" t="s">
        <v>52</v>
      </c>
    </row>
    <row r="397" spans="1:86" x14ac:dyDescent="0.25">
      <c r="A397" t="s">
        <v>47</v>
      </c>
      <c r="B397">
        <v>8</v>
      </c>
      <c r="C397" t="s">
        <v>135</v>
      </c>
      <c r="D397">
        <v>29</v>
      </c>
      <c r="E397" t="s">
        <v>58</v>
      </c>
      <c r="F397">
        <v>102</v>
      </c>
      <c r="G397" t="s">
        <v>127</v>
      </c>
      <c r="H397" t="s">
        <v>50</v>
      </c>
      <c r="K397" t="s">
        <v>51</v>
      </c>
      <c r="L397">
        <v>1</v>
      </c>
      <c r="M397" t="s">
        <v>53</v>
      </c>
      <c r="N397">
        <v>102</v>
      </c>
      <c r="O397">
        <v>1</v>
      </c>
      <c r="P397" t="s">
        <v>52</v>
      </c>
      <c r="Q397">
        <v>0</v>
      </c>
      <c r="R397">
        <v>0.92</v>
      </c>
      <c r="S397">
        <v>131.69999999999999</v>
      </c>
      <c r="T397" t="s">
        <v>284</v>
      </c>
      <c r="U397">
        <v>170</v>
      </c>
      <c r="V397" t="s">
        <v>284</v>
      </c>
      <c r="W397">
        <v>191</v>
      </c>
      <c r="X397" t="s">
        <v>284</v>
      </c>
      <c r="Y397">
        <v>207</v>
      </c>
      <c r="Z397" t="s">
        <v>284</v>
      </c>
      <c r="AA397">
        <v>205</v>
      </c>
      <c r="AB397" t="s">
        <v>285</v>
      </c>
      <c r="AG397">
        <v>188.66669999999999</v>
      </c>
      <c r="AH397" t="s">
        <v>54</v>
      </c>
      <c r="AI397" t="s">
        <v>52</v>
      </c>
      <c r="AZ397" t="s">
        <v>52</v>
      </c>
      <c r="BQ397" t="s">
        <v>52</v>
      </c>
      <c r="CH397" t="s">
        <v>52</v>
      </c>
    </row>
    <row r="398" spans="1:86" x14ac:dyDescent="0.25">
      <c r="A398" t="s">
        <v>47</v>
      </c>
      <c r="B398">
        <v>8</v>
      </c>
      <c r="C398" t="s">
        <v>135</v>
      </c>
      <c r="D398">
        <v>29</v>
      </c>
      <c r="E398" t="s">
        <v>58</v>
      </c>
      <c r="F398">
        <v>102</v>
      </c>
      <c r="G398" t="s">
        <v>128</v>
      </c>
      <c r="H398" t="s">
        <v>50</v>
      </c>
      <c r="K398" t="s">
        <v>51</v>
      </c>
      <c r="L398">
        <v>1</v>
      </c>
      <c r="M398" t="s">
        <v>53</v>
      </c>
      <c r="N398">
        <v>102</v>
      </c>
      <c r="O398">
        <v>1</v>
      </c>
      <c r="P398" t="s">
        <v>52</v>
      </c>
      <c r="Q398">
        <v>0</v>
      </c>
      <c r="R398">
        <v>0.92</v>
      </c>
      <c r="S398">
        <v>131.69999999999999</v>
      </c>
      <c r="T398" t="s">
        <v>284</v>
      </c>
      <c r="U398">
        <v>170</v>
      </c>
      <c r="V398" t="s">
        <v>284</v>
      </c>
      <c r="W398">
        <v>191</v>
      </c>
      <c r="X398" t="s">
        <v>284</v>
      </c>
      <c r="Y398">
        <v>207</v>
      </c>
      <c r="Z398" t="s">
        <v>284</v>
      </c>
      <c r="AA398">
        <v>315</v>
      </c>
      <c r="AB398" t="s">
        <v>285</v>
      </c>
      <c r="AG398">
        <v>189.33330000000001</v>
      </c>
      <c r="AH398" t="s">
        <v>54</v>
      </c>
      <c r="AI398" t="s">
        <v>52</v>
      </c>
      <c r="AZ398" t="s">
        <v>52</v>
      </c>
      <c r="BQ398" t="s">
        <v>52</v>
      </c>
      <c r="CH398" t="s">
        <v>52</v>
      </c>
    </row>
    <row r="399" spans="1:86" x14ac:dyDescent="0.25">
      <c r="A399" t="s">
        <v>47</v>
      </c>
      <c r="B399">
        <v>8</v>
      </c>
      <c r="C399" t="s">
        <v>135</v>
      </c>
      <c r="D399">
        <v>29</v>
      </c>
      <c r="E399" t="s">
        <v>58</v>
      </c>
      <c r="F399">
        <v>102</v>
      </c>
      <c r="G399" t="s">
        <v>136</v>
      </c>
      <c r="H399" t="s">
        <v>50</v>
      </c>
      <c r="K399" t="s">
        <v>51</v>
      </c>
      <c r="L399">
        <v>1</v>
      </c>
      <c r="M399" t="s">
        <v>53</v>
      </c>
      <c r="N399">
        <v>102</v>
      </c>
      <c r="O399">
        <v>1</v>
      </c>
      <c r="P399" t="s">
        <v>52</v>
      </c>
      <c r="Q399">
        <v>0</v>
      </c>
      <c r="R399">
        <v>0.92</v>
      </c>
      <c r="S399">
        <v>131.69999999999999</v>
      </c>
      <c r="T399" t="s">
        <v>284</v>
      </c>
      <c r="U399">
        <v>170</v>
      </c>
      <c r="V399" t="s">
        <v>284</v>
      </c>
      <c r="W399">
        <v>191</v>
      </c>
      <c r="X399" t="s">
        <v>285</v>
      </c>
      <c r="Y399">
        <v>207</v>
      </c>
      <c r="Z399" t="s">
        <v>284</v>
      </c>
      <c r="AA399">
        <v>275</v>
      </c>
      <c r="AB399" t="s">
        <v>285</v>
      </c>
      <c r="AG399">
        <v>189.33330000000001</v>
      </c>
      <c r="AH399" t="s">
        <v>54</v>
      </c>
      <c r="AI399" t="s">
        <v>52</v>
      </c>
      <c r="AZ399" t="s">
        <v>52</v>
      </c>
      <c r="BQ399" t="s">
        <v>52</v>
      </c>
      <c r="BR399">
        <v>1.37</v>
      </c>
      <c r="BS399" t="s">
        <v>285</v>
      </c>
      <c r="BT399">
        <v>1.41</v>
      </c>
      <c r="BU399" t="s">
        <v>284</v>
      </c>
      <c r="BV399">
        <v>1.1000000000000001</v>
      </c>
      <c r="BW399" t="s">
        <v>285</v>
      </c>
      <c r="BX399">
        <v>0.76</v>
      </c>
      <c r="BY399" t="s">
        <v>285</v>
      </c>
      <c r="BZ399">
        <v>1.1299999999999999</v>
      </c>
      <c r="CA399" t="s">
        <v>284</v>
      </c>
      <c r="CF399">
        <v>1.2</v>
      </c>
      <c r="CG399" t="s">
        <v>54</v>
      </c>
      <c r="CH399" t="s">
        <v>52</v>
      </c>
    </row>
    <row r="400" spans="1:86" x14ac:dyDescent="0.25">
      <c r="A400" t="s">
        <v>47</v>
      </c>
      <c r="B400">
        <v>8</v>
      </c>
      <c r="C400" t="s">
        <v>135</v>
      </c>
      <c r="D400">
        <v>29</v>
      </c>
      <c r="E400" t="s">
        <v>58</v>
      </c>
      <c r="F400">
        <v>102</v>
      </c>
      <c r="G400" t="s">
        <v>114</v>
      </c>
      <c r="H400" t="s">
        <v>50</v>
      </c>
      <c r="K400" t="s">
        <v>51</v>
      </c>
      <c r="L400">
        <v>1</v>
      </c>
      <c r="M400" t="s">
        <v>53</v>
      </c>
      <c r="N400">
        <v>102</v>
      </c>
      <c r="O400">
        <v>1</v>
      </c>
      <c r="P400" t="s">
        <v>52</v>
      </c>
      <c r="Q400">
        <v>0</v>
      </c>
      <c r="R400">
        <v>0.92</v>
      </c>
      <c r="S400">
        <v>131.69999999999999</v>
      </c>
      <c r="T400" t="s">
        <v>284</v>
      </c>
      <c r="U400">
        <v>170</v>
      </c>
      <c r="V400" t="s">
        <v>284</v>
      </c>
      <c r="W400">
        <v>191</v>
      </c>
      <c r="X400" t="s">
        <v>285</v>
      </c>
      <c r="Y400">
        <v>207</v>
      </c>
      <c r="Z400" t="s">
        <v>285</v>
      </c>
      <c r="AA400">
        <v>205</v>
      </c>
      <c r="AB400" t="s">
        <v>285</v>
      </c>
      <c r="AG400">
        <v>188.66669999999999</v>
      </c>
      <c r="AH400" t="s">
        <v>54</v>
      </c>
      <c r="AI400" t="s">
        <v>52</v>
      </c>
      <c r="AZ400" t="s">
        <v>52</v>
      </c>
      <c r="BQ400" t="s">
        <v>52</v>
      </c>
      <c r="BR400">
        <v>1.85</v>
      </c>
      <c r="BS400" t="s">
        <v>284</v>
      </c>
      <c r="BT400">
        <v>1.77</v>
      </c>
      <c r="BU400" t="s">
        <v>284</v>
      </c>
      <c r="BV400">
        <v>1.37</v>
      </c>
      <c r="BW400" t="s">
        <v>285</v>
      </c>
      <c r="CH400" t="s">
        <v>52</v>
      </c>
    </row>
    <row r="401" spans="1:86" x14ac:dyDescent="0.25">
      <c r="A401" t="s">
        <v>47</v>
      </c>
      <c r="B401">
        <v>8</v>
      </c>
      <c r="C401" t="s">
        <v>135</v>
      </c>
      <c r="D401">
        <v>29</v>
      </c>
      <c r="E401" t="s">
        <v>70</v>
      </c>
      <c r="F401">
        <v>296</v>
      </c>
      <c r="G401" t="s">
        <v>71</v>
      </c>
      <c r="H401" t="s">
        <v>50</v>
      </c>
      <c r="K401" t="s">
        <v>51</v>
      </c>
      <c r="L401">
        <v>1</v>
      </c>
      <c r="M401" t="s">
        <v>53</v>
      </c>
      <c r="N401">
        <v>296</v>
      </c>
      <c r="O401">
        <v>1</v>
      </c>
      <c r="P401" t="s">
        <v>52</v>
      </c>
      <c r="Q401">
        <v>0</v>
      </c>
      <c r="R401">
        <v>0.75</v>
      </c>
      <c r="S401">
        <v>228</v>
      </c>
      <c r="T401" t="s">
        <v>284</v>
      </c>
      <c r="U401">
        <v>190</v>
      </c>
      <c r="V401" t="s">
        <v>285</v>
      </c>
      <c r="W401">
        <v>194</v>
      </c>
      <c r="X401" t="s">
        <v>285</v>
      </c>
      <c r="Y401">
        <v>225</v>
      </c>
      <c r="Z401" t="s">
        <v>285</v>
      </c>
      <c r="AA401">
        <v>247</v>
      </c>
      <c r="AB401" t="s">
        <v>285</v>
      </c>
      <c r="AC401">
        <v>241</v>
      </c>
      <c r="AD401" t="s">
        <v>285</v>
      </c>
      <c r="AE401">
        <v>219</v>
      </c>
      <c r="AF401" t="s">
        <v>285</v>
      </c>
      <c r="AG401">
        <v>219</v>
      </c>
      <c r="AH401" t="s">
        <v>286</v>
      </c>
      <c r="AI401" t="s">
        <v>287</v>
      </c>
      <c r="AX401">
        <v>263</v>
      </c>
      <c r="AY401" t="s">
        <v>286</v>
      </c>
      <c r="AZ401" t="s">
        <v>287</v>
      </c>
      <c r="BQ401" t="s">
        <v>52</v>
      </c>
      <c r="BR401">
        <v>1.85</v>
      </c>
      <c r="BS401" t="s">
        <v>284</v>
      </c>
      <c r="BT401">
        <v>1.77</v>
      </c>
      <c r="BU401" t="s">
        <v>284</v>
      </c>
      <c r="BV401">
        <v>1.76</v>
      </c>
      <c r="BW401" t="s">
        <v>285</v>
      </c>
      <c r="BX401">
        <v>0.36</v>
      </c>
      <c r="BY401" t="s">
        <v>285</v>
      </c>
      <c r="BZ401">
        <v>0.56000000000000005</v>
      </c>
      <c r="CA401" t="s">
        <v>288</v>
      </c>
      <c r="CF401">
        <v>1.36</v>
      </c>
      <c r="CG401" t="s">
        <v>54</v>
      </c>
      <c r="CH401" t="s">
        <v>52</v>
      </c>
    </row>
    <row r="402" spans="1:86" x14ac:dyDescent="0.25">
      <c r="A402" t="s">
        <v>47</v>
      </c>
      <c r="B402">
        <v>8</v>
      </c>
      <c r="C402" t="s">
        <v>135</v>
      </c>
      <c r="D402">
        <v>29</v>
      </c>
      <c r="E402" t="s">
        <v>70</v>
      </c>
      <c r="F402">
        <v>296</v>
      </c>
      <c r="G402" t="s">
        <v>71</v>
      </c>
      <c r="H402" t="s">
        <v>50</v>
      </c>
      <c r="K402" t="s">
        <v>52</v>
      </c>
      <c r="L402">
        <v>1</v>
      </c>
      <c r="M402" t="s">
        <v>53</v>
      </c>
      <c r="N402">
        <v>296</v>
      </c>
      <c r="O402">
        <v>1</v>
      </c>
      <c r="P402" t="s">
        <v>52</v>
      </c>
      <c r="Q402">
        <v>0</v>
      </c>
      <c r="R402">
        <v>0.75</v>
      </c>
      <c r="S402">
        <v>228</v>
      </c>
      <c r="T402" t="s">
        <v>284</v>
      </c>
      <c r="U402">
        <v>190</v>
      </c>
      <c r="V402" t="s">
        <v>285</v>
      </c>
      <c r="W402">
        <v>194</v>
      </c>
      <c r="X402" t="s">
        <v>285</v>
      </c>
      <c r="Y402">
        <v>225</v>
      </c>
      <c r="Z402" t="s">
        <v>285</v>
      </c>
      <c r="AA402">
        <v>247</v>
      </c>
      <c r="AB402" t="s">
        <v>285</v>
      </c>
      <c r="AC402">
        <v>241</v>
      </c>
      <c r="AD402" t="s">
        <v>285</v>
      </c>
      <c r="AE402">
        <v>219</v>
      </c>
      <c r="AF402" t="s">
        <v>285</v>
      </c>
      <c r="AG402">
        <v>219</v>
      </c>
      <c r="AH402" t="s">
        <v>286</v>
      </c>
      <c r="AI402" t="s">
        <v>287</v>
      </c>
      <c r="AX402">
        <v>263</v>
      </c>
      <c r="AY402" t="s">
        <v>286</v>
      </c>
      <c r="AZ402" t="s">
        <v>287</v>
      </c>
      <c r="BQ402" t="s">
        <v>52</v>
      </c>
      <c r="BR402">
        <v>0.65</v>
      </c>
      <c r="BS402" t="s">
        <v>284</v>
      </c>
      <c r="BT402">
        <v>0.88</v>
      </c>
      <c r="BU402" t="s">
        <v>285</v>
      </c>
      <c r="BV402">
        <v>0.27</v>
      </c>
      <c r="BW402" t="s">
        <v>285</v>
      </c>
      <c r="BX402">
        <v>0.22</v>
      </c>
      <c r="BY402" t="s">
        <v>284</v>
      </c>
      <c r="BZ402">
        <v>0.22</v>
      </c>
      <c r="CA402" t="s">
        <v>284</v>
      </c>
      <c r="CF402">
        <v>0.38</v>
      </c>
      <c r="CG402" t="s">
        <v>54</v>
      </c>
      <c r="CH402" t="s">
        <v>52</v>
      </c>
    </row>
    <row r="403" spans="1:86" x14ac:dyDescent="0.25">
      <c r="A403" t="s">
        <v>47</v>
      </c>
      <c r="B403">
        <v>8</v>
      </c>
      <c r="C403" t="s">
        <v>135</v>
      </c>
      <c r="D403">
        <v>29</v>
      </c>
      <c r="E403" t="s">
        <v>70</v>
      </c>
      <c r="F403">
        <v>296</v>
      </c>
      <c r="G403" t="s">
        <v>73</v>
      </c>
      <c r="H403" t="s">
        <v>50</v>
      </c>
      <c r="K403" t="s">
        <v>51</v>
      </c>
      <c r="L403">
        <v>1</v>
      </c>
      <c r="M403" t="s">
        <v>53</v>
      </c>
      <c r="N403">
        <v>296</v>
      </c>
      <c r="O403">
        <v>1</v>
      </c>
      <c r="P403" t="s">
        <v>52</v>
      </c>
      <c r="Q403">
        <v>0</v>
      </c>
      <c r="R403">
        <v>0.75</v>
      </c>
      <c r="S403">
        <v>228</v>
      </c>
      <c r="T403" t="s">
        <v>284</v>
      </c>
      <c r="U403">
        <v>221</v>
      </c>
      <c r="V403" t="s">
        <v>284</v>
      </c>
      <c r="W403">
        <v>236</v>
      </c>
      <c r="X403" t="s">
        <v>284</v>
      </c>
      <c r="Y403">
        <v>244</v>
      </c>
      <c r="Z403" t="s">
        <v>284</v>
      </c>
      <c r="AA403">
        <v>225</v>
      </c>
      <c r="AB403" t="s">
        <v>285</v>
      </c>
      <c r="AG403">
        <v>229.66669999999999</v>
      </c>
      <c r="AH403" t="s">
        <v>54</v>
      </c>
      <c r="AI403" t="s">
        <v>52</v>
      </c>
      <c r="AZ403" t="s">
        <v>52</v>
      </c>
      <c r="BQ403" t="s">
        <v>52</v>
      </c>
      <c r="BR403">
        <v>1.85</v>
      </c>
      <c r="BS403" t="s">
        <v>284</v>
      </c>
      <c r="BT403">
        <v>1.77</v>
      </c>
      <c r="BU403" t="s">
        <v>284</v>
      </c>
      <c r="BV403">
        <v>1.06</v>
      </c>
      <c r="BW403" t="s">
        <v>284</v>
      </c>
      <c r="BX403">
        <v>1.49</v>
      </c>
      <c r="BY403" t="s">
        <v>284</v>
      </c>
      <c r="BZ403">
        <v>1.49</v>
      </c>
      <c r="CA403" t="s">
        <v>284</v>
      </c>
      <c r="CF403">
        <v>1.58</v>
      </c>
      <c r="CG403" t="s">
        <v>54</v>
      </c>
      <c r="CH403" t="s">
        <v>52</v>
      </c>
    </row>
    <row r="404" spans="1:86" x14ac:dyDescent="0.25">
      <c r="A404" t="s">
        <v>47</v>
      </c>
      <c r="B404">
        <v>8</v>
      </c>
      <c r="C404" t="s">
        <v>135</v>
      </c>
      <c r="D404">
        <v>29</v>
      </c>
      <c r="E404" t="s">
        <v>70</v>
      </c>
      <c r="F404">
        <v>296</v>
      </c>
      <c r="G404" t="s">
        <v>74</v>
      </c>
      <c r="H404" t="s">
        <v>50</v>
      </c>
      <c r="K404" t="s">
        <v>51</v>
      </c>
      <c r="L404">
        <v>1</v>
      </c>
      <c r="M404" t="s">
        <v>53</v>
      </c>
      <c r="N404">
        <v>102</v>
      </c>
      <c r="O404">
        <v>1</v>
      </c>
      <c r="P404" t="s">
        <v>52</v>
      </c>
      <c r="Q404">
        <v>0</v>
      </c>
      <c r="R404">
        <v>0.75</v>
      </c>
      <c r="S404">
        <v>135</v>
      </c>
      <c r="T404" t="s">
        <v>284</v>
      </c>
      <c r="U404">
        <v>132</v>
      </c>
      <c r="V404" t="s">
        <v>284</v>
      </c>
      <c r="W404">
        <v>147</v>
      </c>
      <c r="X404" t="s">
        <v>284</v>
      </c>
      <c r="Y404">
        <v>170</v>
      </c>
      <c r="Z404" t="s">
        <v>284</v>
      </c>
      <c r="AA404">
        <v>205</v>
      </c>
      <c r="AB404" t="s">
        <v>285</v>
      </c>
      <c r="AG404">
        <v>150.66669999999999</v>
      </c>
      <c r="AH404" t="s">
        <v>54</v>
      </c>
      <c r="AI404" t="s">
        <v>52</v>
      </c>
      <c r="AZ404" t="s">
        <v>52</v>
      </c>
      <c r="BQ404" t="s">
        <v>52</v>
      </c>
      <c r="BR404">
        <v>1.85</v>
      </c>
      <c r="BS404" t="s">
        <v>284</v>
      </c>
      <c r="BT404">
        <v>1.35</v>
      </c>
      <c r="BU404" t="s">
        <v>284</v>
      </c>
      <c r="BV404">
        <v>1.35</v>
      </c>
      <c r="BW404" t="s">
        <v>284</v>
      </c>
      <c r="BX404">
        <v>1.35</v>
      </c>
      <c r="BY404" t="s">
        <v>285</v>
      </c>
      <c r="BZ404">
        <v>1.33</v>
      </c>
      <c r="CA404" t="s">
        <v>288</v>
      </c>
      <c r="CF404">
        <v>1.35</v>
      </c>
      <c r="CG404" t="s">
        <v>54</v>
      </c>
      <c r="CH404" t="s">
        <v>52</v>
      </c>
    </row>
    <row r="405" spans="1:86" x14ac:dyDescent="0.25">
      <c r="A405" t="s">
        <v>47</v>
      </c>
      <c r="B405">
        <v>8</v>
      </c>
      <c r="C405" t="s">
        <v>135</v>
      </c>
      <c r="D405">
        <v>29</v>
      </c>
      <c r="E405" t="s">
        <v>75</v>
      </c>
      <c r="F405">
        <v>16</v>
      </c>
      <c r="G405" t="s">
        <v>76</v>
      </c>
      <c r="H405" t="s">
        <v>50</v>
      </c>
      <c r="K405" t="s">
        <v>51</v>
      </c>
      <c r="L405">
        <v>1</v>
      </c>
      <c r="M405" t="s">
        <v>53</v>
      </c>
      <c r="N405">
        <v>16</v>
      </c>
      <c r="O405">
        <v>2</v>
      </c>
      <c r="P405" t="s">
        <v>52</v>
      </c>
      <c r="Q405">
        <v>0.5</v>
      </c>
      <c r="R405">
        <v>0.75</v>
      </c>
      <c r="S405">
        <v>83.35</v>
      </c>
      <c r="T405" t="s">
        <v>285</v>
      </c>
      <c r="U405">
        <v>96.14</v>
      </c>
      <c r="V405" t="s">
        <v>284</v>
      </c>
      <c r="W405">
        <v>103.37</v>
      </c>
      <c r="X405" t="s">
        <v>284</v>
      </c>
      <c r="Y405">
        <v>106.14</v>
      </c>
      <c r="Z405" t="s">
        <v>284</v>
      </c>
      <c r="AA405">
        <v>128</v>
      </c>
      <c r="AB405" t="s">
        <v>285</v>
      </c>
      <c r="AG405">
        <v>101.88330000000001</v>
      </c>
      <c r="AH405" t="s">
        <v>54</v>
      </c>
      <c r="AI405" t="s">
        <v>52</v>
      </c>
      <c r="AX405">
        <v>146.69999999999999</v>
      </c>
      <c r="AY405" t="s">
        <v>285</v>
      </c>
      <c r="AZ405" t="s">
        <v>287</v>
      </c>
      <c r="BQ405" t="s">
        <v>52</v>
      </c>
      <c r="BR405">
        <v>1.85</v>
      </c>
      <c r="BS405" t="s">
        <v>284</v>
      </c>
      <c r="BT405">
        <v>1.84</v>
      </c>
      <c r="BU405" t="s">
        <v>284</v>
      </c>
      <c r="BV405">
        <v>1.55</v>
      </c>
      <c r="BW405" t="s">
        <v>284</v>
      </c>
      <c r="BX405">
        <v>2.52</v>
      </c>
      <c r="BY405" t="s">
        <v>284</v>
      </c>
      <c r="BZ405">
        <v>2.95</v>
      </c>
      <c r="CA405" t="s">
        <v>289</v>
      </c>
      <c r="CF405">
        <v>2.0699999999999998</v>
      </c>
      <c r="CG405" t="s">
        <v>54</v>
      </c>
      <c r="CH405" t="s">
        <v>52</v>
      </c>
    </row>
    <row r="406" spans="1:86" x14ac:dyDescent="0.25">
      <c r="A406" t="s">
        <v>47</v>
      </c>
      <c r="B406">
        <v>8</v>
      </c>
      <c r="C406" t="s">
        <v>135</v>
      </c>
      <c r="D406">
        <v>29</v>
      </c>
      <c r="E406" t="s">
        <v>93</v>
      </c>
      <c r="F406">
        <v>94</v>
      </c>
      <c r="H406" t="s">
        <v>50</v>
      </c>
      <c r="K406" t="s">
        <v>51</v>
      </c>
      <c r="L406">
        <v>1</v>
      </c>
      <c r="M406" t="s">
        <v>53</v>
      </c>
      <c r="N406">
        <v>94</v>
      </c>
      <c r="O406">
        <v>2</v>
      </c>
      <c r="P406" t="s">
        <v>52</v>
      </c>
      <c r="Q406">
        <v>0.77</v>
      </c>
      <c r="R406">
        <v>0.93</v>
      </c>
      <c r="S406">
        <v>205</v>
      </c>
      <c r="T406" t="s">
        <v>284</v>
      </c>
      <c r="U406">
        <v>175</v>
      </c>
      <c r="V406" t="s">
        <v>284</v>
      </c>
      <c r="W406">
        <v>188</v>
      </c>
      <c r="X406" t="s">
        <v>284</v>
      </c>
      <c r="Y406">
        <v>202.32</v>
      </c>
      <c r="Z406" t="s">
        <v>284</v>
      </c>
      <c r="AA406">
        <v>209.16</v>
      </c>
      <c r="AB406" t="s">
        <v>284</v>
      </c>
      <c r="AG406">
        <v>198.44</v>
      </c>
      <c r="AH406" t="s">
        <v>54</v>
      </c>
      <c r="AI406" t="s">
        <v>52</v>
      </c>
      <c r="AZ406" t="s">
        <v>52</v>
      </c>
      <c r="BQ406" t="s">
        <v>52</v>
      </c>
      <c r="CH406" t="s">
        <v>52</v>
      </c>
    </row>
    <row r="407" spans="1:86" x14ac:dyDescent="0.25">
      <c r="A407" t="s">
        <v>47</v>
      </c>
      <c r="B407">
        <v>8</v>
      </c>
      <c r="C407" t="s">
        <v>135</v>
      </c>
      <c r="D407">
        <v>29</v>
      </c>
      <c r="E407" t="s">
        <v>79</v>
      </c>
      <c r="F407">
        <v>50</v>
      </c>
      <c r="G407" t="s">
        <v>65</v>
      </c>
      <c r="H407" t="s">
        <v>50</v>
      </c>
      <c r="K407" t="s">
        <v>51</v>
      </c>
      <c r="L407">
        <v>1</v>
      </c>
      <c r="M407" t="s">
        <v>53</v>
      </c>
      <c r="N407">
        <v>50</v>
      </c>
      <c r="O407">
        <v>1</v>
      </c>
      <c r="P407" t="s">
        <v>52</v>
      </c>
      <c r="Q407">
        <v>0.5</v>
      </c>
      <c r="R407">
        <v>0.75</v>
      </c>
      <c r="S407">
        <v>85</v>
      </c>
      <c r="T407" t="s">
        <v>285</v>
      </c>
      <c r="U407">
        <v>93</v>
      </c>
      <c r="V407" t="s">
        <v>284</v>
      </c>
      <c r="W407">
        <v>89.7</v>
      </c>
      <c r="X407" t="s">
        <v>284</v>
      </c>
      <c r="Y407">
        <v>92.72</v>
      </c>
      <c r="Z407" t="s">
        <v>284</v>
      </c>
      <c r="AA407">
        <v>109</v>
      </c>
      <c r="AB407" t="s">
        <v>285</v>
      </c>
      <c r="AG407">
        <v>91.806700000000006</v>
      </c>
      <c r="AH407" t="s">
        <v>54</v>
      </c>
      <c r="AI407" t="s">
        <v>52</v>
      </c>
      <c r="AZ407" t="s">
        <v>52</v>
      </c>
      <c r="BQ407" t="s">
        <v>52</v>
      </c>
      <c r="BR407">
        <v>3.57</v>
      </c>
      <c r="BS407" t="s">
        <v>289</v>
      </c>
      <c r="BT407">
        <v>1.89</v>
      </c>
      <c r="BU407" t="s">
        <v>284</v>
      </c>
      <c r="CH407" t="s">
        <v>52</v>
      </c>
    </row>
    <row r="408" spans="1:86" x14ac:dyDescent="0.25">
      <c r="A408" t="s">
        <v>47</v>
      </c>
      <c r="B408">
        <v>8</v>
      </c>
      <c r="C408" t="s">
        <v>135</v>
      </c>
      <c r="D408">
        <v>29</v>
      </c>
      <c r="E408" t="s">
        <v>79</v>
      </c>
      <c r="F408">
        <v>50</v>
      </c>
      <c r="G408" t="s">
        <v>81</v>
      </c>
      <c r="H408" t="s">
        <v>50</v>
      </c>
      <c r="K408" t="s">
        <v>51</v>
      </c>
      <c r="L408">
        <v>1</v>
      </c>
      <c r="M408" t="s">
        <v>53</v>
      </c>
      <c r="N408">
        <v>50</v>
      </c>
      <c r="O408">
        <v>1</v>
      </c>
      <c r="P408" t="s">
        <v>52</v>
      </c>
      <c r="Q408">
        <v>0.5</v>
      </c>
      <c r="R408">
        <v>0.75</v>
      </c>
      <c r="S408">
        <v>85</v>
      </c>
      <c r="T408" t="s">
        <v>285</v>
      </c>
      <c r="U408">
        <v>93</v>
      </c>
      <c r="V408" t="s">
        <v>284</v>
      </c>
      <c r="W408">
        <v>89.7</v>
      </c>
      <c r="X408" t="s">
        <v>284</v>
      </c>
      <c r="Y408">
        <v>92.72</v>
      </c>
      <c r="Z408" t="s">
        <v>284</v>
      </c>
      <c r="AA408">
        <v>109</v>
      </c>
      <c r="AB408" t="s">
        <v>285</v>
      </c>
      <c r="AG408">
        <v>91.806700000000006</v>
      </c>
      <c r="AH408" t="s">
        <v>54</v>
      </c>
      <c r="AI408" t="s">
        <v>52</v>
      </c>
      <c r="AZ408" t="s">
        <v>52</v>
      </c>
      <c r="BQ408" t="s">
        <v>52</v>
      </c>
      <c r="CH408" t="s">
        <v>52</v>
      </c>
    </row>
    <row r="409" spans="1:86" x14ac:dyDescent="0.25">
      <c r="A409" t="s">
        <v>47</v>
      </c>
      <c r="B409">
        <v>8</v>
      </c>
      <c r="C409" t="s">
        <v>135</v>
      </c>
      <c r="D409">
        <v>29</v>
      </c>
      <c r="E409" t="s">
        <v>83</v>
      </c>
      <c r="F409">
        <v>158</v>
      </c>
      <c r="H409" t="s">
        <v>50</v>
      </c>
      <c r="K409" t="s">
        <v>51</v>
      </c>
      <c r="L409">
        <v>1</v>
      </c>
      <c r="M409" t="s">
        <v>53</v>
      </c>
      <c r="N409">
        <v>158</v>
      </c>
      <c r="O409">
        <v>2</v>
      </c>
      <c r="P409" t="s">
        <v>52</v>
      </c>
      <c r="Q409">
        <v>0.77</v>
      </c>
      <c r="R409">
        <v>0.93</v>
      </c>
      <c r="S409">
        <v>228</v>
      </c>
      <c r="T409" t="s">
        <v>284</v>
      </c>
      <c r="U409">
        <v>221</v>
      </c>
      <c r="V409" t="s">
        <v>284</v>
      </c>
      <c r="W409">
        <v>236</v>
      </c>
      <c r="X409" t="s">
        <v>284</v>
      </c>
      <c r="Y409">
        <v>244</v>
      </c>
      <c r="Z409" t="s">
        <v>284</v>
      </c>
      <c r="AA409">
        <v>252</v>
      </c>
      <c r="AB409" t="s">
        <v>284</v>
      </c>
      <c r="AG409">
        <v>236</v>
      </c>
      <c r="AH409" t="s">
        <v>54</v>
      </c>
      <c r="AI409" t="s">
        <v>52</v>
      </c>
      <c r="AX409">
        <v>339</v>
      </c>
      <c r="AY409" t="s">
        <v>285</v>
      </c>
      <c r="AZ409" t="s">
        <v>287</v>
      </c>
      <c r="BQ409" t="s">
        <v>52</v>
      </c>
      <c r="CH409" t="s">
        <v>52</v>
      </c>
    </row>
    <row r="410" spans="1:86" x14ac:dyDescent="0.25">
      <c r="A410" t="s">
        <v>47</v>
      </c>
      <c r="B410">
        <v>8</v>
      </c>
      <c r="C410" t="s">
        <v>137</v>
      </c>
      <c r="D410">
        <v>31</v>
      </c>
      <c r="E410" t="s">
        <v>49</v>
      </c>
      <c r="F410">
        <v>27</v>
      </c>
      <c r="H410" t="s">
        <v>50</v>
      </c>
      <c r="K410" t="s">
        <v>51</v>
      </c>
      <c r="L410">
        <v>1</v>
      </c>
      <c r="M410" t="s">
        <v>53</v>
      </c>
      <c r="N410">
        <v>27</v>
      </c>
      <c r="O410">
        <v>1</v>
      </c>
      <c r="P410" t="s">
        <v>52</v>
      </c>
      <c r="Q410">
        <v>0</v>
      </c>
      <c r="R410">
        <v>0.75</v>
      </c>
      <c r="S410">
        <v>231</v>
      </c>
      <c r="T410" t="s">
        <v>284</v>
      </c>
      <c r="U410">
        <v>208</v>
      </c>
      <c r="V410" t="s">
        <v>284</v>
      </c>
      <c r="W410">
        <v>224</v>
      </c>
      <c r="X410" t="s">
        <v>284</v>
      </c>
      <c r="Y410">
        <v>225</v>
      </c>
      <c r="Z410" t="s">
        <v>285</v>
      </c>
      <c r="AA410">
        <v>247</v>
      </c>
      <c r="AB410" t="s">
        <v>285</v>
      </c>
      <c r="AC410">
        <v>241</v>
      </c>
      <c r="AD410" t="s">
        <v>285</v>
      </c>
      <c r="AE410">
        <v>219</v>
      </c>
      <c r="AF410" t="s">
        <v>285</v>
      </c>
      <c r="AG410">
        <v>219</v>
      </c>
      <c r="AH410" t="s">
        <v>286</v>
      </c>
      <c r="AI410" t="s">
        <v>287</v>
      </c>
      <c r="AX410">
        <v>263</v>
      </c>
      <c r="AY410" t="s">
        <v>286</v>
      </c>
      <c r="AZ410" t="s">
        <v>287</v>
      </c>
      <c r="BQ410" t="s">
        <v>52</v>
      </c>
      <c r="CH410" t="s">
        <v>52</v>
      </c>
    </row>
    <row r="411" spans="1:86" x14ac:dyDescent="0.25">
      <c r="A411" t="s">
        <v>47</v>
      </c>
      <c r="B411">
        <v>8</v>
      </c>
      <c r="C411" t="s">
        <v>137</v>
      </c>
      <c r="D411">
        <v>31</v>
      </c>
      <c r="E411" t="s">
        <v>49</v>
      </c>
      <c r="F411">
        <v>27</v>
      </c>
      <c r="H411" t="s">
        <v>50</v>
      </c>
      <c r="K411" t="s">
        <v>52</v>
      </c>
      <c r="L411">
        <v>1</v>
      </c>
      <c r="M411" t="s">
        <v>53</v>
      </c>
      <c r="N411">
        <v>27</v>
      </c>
      <c r="O411">
        <v>1</v>
      </c>
      <c r="P411" t="s">
        <v>52</v>
      </c>
      <c r="Q411">
        <v>0</v>
      </c>
      <c r="R411">
        <v>0.75</v>
      </c>
      <c r="S411">
        <v>231</v>
      </c>
      <c r="T411" t="s">
        <v>284</v>
      </c>
      <c r="U411">
        <v>208</v>
      </c>
      <c r="V411" t="s">
        <v>284</v>
      </c>
      <c r="W411">
        <v>224</v>
      </c>
      <c r="X411" t="s">
        <v>284</v>
      </c>
      <c r="Y411">
        <v>225</v>
      </c>
      <c r="Z411" t="s">
        <v>285</v>
      </c>
      <c r="AA411">
        <v>247</v>
      </c>
      <c r="AB411" t="s">
        <v>285</v>
      </c>
      <c r="AC411">
        <v>241</v>
      </c>
      <c r="AD411" t="s">
        <v>285</v>
      </c>
      <c r="AE411">
        <v>219</v>
      </c>
      <c r="AF411" t="s">
        <v>285</v>
      </c>
      <c r="AG411">
        <v>219</v>
      </c>
      <c r="AH411" t="s">
        <v>286</v>
      </c>
      <c r="AI411" t="s">
        <v>287</v>
      </c>
      <c r="AX411">
        <v>263</v>
      </c>
      <c r="AY411" t="s">
        <v>286</v>
      </c>
      <c r="AZ411" t="s">
        <v>287</v>
      </c>
      <c r="BQ411" t="s">
        <v>52</v>
      </c>
      <c r="CH411" t="s">
        <v>52</v>
      </c>
    </row>
    <row r="412" spans="1:86" x14ac:dyDescent="0.25">
      <c r="A412" t="s">
        <v>47</v>
      </c>
      <c r="B412">
        <v>8</v>
      </c>
      <c r="C412" t="s">
        <v>137</v>
      </c>
      <c r="D412">
        <v>31</v>
      </c>
      <c r="E412" t="s">
        <v>58</v>
      </c>
      <c r="F412">
        <v>102</v>
      </c>
      <c r="G412" t="s">
        <v>59</v>
      </c>
      <c r="H412" t="s">
        <v>50</v>
      </c>
      <c r="K412" t="s">
        <v>51</v>
      </c>
      <c r="L412">
        <v>1</v>
      </c>
      <c r="M412" t="s">
        <v>53</v>
      </c>
      <c r="N412">
        <v>102</v>
      </c>
      <c r="O412">
        <v>1</v>
      </c>
      <c r="P412" t="s">
        <v>52</v>
      </c>
      <c r="Q412">
        <v>0</v>
      </c>
      <c r="R412">
        <v>0.92</v>
      </c>
      <c r="S412">
        <v>131.69999999999999</v>
      </c>
      <c r="T412" t="s">
        <v>284</v>
      </c>
      <c r="U412">
        <v>126.5</v>
      </c>
      <c r="V412" t="s">
        <v>284</v>
      </c>
      <c r="W412">
        <v>170</v>
      </c>
      <c r="X412" t="s">
        <v>284</v>
      </c>
      <c r="Y412">
        <v>207</v>
      </c>
      <c r="Z412" t="s">
        <v>284</v>
      </c>
      <c r="AA412">
        <v>315</v>
      </c>
      <c r="AB412" t="s">
        <v>285</v>
      </c>
      <c r="AG412">
        <v>169.5667</v>
      </c>
      <c r="AH412" t="s">
        <v>54</v>
      </c>
      <c r="AI412" t="s">
        <v>52</v>
      </c>
      <c r="AZ412" t="s">
        <v>52</v>
      </c>
      <c r="BQ412" t="s">
        <v>52</v>
      </c>
      <c r="CH412" t="s">
        <v>52</v>
      </c>
    </row>
    <row r="413" spans="1:86" x14ac:dyDescent="0.25">
      <c r="A413" t="s">
        <v>47</v>
      </c>
      <c r="B413">
        <v>8</v>
      </c>
      <c r="C413" t="s">
        <v>137</v>
      </c>
      <c r="D413">
        <v>31</v>
      </c>
      <c r="E413" t="s">
        <v>58</v>
      </c>
      <c r="F413">
        <v>102</v>
      </c>
      <c r="G413" t="s">
        <v>59</v>
      </c>
      <c r="H413" t="s">
        <v>50</v>
      </c>
      <c r="K413" t="s">
        <v>52</v>
      </c>
      <c r="L413">
        <v>1</v>
      </c>
      <c r="M413" t="s">
        <v>53</v>
      </c>
      <c r="N413">
        <v>102</v>
      </c>
      <c r="O413">
        <v>1</v>
      </c>
      <c r="P413" t="s">
        <v>52</v>
      </c>
      <c r="Q413">
        <v>0</v>
      </c>
      <c r="R413">
        <v>0.92</v>
      </c>
      <c r="S413">
        <v>131.69999999999999</v>
      </c>
      <c r="T413" t="s">
        <v>284</v>
      </c>
      <c r="U413">
        <v>126.5</v>
      </c>
      <c r="V413" t="s">
        <v>284</v>
      </c>
      <c r="W413">
        <v>170</v>
      </c>
      <c r="X413" t="s">
        <v>284</v>
      </c>
      <c r="Y413">
        <v>207</v>
      </c>
      <c r="Z413" t="s">
        <v>284</v>
      </c>
      <c r="AA413">
        <v>315</v>
      </c>
      <c r="AB413" t="s">
        <v>285</v>
      </c>
      <c r="AG413">
        <v>169.5667</v>
      </c>
      <c r="AH413" t="s">
        <v>54</v>
      </c>
      <c r="AI413" t="s">
        <v>52</v>
      </c>
      <c r="AZ413" t="s">
        <v>52</v>
      </c>
      <c r="BQ413" t="s">
        <v>52</v>
      </c>
      <c r="BR413">
        <v>0.85</v>
      </c>
      <c r="BS413" t="s">
        <v>285</v>
      </c>
      <c r="BT413">
        <v>0.7</v>
      </c>
      <c r="BU413" t="s">
        <v>284</v>
      </c>
      <c r="BV413">
        <v>0.54</v>
      </c>
      <c r="BW413" t="s">
        <v>285</v>
      </c>
      <c r="BX413">
        <v>0.31</v>
      </c>
      <c r="BY413" t="s">
        <v>285</v>
      </c>
      <c r="BZ413">
        <v>0.27</v>
      </c>
      <c r="CA413" t="s">
        <v>284</v>
      </c>
      <c r="CF413">
        <v>0.52</v>
      </c>
      <c r="CG413" t="s">
        <v>54</v>
      </c>
      <c r="CH413" t="s">
        <v>52</v>
      </c>
    </row>
    <row r="414" spans="1:86" x14ac:dyDescent="0.25">
      <c r="A414" t="s">
        <v>47</v>
      </c>
      <c r="B414">
        <v>8</v>
      </c>
      <c r="C414" t="s">
        <v>137</v>
      </c>
      <c r="D414">
        <v>31</v>
      </c>
      <c r="E414" t="s">
        <v>58</v>
      </c>
      <c r="F414">
        <v>102</v>
      </c>
      <c r="G414" t="s">
        <v>61</v>
      </c>
      <c r="H414" t="s">
        <v>50</v>
      </c>
      <c r="K414" t="s">
        <v>51</v>
      </c>
      <c r="L414">
        <v>1</v>
      </c>
      <c r="M414" t="s">
        <v>53</v>
      </c>
      <c r="N414">
        <v>102</v>
      </c>
      <c r="O414">
        <v>1</v>
      </c>
      <c r="P414" t="s">
        <v>52</v>
      </c>
      <c r="Q414">
        <v>0</v>
      </c>
      <c r="R414">
        <v>0.92</v>
      </c>
      <c r="S414">
        <v>131.69999999999999</v>
      </c>
      <c r="T414" t="s">
        <v>284</v>
      </c>
      <c r="U414">
        <v>170</v>
      </c>
      <c r="V414" t="s">
        <v>284</v>
      </c>
      <c r="W414">
        <v>191</v>
      </c>
      <c r="X414" t="s">
        <v>284</v>
      </c>
      <c r="Y414">
        <v>207</v>
      </c>
      <c r="Z414" t="s">
        <v>284</v>
      </c>
      <c r="AA414">
        <v>315</v>
      </c>
      <c r="AB414" t="s">
        <v>285</v>
      </c>
      <c r="AG414">
        <v>189.33330000000001</v>
      </c>
      <c r="AH414" t="s">
        <v>54</v>
      </c>
      <c r="AI414" t="s">
        <v>52</v>
      </c>
      <c r="AZ414" t="s">
        <v>52</v>
      </c>
      <c r="BQ414" t="s">
        <v>52</v>
      </c>
      <c r="CH414" t="s">
        <v>52</v>
      </c>
    </row>
    <row r="415" spans="1:86" x14ac:dyDescent="0.25">
      <c r="A415" t="s">
        <v>47</v>
      </c>
      <c r="B415">
        <v>8</v>
      </c>
      <c r="C415" t="s">
        <v>137</v>
      </c>
      <c r="D415">
        <v>31</v>
      </c>
      <c r="E415" t="s">
        <v>58</v>
      </c>
      <c r="F415">
        <v>102</v>
      </c>
      <c r="G415" t="s">
        <v>61</v>
      </c>
      <c r="H415" t="s">
        <v>50</v>
      </c>
      <c r="K415" t="s">
        <v>52</v>
      </c>
      <c r="L415">
        <v>1</v>
      </c>
      <c r="M415" t="s">
        <v>53</v>
      </c>
      <c r="N415">
        <v>102</v>
      </c>
      <c r="O415">
        <v>1</v>
      </c>
      <c r="P415" t="s">
        <v>52</v>
      </c>
      <c r="Q415">
        <v>0</v>
      </c>
      <c r="R415">
        <v>0.92</v>
      </c>
      <c r="S415">
        <v>131.69999999999999</v>
      </c>
      <c r="T415" t="s">
        <v>284</v>
      </c>
      <c r="U415">
        <v>170</v>
      </c>
      <c r="V415" t="s">
        <v>284</v>
      </c>
      <c r="W415">
        <v>191</v>
      </c>
      <c r="X415" t="s">
        <v>284</v>
      </c>
      <c r="Y415">
        <v>207</v>
      </c>
      <c r="Z415" t="s">
        <v>284</v>
      </c>
      <c r="AA415">
        <v>315</v>
      </c>
      <c r="AB415" t="s">
        <v>285</v>
      </c>
      <c r="AG415">
        <v>189.33330000000001</v>
      </c>
      <c r="AH415" t="s">
        <v>54</v>
      </c>
      <c r="AI415" t="s">
        <v>52</v>
      </c>
      <c r="AZ415" t="s">
        <v>52</v>
      </c>
      <c r="BQ415" t="s">
        <v>52</v>
      </c>
      <c r="CH415" t="s">
        <v>52</v>
      </c>
    </row>
    <row r="416" spans="1:86" x14ac:dyDescent="0.25">
      <c r="A416" t="s">
        <v>47</v>
      </c>
      <c r="B416">
        <v>8</v>
      </c>
      <c r="C416" t="s">
        <v>137</v>
      </c>
      <c r="D416">
        <v>31</v>
      </c>
      <c r="E416" t="s">
        <v>58</v>
      </c>
      <c r="F416">
        <v>102</v>
      </c>
      <c r="G416" t="s">
        <v>62</v>
      </c>
      <c r="H416" t="s">
        <v>50</v>
      </c>
      <c r="K416" t="s">
        <v>51</v>
      </c>
      <c r="L416">
        <v>1</v>
      </c>
      <c r="M416" t="s">
        <v>53</v>
      </c>
      <c r="N416">
        <v>102</v>
      </c>
      <c r="O416">
        <v>1</v>
      </c>
      <c r="P416" t="s">
        <v>52</v>
      </c>
      <c r="Q416">
        <v>0</v>
      </c>
      <c r="R416">
        <v>0.92</v>
      </c>
      <c r="S416">
        <v>131.69999999999999</v>
      </c>
      <c r="T416" t="s">
        <v>284</v>
      </c>
      <c r="U416">
        <v>170</v>
      </c>
      <c r="V416" t="s">
        <v>284</v>
      </c>
      <c r="W416">
        <v>191</v>
      </c>
      <c r="X416" t="s">
        <v>284</v>
      </c>
      <c r="Y416">
        <v>207</v>
      </c>
      <c r="Z416" t="s">
        <v>284</v>
      </c>
      <c r="AA416">
        <v>205</v>
      </c>
      <c r="AB416" t="s">
        <v>285</v>
      </c>
      <c r="AG416">
        <v>188.66669999999999</v>
      </c>
      <c r="AH416" t="s">
        <v>54</v>
      </c>
      <c r="AI416" t="s">
        <v>52</v>
      </c>
      <c r="AX416">
        <v>271.60000000000002</v>
      </c>
      <c r="AY416" t="s">
        <v>285</v>
      </c>
      <c r="AZ416" t="s">
        <v>287</v>
      </c>
      <c r="BQ416" t="s">
        <v>52</v>
      </c>
      <c r="CH416" t="s">
        <v>52</v>
      </c>
    </row>
    <row r="417" spans="1:86" x14ac:dyDescent="0.25">
      <c r="A417" t="s">
        <v>47</v>
      </c>
      <c r="B417">
        <v>8</v>
      </c>
      <c r="C417" t="s">
        <v>137</v>
      </c>
      <c r="D417">
        <v>31</v>
      </c>
      <c r="E417" t="s">
        <v>58</v>
      </c>
      <c r="F417">
        <v>102</v>
      </c>
      <c r="G417" t="s">
        <v>62</v>
      </c>
      <c r="H417" t="s">
        <v>50</v>
      </c>
      <c r="K417" t="s">
        <v>52</v>
      </c>
      <c r="L417">
        <v>1</v>
      </c>
      <c r="M417" t="s">
        <v>53</v>
      </c>
      <c r="N417">
        <v>102</v>
      </c>
      <c r="O417">
        <v>1</v>
      </c>
      <c r="P417" t="s">
        <v>52</v>
      </c>
      <c r="Q417">
        <v>0</v>
      </c>
      <c r="R417">
        <v>0.92</v>
      </c>
      <c r="S417">
        <v>131.69999999999999</v>
      </c>
      <c r="T417" t="s">
        <v>284</v>
      </c>
      <c r="U417">
        <v>170</v>
      </c>
      <c r="V417" t="s">
        <v>284</v>
      </c>
      <c r="W417">
        <v>191</v>
      </c>
      <c r="X417" t="s">
        <v>284</v>
      </c>
      <c r="Y417">
        <v>207</v>
      </c>
      <c r="Z417" t="s">
        <v>284</v>
      </c>
      <c r="AA417">
        <v>205</v>
      </c>
      <c r="AB417" t="s">
        <v>285</v>
      </c>
      <c r="AG417">
        <v>188.66669999999999</v>
      </c>
      <c r="AH417" t="s">
        <v>54</v>
      </c>
      <c r="AI417" t="s">
        <v>52</v>
      </c>
      <c r="AX417">
        <v>271.60000000000002</v>
      </c>
      <c r="AY417" t="s">
        <v>285</v>
      </c>
      <c r="AZ417" t="s">
        <v>287</v>
      </c>
      <c r="BQ417" t="s">
        <v>52</v>
      </c>
      <c r="CH417" t="s">
        <v>52</v>
      </c>
    </row>
    <row r="418" spans="1:86" x14ac:dyDescent="0.25">
      <c r="A418" t="s">
        <v>47</v>
      </c>
      <c r="B418">
        <v>8</v>
      </c>
      <c r="C418" t="s">
        <v>137</v>
      </c>
      <c r="D418">
        <v>31</v>
      </c>
      <c r="E418" t="s">
        <v>58</v>
      </c>
      <c r="F418">
        <v>102</v>
      </c>
      <c r="G418" t="s">
        <v>63</v>
      </c>
      <c r="H418" t="s">
        <v>50</v>
      </c>
      <c r="K418" t="s">
        <v>51</v>
      </c>
      <c r="L418">
        <v>1</v>
      </c>
      <c r="M418" t="s">
        <v>53</v>
      </c>
      <c r="N418">
        <v>102</v>
      </c>
      <c r="O418">
        <v>1</v>
      </c>
      <c r="P418" t="s">
        <v>52</v>
      </c>
      <c r="Q418">
        <v>0</v>
      </c>
      <c r="R418">
        <v>0.92</v>
      </c>
      <c r="S418">
        <v>131.69999999999999</v>
      </c>
      <c r="T418" t="s">
        <v>284</v>
      </c>
      <c r="U418">
        <v>170</v>
      </c>
      <c r="V418" t="s">
        <v>284</v>
      </c>
      <c r="W418">
        <v>191</v>
      </c>
      <c r="X418" t="s">
        <v>285</v>
      </c>
      <c r="Y418">
        <v>207</v>
      </c>
      <c r="Z418" t="s">
        <v>285</v>
      </c>
      <c r="AA418">
        <v>265</v>
      </c>
      <c r="AB418" t="s">
        <v>285</v>
      </c>
      <c r="AG418">
        <v>189.33330000000001</v>
      </c>
      <c r="AH418" t="s">
        <v>54</v>
      </c>
      <c r="AI418" t="s">
        <v>52</v>
      </c>
      <c r="AZ418" t="s">
        <v>52</v>
      </c>
      <c r="BQ418" t="s">
        <v>52</v>
      </c>
      <c r="CH418" t="s">
        <v>52</v>
      </c>
    </row>
    <row r="419" spans="1:86" x14ac:dyDescent="0.25">
      <c r="A419" t="s">
        <v>47</v>
      </c>
      <c r="B419">
        <v>8</v>
      </c>
      <c r="C419" t="s">
        <v>137</v>
      </c>
      <c r="D419">
        <v>31</v>
      </c>
      <c r="E419" t="s">
        <v>58</v>
      </c>
      <c r="F419">
        <v>102</v>
      </c>
      <c r="G419" t="s">
        <v>63</v>
      </c>
      <c r="H419" t="s">
        <v>50</v>
      </c>
      <c r="K419" t="s">
        <v>52</v>
      </c>
      <c r="L419">
        <v>1</v>
      </c>
      <c r="M419" t="s">
        <v>53</v>
      </c>
      <c r="N419">
        <v>102</v>
      </c>
      <c r="O419">
        <v>1</v>
      </c>
      <c r="P419" t="s">
        <v>52</v>
      </c>
      <c r="Q419">
        <v>0</v>
      </c>
      <c r="R419">
        <v>0.92</v>
      </c>
      <c r="S419">
        <v>131.69999999999999</v>
      </c>
      <c r="T419" t="s">
        <v>284</v>
      </c>
      <c r="U419">
        <v>170</v>
      </c>
      <c r="V419" t="s">
        <v>284</v>
      </c>
      <c r="W419">
        <v>191</v>
      </c>
      <c r="X419" t="s">
        <v>285</v>
      </c>
      <c r="Y419">
        <v>207</v>
      </c>
      <c r="Z419" t="s">
        <v>285</v>
      </c>
      <c r="AA419">
        <v>265</v>
      </c>
      <c r="AB419" t="s">
        <v>285</v>
      </c>
      <c r="AG419">
        <v>189.33330000000001</v>
      </c>
      <c r="AH419" t="s">
        <v>54</v>
      </c>
      <c r="AI419" t="s">
        <v>52</v>
      </c>
      <c r="AZ419" t="s">
        <v>52</v>
      </c>
      <c r="BQ419" t="s">
        <v>52</v>
      </c>
      <c r="CH419" t="s">
        <v>52</v>
      </c>
    </row>
    <row r="420" spans="1:86" x14ac:dyDescent="0.25">
      <c r="A420" t="s">
        <v>47</v>
      </c>
      <c r="B420">
        <v>8</v>
      </c>
      <c r="C420" t="s">
        <v>137</v>
      </c>
      <c r="D420">
        <v>31</v>
      </c>
      <c r="E420" t="s">
        <v>58</v>
      </c>
      <c r="F420">
        <v>102</v>
      </c>
      <c r="G420" t="s">
        <v>64</v>
      </c>
      <c r="H420" t="s">
        <v>50</v>
      </c>
      <c r="K420" t="s">
        <v>52</v>
      </c>
      <c r="L420">
        <v>1</v>
      </c>
      <c r="M420" t="s">
        <v>53</v>
      </c>
      <c r="N420">
        <v>102</v>
      </c>
      <c r="O420">
        <v>1</v>
      </c>
      <c r="P420" t="s">
        <v>52</v>
      </c>
      <c r="Q420">
        <v>0</v>
      </c>
      <c r="R420">
        <v>0.92</v>
      </c>
      <c r="S420">
        <v>131.69999999999999</v>
      </c>
      <c r="T420" t="s">
        <v>284</v>
      </c>
      <c r="U420">
        <v>170</v>
      </c>
      <c r="V420" t="s">
        <v>284</v>
      </c>
      <c r="W420">
        <v>191</v>
      </c>
      <c r="X420" t="s">
        <v>284</v>
      </c>
      <c r="Y420">
        <v>207</v>
      </c>
      <c r="Z420" t="s">
        <v>284</v>
      </c>
      <c r="AA420">
        <v>205</v>
      </c>
      <c r="AB420" t="s">
        <v>285</v>
      </c>
      <c r="AG420">
        <v>188.66669999999999</v>
      </c>
      <c r="AH420" t="s">
        <v>54</v>
      </c>
      <c r="AI420" t="s">
        <v>52</v>
      </c>
      <c r="AZ420" t="s">
        <v>52</v>
      </c>
      <c r="BQ420" t="s">
        <v>52</v>
      </c>
      <c r="BR420">
        <v>0.93</v>
      </c>
      <c r="BS420" t="s">
        <v>285</v>
      </c>
      <c r="BT420">
        <v>0.59</v>
      </c>
      <c r="BU420" t="s">
        <v>284</v>
      </c>
      <c r="BV420">
        <v>0.17</v>
      </c>
      <c r="BW420" t="s">
        <v>285</v>
      </c>
      <c r="BX420">
        <v>0.32</v>
      </c>
      <c r="BY420" t="s">
        <v>285</v>
      </c>
      <c r="BZ420">
        <v>0.28000000000000003</v>
      </c>
      <c r="CA420" t="s">
        <v>284</v>
      </c>
      <c r="CF420">
        <v>0.4</v>
      </c>
      <c r="CG420" t="s">
        <v>54</v>
      </c>
      <c r="CH420" t="s">
        <v>52</v>
      </c>
    </row>
    <row r="421" spans="1:86" x14ac:dyDescent="0.25">
      <c r="A421" t="s">
        <v>47</v>
      </c>
      <c r="B421">
        <v>8</v>
      </c>
      <c r="C421" t="s">
        <v>137</v>
      </c>
      <c r="D421">
        <v>31</v>
      </c>
      <c r="E421" t="s">
        <v>58</v>
      </c>
      <c r="F421">
        <v>102</v>
      </c>
      <c r="G421" t="s">
        <v>65</v>
      </c>
      <c r="H421" t="s">
        <v>50</v>
      </c>
      <c r="K421" t="s">
        <v>51</v>
      </c>
      <c r="L421">
        <v>1</v>
      </c>
      <c r="M421" t="s">
        <v>53</v>
      </c>
      <c r="N421">
        <v>102</v>
      </c>
      <c r="O421">
        <v>1</v>
      </c>
      <c r="P421" t="s">
        <v>52</v>
      </c>
      <c r="Q421">
        <v>0</v>
      </c>
      <c r="R421">
        <v>0.92</v>
      </c>
      <c r="S421">
        <v>131.69999999999999</v>
      </c>
      <c r="T421" t="s">
        <v>284</v>
      </c>
      <c r="U421">
        <v>170</v>
      </c>
      <c r="V421" t="s">
        <v>284</v>
      </c>
      <c r="W421">
        <v>191</v>
      </c>
      <c r="X421" t="s">
        <v>284</v>
      </c>
      <c r="Y421">
        <v>207</v>
      </c>
      <c r="Z421" t="s">
        <v>284</v>
      </c>
      <c r="AA421">
        <v>155</v>
      </c>
      <c r="AB421" t="s">
        <v>285</v>
      </c>
      <c r="AG421">
        <v>172</v>
      </c>
      <c r="AH421" t="s">
        <v>54</v>
      </c>
      <c r="AI421" t="s">
        <v>52</v>
      </c>
      <c r="AZ421" t="s">
        <v>52</v>
      </c>
      <c r="BQ421" t="s">
        <v>52</v>
      </c>
      <c r="CH421" t="s">
        <v>52</v>
      </c>
    </row>
    <row r="422" spans="1:86" x14ac:dyDescent="0.25">
      <c r="A422" t="s">
        <v>47</v>
      </c>
      <c r="B422">
        <v>8</v>
      </c>
      <c r="C422" t="s">
        <v>137</v>
      </c>
      <c r="D422">
        <v>31</v>
      </c>
      <c r="E422" t="s">
        <v>58</v>
      </c>
      <c r="F422">
        <v>102</v>
      </c>
      <c r="G422" t="s">
        <v>65</v>
      </c>
      <c r="H422" t="s">
        <v>50</v>
      </c>
      <c r="K422" t="s">
        <v>52</v>
      </c>
      <c r="L422">
        <v>1</v>
      </c>
      <c r="M422" t="s">
        <v>53</v>
      </c>
      <c r="N422">
        <v>102</v>
      </c>
      <c r="O422">
        <v>1</v>
      </c>
      <c r="P422" t="s">
        <v>52</v>
      </c>
      <c r="Q422">
        <v>0</v>
      </c>
      <c r="R422">
        <v>0.92</v>
      </c>
      <c r="S422">
        <v>131.69999999999999</v>
      </c>
      <c r="T422" t="s">
        <v>284</v>
      </c>
      <c r="U422">
        <v>170</v>
      </c>
      <c r="V422" t="s">
        <v>284</v>
      </c>
      <c r="W422">
        <v>191</v>
      </c>
      <c r="X422" t="s">
        <v>284</v>
      </c>
      <c r="Y422">
        <v>207</v>
      </c>
      <c r="Z422" t="s">
        <v>284</v>
      </c>
      <c r="AA422">
        <v>155</v>
      </c>
      <c r="AB422" t="s">
        <v>285</v>
      </c>
      <c r="AG422">
        <v>172</v>
      </c>
      <c r="AH422" t="s">
        <v>54</v>
      </c>
      <c r="AI422" t="s">
        <v>52</v>
      </c>
      <c r="AZ422" t="s">
        <v>52</v>
      </c>
      <c r="BQ422" t="s">
        <v>52</v>
      </c>
      <c r="CH422" t="s">
        <v>52</v>
      </c>
    </row>
    <row r="423" spans="1:86" x14ac:dyDescent="0.25">
      <c r="A423" t="s">
        <v>47</v>
      </c>
      <c r="B423">
        <v>8</v>
      </c>
      <c r="C423" t="s">
        <v>137</v>
      </c>
      <c r="D423">
        <v>31</v>
      </c>
      <c r="E423" t="s">
        <v>58</v>
      </c>
      <c r="F423">
        <v>102</v>
      </c>
      <c r="G423" t="s">
        <v>66</v>
      </c>
      <c r="H423" t="s">
        <v>50</v>
      </c>
      <c r="K423" t="s">
        <v>51</v>
      </c>
      <c r="L423">
        <v>1</v>
      </c>
      <c r="M423" t="s">
        <v>53</v>
      </c>
      <c r="N423">
        <v>102</v>
      </c>
      <c r="O423">
        <v>1</v>
      </c>
      <c r="P423" t="s">
        <v>52</v>
      </c>
      <c r="Q423">
        <v>0</v>
      </c>
      <c r="R423">
        <v>0.92</v>
      </c>
      <c r="S423">
        <v>131.69999999999999</v>
      </c>
      <c r="T423" t="s">
        <v>284</v>
      </c>
      <c r="U423">
        <v>170</v>
      </c>
      <c r="V423" t="s">
        <v>284</v>
      </c>
      <c r="W423">
        <v>191</v>
      </c>
      <c r="X423" t="s">
        <v>284</v>
      </c>
      <c r="Y423">
        <v>207</v>
      </c>
      <c r="Z423" t="s">
        <v>284</v>
      </c>
      <c r="AA423">
        <v>205</v>
      </c>
      <c r="AB423" t="s">
        <v>285</v>
      </c>
      <c r="AG423">
        <v>188.66669999999999</v>
      </c>
      <c r="AH423" t="s">
        <v>54</v>
      </c>
      <c r="AI423" t="s">
        <v>52</v>
      </c>
      <c r="AZ423" t="s">
        <v>52</v>
      </c>
      <c r="BQ423" t="s">
        <v>52</v>
      </c>
      <c r="CH423" t="s">
        <v>52</v>
      </c>
    </row>
    <row r="424" spans="1:86" x14ac:dyDescent="0.25">
      <c r="A424" t="s">
        <v>47</v>
      </c>
      <c r="B424">
        <v>8</v>
      </c>
      <c r="C424" t="s">
        <v>137</v>
      </c>
      <c r="D424">
        <v>31</v>
      </c>
      <c r="E424" t="s">
        <v>58</v>
      </c>
      <c r="F424">
        <v>102</v>
      </c>
      <c r="G424" t="s">
        <v>66</v>
      </c>
      <c r="H424" t="s">
        <v>50</v>
      </c>
      <c r="K424" t="s">
        <v>52</v>
      </c>
      <c r="L424">
        <v>1</v>
      </c>
      <c r="M424" t="s">
        <v>53</v>
      </c>
      <c r="N424">
        <v>102</v>
      </c>
      <c r="O424">
        <v>1</v>
      </c>
      <c r="P424" t="s">
        <v>52</v>
      </c>
      <c r="Q424">
        <v>0</v>
      </c>
      <c r="R424">
        <v>0.92</v>
      </c>
      <c r="S424">
        <v>131.69999999999999</v>
      </c>
      <c r="T424" t="s">
        <v>284</v>
      </c>
      <c r="U424">
        <v>170</v>
      </c>
      <c r="V424" t="s">
        <v>284</v>
      </c>
      <c r="W424">
        <v>191</v>
      </c>
      <c r="X424" t="s">
        <v>284</v>
      </c>
      <c r="Y424">
        <v>207</v>
      </c>
      <c r="Z424" t="s">
        <v>284</v>
      </c>
      <c r="AA424">
        <v>205</v>
      </c>
      <c r="AB424" t="s">
        <v>285</v>
      </c>
      <c r="AG424">
        <v>188.66669999999999</v>
      </c>
      <c r="AH424" t="s">
        <v>54</v>
      </c>
      <c r="AI424" t="s">
        <v>52</v>
      </c>
      <c r="AZ424" t="s">
        <v>52</v>
      </c>
      <c r="BQ424" t="s">
        <v>52</v>
      </c>
      <c r="CH424" t="s">
        <v>52</v>
      </c>
    </row>
    <row r="425" spans="1:86" x14ac:dyDescent="0.25">
      <c r="A425" t="s">
        <v>47</v>
      </c>
      <c r="B425">
        <v>8</v>
      </c>
      <c r="C425" t="s">
        <v>137</v>
      </c>
      <c r="D425">
        <v>31</v>
      </c>
      <c r="E425" t="s">
        <v>68</v>
      </c>
      <c r="F425">
        <v>80</v>
      </c>
      <c r="G425" t="s">
        <v>69</v>
      </c>
      <c r="H425" t="s">
        <v>50</v>
      </c>
      <c r="K425" t="s">
        <v>51</v>
      </c>
      <c r="L425">
        <v>1</v>
      </c>
      <c r="M425" t="s">
        <v>53</v>
      </c>
      <c r="N425">
        <v>80</v>
      </c>
      <c r="O425">
        <v>1</v>
      </c>
      <c r="P425" t="s">
        <v>52</v>
      </c>
      <c r="Q425">
        <v>0.5</v>
      </c>
      <c r="R425">
        <v>0.75</v>
      </c>
      <c r="S425">
        <v>202.92</v>
      </c>
      <c r="T425" t="s">
        <v>284</v>
      </c>
      <c r="U425">
        <v>198.9</v>
      </c>
      <c r="V425" t="s">
        <v>284</v>
      </c>
      <c r="W425">
        <v>212.4</v>
      </c>
      <c r="X425" t="s">
        <v>284</v>
      </c>
      <c r="Y425">
        <v>219.6</v>
      </c>
      <c r="Z425" t="s">
        <v>284</v>
      </c>
      <c r="AA425">
        <v>178</v>
      </c>
      <c r="AB425" t="s">
        <v>284</v>
      </c>
      <c r="AG425">
        <v>204.74</v>
      </c>
      <c r="AH425" t="s">
        <v>54</v>
      </c>
      <c r="AI425" t="s">
        <v>52</v>
      </c>
      <c r="AZ425" t="s">
        <v>52</v>
      </c>
      <c r="BQ425" t="s">
        <v>52</v>
      </c>
      <c r="CH425" t="s">
        <v>52</v>
      </c>
    </row>
    <row r="426" spans="1:86" x14ac:dyDescent="0.25">
      <c r="A426" t="s">
        <v>47</v>
      </c>
      <c r="B426">
        <v>8</v>
      </c>
      <c r="C426" t="s">
        <v>137</v>
      </c>
      <c r="D426">
        <v>31</v>
      </c>
      <c r="E426" t="s">
        <v>68</v>
      </c>
      <c r="F426">
        <v>80</v>
      </c>
      <c r="G426" t="s">
        <v>69</v>
      </c>
      <c r="H426" t="s">
        <v>50</v>
      </c>
      <c r="K426" t="s">
        <v>52</v>
      </c>
      <c r="L426">
        <v>1</v>
      </c>
      <c r="M426" t="s">
        <v>53</v>
      </c>
      <c r="N426">
        <v>80</v>
      </c>
      <c r="O426">
        <v>1</v>
      </c>
      <c r="P426" t="s">
        <v>52</v>
      </c>
      <c r="Q426">
        <v>0.5</v>
      </c>
      <c r="R426">
        <v>0.75</v>
      </c>
      <c r="S426">
        <v>202.92</v>
      </c>
      <c r="T426" t="s">
        <v>284</v>
      </c>
      <c r="U426">
        <v>198.9</v>
      </c>
      <c r="V426" t="s">
        <v>284</v>
      </c>
      <c r="W426">
        <v>212.4</v>
      </c>
      <c r="X426" t="s">
        <v>284</v>
      </c>
      <c r="Y426">
        <v>219.6</v>
      </c>
      <c r="Z426" t="s">
        <v>284</v>
      </c>
      <c r="AA426">
        <v>178</v>
      </c>
      <c r="AB426" t="s">
        <v>284</v>
      </c>
      <c r="AG426">
        <v>204.74</v>
      </c>
      <c r="AH426" t="s">
        <v>54</v>
      </c>
      <c r="AI426" t="s">
        <v>52</v>
      </c>
      <c r="AZ426" t="s">
        <v>52</v>
      </c>
      <c r="BQ426" t="s">
        <v>52</v>
      </c>
      <c r="CH426" t="s">
        <v>52</v>
      </c>
    </row>
    <row r="427" spans="1:86" x14ac:dyDescent="0.25">
      <c r="A427" t="s">
        <v>47</v>
      </c>
      <c r="B427">
        <v>8</v>
      </c>
      <c r="C427" t="s">
        <v>137</v>
      </c>
      <c r="D427">
        <v>31</v>
      </c>
      <c r="E427" t="s">
        <v>70</v>
      </c>
      <c r="F427">
        <v>296</v>
      </c>
      <c r="G427" t="s">
        <v>71</v>
      </c>
      <c r="H427" t="s">
        <v>50</v>
      </c>
      <c r="K427" t="s">
        <v>51</v>
      </c>
      <c r="L427">
        <v>1</v>
      </c>
      <c r="M427" t="s">
        <v>53</v>
      </c>
      <c r="N427">
        <v>296</v>
      </c>
      <c r="O427">
        <v>1</v>
      </c>
      <c r="P427" t="s">
        <v>52</v>
      </c>
      <c r="Q427">
        <v>0</v>
      </c>
      <c r="R427">
        <v>0.75</v>
      </c>
      <c r="S427">
        <v>228</v>
      </c>
      <c r="T427" t="s">
        <v>284</v>
      </c>
      <c r="U427">
        <v>190</v>
      </c>
      <c r="V427" t="s">
        <v>285</v>
      </c>
      <c r="W427">
        <v>194</v>
      </c>
      <c r="X427" t="s">
        <v>285</v>
      </c>
      <c r="Y427">
        <v>225</v>
      </c>
      <c r="Z427" t="s">
        <v>285</v>
      </c>
      <c r="AA427">
        <v>247</v>
      </c>
      <c r="AB427" t="s">
        <v>285</v>
      </c>
      <c r="AC427">
        <v>241</v>
      </c>
      <c r="AD427" t="s">
        <v>285</v>
      </c>
      <c r="AE427">
        <v>219</v>
      </c>
      <c r="AF427" t="s">
        <v>285</v>
      </c>
      <c r="AG427">
        <v>219</v>
      </c>
      <c r="AH427" t="s">
        <v>286</v>
      </c>
      <c r="AI427" t="s">
        <v>287</v>
      </c>
      <c r="AX427">
        <v>263</v>
      </c>
      <c r="AY427" t="s">
        <v>286</v>
      </c>
      <c r="AZ427" t="s">
        <v>287</v>
      </c>
      <c r="BQ427" t="s">
        <v>52</v>
      </c>
      <c r="CH427" t="s">
        <v>52</v>
      </c>
    </row>
    <row r="428" spans="1:86" x14ac:dyDescent="0.25">
      <c r="A428" t="s">
        <v>47</v>
      </c>
      <c r="B428">
        <v>8</v>
      </c>
      <c r="C428" t="s">
        <v>137</v>
      </c>
      <c r="D428">
        <v>31</v>
      </c>
      <c r="E428" t="s">
        <v>70</v>
      </c>
      <c r="F428">
        <v>296</v>
      </c>
      <c r="G428" t="s">
        <v>71</v>
      </c>
      <c r="H428" t="s">
        <v>50</v>
      </c>
      <c r="K428" t="s">
        <v>52</v>
      </c>
      <c r="L428">
        <v>1</v>
      </c>
      <c r="M428" t="s">
        <v>53</v>
      </c>
      <c r="N428">
        <v>296</v>
      </c>
      <c r="O428">
        <v>1</v>
      </c>
      <c r="P428" t="s">
        <v>52</v>
      </c>
      <c r="Q428">
        <v>0</v>
      </c>
      <c r="R428">
        <v>0.75</v>
      </c>
      <c r="S428">
        <v>228</v>
      </c>
      <c r="T428" t="s">
        <v>284</v>
      </c>
      <c r="U428">
        <v>190</v>
      </c>
      <c r="V428" t="s">
        <v>285</v>
      </c>
      <c r="W428">
        <v>194</v>
      </c>
      <c r="X428" t="s">
        <v>285</v>
      </c>
      <c r="Y428">
        <v>225</v>
      </c>
      <c r="Z428" t="s">
        <v>285</v>
      </c>
      <c r="AA428">
        <v>247</v>
      </c>
      <c r="AB428" t="s">
        <v>285</v>
      </c>
      <c r="AC428">
        <v>241</v>
      </c>
      <c r="AD428" t="s">
        <v>285</v>
      </c>
      <c r="AE428">
        <v>219</v>
      </c>
      <c r="AF428" t="s">
        <v>285</v>
      </c>
      <c r="AG428">
        <v>219</v>
      </c>
      <c r="AH428" t="s">
        <v>286</v>
      </c>
      <c r="AI428" t="s">
        <v>287</v>
      </c>
      <c r="AX428">
        <v>263</v>
      </c>
      <c r="AY428" t="s">
        <v>286</v>
      </c>
      <c r="AZ428" t="s">
        <v>287</v>
      </c>
      <c r="BQ428" t="s">
        <v>52</v>
      </c>
      <c r="CH428" t="s">
        <v>52</v>
      </c>
    </row>
    <row r="429" spans="1:86" x14ac:dyDescent="0.25">
      <c r="A429" t="s">
        <v>47</v>
      </c>
      <c r="B429">
        <v>8</v>
      </c>
      <c r="C429" t="s">
        <v>137</v>
      </c>
      <c r="D429">
        <v>31</v>
      </c>
      <c r="E429" t="s">
        <v>70</v>
      </c>
      <c r="F429">
        <v>296</v>
      </c>
      <c r="G429" t="s">
        <v>72</v>
      </c>
      <c r="H429" t="s">
        <v>50</v>
      </c>
      <c r="K429" t="s">
        <v>51</v>
      </c>
      <c r="L429">
        <v>1</v>
      </c>
      <c r="M429" t="s">
        <v>53</v>
      </c>
      <c r="N429">
        <v>296</v>
      </c>
      <c r="O429">
        <v>1</v>
      </c>
      <c r="P429" t="s">
        <v>52</v>
      </c>
      <c r="Q429">
        <v>0.5</v>
      </c>
      <c r="R429">
        <v>0.75</v>
      </c>
      <c r="S429">
        <v>228</v>
      </c>
      <c r="T429" t="s">
        <v>284</v>
      </c>
      <c r="U429">
        <v>221</v>
      </c>
      <c r="V429" t="s">
        <v>284</v>
      </c>
      <c r="W429">
        <v>236</v>
      </c>
      <c r="X429" t="s">
        <v>284</v>
      </c>
      <c r="Y429">
        <v>244</v>
      </c>
      <c r="Z429" t="s">
        <v>284</v>
      </c>
      <c r="AA429">
        <v>215</v>
      </c>
      <c r="AB429" t="s">
        <v>285</v>
      </c>
      <c r="AG429">
        <v>228.33330000000001</v>
      </c>
      <c r="AH429" t="s">
        <v>54</v>
      </c>
      <c r="AI429" t="s">
        <v>52</v>
      </c>
      <c r="AZ429" t="s">
        <v>52</v>
      </c>
      <c r="BQ429" t="s">
        <v>52</v>
      </c>
      <c r="CH429" t="s">
        <v>52</v>
      </c>
    </row>
    <row r="430" spans="1:86" x14ac:dyDescent="0.25">
      <c r="A430" t="s">
        <v>47</v>
      </c>
      <c r="B430">
        <v>8</v>
      </c>
      <c r="C430" t="s">
        <v>137</v>
      </c>
      <c r="D430">
        <v>31</v>
      </c>
      <c r="E430" t="s">
        <v>70</v>
      </c>
      <c r="F430">
        <v>296</v>
      </c>
      <c r="G430" t="s">
        <v>72</v>
      </c>
      <c r="H430" t="s">
        <v>50</v>
      </c>
      <c r="K430" t="s">
        <v>52</v>
      </c>
      <c r="L430">
        <v>1</v>
      </c>
      <c r="M430" t="s">
        <v>53</v>
      </c>
      <c r="N430">
        <v>296</v>
      </c>
      <c r="O430">
        <v>1</v>
      </c>
      <c r="P430" t="s">
        <v>52</v>
      </c>
      <c r="Q430">
        <v>0.5</v>
      </c>
      <c r="R430">
        <v>0.75</v>
      </c>
      <c r="S430">
        <v>228</v>
      </c>
      <c r="T430" t="s">
        <v>284</v>
      </c>
      <c r="U430">
        <v>221</v>
      </c>
      <c r="V430" t="s">
        <v>284</v>
      </c>
      <c r="W430">
        <v>236</v>
      </c>
      <c r="X430" t="s">
        <v>284</v>
      </c>
      <c r="Y430">
        <v>244</v>
      </c>
      <c r="Z430" t="s">
        <v>284</v>
      </c>
      <c r="AA430">
        <v>215</v>
      </c>
      <c r="AB430" t="s">
        <v>285</v>
      </c>
      <c r="AG430">
        <v>228.33330000000001</v>
      </c>
      <c r="AH430" t="s">
        <v>54</v>
      </c>
      <c r="AI430" t="s">
        <v>52</v>
      </c>
      <c r="AZ430" t="s">
        <v>52</v>
      </c>
      <c r="BQ430" t="s">
        <v>52</v>
      </c>
      <c r="CH430" t="s">
        <v>52</v>
      </c>
    </row>
    <row r="431" spans="1:86" x14ac:dyDescent="0.25">
      <c r="A431" t="s">
        <v>47</v>
      </c>
      <c r="B431">
        <v>8</v>
      </c>
      <c r="C431" t="s">
        <v>137</v>
      </c>
      <c r="D431">
        <v>31</v>
      </c>
      <c r="E431" t="s">
        <v>70</v>
      </c>
      <c r="F431">
        <v>296</v>
      </c>
      <c r="G431" t="s">
        <v>73</v>
      </c>
      <c r="H431" t="s">
        <v>50</v>
      </c>
      <c r="K431" t="s">
        <v>51</v>
      </c>
      <c r="L431">
        <v>1</v>
      </c>
      <c r="M431" t="s">
        <v>53</v>
      </c>
      <c r="N431">
        <v>296</v>
      </c>
      <c r="O431">
        <v>1</v>
      </c>
      <c r="P431" t="s">
        <v>52</v>
      </c>
      <c r="Q431">
        <v>0</v>
      </c>
      <c r="R431">
        <v>0.75</v>
      </c>
      <c r="S431">
        <v>228</v>
      </c>
      <c r="T431" t="s">
        <v>284</v>
      </c>
      <c r="U431">
        <v>221</v>
      </c>
      <c r="V431" t="s">
        <v>284</v>
      </c>
      <c r="W431">
        <v>236</v>
      </c>
      <c r="X431" t="s">
        <v>284</v>
      </c>
      <c r="Y431">
        <v>244</v>
      </c>
      <c r="Z431" t="s">
        <v>284</v>
      </c>
      <c r="AA431">
        <v>225</v>
      </c>
      <c r="AB431" t="s">
        <v>285</v>
      </c>
      <c r="AG431">
        <v>229.66669999999999</v>
      </c>
      <c r="AH431" t="s">
        <v>54</v>
      </c>
      <c r="AI431" t="s">
        <v>52</v>
      </c>
      <c r="AZ431" t="s">
        <v>52</v>
      </c>
      <c r="BQ431" t="s">
        <v>52</v>
      </c>
      <c r="CH431" t="s">
        <v>52</v>
      </c>
    </row>
    <row r="432" spans="1:86" x14ac:dyDescent="0.25">
      <c r="A432" t="s">
        <v>47</v>
      </c>
      <c r="B432">
        <v>8</v>
      </c>
      <c r="C432" t="s">
        <v>137</v>
      </c>
      <c r="D432">
        <v>31</v>
      </c>
      <c r="E432" t="s">
        <v>70</v>
      </c>
      <c r="F432">
        <v>296</v>
      </c>
      <c r="G432" t="s">
        <v>73</v>
      </c>
      <c r="H432" t="s">
        <v>50</v>
      </c>
      <c r="K432" t="s">
        <v>52</v>
      </c>
      <c r="L432">
        <v>1</v>
      </c>
      <c r="M432" t="s">
        <v>53</v>
      </c>
      <c r="N432">
        <v>296</v>
      </c>
      <c r="O432">
        <v>1</v>
      </c>
      <c r="P432" t="s">
        <v>52</v>
      </c>
      <c r="Q432">
        <v>0</v>
      </c>
      <c r="R432">
        <v>0.75</v>
      </c>
      <c r="S432">
        <v>228</v>
      </c>
      <c r="T432" t="s">
        <v>284</v>
      </c>
      <c r="U432">
        <v>221</v>
      </c>
      <c r="V432" t="s">
        <v>284</v>
      </c>
      <c r="W432">
        <v>236</v>
      </c>
      <c r="X432" t="s">
        <v>284</v>
      </c>
      <c r="Y432">
        <v>244</v>
      </c>
      <c r="Z432" t="s">
        <v>284</v>
      </c>
      <c r="AA432">
        <v>225</v>
      </c>
      <c r="AB432" t="s">
        <v>285</v>
      </c>
      <c r="AG432">
        <v>229.66669999999999</v>
      </c>
      <c r="AH432" t="s">
        <v>54</v>
      </c>
      <c r="AI432" t="s">
        <v>52</v>
      </c>
      <c r="AZ432" t="s">
        <v>52</v>
      </c>
      <c r="BQ432" t="s">
        <v>52</v>
      </c>
      <c r="CH432" t="s">
        <v>52</v>
      </c>
    </row>
    <row r="433" spans="1:86" x14ac:dyDescent="0.25">
      <c r="A433" t="s">
        <v>47</v>
      </c>
      <c r="B433">
        <v>8</v>
      </c>
      <c r="C433" t="s">
        <v>137</v>
      </c>
      <c r="D433">
        <v>31</v>
      </c>
      <c r="E433" t="s">
        <v>70</v>
      </c>
      <c r="F433">
        <v>296</v>
      </c>
      <c r="G433" t="s">
        <v>74</v>
      </c>
      <c r="H433" t="s">
        <v>50</v>
      </c>
      <c r="K433" t="s">
        <v>51</v>
      </c>
      <c r="L433">
        <v>1</v>
      </c>
      <c r="M433" t="s">
        <v>53</v>
      </c>
      <c r="N433">
        <v>102</v>
      </c>
      <c r="O433">
        <v>1</v>
      </c>
      <c r="P433" t="s">
        <v>52</v>
      </c>
      <c r="Q433">
        <v>0</v>
      </c>
      <c r="R433">
        <v>0.75</v>
      </c>
      <c r="S433">
        <v>135</v>
      </c>
      <c r="T433" t="s">
        <v>284</v>
      </c>
      <c r="U433">
        <v>132</v>
      </c>
      <c r="V433" t="s">
        <v>284</v>
      </c>
      <c r="W433">
        <v>147</v>
      </c>
      <c r="X433" t="s">
        <v>284</v>
      </c>
      <c r="Y433">
        <v>170</v>
      </c>
      <c r="Z433" t="s">
        <v>284</v>
      </c>
      <c r="AA433">
        <v>205</v>
      </c>
      <c r="AB433" t="s">
        <v>285</v>
      </c>
      <c r="AG433">
        <v>150.66669999999999</v>
      </c>
      <c r="AH433" t="s">
        <v>54</v>
      </c>
      <c r="AI433" t="s">
        <v>52</v>
      </c>
      <c r="AZ433" t="s">
        <v>52</v>
      </c>
      <c r="BQ433" t="s">
        <v>52</v>
      </c>
      <c r="CH433" t="s">
        <v>52</v>
      </c>
    </row>
    <row r="434" spans="1:86" x14ac:dyDescent="0.25">
      <c r="A434" t="s">
        <v>47</v>
      </c>
      <c r="B434">
        <v>8</v>
      </c>
      <c r="C434" t="s">
        <v>137</v>
      </c>
      <c r="D434">
        <v>31</v>
      </c>
      <c r="E434" t="s">
        <v>70</v>
      </c>
      <c r="F434">
        <v>296</v>
      </c>
      <c r="G434" t="s">
        <v>74</v>
      </c>
      <c r="H434" t="s">
        <v>50</v>
      </c>
      <c r="K434" t="s">
        <v>52</v>
      </c>
      <c r="L434">
        <v>1</v>
      </c>
      <c r="M434" t="s">
        <v>53</v>
      </c>
      <c r="N434">
        <v>102</v>
      </c>
      <c r="O434">
        <v>1</v>
      </c>
      <c r="P434" t="s">
        <v>52</v>
      </c>
      <c r="Q434">
        <v>0</v>
      </c>
      <c r="R434">
        <v>0.75</v>
      </c>
      <c r="S434">
        <v>135</v>
      </c>
      <c r="T434" t="s">
        <v>284</v>
      </c>
      <c r="U434">
        <v>132</v>
      </c>
      <c r="V434" t="s">
        <v>284</v>
      </c>
      <c r="W434">
        <v>147</v>
      </c>
      <c r="X434" t="s">
        <v>284</v>
      </c>
      <c r="Y434">
        <v>170</v>
      </c>
      <c r="Z434" t="s">
        <v>284</v>
      </c>
      <c r="AA434">
        <v>205</v>
      </c>
      <c r="AB434" t="s">
        <v>285</v>
      </c>
      <c r="AG434">
        <v>150.66669999999999</v>
      </c>
      <c r="AH434" t="s">
        <v>54</v>
      </c>
      <c r="AI434" t="s">
        <v>52</v>
      </c>
      <c r="AZ434" t="s">
        <v>52</v>
      </c>
      <c r="BQ434" t="s">
        <v>52</v>
      </c>
      <c r="CH434" t="s">
        <v>52</v>
      </c>
    </row>
    <row r="435" spans="1:86" x14ac:dyDescent="0.25">
      <c r="A435" t="s">
        <v>47</v>
      </c>
      <c r="B435">
        <v>8</v>
      </c>
      <c r="C435" t="s">
        <v>137</v>
      </c>
      <c r="D435">
        <v>31</v>
      </c>
      <c r="E435" t="s">
        <v>75</v>
      </c>
      <c r="F435">
        <v>16</v>
      </c>
      <c r="G435" t="s">
        <v>76</v>
      </c>
      <c r="H435" t="s">
        <v>50</v>
      </c>
      <c r="K435" t="s">
        <v>51</v>
      </c>
      <c r="L435">
        <v>1</v>
      </c>
      <c r="M435" t="s">
        <v>53</v>
      </c>
      <c r="N435">
        <v>16</v>
      </c>
      <c r="O435">
        <v>2</v>
      </c>
      <c r="P435" t="s">
        <v>52</v>
      </c>
      <c r="Q435">
        <v>0.5</v>
      </c>
      <c r="R435">
        <v>0.75</v>
      </c>
      <c r="S435">
        <v>83.35</v>
      </c>
      <c r="T435" t="s">
        <v>285</v>
      </c>
      <c r="U435">
        <v>96.14</v>
      </c>
      <c r="V435" t="s">
        <v>284</v>
      </c>
      <c r="W435">
        <v>103.37</v>
      </c>
      <c r="X435" t="s">
        <v>284</v>
      </c>
      <c r="Y435">
        <v>106.14</v>
      </c>
      <c r="Z435" t="s">
        <v>284</v>
      </c>
      <c r="AA435">
        <v>128</v>
      </c>
      <c r="AB435" t="s">
        <v>285</v>
      </c>
      <c r="AG435">
        <v>101.88330000000001</v>
      </c>
      <c r="AH435" t="s">
        <v>54</v>
      </c>
      <c r="AI435" t="s">
        <v>52</v>
      </c>
      <c r="AX435">
        <v>146.69999999999999</v>
      </c>
      <c r="AY435" t="s">
        <v>285</v>
      </c>
      <c r="AZ435" t="s">
        <v>287</v>
      </c>
      <c r="BQ435" t="s">
        <v>52</v>
      </c>
      <c r="CH435" t="s">
        <v>52</v>
      </c>
    </row>
    <row r="436" spans="1:86" x14ac:dyDescent="0.25">
      <c r="A436" t="s">
        <v>47</v>
      </c>
      <c r="B436">
        <v>8</v>
      </c>
      <c r="C436" t="s">
        <v>137</v>
      </c>
      <c r="D436">
        <v>31</v>
      </c>
      <c r="E436" t="s">
        <v>75</v>
      </c>
      <c r="F436">
        <v>16</v>
      </c>
      <c r="G436" t="s">
        <v>76</v>
      </c>
      <c r="H436" t="s">
        <v>50</v>
      </c>
      <c r="K436" t="s">
        <v>52</v>
      </c>
      <c r="L436">
        <v>1</v>
      </c>
      <c r="M436" t="s">
        <v>53</v>
      </c>
      <c r="N436">
        <v>16</v>
      </c>
      <c r="O436">
        <v>2</v>
      </c>
      <c r="P436" t="s">
        <v>52</v>
      </c>
      <c r="Q436">
        <v>0.5</v>
      </c>
      <c r="R436">
        <v>0.75</v>
      </c>
      <c r="S436">
        <v>83.35</v>
      </c>
      <c r="T436" t="s">
        <v>285</v>
      </c>
      <c r="U436">
        <v>96.14</v>
      </c>
      <c r="V436" t="s">
        <v>284</v>
      </c>
      <c r="W436">
        <v>103.37</v>
      </c>
      <c r="X436" t="s">
        <v>284</v>
      </c>
      <c r="Y436">
        <v>106.14</v>
      </c>
      <c r="Z436" t="s">
        <v>284</v>
      </c>
      <c r="AA436">
        <v>128</v>
      </c>
      <c r="AB436" t="s">
        <v>285</v>
      </c>
      <c r="AG436">
        <v>101.88330000000001</v>
      </c>
      <c r="AH436" t="s">
        <v>54</v>
      </c>
      <c r="AI436" t="s">
        <v>52</v>
      </c>
      <c r="AX436">
        <v>146.69999999999999</v>
      </c>
      <c r="AY436" t="s">
        <v>285</v>
      </c>
      <c r="AZ436" t="s">
        <v>287</v>
      </c>
      <c r="BQ436" t="s">
        <v>52</v>
      </c>
      <c r="CH436" t="s">
        <v>52</v>
      </c>
    </row>
    <row r="437" spans="1:86" x14ac:dyDescent="0.25">
      <c r="A437" t="s">
        <v>47</v>
      </c>
      <c r="B437">
        <v>8</v>
      </c>
      <c r="C437" t="s">
        <v>137</v>
      </c>
      <c r="D437">
        <v>31</v>
      </c>
      <c r="E437" t="s">
        <v>79</v>
      </c>
      <c r="F437">
        <v>50</v>
      </c>
      <c r="G437" t="s">
        <v>80</v>
      </c>
      <c r="H437" t="s">
        <v>50</v>
      </c>
      <c r="K437" t="s">
        <v>51</v>
      </c>
      <c r="L437">
        <v>1</v>
      </c>
      <c r="M437" t="s">
        <v>53</v>
      </c>
      <c r="N437">
        <v>50</v>
      </c>
      <c r="O437">
        <v>1</v>
      </c>
      <c r="P437" t="s">
        <v>52</v>
      </c>
      <c r="Q437">
        <v>0.5</v>
      </c>
      <c r="R437">
        <v>0.75</v>
      </c>
      <c r="S437">
        <v>85</v>
      </c>
      <c r="T437" t="s">
        <v>285</v>
      </c>
      <c r="U437">
        <v>93</v>
      </c>
      <c r="V437" t="s">
        <v>284</v>
      </c>
      <c r="W437">
        <v>89.7</v>
      </c>
      <c r="X437" t="s">
        <v>284</v>
      </c>
      <c r="Y437">
        <v>92.72</v>
      </c>
      <c r="Z437" t="s">
        <v>284</v>
      </c>
      <c r="AA437">
        <v>109</v>
      </c>
      <c r="AB437" t="s">
        <v>285</v>
      </c>
      <c r="AG437">
        <v>91.806700000000006</v>
      </c>
      <c r="AH437" t="s">
        <v>54</v>
      </c>
      <c r="AI437" t="s">
        <v>52</v>
      </c>
      <c r="AZ437" t="s">
        <v>52</v>
      </c>
      <c r="BQ437" t="s">
        <v>52</v>
      </c>
      <c r="CH437" t="s">
        <v>52</v>
      </c>
    </row>
    <row r="438" spans="1:86" x14ac:dyDescent="0.25">
      <c r="A438" t="s">
        <v>47</v>
      </c>
      <c r="B438">
        <v>8</v>
      </c>
      <c r="C438" t="s">
        <v>137</v>
      </c>
      <c r="D438">
        <v>31</v>
      </c>
      <c r="E438" t="s">
        <v>79</v>
      </c>
      <c r="F438">
        <v>50</v>
      </c>
      <c r="G438" t="s">
        <v>80</v>
      </c>
      <c r="H438" t="s">
        <v>50</v>
      </c>
      <c r="K438" t="s">
        <v>52</v>
      </c>
      <c r="L438">
        <v>1</v>
      </c>
      <c r="M438" t="s">
        <v>53</v>
      </c>
      <c r="N438">
        <v>50</v>
      </c>
      <c r="O438">
        <v>1</v>
      </c>
      <c r="P438" t="s">
        <v>52</v>
      </c>
      <c r="Q438">
        <v>0.5</v>
      </c>
      <c r="R438">
        <v>0.75</v>
      </c>
      <c r="S438">
        <v>85</v>
      </c>
      <c r="T438" t="s">
        <v>285</v>
      </c>
      <c r="U438">
        <v>93</v>
      </c>
      <c r="V438" t="s">
        <v>284</v>
      </c>
      <c r="W438">
        <v>89.7</v>
      </c>
      <c r="X438" t="s">
        <v>284</v>
      </c>
      <c r="Y438">
        <v>92.72</v>
      </c>
      <c r="Z438" t="s">
        <v>284</v>
      </c>
      <c r="AA438">
        <v>109</v>
      </c>
      <c r="AB438" t="s">
        <v>285</v>
      </c>
      <c r="AG438">
        <v>91.806700000000006</v>
      </c>
      <c r="AH438" t="s">
        <v>54</v>
      </c>
      <c r="AI438" t="s">
        <v>52</v>
      </c>
      <c r="AZ438" t="s">
        <v>52</v>
      </c>
      <c r="BQ438" t="s">
        <v>52</v>
      </c>
      <c r="BR438">
        <v>0.75</v>
      </c>
      <c r="BS438" t="s">
        <v>289</v>
      </c>
      <c r="BT438">
        <v>0.84</v>
      </c>
      <c r="BU438" t="s">
        <v>284</v>
      </c>
      <c r="CH438" t="s">
        <v>52</v>
      </c>
    </row>
    <row r="439" spans="1:86" x14ac:dyDescent="0.25">
      <c r="A439" t="s">
        <v>47</v>
      </c>
      <c r="B439">
        <v>8</v>
      </c>
      <c r="C439" t="s">
        <v>137</v>
      </c>
      <c r="D439">
        <v>31</v>
      </c>
      <c r="E439" t="s">
        <v>79</v>
      </c>
      <c r="F439">
        <v>50</v>
      </c>
      <c r="G439" t="s">
        <v>65</v>
      </c>
      <c r="H439" t="s">
        <v>50</v>
      </c>
      <c r="K439" t="s">
        <v>51</v>
      </c>
      <c r="L439">
        <v>1</v>
      </c>
      <c r="M439" t="s">
        <v>53</v>
      </c>
      <c r="N439">
        <v>50</v>
      </c>
      <c r="O439">
        <v>1</v>
      </c>
      <c r="P439" t="s">
        <v>52</v>
      </c>
      <c r="Q439">
        <v>0.5</v>
      </c>
      <c r="R439">
        <v>0.75</v>
      </c>
      <c r="S439">
        <v>85</v>
      </c>
      <c r="T439" t="s">
        <v>285</v>
      </c>
      <c r="U439">
        <v>93</v>
      </c>
      <c r="V439" t="s">
        <v>284</v>
      </c>
      <c r="W439">
        <v>89.7</v>
      </c>
      <c r="X439" t="s">
        <v>284</v>
      </c>
      <c r="Y439">
        <v>92.72</v>
      </c>
      <c r="Z439" t="s">
        <v>284</v>
      </c>
      <c r="AA439">
        <v>109</v>
      </c>
      <c r="AB439" t="s">
        <v>285</v>
      </c>
      <c r="AG439">
        <v>91.806700000000006</v>
      </c>
      <c r="AH439" t="s">
        <v>54</v>
      </c>
      <c r="AI439" t="s">
        <v>52</v>
      </c>
      <c r="AZ439" t="s">
        <v>52</v>
      </c>
      <c r="BQ439" t="s">
        <v>52</v>
      </c>
      <c r="CH439" t="s">
        <v>52</v>
      </c>
    </row>
    <row r="440" spans="1:86" x14ac:dyDescent="0.25">
      <c r="A440" t="s">
        <v>47</v>
      </c>
      <c r="B440">
        <v>8</v>
      </c>
      <c r="C440" t="s">
        <v>137</v>
      </c>
      <c r="D440">
        <v>31</v>
      </c>
      <c r="E440" t="s">
        <v>79</v>
      </c>
      <c r="F440">
        <v>50</v>
      </c>
      <c r="G440" t="s">
        <v>65</v>
      </c>
      <c r="H440" t="s">
        <v>50</v>
      </c>
      <c r="K440" t="s">
        <v>52</v>
      </c>
      <c r="L440">
        <v>1</v>
      </c>
      <c r="M440" t="s">
        <v>53</v>
      </c>
      <c r="N440">
        <v>50</v>
      </c>
      <c r="O440">
        <v>1</v>
      </c>
      <c r="P440" t="s">
        <v>52</v>
      </c>
      <c r="Q440">
        <v>0.5</v>
      </c>
      <c r="R440">
        <v>0.75</v>
      </c>
      <c r="S440">
        <v>85</v>
      </c>
      <c r="T440" t="s">
        <v>285</v>
      </c>
      <c r="U440">
        <v>93</v>
      </c>
      <c r="V440" t="s">
        <v>284</v>
      </c>
      <c r="W440">
        <v>89.7</v>
      </c>
      <c r="X440" t="s">
        <v>284</v>
      </c>
      <c r="Y440">
        <v>92.72</v>
      </c>
      <c r="Z440" t="s">
        <v>284</v>
      </c>
      <c r="AA440">
        <v>109</v>
      </c>
      <c r="AB440" t="s">
        <v>285</v>
      </c>
      <c r="AG440">
        <v>91.806700000000006</v>
      </c>
      <c r="AH440" t="s">
        <v>54</v>
      </c>
      <c r="AI440" t="s">
        <v>52</v>
      </c>
      <c r="AZ440" t="s">
        <v>52</v>
      </c>
      <c r="BQ440" t="s">
        <v>52</v>
      </c>
      <c r="CH440" t="s">
        <v>52</v>
      </c>
    </row>
    <row r="441" spans="1:86" x14ac:dyDescent="0.25">
      <c r="A441" t="s">
        <v>47</v>
      </c>
      <c r="B441">
        <v>8</v>
      </c>
      <c r="C441" t="s">
        <v>137</v>
      </c>
      <c r="D441">
        <v>31</v>
      </c>
      <c r="E441" t="s">
        <v>79</v>
      </c>
      <c r="F441">
        <v>50</v>
      </c>
      <c r="G441" t="s">
        <v>81</v>
      </c>
      <c r="H441" t="s">
        <v>50</v>
      </c>
      <c r="K441" t="s">
        <v>51</v>
      </c>
      <c r="L441">
        <v>1</v>
      </c>
      <c r="M441" t="s">
        <v>53</v>
      </c>
      <c r="N441">
        <v>50</v>
      </c>
      <c r="O441">
        <v>1</v>
      </c>
      <c r="P441" t="s">
        <v>52</v>
      </c>
      <c r="Q441">
        <v>0.5</v>
      </c>
      <c r="R441">
        <v>0.75</v>
      </c>
      <c r="S441">
        <v>85</v>
      </c>
      <c r="T441" t="s">
        <v>285</v>
      </c>
      <c r="U441">
        <v>93</v>
      </c>
      <c r="V441" t="s">
        <v>284</v>
      </c>
      <c r="W441">
        <v>89.7</v>
      </c>
      <c r="X441" t="s">
        <v>284</v>
      </c>
      <c r="Y441">
        <v>92.72</v>
      </c>
      <c r="Z441" t="s">
        <v>284</v>
      </c>
      <c r="AA441">
        <v>109</v>
      </c>
      <c r="AB441" t="s">
        <v>285</v>
      </c>
      <c r="AG441">
        <v>91.806700000000006</v>
      </c>
      <c r="AH441" t="s">
        <v>54</v>
      </c>
      <c r="AI441" t="s">
        <v>52</v>
      </c>
      <c r="AZ441" t="s">
        <v>52</v>
      </c>
      <c r="BQ441" t="s">
        <v>52</v>
      </c>
      <c r="CH441" t="s">
        <v>52</v>
      </c>
    </row>
    <row r="442" spans="1:86" x14ac:dyDescent="0.25">
      <c r="A442" t="s">
        <v>47</v>
      </c>
      <c r="B442">
        <v>8</v>
      </c>
      <c r="C442" t="s">
        <v>137</v>
      </c>
      <c r="D442">
        <v>31</v>
      </c>
      <c r="E442" t="s">
        <v>79</v>
      </c>
      <c r="F442">
        <v>50</v>
      </c>
      <c r="G442" t="s">
        <v>81</v>
      </c>
      <c r="H442" t="s">
        <v>50</v>
      </c>
      <c r="K442" t="s">
        <v>52</v>
      </c>
      <c r="L442">
        <v>1</v>
      </c>
      <c r="M442" t="s">
        <v>53</v>
      </c>
      <c r="N442">
        <v>50</v>
      </c>
      <c r="O442">
        <v>1</v>
      </c>
      <c r="P442" t="s">
        <v>52</v>
      </c>
      <c r="Q442">
        <v>0.5</v>
      </c>
      <c r="R442">
        <v>0.75</v>
      </c>
      <c r="S442">
        <v>85</v>
      </c>
      <c r="T442" t="s">
        <v>285</v>
      </c>
      <c r="U442">
        <v>93</v>
      </c>
      <c r="V442" t="s">
        <v>284</v>
      </c>
      <c r="W442">
        <v>89.7</v>
      </c>
      <c r="X442" t="s">
        <v>284</v>
      </c>
      <c r="Y442">
        <v>92.72</v>
      </c>
      <c r="Z442" t="s">
        <v>284</v>
      </c>
      <c r="AA442">
        <v>109</v>
      </c>
      <c r="AB442" t="s">
        <v>285</v>
      </c>
      <c r="AG442">
        <v>91.806700000000006</v>
      </c>
      <c r="AH442" t="s">
        <v>54</v>
      </c>
      <c r="AI442" t="s">
        <v>52</v>
      </c>
      <c r="AZ442" t="s">
        <v>52</v>
      </c>
      <c r="BQ442" t="s">
        <v>52</v>
      </c>
      <c r="CH442" t="s">
        <v>52</v>
      </c>
    </row>
    <row r="443" spans="1:86" x14ac:dyDescent="0.25">
      <c r="A443" t="s">
        <v>47</v>
      </c>
      <c r="B443">
        <v>8</v>
      </c>
      <c r="C443" t="s">
        <v>137</v>
      </c>
      <c r="D443">
        <v>31</v>
      </c>
      <c r="E443" t="s">
        <v>83</v>
      </c>
      <c r="F443">
        <v>158</v>
      </c>
      <c r="H443" t="s">
        <v>50</v>
      </c>
      <c r="K443" t="s">
        <v>52</v>
      </c>
      <c r="L443">
        <v>1</v>
      </c>
      <c r="M443" t="s">
        <v>53</v>
      </c>
      <c r="N443">
        <v>158</v>
      </c>
      <c r="O443">
        <v>2</v>
      </c>
      <c r="P443" t="s">
        <v>52</v>
      </c>
      <c r="Q443">
        <v>0.77</v>
      </c>
      <c r="R443">
        <v>0.93</v>
      </c>
      <c r="S443">
        <v>228</v>
      </c>
      <c r="T443" t="s">
        <v>284</v>
      </c>
      <c r="U443">
        <v>221</v>
      </c>
      <c r="V443" t="s">
        <v>284</v>
      </c>
      <c r="W443">
        <v>236</v>
      </c>
      <c r="X443" t="s">
        <v>284</v>
      </c>
      <c r="Y443">
        <v>244</v>
      </c>
      <c r="Z443" t="s">
        <v>284</v>
      </c>
      <c r="AA443">
        <v>252</v>
      </c>
      <c r="AB443" t="s">
        <v>284</v>
      </c>
      <c r="AG443">
        <v>236</v>
      </c>
      <c r="AH443" t="s">
        <v>54</v>
      </c>
      <c r="AI443" t="s">
        <v>52</v>
      </c>
      <c r="AX443">
        <v>339</v>
      </c>
      <c r="AY443" t="s">
        <v>285</v>
      </c>
      <c r="AZ443" t="s">
        <v>287</v>
      </c>
      <c r="BQ443" t="s">
        <v>52</v>
      </c>
      <c r="CH443" t="s">
        <v>52</v>
      </c>
    </row>
    <row r="444" spans="1:86" x14ac:dyDescent="0.25">
      <c r="A444" t="s">
        <v>47</v>
      </c>
      <c r="B444">
        <v>8</v>
      </c>
      <c r="C444" t="s">
        <v>137</v>
      </c>
      <c r="D444">
        <v>31</v>
      </c>
      <c r="E444" t="s">
        <v>84</v>
      </c>
      <c r="F444">
        <v>11</v>
      </c>
      <c r="G444" t="s">
        <v>85</v>
      </c>
      <c r="H444" t="s">
        <v>50</v>
      </c>
      <c r="K444" t="s">
        <v>51</v>
      </c>
      <c r="L444">
        <v>1</v>
      </c>
      <c r="M444" t="s">
        <v>53</v>
      </c>
      <c r="N444">
        <v>11</v>
      </c>
      <c r="O444">
        <v>2</v>
      </c>
      <c r="P444" t="s">
        <v>52</v>
      </c>
      <c r="Q444">
        <v>0.5</v>
      </c>
      <c r="R444">
        <v>0.75</v>
      </c>
      <c r="S444">
        <v>155</v>
      </c>
      <c r="T444" t="s">
        <v>284</v>
      </c>
      <c r="U444">
        <v>110</v>
      </c>
      <c r="V444" t="s">
        <v>284</v>
      </c>
      <c r="W444">
        <v>118</v>
      </c>
      <c r="X444" t="s">
        <v>284</v>
      </c>
      <c r="Y444">
        <v>122</v>
      </c>
      <c r="Z444" t="s">
        <v>284</v>
      </c>
      <c r="AA444">
        <v>126</v>
      </c>
      <c r="AB444" t="s">
        <v>284</v>
      </c>
      <c r="AG444">
        <v>122</v>
      </c>
      <c r="AH444" t="s">
        <v>54</v>
      </c>
      <c r="AI444" t="s">
        <v>52</v>
      </c>
      <c r="AZ444" t="s">
        <v>52</v>
      </c>
      <c r="BQ444" t="s">
        <v>52</v>
      </c>
      <c r="CH444" t="s">
        <v>52</v>
      </c>
    </row>
    <row r="445" spans="1:86" x14ac:dyDescent="0.25">
      <c r="A445" t="s">
        <v>47</v>
      </c>
      <c r="B445">
        <v>8</v>
      </c>
      <c r="C445" t="s">
        <v>138</v>
      </c>
      <c r="D445">
        <v>33</v>
      </c>
      <c r="E445" t="s">
        <v>49</v>
      </c>
      <c r="F445">
        <v>27</v>
      </c>
      <c r="H445" t="s">
        <v>50</v>
      </c>
      <c r="K445" t="s">
        <v>51</v>
      </c>
      <c r="L445">
        <v>1</v>
      </c>
      <c r="M445" t="s">
        <v>53</v>
      </c>
      <c r="N445">
        <v>27</v>
      </c>
      <c r="O445">
        <v>1</v>
      </c>
      <c r="P445" t="s">
        <v>52</v>
      </c>
      <c r="Q445">
        <v>0</v>
      </c>
      <c r="R445">
        <v>0.75</v>
      </c>
      <c r="S445">
        <v>231</v>
      </c>
      <c r="T445" t="s">
        <v>284</v>
      </c>
      <c r="U445">
        <v>208</v>
      </c>
      <c r="V445" t="s">
        <v>284</v>
      </c>
      <c r="W445">
        <v>224</v>
      </c>
      <c r="X445" t="s">
        <v>284</v>
      </c>
      <c r="Y445">
        <v>225</v>
      </c>
      <c r="Z445" t="s">
        <v>285</v>
      </c>
      <c r="AA445">
        <v>247</v>
      </c>
      <c r="AB445" t="s">
        <v>285</v>
      </c>
      <c r="AC445">
        <v>241</v>
      </c>
      <c r="AD445" t="s">
        <v>285</v>
      </c>
      <c r="AE445">
        <v>219</v>
      </c>
      <c r="AF445" t="s">
        <v>285</v>
      </c>
      <c r="AG445">
        <v>219</v>
      </c>
      <c r="AH445" t="s">
        <v>286</v>
      </c>
      <c r="AI445" t="s">
        <v>287</v>
      </c>
      <c r="AX445">
        <v>263</v>
      </c>
      <c r="AY445" t="s">
        <v>286</v>
      </c>
      <c r="AZ445" t="s">
        <v>287</v>
      </c>
      <c r="BQ445" t="s">
        <v>52</v>
      </c>
      <c r="BR445">
        <v>3.7</v>
      </c>
      <c r="BS445" t="s">
        <v>284</v>
      </c>
      <c r="BT445">
        <v>3.4</v>
      </c>
      <c r="BU445" t="s">
        <v>284</v>
      </c>
      <c r="BV445">
        <v>2.4500000000000002</v>
      </c>
      <c r="BW445" t="s">
        <v>284</v>
      </c>
      <c r="BX445">
        <v>3.29</v>
      </c>
      <c r="BY445" t="s">
        <v>284</v>
      </c>
      <c r="BZ445">
        <v>1</v>
      </c>
      <c r="CA445" t="s">
        <v>288</v>
      </c>
      <c r="CF445">
        <v>3.05</v>
      </c>
      <c r="CG445" t="s">
        <v>54</v>
      </c>
      <c r="CH445" t="s">
        <v>52</v>
      </c>
    </row>
    <row r="446" spans="1:86" x14ac:dyDescent="0.25">
      <c r="A446" t="s">
        <v>47</v>
      </c>
      <c r="B446">
        <v>8</v>
      </c>
      <c r="C446" t="s">
        <v>138</v>
      </c>
      <c r="D446">
        <v>33</v>
      </c>
      <c r="E446" t="s">
        <v>49</v>
      </c>
      <c r="F446">
        <v>27</v>
      </c>
      <c r="H446" t="s">
        <v>50</v>
      </c>
      <c r="K446" t="s">
        <v>52</v>
      </c>
      <c r="L446">
        <v>1</v>
      </c>
      <c r="M446" t="s">
        <v>53</v>
      </c>
      <c r="N446">
        <v>27</v>
      </c>
      <c r="O446">
        <v>1</v>
      </c>
      <c r="P446" t="s">
        <v>52</v>
      </c>
      <c r="Q446">
        <v>0</v>
      </c>
      <c r="R446">
        <v>0.75</v>
      </c>
      <c r="S446">
        <v>231</v>
      </c>
      <c r="T446" t="s">
        <v>284</v>
      </c>
      <c r="U446">
        <v>208</v>
      </c>
      <c r="V446" t="s">
        <v>284</v>
      </c>
      <c r="W446">
        <v>224</v>
      </c>
      <c r="X446" t="s">
        <v>284</v>
      </c>
      <c r="Y446">
        <v>225</v>
      </c>
      <c r="Z446" t="s">
        <v>285</v>
      </c>
      <c r="AA446">
        <v>247</v>
      </c>
      <c r="AB446" t="s">
        <v>285</v>
      </c>
      <c r="AC446">
        <v>241</v>
      </c>
      <c r="AD446" t="s">
        <v>285</v>
      </c>
      <c r="AE446">
        <v>219</v>
      </c>
      <c r="AF446" t="s">
        <v>285</v>
      </c>
      <c r="AG446">
        <v>219</v>
      </c>
      <c r="AH446" t="s">
        <v>286</v>
      </c>
      <c r="AI446" t="s">
        <v>287</v>
      </c>
      <c r="AX446">
        <v>263</v>
      </c>
      <c r="AY446" t="s">
        <v>286</v>
      </c>
      <c r="AZ446" t="s">
        <v>287</v>
      </c>
      <c r="BQ446" t="s">
        <v>52</v>
      </c>
      <c r="BR446">
        <v>1.3</v>
      </c>
      <c r="BS446" t="s">
        <v>284</v>
      </c>
      <c r="BT446">
        <v>1.2</v>
      </c>
      <c r="BU446" t="s">
        <v>284</v>
      </c>
      <c r="BV446">
        <v>0.66</v>
      </c>
      <c r="BW446" t="s">
        <v>284</v>
      </c>
      <c r="BX446">
        <v>0.57999999999999996</v>
      </c>
      <c r="BY446" t="s">
        <v>284</v>
      </c>
      <c r="BZ446">
        <v>0.1</v>
      </c>
      <c r="CA446" t="s">
        <v>288</v>
      </c>
      <c r="CF446">
        <v>0.81</v>
      </c>
      <c r="CG446" t="s">
        <v>54</v>
      </c>
      <c r="CH446" t="s">
        <v>52</v>
      </c>
    </row>
    <row r="447" spans="1:86" x14ac:dyDescent="0.25">
      <c r="A447" t="s">
        <v>47</v>
      </c>
      <c r="B447">
        <v>8</v>
      </c>
      <c r="C447" t="s">
        <v>138</v>
      </c>
      <c r="D447">
        <v>33</v>
      </c>
      <c r="E447" t="s">
        <v>87</v>
      </c>
      <c r="F447">
        <v>91</v>
      </c>
      <c r="G447" t="s">
        <v>76</v>
      </c>
      <c r="H447" t="s">
        <v>50</v>
      </c>
      <c r="K447" t="s">
        <v>51</v>
      </c>
      <c r="L447">
        <v>1</v>
      </c>
      <c r="M447" t="s">
        <v>53</v>
      </c>
      <c r="N447">
        <v>91</v>
      </c>
      <c r="O447">
        <v>2</v>
      </c>
      <c r="P447" t="s">
        <v>52</v>
      </c>
      <c r="Q447">
        <v>0.77</v>
      </c>
      <c r="R447">
        <v>0.93</v>
      </c>
      <c r="S447">
        <v>135</v>
      </c>
      <c r="T447" t="s">
        <v>284</v>
      </c>
      <c r="U447">
        <v>133</v>
      </c>
      <c r="V447" t="s">
        <v>284</v>
      </c>
      <c r="W447">
        <v>147</v>
      </c>
      <c r="X447" t="s">
        <v>284</v>
      </c>
      <c r="Y447">
        <v>170</v>
      </c>
      <c r="Z447" t="s">
        <v>284</v>
      </c>
      <c r="AA447">
        <v>167</v>
      </c>
      <c r="AB447" t="s">
        <v>284</v>
      </c>
      <c r="AG447">
        <v>149.66669999999999</v>
      </c>
      <c r="AH447" t="s">
        <v>54</v>
      </c>
      <c r="AI447" t="s">
        <v>52</v>
      </c>
      <c r="AZ447" t="s">
        <v>52</v>
      </c>
      <c r="BQ447" t="s">
        <v>52</v>
      </c>
      <c r="BR447">
        <v>1.42</v>
      </c>
      <c r="BS447" t="s">
        <v>285</v>
      </c>
      <c r="BT447">
        <v>1.35</v>
      </c>
      <c r="BU447" t="s">
        <v>284</v>
      </c>
      <c r="BV447">
        <v>2.52</v>
      </c>
      <c r="BW447" t="s">
        <v>285</v>
      </c>
      <c r="BX447">
        <v>1.85</v>
      </c>
      <c r="BY447" t="s">
        <v>284</v>
      </c>
      <c r="BZ447">
        <v>1.01</v>
      </c>
      <c r="CA447" t="s">
        <v>285</v>
      </c>
      <c r="CF447">
        <v>1.54</v>
      </c>
      <c r="CG447" t="s">
        <v>54</v>
      </c>
      <c r="CH447" t="s">
        <v>52</v>
      </c>
    </row>
    <row r="448" spans="1:86" x14ac:dyDescent="0.25">
      <c r="A448" t="s">
        <v>47</v>
      </c>
      <c r="B448">
        <v>8</v>
      </c>
      <c r="C448" t="s">
        <v>138</v>
      </c>
      <c r="D448">
        <v>33</v>
      </c>
      <c r="E448" t="s">
        <v>87</v>
      </c>
      <c r="F448">
        <v>91</v>
      </c>
      <c r="G448" t="s">
        <v>76</v>
      </c>
      <c r="H448" t="s">
        <v>50</v>
      </c>
      <c r="K448" t="s">
        <v>52</v>
      </c>
      <c r="L448">
        <v>1</v>
      </c>
      <c r="M448" t="s">
        <v>53</v>
      </c>
      <c r="N448">
        <v>91</v>
      </c>
      <c r="O448">
        <v>2</v>
      </c>
      <c r="P448" t="s">
        <v>52</v>
      </c>
      <c r="Q448">
        <v>0.77</v>
      </c>
      <c r="R448">
        <v>0.93</v>
      </c>
      <c r="S448">
        <v>135</v>
      </c>
      <c r="T448" t="s">
        <v>284</v>
      </c>
      <c r="U448">
        <v>133</v>
      </c>
      <c r="V448" t="s">
        <v>284</v>
      </c>
      <c r="W448">
        <v>147</v>
      </c>
      <c r="X448" t="s">
        <v>284</v>
      </c>
      <c r="Y448">
        <v>170</v>
      </c>
      <c r="Z448" t="s">
        <v>284</v>
      </c>
      <c r="AA448">
        <v>167</v>
      </c>
      <c r="AB448" t="s">
        <v>284</v>
      </c>
      <c r="AG448">
        <v>149.66669999999999</v>
      </c>
      <c r="AH448" t="s">
        <v>54</v>
      </c>
      <c r="AI448" t="s">
        <v>52</v>
      </c>
      <c r="AZ448" t="s">
        <v>52</v>
      </c>
      <c r="BQ448" t="s">
        <v>52</v>
      </c>
      <c r="BR448">
        <v>0.57999999999999996</v>
      </c>
      <c r="BS448" t="s">
        <v>285</v>
      </c>
      <c r="BT448">
        <v>0.38</v>
      </c>
      <c r="BU448" t="s">
        <v>284</v>
      </c>
      <c r="BV448">
        <v>0.54</v>
      </c>
      <c r="BW448" t="s">
        <v>284</v>
      </c>
      <c r="BX448">
        <v>0.52</v>
      </c>
      <c r="BY448" t="s">
        <v>284</v>
      </c>
      <c r="BZ448">
        <v>0.45</v>
      </c>
      <c r="CA448" t="s">
        <v>284</v>
      </c>
      <c r="CF448">
        <v>0.5</v>
      </c>
      <c r="CG448" t="s">
        <v>54</v>
      </c>
      <c r="CH448" t="s">
        <v>52</v>
      </c>
    </row>
    <row r="449" spans="1:86" x14ac:dyDescent="0.25">
      <c r="A449" t="s">
        <v>47</v>
      </c>
      <c r="B449">
        <v>8</v>
      </c>
      <c r="C449" t="s">
        <v>138</v>
      </c>
      <c r="D449">
        <v>33</v>
      </c>
      <c r="E449" t="s">
        <v>58</v>
      </c>
      <c r="F449">
        <v>102</v>
      </c>
      <c r="G449" t="s">
        <v>62</v>
      </c>
      <c r="H449" t="s">
        <v>50</v>
      </c>
      <c r="K449" t="s">
        <v>51</v>
      </c>
      <c r="L449">
        <v>1</v>
      </c>
      <c r="M449" t="s">
        <v>53</v>
      </c>
      <c r="N449">
        <v>102</v>
      </c>
      <c r="O449">
        <v>1</v>
      </c>
      <c r="P449" t="s">
        <v>52</v>
      </c>
      <c r="Q449">
        <v>0</v>
      </c>
      <c r="R449">
        <v>0.92</v>
      </c>
      <c r="S449">
        <v>131.69999999999999</v>
      </c>
      <c r="T449" t="s">
        <v>284</v>
      </c>
      <c r="U449">
        <v>170</v>
      </c>
      <c r="V449" t="s">
        <v>284</v>
      </c>
      <c r="W449">
        <v>191</v>
      </c>
      <c r="X449" t="s">
        <v>284</v>
      </c>
      <c r="Y449">
        <v>207</v>
      </c>
      <c r="Z449" t="s">
        <v>284</v>
      </c>
      <c r="AA449">
        <v>205</v>
      </c>
      <c r="AB449" t="s">
        <v>285</v>
      </c>
      <c r="AG449">
        <v>188.66669999999999</v>
      </c>
      <c r="AH449" t="s">
        <v>54</v>
      </c>
      <c r="AI449" t="s">
        <v>52</v>
      </c>
      <c r="AX449">
        <v>271.60000000000002</v>
      </c>
      <c r="AY449" t="s">
        <v>285</v>
      </c>
      <c r="AZ449" t="s">
        <v>287</v>
      </c>
      <c r="BQ449" t="s">
        <v>52</v>
      </c>
      <c r="BR449">
        <v>1.85</v>
      </c>
      <c r="BS449" t="s">
        <v>284</v>
      </c>
      <c r="BT449">
        <v>1.67</v>
      </c>
      <c r="BU449" t="s">
        <v>284</v>
      </c>
      <c r="BV449">
        <v>0.53</v>
      </c>
      <c r="BW449" t="s">
        <v>285</v>
      </c>
      <c r="BX449">
        <v>0.76</v>
      </c>
      <c r="BY449" t="s">
        <v>285</v>
      </c>
      <c r="BZ449">
        <v>0.65</v>
      </c>
      <c r="CA449" t="s">
        <v>284</v>
      </c>
      <c r="CF449">
        <v>1.03</v>
      </c>
      <c r="CG449" t="s">
        <v>54</v>
      </c>
      <c r="CH449" t="s">
        <v>52</v>
      </c>
    </row>
    <row r="450" spans="1:86" x14ac:dyDescent="0.25">
      <c r="A450" t="s">
        <v>47</v>
      </c>
      <c r="B450">
        <v>8</v>
      </c>
      <c r="C450" t="s">
        <v>138</v>
      </c>
      <c r="D450">
        <v>33</v>
      </c>
      <c r="E450" t="s">
        <v>58</v>
      </c>
      <c r="F450">
        <v>102</v>
      </c>
      <c r="G450" t="s">
        <v>62</v>
      </c>
      <c r="H450" t="s">
        <v>50</v>
      </c>
      <c r="K450" t="s">
        <v>52</v>
      </c>
      <c r="L450">
        <v>1</v>
      </c>
      <c r="M450" t="s">
        <v>53</v>
      </c>
      <c r="N450">
        <v>102</v>
      </c>
      <c r="O450">
        <v>1</v>
      </c>
      <c r="P450" t="s">
        <v>52</v>
      </c>
      <c r="Q450">
        <v>0</v>
      </c>
      <c r="R450">
        <v>0.92</v>
      </c>
      <c r="S450">
        <v>131.69999999999999</v>
      </c>
      <c r="T450" t="s">
        <v>284</v>
      </c>
      <c r="U450">
        <v>170</v>
      </c>
      <c r="V450" t="s">
        <v>284</v>
      </c>
      <c r="W450">
        <v>191</v>
      </c>
      <c r="X450" t="s">
        <v>284</v>
      </c>
      <c r="Y450">
        <v>207</v>
      </c>
      <c r="Z450" t="s">
        <v>284</v>
      </c>
      <c r="AA450">
        <v>205</v>
      </c>
      <c r="AB450" t="s">
        <v>285</v>
      </c>
      <c r="AG450">
        <v>188.66669999999999</v>
      </c>
      <c r="AH450" t="s">
        <v>54</v>
      </c>
      <c r="AI450" t="s">
        <v>52</v>
      </c>
      <c r="AX450">
        <v>271.60000000000002</v>
      </c>
      <c r="AY450" t="s">
        <v>285</v>
      </c>
      <c r="AZ450" t="s">
        <v>287</v>
      </c>
      <c r="BQ450" t="s">
        <v>52</v>
      </c>
      <c r="BR450">
        <v>0.83</v>
      </c>
      <c r="BS450" t="s">
        <v>285</v>
      </c>
      <c r="BT450">
        <v>1.0900000000000001</v>
      </c>
      <c r="BU450" t="s">
        <v>284</v>
      </c>
      <c r="BV450">
        <v>0.32</v>
      </c>
      <c r="BW450" t="s">
        <v>285</v>
      </c>
      <c r="BX450">
        <v>0.59</v>
      </c>
      <c r="BY450" t="s">
        <v>285</v>
      </c>
      <c r="BZ450">
        <v>0.14000000000000001</v>
      </c>
      <c r="CA450" t="s">
        <v>288</v>
      </c>
      <c r="CF450">
        <v>0.57999999999999996</v>
      </c>
      <c r="CG450" t="s">
        <v>54</v>
      </c>
      <c r="CH450" t="s">
        <v>52</v>
      </c>
    </row>
    <row r="451" spans="1:86" x14ac:dyDescent="0.25">
      <c r="A451" t="s">
        <v>47</v>
      </c>
      <c r="B451">
        <v>8</v>
      </c>
      <c r="C451" t="s">
        <v>138</v>
      </c>
      <c r="D451">
        <v>33</v>
      </c>
      <c r="E451" t="s">
        <v>58</v>
      </c>
      <c r="F451">
        <v>102</v>
      </c>
      <c r="G451" t="s">
        <v>63</v>
      </c>
      <c r="H451" t="s">
        <v>50</v>
      </c>
      <c r="K451" t="s">
        <v>51</v>
      </c>
      <c r="L451">
        <v>2</v>
      </c>
      <c r="M451" t="s">
        <v>53</v>
      </c>
      <c r="N451">
        <v>102</v>
      </c>
      <c r="O451">
        <v>1</v>
      </c>
      <c r="P451" t="s">
        <v>52</v>
      </c>
      <c r="Q451">
        <v>0</v>
      </c>
      <c r="R451">
        <v>0.92</v>
      </c>
      <c r="S451">
        <v>131.69999999999999</v>
      </c>
      <c r="T451" t="s">
        <v>284</v>
      </c>
      <c r="U451">
        <v>170</v>
      </c>
      <c r="V451" t="s">
        <v>284</v>
      </c>
      <c r="W451">
        <v>191</v>
      </c>
      <c r="X451" t="s">
        <v>285</v>
      </c>
      <c r="Y451">
        <v>207</v>
      </c>
      <c r="Z451" t="s">
        <v>285</v>
      </c>
      <c r="AA451">
        <v>265</v>
      </c>
      <c r="AB451" t="s">
        <v>285</v>
      </c>
      <c r="AG451">
        <v>189.33330000000001</v>
      </c>
      <c r="AH451" t="s">
        <v>54</v>
      </c>
      <c r="AI451" t="s">
        <v>52</v>
      </c>
      <c r="AZ451" t="s">
        <v>52</v>
      </c>
      <c r="BQ451" t="s">
        <v>52</v>
      </c>
      <c r="BR451">
        <v>2.1</v>
      </c>
      <c r="BS451" t="s">
        <v>285</v>
      </c>
      <c r="BT451">
        <v>2.09</v>
      </c>
      <c r="BU451" t="s">
        <v>284</v>
      </c>
      <c r="BV451">
        <v>1.62</v>
      </c>
      <c r="BW451" t="s">
        <v>285</v>
      </c>
      <c r="BX451">
        <v>1.1299999999999999</v>
      </c>
      <c r="BY451" t="s">
        <v>285</v>
      </c>
      <c r="BZ451">
        <v>0.97</v>
      </c>
      <c r="CA451" t="s">
        <v>284</v>
      </c>
      <c r="CF451">
        <v>1.61</v>
      </c>
      <c r="CG451" t="s">
        <v>54</v>
      </c>
      <c r="CH451" t="s">
        <v>52</v>
      </c>
    </row>
    <row r="452" spans="1:86" x14ac:dyDescent="0.25">
      <c r="A452" t="s">
        <v>47</v>
      </c>
      <c r="B452">
        <v>8</v>
      </c>
      <c r="C452" t="s">
        <v>138</v>
      </c>
      <c r="D452">
        <v>33</v>
      </c>
      <c r="E452" t="s">
        <v>58</v>
      </c>
      <c r="F452">
        <v>102</v>
      </c>
      <c r="G452" t="s">
        <v>64</v>
      </c>
      <c r="H452" t="s">
        <v>50</v>
      </c>
      <c r="K452" t="s">
        <v>51</v>
      </c>
      <c r="L452">
        <v>1</v>
      </c>
      <c r="M452" t="s">
        <v>53</v>
      </c>
      <c r="N452">
        <v>102</v>
      </c>
      <c r="O452">
        <v>1</v>
      </c>
      <c r="P452" t="s">
        <v>52</v>
      </c>
      <c r="Q452">
        <v>0</v>
      </c>
      <c r="R452">
        <v>0.92</v>
      </c>
      <c r="S452">
        <v>131.69999999999999</v>
      </c>
      <c r="T452" t="s">
        <v>284</v>
      </c>
      <c r="U452">
        <v>170</v>
      </c>
      <c r="V452" t="s">
        <v>284</v>
      </c>
      <c r="W452">
        <v>191</v>
      </c>
      <c r="X452" t="s">
        <v>284</v>
      </c>
      <c r="Y452">
        <v>207</v>
      </c>
      <c r="Z452" t="s">
        <v>284</v>
      </c>
      <c r="AA452">
        <v>205</v>
      </c>
      <c r="AB452" t="s">
        <v>285</v>
      </c>
      <c r="AG452">
        <v>188.66669999999999</v>
      </c>
      <c r="AH452" t="s">
        <v>54</v>
      </c>
      <c r="AI452" t="s">
        <v>52</v>
      </c>
      <c r="AZ452" t="s">
        <v>52</v>
      </c>
      <c r="BQ452" t="s">
        <v>52</v>
      </c>
      <c r="BR452">
        <v>1.85</v>
      </c>
      <c r="BS452" t="s">
        <v>284</v>
      </c>
      <c r="BT452">
        <v>2.09</v>
      </c>
      <c r="BU452" t="s">
        <v>284</v>
      </c>
      <c r="BV452">
        <v>1.62</v>
      </c>
      <c r="BW452" t="s">
        <v>285</v>
      </c>
      <c r="CH452" t="s">
        <v>52</v>
      </c>
    </row>
    <row r="453" spans="1:86" x14ac:dyDescent="0.25">
      <c r="A453" t="s">
        <v>47</v>
      </c>
      <c r="B453">
        <v>8</v>
      </c>
      <c r="C453" t="s">
        <v>138</v>
      </c>
      <c r="D453">
        <v>33</v>
      </c>
      <c r="E453" t="s">
        <v>58</v>
      </c>
      <c r="F453">
        <v>102</v>
      </c>
      <c r="G453" t="s">
        <v>64</v>
      </c>
      <c r="H453" t="s">
        <v>50</v>
      </c>
      <c r="K453" t="s">
        <v>52</v>
      </c>
      <c r="L453">
        <v>1</v>
      </c>
      <c r="M453" t="s">
        <v>53</v>
      </c>
      <c r="N453">
        <v>102</v>
      </c>
      <c r="O453">
        <v>1</v>
      </c>
      <c r="P453" t="s">
        <v>52</v>
      </c>
      <c r="Q453">
        <v>0</v>
      </c>
      <c r="R453">
        <v>0.92</v>
      </c>
      <c r="S453">
        <v>131.69999999999999</v>
      </c>
      <c r="T453" t="s">
        <v>284</v>
      </c>
      <c r="U453">
        <v>170</v>
      </c>
      <c r="V453" t="s">
        <v>284</v>
      </c>
      <c r="W453">
        <v>191</v>
      </c>
      <c r="X453" t="s">
        <v>284</v>
      </c>
      <c r="Y453">
        <v>207</v>
      </c>
      <c r="Z453" t="s">
        <v>284</v>
      </c>
      <c r="AA453">
        <v>205</v>
      </c>
      <c r="AB453" t="s">
        <v>285</v>
      </c>
      <c r="AG453">
        <v>188.66669999999999</v>
      </c>
      <c r="AH453" t="s">
        <v>54</v>
      </c>
      <c r="AI453" t="s">
        <v>52</v>
      </c>
      <c r="AZ453" t="s">
        <v>52</v>
      </c>
      <c r="BQ453" t="s">
        <v>52</v>
      </c>
      <c r="BR453">
        <v>0.93</v>
      </c>
      <c r="BS453" t="s">
        <v>285</v>
      </c>
      <c r="BT453">
        <v>1.0900000000000001</v>
      </c>
      <c r="BU453" t="s">
        <v>284</v>
      </c>
      <c r="BV453">
        <v>0.32</v>
      </c>
      <c r="BW453" t="s">
        <v>285</v>
      </c>
      <c r="BX453">
        <v>0.59</v>
      </c>
      <c r="BY453" t="s">
        <v>285</v>
      </c>
      <c r="BZ453">
        <v>0.51</v>
      </c>
      <c r="CA453" t="s">
        <v>284</v>
      </c>
      <c r="CF453">
        <v>0.68</v>
      </c>
      <c r="CG453" t="s">
        <v>54</v>
      </c>
      <c r="CH453" t="s">
        <v>52</v>
      </c>
    </row>
    <row r="454" spans="1:86" x14ac:dyDescent="0.25">
      <c r="A454" t="s">
        <v>47</v>
      </c>
      <c r="B454">
        <v>8</v>
      </c>
      <c r="C454" t="s">
        <v>138</v>
      </c>
      <c r="D454">
        <v>33</v>
      </c>
      <c r="E454" t="s">
        <v>58</v>
      </c>
      <c r="F454">
        <v>102</v>
      </c>
      <c r="G454" t="s">
        <v>65</v>
      </c>
      <c r="H454" t="s">
        <v>50</v>
      </c>
      <c r="K454" t="s">
        <v>51</v>
      </c>
      <c r="L454">
        <v>1</v>
      </c>
      <c r="M454" t="s">
        <v>53</v>
      </c>
      <c r="N454">
        <v>102</v>
      </c>
      <c r="O454">
        <v>1</v>
      </c>
      <c r="P454" t="s">
        <v>52</v>
      </c>
      <c r="Q454">
        <v>0</v>
      </c>
      <c r="R454">
        <v>0.92</v>
      </c>
      <c r="S454">
        <v>131.69999999999999</v>
      </c>
      <c r="T454" t="s">
        <v>284</v>
      </c>
      <c r="U454">
        <v>170</v>
      </c>
      <c r="V454" t="s">
        <v>284</v>
      </c>
      <c r="W454">
        <v>191</v>
      </c>
      <c r="X454" t="s">
        <v>284</v>
      </c>
      <c r="Y454">
        <v>207</v>
      </c>
      <c r="Z454" t="s">
        <v>284</v>
      </c>
      <c r="AA454">
        <v>155</v>
      </c>
      <c r="AB454" t="s">
        <v>285</v>
      </c>
      <c r="AG454">
        <v>172</v>
      </c>
      <c r="AH454" t="s">
        <v>54</v>
      </c>
      <c r="AI454" t="s">
        <v>52</v>
      </c>
      <c r="AZ454" t="s">
        <v>52</v>
      </c>
      <c r="BQ454" t="s">
        <v>52</v>
      </c>
      <c r="BR454">
        <v>1.85</v>
      </c>
      <c r="BS454" t="s">
        <v>284</v>
      </c>
      <c r="BT454">
        <v>2.09</v>
      </c>
      <c r="BU454" t="s">
        <v>284</v>
      </c>
      <c r="BV454">
        <v>2.65</v>
      </c>
      <c r="BW454" t="s">
        <v>285</v>
      </c>
      <c r="BX454">
        <v>1.1299999999999999</v>
      </c>
      <c r="BY454" t="s">
        <v>289</v>
      </c>
      <c r="BZ454">
        <v>1.1299999999999999</v>
      </c>
      <c r="CA454" t="s">
        <v>284</v>
      </c>
      <c r="CF454">
        <v>1.69</v>
      </c>
      <c r="CG454" t="s">
        <v>54</v>
      </c>
      <c r="CH454" t="s">
        <v>52</v>
      </c>
    </row>
    <row r="455" spans="1:86" x14ac:dyDescent="0.25">
      <c r="A455" t="s">
        <v>47</v>
      </c>
      <c r="B455">
        <v>8</v>
      </c>
      <c r="C455" t="s">
        <v>138</v>
      </c>
      <c r="D455">
        <v>33</v>
      </c>
      <c r="E455" t="s">
        <v>58</v>
      </c>
      <c r="F455">
        <v>102</v>
      </c>
      <c r="G455" t="s">
        <v>65</v>
      </c>
      <c r="H455" t="s">
        <v>50</v>
      </c>
      <c r="K455" t="s">
        <v>52</v>
      </c>
      <c r="L455">
        <v>1</v>
      </c>
      <c r="M455" t="s">
        <v>53</v>
      </c>
      <c r="N455">
        <v>102</v>
      </c>
      <c r="O455">
        <v>1</v>
      </c>
      <c r="P455" t="s">
        <v>52</v>
      </c>
      <c r="Q455">
        <v>0</v>
      </c>
      <c r="R455">
        <v>0.92</v>
      </c>
      <c r="S455">
        <v>131.69999999999999</v>
      </c>
      <c r="T455" t="s">
        <v>284</v>
      </c>
      <c r="U455">
        <v>170</v>
      </c>
      <c r="V455" t="s">
        <v>284</v>
      </c>
      <c r="W455">
        <v>191</v>
      </c>
      <c r="X455" t="s">
        <v>284</v>
      </c>
      <c r="Y455">
        <v>207</v>
      </c>
      <c r="Z455" t="s">
        <v>284</v>
      </c>
      <c r="AA455">
        <v>155</v>
      </c>
      <c r="AB455" t="s">
        <v>285</v>
      </c>
      <c r="AG455">
        <v>172</v>
      </c>
      <c r="AH455" t="s">
        <v>54</v>
      </c>
      <c r="AI455" t="s">
        <v>52</v>
      </c>
      <c r="AZ455" t="s">
        <v>52</v>
      </c>
      <c r="BQ455" t="s">
        <v>52</v>
      </c>
      <c r="BR455">
        <v>0.93</v>
      </c>
      <c r="BS455" t="s">
        <v>285</v>
      </c>
      <c r="BT455">
        <v>1.0900000000000001</v>
      </c>
      <c r="BU455" t="s">
        <v>284</v>
      </c>
      <c r="BV455">
        <v>0.84</v>
      </c>
      <c r="BW455" t="s">
        <v>285</v>
      </c>
      <c r="BX455">
        <v>0.59</v>
      </c>
      <c r="BY455" t="s">
        <v>285</v>
      </c>
      <c r="BZ455">
        <v>0.51</v>
      </c>
      <c r="CA455" t="s">
        <v>284</v>
      </c>
      <c r="CF455">
        <v>0.79</v>
      </c>
      <c r="CG455" t="s">
        <v>54</v>
      </c>
      <c r="CH455" t="s">
        <v>52</v>
      </c>
    </row>
    <row r="456" spans="1:86" x14ac:dyDescent="0.25">
      <c r="A456" t="s">
        <v>47</v>
      </c>
      <c r="B456">
        <v>8</v>
      </c>
      <c r="C456" t="s">
        <v>138</v>
      </c>
      <c r="D456">
        <v>33</v>
      </c>
      <c r="E456" t="s">
        <v>58</v>
      </c>
      <c r="F456">
        <v>102</v>
      </c>
      <c r="G456" t="s">
        <v>136</v>
      </c>
      <c r="H456" t="s">
        <v>50</v>
      </c>
      <c r="K456" t="s">
        <v>51</v>
      </c>
      <c r="L456">
        <v>1</v>
      </c>
      <c r="M456" t="s">
        <v>53</v>
      </c>
      <c r="N456">
        <v>102</v>
      </c>
      <c r="O456">
        <v>1</v>
      </c>
      <c r="P456" t="s">
        <v>52</v>
      </c>
      <c r="Q456">
        <v>0</v>
      </c>
      <c r="R456">
        <v>0.92</v>
      </c>
      <c r="S456">
        <v>131.69999999999999</v>
      </c>
      <c r="T456" t="s">
        <v>284</v>
      </c>
      <c r="U456">
        <v>170</v>
      </c>
      <c r="V456" t="s">
        <v>284</v>
      </c>
      <c r="W456">
        <v>191</v>
      </c>
      <c r="X456" t="s">
        <v>285</v>
      </c>
      <c r="Y456">
        <v>207</v>
      </c>
      <c r="Z456" t="s">
        <v>284</v>
      </c>
      <c r="AA456">
        <v>275</v>
      </c>
      <c r="AB456" t="s">
        <v>285</v>
      </c>
      <c r="AG456">
        <v>189.33330000000001</v>
      </c>
      <c r="AH456" t="s">
        <v>54</v>
      </c>
      <c r="AI456" t="s">
        <v>52</v>
      </c>
      <c r="AZ456" t="s">
        <v>52</v>
      </c>
      <c r="BQ456" t="s">
        <v>52</v>
      </c>
      <c r="BR456">
        <v>1.37</v>
      </c>
      <c r="BS456" t="s">
        <v>285</v>
      </c>
      <c r="BT456">
        <v>1.91</v>
      </c>
      <c r="BU456" t="s">
        <v>284</v>
      </c>
      <c r="BV456">
        <v>2.33</v>
      </c>
      <c r="BW456" t="s">
        <v>285</v>
      </c>
      <c r="BX456">
        <v>1.25</v>
      </c>
      <c r="BY456" t="s">
        <v>285</v>
      </c>
      <c r="BZ456">
        <v>1.1299999999999999</v>
      </c>
      <c r="CA456" t="s">
        <v>284</v>
      </c>
      <c r="CF456">
        <v>1.51</v>
      </c>
      <c r="CG456" t="s">
        <v>54</v>
      </c>
      <c r="CH456" t="s">
        <v>52</v>
      </c>
    </row>
    <row r="457" spans="1:86" x14ac:dyDescent="0.25">
      <c r="A457" t="s">
        <v>47</v>
      </c>
      <c r="B457">
        <v>8</v>
      </c>
      <c r="C457" t="s">
        <v>138</v>
      </c>
      <c r="D457">
        <v>33</v>
      </c>
      <c r="E457" t="s">
        <v>58</v>
      </c>
      <c r="F457">
        <v>102</v>
      </c>
      <c r="G457" t="s">
        <v>66</v>
      </c>
      <c r="H457" t="s">
        <v>50</v>
      </c>
      <c r="K457" t="s">
        <v>52</v>
      </c>
      <c r="L457">
        <v>1</v>
      </c>
      <c r="M457" t="s">
        <v>53</v>
      </c>
      <c r="N457">
        <v>102</v>
      </c>
      <c r="O457">
        <v>1</v>
      </c>
      <c r="P457" t="s">
        <v>52</v>
      </c>
      <c r="Q457">
        <v>0</v>
      </c>
      <c r="R457">
        <v>0.92</v>
      </c>
      <c r="S457">
        <v>131.69999999999999</v>
      </c>
      <c r="T457" t="s">
        <v>284</v>
      </c>
      <c r="U457">
        <v>170</v>
      </c>
      <c r="V457" t="s">
        <v>284</v>
      </c>
      <c r="W457">
        <v>191</v>
      </c>
      <c r="X457" t="s">
        <v>284</v>
      </c>
      <c r="Y457">
        <v>207</v>
      </c>
      <c r="Z457" t="s">
        <v>284</v>
      </c>
      <c r="AA457">
        <v>205</v>
      </c>
      <c r="AB457" t="s">
        <v>285</v>
      </c>
      <c r="AG457">
        <v>188.66669999999999</v>
      </c>
      <c r="AH457" t="s">
        <v>54</v>
      </c>
      <c r="AI457" t="s">
        <v>52</v>
      </c>
      <c r="AZ457" t="s">
        <v>52</v>
      </c>
      <c r="BQ457" t="s">
        <v>52</v>
      </c>
      <c r="BR457">
        <v>0.93</v>
      </c>
      <c r="BS457" t="s">
        <v>285</v>
      </c>
      <c r="BT457">
        <v>1.0900000000000001</v>
      </c>
      <c r="BU457" t="s">
        <v>284</v>
      </c>
      <c r="BV457">
        <v>0.84</v>
      </c>
      <c r="BW457" t="s">
        <v>285</v>
      </c>
      <c r="BX457">
        <v>0.59</v>
      </c>
      <c r="BY457" t="s">
        <v>285</v>
      </c>
      <c r="BZ457">
        <v>0.51</v>
      </c>
      <c r="CA457" t="s">
        <v>284</v>
      </c>
      <c r="CF457">
        <v>0.79</v>
      </c>
      <c r="CG457" t="s">
        <v>54</v>
      </c>
      <c r="CH457" t="s">
        <v>52</v>
      </c>
    </row>
    <row r="458" spans="1:86" x14ac:dyDescent="0.25">
      <c r="A458" t="s">
        <v>47</v>
      </c>
      <c r="B458">
        <v>8</v>
      </c>
      <c r="C458" t="s">
        <v>138</v>
      </c>
      <c r="D458">
        <v>33</v>
      </c>
      <c r="E458" t="s">
        <v>58</v>
      </c>
      <c r="F458">
        <v>102</v>
      </c>
      <c r="G458" t="s">
        <v>118</v>
      </c>
      <c r="H458" t="s">
        <v>50</v>
      </c>
      <c r="K458" t="s">
        <v>51</v>
      </c>
      <c r="L458">
        <v>1</v>
      </c>
      <c r="M458" t="s">
        <v>53</v>
      </c>
      <c r="N458">
        <v>102</v>
      </c>
      <c r="O458">
        <v>1</v>
      </c>
      <c r="P458" t="s">
        <v>52</v>
      </c>
      <c r="Q458">
        <v>0</v>
      </c>
      <c r="R458">
        <v>0.92</v>
      </c>
      <c r="S458">
        <v>131.69999999999999</v>
      </c>
      <c r="T458" t="s">
        <v>284</v>
      </c>
      <c r="U458">
        <v>170</v>
      </c>
      <c r="V458" t="s">
        <v>284</v>
      </c>
      <c r="W458">
        <v>191</v>
      </c>
      <c r="X458" t="s">
        <v>284</v>
      </c>
      <c r="Y458">
        <v>207</v>
      </c>
      <c r="Z458" t="s">
        <v>284</v>
      </c>
      <c r="AA458">
        <v>205</v>
      </c>
      <c r="AB458" t="s">
        <v>285</v>
      </c>
      <c r="AG458">
        <v>188.66669999999999</v>
      </c>
      <c r="AH458" t="s">
        <v>54</v>
      </c>
      <c r="AI458" t="s">
        <v>52</v>
      </c>
      <c r="AZ458" t="s">
        <v>52</v>
      </c>
      <c r="BQ458" t="s">
        <v>52</v>
      </c>
      <c r="BR458">
        <v>1.85</v>
      </c>
      <c r="BS458" t="s">
        <v>284</v>
      </c>
      <c r="BT458">
        <v>2.09</v>
      </c>
      <c r="BU458" t="s">
        <v>284</v>
      </c>
      <c r="BV458">
        <v>1.62</v>
      </c>
      <c r="BW458" t="s">
        <v>285</v>
      </c>
      <c r="BX458">
        <v>1.1299999999999999</v>
      </c>
      <c r="BY458" t="s">
        <v>284</v>
      </c>
      <c r="BZ458">
        <v>0.97</v>
      </c>
      <c r="CA458" t="s">
        <v>284</v>
      </c>
      <c r="CF458">
        <v>1.53</v>
      </c>
      <c r="CG458" t="s">
        <v>54</v>
      </c>
      <c r="CH458" t="s">
        <v>52</v>
      </c>
    </row>
    <row r="459" spans="1:86" x14ac:dyDescent="0.25">
      <c r="A459" t="s">
        <v>47</v>
      </c>
      <c r="B459">
        <v>8</v>
      </c>
      <c r="C459" t="s">
        <v>138</v>
      </c>
      <c r="D459">
        <v>33</v>
      </c>
      <c r="E459" t="s">
        <v>58</v>
      </c>
      <c r="F459">
        <v>102</v>
      </c>
      <c r="G459" t="s">
        <v>118</v>
      </c>
      <c r="H459" t="s">
        <v>50</v>
      </c>
      <c r="K459" t="s">
        <v>52</v>
      </c>
      <c r="L459">
        <v>1</v>
      </c>
      <c r="M459" t="s">
        <v>53</v>
      </c>
      <c r="N459">
        <v>102</v>
      </c>
      <c r="O459">
        <v>1</v>
      </c>
      <c r="P459" t="s">
        <v>52</v>
      </c>
      <c r="Q459">
        <v>0</v>
      </c>
      <c r="R459">
        <v>0.92</v>
      </c>
      <c r="S459">
        <v>131.69999999999999</v>
      </c>
      <c r="T459" t="s">
        <v>284</v>
      </c>
      <c r="U459">
        <v>170</v>
      </c>
      <c r="V459" t="s">
        <v>284</v>
      </c>
      <c r="W459">
        <v>191</v>
      </c>
      <c r="X459" t="s">
        <v>284</v>
      </c>
      <c r="Y459">
        <v>207</v>
      </c>
      <c r="Z459" t="s">
        <v>284</v>
      </c>
      <c r="AA459">
        <v>205</v>
      </c>
      <c r="AB459" t="s">
        <v>285</v>
      </c>
      <c r="AG459">
        <v>188.66669999999999</v>
      </c>
      <c r="AH459" t="s">
        <v>54</v>
      </c>
      <c r="AI459" t="s">
        <v>52</v>
      </c>
      <c r="AZ459" t="s">
        <v>52</v>
      </c>
      <c r="BQ459" t="s">
        <v>52</v>
      </c>
      <c r="BR459">
        <v>0.93</v>
      </c>
      <c r="BS459" t="s">
        <v>285</v>
      </c>
      <c r="BT459">
        <v>1.0900000000000001</v>
      </c>
      <c r="BU459" t="s">
        <v>284</v>
      </c>
      <c r="BV459">
        <v>0.84</v>
      </c>
      <c r="BW459" t="s">
        <v>285</v>
      </c>
      <c r="BX459">
        <v>0.59</v>
      </c>
      <c r="BY459" t="s">
        <v>285</v>
      </c>
      <c r="BZ459">
        <v>0.51</v>
      </c>
      <c r="CA459" t="s">
        <v>284</v>
      </c>
      <c r="CF459">
        <v>0.79</v>
      </c>
      <c r="CG459" t="s">
        <v>54</v>
      </c>
      <c r="CH459" t="s">
        <v>52</v>
      </c>
    </row>
    <row r="460" spans="1:86" x14ac:dyDescent="0.25">
      <c r="A460" t="s">
        <v>47</v>
      </c>
      <c r="B460">
        <v>8</v>
      </c>
      <c r="C460" t="s">
        <v>138</v>
      </c>
      <c r="D460">
        <v>33</v>
      </c>
      <c r="E460" t="s">
        <v>58</v>
      </c>
      <c r="F460">
        <v>102</v>
      </c>
      <c r="G460" t="s">
        <v>67</v>
      </c>
      <c r="H460" t="s">
        <v>50</v>
      </c>
      <c r="K460" t="s">
        <v>51</v>
      </c>
      <c r="L460">
        <v>1</v>
      </c>
      <c r="M460" t="s">
        <v>53</v>
      </c>
      <c r="N460">
        <v>102</v>
      </c>
      <c r="O460">
        <v>1</v>
      </c>
      <c r="P460" t="s">
        <v>52</v>
      </c>
      <c r="Q460">
        <v>0</v>
      </c>
      <c r="R460">
        <v>0.92</v>
      </c>
      <c r="S460">
        <v>131.69999999999999</v>
      </c>
      <c r="T460" t="s">
        <v>284</v>
      </c>
      <c r="U460">
        <v>170</v>
      </c>
      <c r="V460" t="s">
        <v>284</v>
      </c>
      <c r="W460">
        <v>191</v>
      </c>
      <c r="X460" t="s">
        <v>284</v>
      </c>
      <c r="Y460">
        <v>207</v>
      </c>
      <c r="Z460" t="s">
        <v>285</v>
      </c>
      <c r="AA460">
        <v>205</v>
      </c>
      <c r="AB460" t="s">
        <v>285</v>
      </c>
      <c r="AG460">
        <v>188.66669999999999</v>
      </c>
      <c r="AH460" t="s">
        <v>54</v>
      </c>
      <c r="AI460" t="s">
        <v>52</v>
      </c>
      <c r="AZ460" t="s">
        <v>52</v>
      </c>
      <c r="BQ460" t="s">
        <v>52</v>
      </c>
      <c r="BR460">
        <v>1.85</v>
      </c>
      <c r="BS460" t="s">
        <v>284</v>
      </c>
      <c r="BT460">
        <v>2.09</v>
      </c>
      <c r="BU460" t="s">
        <v>284</v>
      </c>
      <c r="CH460" t="s">
        <v>52</v>
      </c>
    </row>
    <row r="461" spans="1:86" x14ac:dyDescent="0.25">
      <c r="A461" t="s">
        <v>47</v>
      </c>
      <c r="B461">
        <v>8</v>
      </c>
      <c r="C461" t="s">
        <v>138</v>
      </c>
      <c r="D461">
        <v>33</v>
      </c>
      <c r="E461" t="s">
        <v>58</v>
      </c>
      <c r="F461">
        <v>102</v>
      </c>
      <c r="G461" t="s">
        <v>67</v>
      </c>
      <c r="H461" t="s">
        <v>50</v>
      </c>
      <c r="K461" t="s">
        <v>52</v>
      </c>
      <c r="L461">
        <v>1</v>
      </c>
      <c r="M461" t="s">
        <v>53</v>
      </c>
      <c r="N461">
        <v>102</v>
      </c>
      <c r="O461">
        <v>1</v>
      </c>
      <c r="P461" t="s">
        <v>52</v>
      </c>
      <c r="Q461">
        <v>0</v>
      </c>
      <c r="R461">
        <v>0.92</v>
      </c>
      <c r="S461">
        <v>131.69999999999999</v>
      </c>
      <c r="T461" t="s">
        <v>284</v>
      </c>
      <c r="U461">
        <v>170</v>
      </c>
      <c r="V461" t="s">
        <v>284</v>
      </c>
      <c r="W461">
        <v>191</v>
      </c>
      <c r="X461" t="s">
        <v>284</v>
      </c>
      <c r="Y461">
        <v>207</v>
      </c>
      <c r="Z461" t="s">
        <v>285</v>
      </c>
      <c r="AA461">
        <v>205</v>
      </c>
      <c r="AB461" t="s">
        <v>285</v>
      </c>
      <c r="AG461">
        <v>188.66669999999999</v>
      </c>
      <c r="AH461" t="s">
        <v>54</v>
      </c>
      <c r="AI461" t="s">
        <v>52</v>
      </c>
      <c r="AZ461" t="s">
        <v>52</v>
      </c>
      <c r="BQ461" t="s">
        <v>52</v>
      </c>
      <c r="BR461">
        <v>0.67</v>
      </c>
      <c r="BS461" t="s">
        <v>285</v>
      </c>
      <c r="BT461">
        <v>1.0900000000000001</v>
      </c>
      <c r="BU461" t="s">
        <v>284</v>
      </c>
      <c r="BV461">
        <v>0.32</v>
      </c>
      <c r="BW461" t="s">
        <v>285</v>
      </c>
      <c r="BX461">
        <v>0.59</v>
      </c>
      <c r="BY461" t="s">
        <v>285</v>
      </c>
      <c r="BZ461">
        <v>0.51</v>
      </c>
      <c r="CA461" t="s">
        <v>284</v>
      </c>
      <c r="CF461">
        <v>0.59</v>
      </c>
      <c r="CG461" t="s">
        <v>54</v>
      </c>
      <c r="CH461" t="s">
        <v>52</v>
      </c>
    </row>
    <row r="462" spans="1:86" x14ac:dyDescent="0.25">
      <c r="A462" t="s">
        <v>47</v>
      </c>
      <c r="B462">
        <v>8</v>
      </c>
      <c r="C462" t="s">
        <v>138</v>
      </c>
      <c r="D462">
        <v>33</v>
      </c>
      <c r="E462" t="s">
        <v>68</v>
      </c>
      <c r="F462">
        <v>80</v>
      </c>
      <c r="G462" t="s">
        <v>69</v>
      </c>
      <c r="H462" t="s">
        <v>50</v>
      </c>
      <c r="K462" t="s">
        <v>51</v>
      </c>
      <c r="L462">
        <v>1</v>
      </c>
      <c r="M462" t="s">
        <v>53</v>
      </c>
      <c r="N462">
        <v>80</v>
      </c>
      <c r="O462">
        <v>1</v>
      </c>
      <c r="P462" t="s">
        <v>52</v>
      </c>
      <c r="Q462">
        <v>0.5</v>
      </c>
      <c r="R462">
        <v>0.75</v>
      </c>
      <c r="S462">
        <v>202.92</v>
      </c>
      <c r="T462" t="s">
        <v>284</v>
      </c>
      <c r="U462">
        <v>198.9</v>
      </c>
      <c r="V462" t="s">
        <v>284</v>
      </c>
      <c r="W462">
        <v>212.4</v>
      </c>
      <c r="X462" t="s">
        <v>284</v>
      </c>
      <c r="Y462">
        <v>219.6</v>
      </c>
      <c r="Z462" t="s">
        <v>284</v>
      </c>
      <c r="AA462">
        <v>178</v>
      </c>
      <c r="AB462" t="s">
        <v>284</v>
      </c>
      <c r="AG462">
        <v>204.74</v>
      </c>
      <c r="AH462" t="s">
        <v>54</v>
      </c>
      <c r="AI462" t="s">
        <v>52</v>
      </c>
      <c r="AZ462" t="s">
        <v>52</v>
      </c>
      <c r="BQ462" t="s">
        <v>52</v>
      </c>
      <c r="BR462">
        <v>1.85</v>
      </c>
      <c r="BS462" t="s">
        <v>284</v>
      </c>
      <c r="BT462">
        <v>2.1800000000000002</v>
      </c>
      <c r="BU462" t="s">
        <v>284</v>
      </c>
      <c r="BV462">
        <v>2.37</v>
      </c>
      <c r="BW462" t="s">
        <v>284</v>
      </c>
      <c r="BX462">
        <v>3</v>
      </c>
      <c r="BY462" t="s">
        <v>284</v>
      </c>
      <c r="BZ462">
        <v>2.13</v>
      </c>
      <c r="CA462" t="s">
        <v>285</v>
      </c>
      <c r="CF462">
        <v>2.23</v>
      </c>
      <c r="CG462" t="s">
        <v>54</v>
      </c>
      <c r="CH462" t="s">
        <v>52</v>
      </c>
    </row>
    <row r="463" spans="1:86" x14ac:dyDescent="0.25">
      <c r="A463" t="s">
        <v>47</v>
      </c>
      <c r="B463">
        <v>8</v>
      </c>
      <c r="C463" t="s">
        <v>138</v>
      </c>
      <c r="D463">
        <v>33</v>
      </c>
      <c r="E463" t="s">
        <v>68</v>
      </c>
      <c r="F463">
        <v>80</v>
      </c>
      <c r="G463" t="s">
        <v>69</v>
      </c>
      <c r="H463" t="s">
        <v>50</v>
      </c>
      <c r="K463" t="s">
        <v>52</v>
      </c>
      <c r="L463">
        <v>1</v>
      </c>
      <c r="M463" t="s">
        <v>53</v>
      </c>
      <c r="N463">
        <v>80</v>
      </c>
      <c r="O463">
        <v>1</v>
      </c>
      <c r="P463" t="s">
        <v>52</v>
      </c>
      <c r="Q463">
        <v>0.5</v>
      </c>
      <c r="R463">
        <v>0.75</v>
      </c>
      <c r="S463">
        <v>202.92</v>
      </c>
      <c r="T463" t="s">
        <v>284</v>
      </c>
      <c r="U463">
        <v>198.9</v>
      </c>
      <c r="V463" t="s">
        <v>284</v>
      </c>
      <c r="W463">
        <v>212.4</v>
      </c>
      <c r="X463" t="s">
        <v>284</v>
      </c>
      <c r="Y463">
        <v>219.6</v>
      </c>
      <c r="Z463" t="s">
        <v>284</v>
      </c>
      <c r="AA463">
        <v>178</v>
      </c>
      <c r="AB463" t="s">
        <v>284</v>
      </c>
      <c r="AG463">
        <v>204.74</v>
      </c>
      <c r="AH463" t="s">
        <v>54</v>
      </c>
      <c r="AI463" t="s">
        <v>52</v>
      </c>
      <c r="AZ463" t="s">
        <v>52</v>
      </c>
      <c r="BQ463" t="s">
        <v>52</v>
      </c>
      <c r="CH463" t="s">
        <v>52</v>
      </c>
    </row>
    <row r="464" spans="1:86" x14ac:dyDescent="0.25">
      <c r="A464" t="s">
        <v>47</v>
      </c>
      <c r="B464">
        <v>8</v>
      </c>
      <c r="C464" t="s">
        <v>138</v>
      </c>
      <c r="D464">
        <v>33</v>
      </c>
      <c r="E464" t="s">
        <v>70</v>
      </c>
      <c r="F464">
        <v>296</v>
      </c>
      <c r="G464" t="s">
        <v>71</v>
      </c>
      <c r="H464" t="s">
        <v>50</v>
      </c>
      <c r="K464" t="s">
        <v>51</v>
      </c>
      <c r="L464">
        <v>1</v>
      </c>
      <c r="M464" t="s">
        <v>53</v>
      </c>
      <c r="N464">
        <v>296</v>
      </c>
      <c r="O464">
        <v>1</v>
      </c>
      <c r="P464" t="s">
        <v>52</v>
      </c>
      <c r="Q464">
        <v>0</v>
      </c>
      <c r="R464">
        <v>0.75</v>
      </c>
      <c r="S464">
        <v>228</v>
      </c>
      <c r="T464" t="s">
        <v>284</v>
      </c>
      <c r="U464">
        <v>190</v>
      </c>
      <c r="V464" t="s">
        <v>285</v>
      </c>
      <c r="W464">
        <v>194</v>
      </c>
      <c r="X464" t="s">
        <v>285</v>
      </c>
      <c r="Y464">
        <v>225</v>
      </c>
      <c r="Z464" t="s">
        <v>285</v>
      </c>
      <c r="AA464">
        <v>247</v>
      </c>
      <c r="AB464" t="s">
        <v>285</v>
      </c>
      <c r="AC464">
        <v>241</v>
      </c>
      <c r="AD464" t="s">
        <v>285</v>
      </c>
      <c r="AE464">
        <v>219</v>
      </c>
      <c r="AF464" t="s">
        <v>285</v>
      </c>
      <c r="AG464">
        <v>219</v>
      </c>
      <c r="AH464" t="s">
        <v>286</v>
      </c>
      <c r="AI464" t="s">
        <v>287</v>
      </c>
      <c r="AX464">
        <v>263</v>
      </c>
      <c r="AY464" t="s">
        <v>286</v>
      </c>
      <c r="AZ464" t="s">
        <v>287</v>
      </c>
      <c r="BQ464" t="s">
        <v>52</v>
      </c>
      <c r="BR464">
        <v>1.85</v>
      </c>
      <c r="BS464" t="s">
        <v>284</v>
      </c>
      <c r="BT464">
        <v>2.23</v>
      </c>
      <c r="BU464" t="s">
        <v>285</v>
      </c>
      <c r="BV464">
        <v>1.33</v>
      </c>
      <c r="BW464" t="s">
        <v>285</v>
      </c>
      <c r="BX464">
        <v>0.13</v>
      </c>
      <c r="BY464" t="s">
        <v>288</v>
      </c>
      <c r="BZ464">
        <v>0.4</v>
      </c>
      <c r="CA464" t="s">
        <v>288</v>
      </c>
      <c r="CF464">
        <v>1.19</v>
      </c>
      <c r="CG464" t="s">
        <v>54</v>
      </c>
      <c r="CH464" t="s">
        <v>52</v>
      </c>
    </row>
    <row r="465" spans="1:86" x14ac:dyDescent="0.25">
      <c r="A465" t="s">
        <v>47</v>
      </c>
      <c r="B465">
        <v>8</v>
      </c>
      <c r="C465" t="s">
        <v>138</v>
      </c>
      <c r="D465">
        <v>33</v>
      </c>
      <c r="E465" t="s">
        <v>70</v>
      </c>
      <c r="F465">
        <v>296</v>
      </c>
      <c r="G465" t="s">
        <v>71</v>
      </c>
      <c r="H465" t="s">
        <v>50</v>
      </c>
      <c r="K465" t="s">
        <v>52</v>
      </c>
      <c r="L465">
        <v>1</v>
      </c>
      <c r="M465" t="s">
        <v>53</v>
      </c>
      <c r="N465">
        <v>296</v>
      </c>
      <c r="O465">
        <v>1</v>
      </c>
      <c r="P465" t="s">
        <v>52</v>
      </c>
      <c r="Q465">
        <v>0</v>
      </c>
      <c r="R465">
        <v>0.75</v>
      </c>
      <c r="S465">
        <v>228</v>
      </c>
      <c r="T465" t="s">
        <v>284</v>
      </c>
      <c r="U465">
        <v>190</v>
      </c>
      <c r="V465" t="s">
        <v>285</v>
      </c>
      <c r="W465">
        <v>194</v>
      </c>
      <c r="X465" t="s">
        <v>285</v>
      </c>
      <c r="Y465">
        <v>225</v>
      </c>
      <c r="Z465" t="s">
        <v>285</v>
      </c>
      <c r="AA465">
        <v>247</v>
      </c>
      <c r="AB465" t="s">
        <v>285</v>
      </c>
      <c r="AC465">
        <v>241</v>
      </c>
      <c r="AD465" t="s">
        <v>285</v>
      </c>
      <c r="AE465">
        <v>219</v>
      </c>
      <c r="AF465" t="s">
        <v>285</v>
      </c>
      <c r="AG465">
        <v>219</v>
      </c>
      <c r="AH465" t="s">
        <v>286</v>
      </c>
      <c r="AI465" t="s">
        <v>287</v>
      </c>
      <c r="AX465">
        <v>263</v>
      </c>
      <c r="AY465" t="s">
        <v>286</v>
      </c>
      <c r="AZ465" t="s">
        <v>287</v>
      </c>
      <c r="BQ465" t="s">
        <v>52</v>
      </c>
      <c r="BR465">
        <v>0.65</v>
      </c>
      <c r="BS465" t="s">
        <v>284</v>
      </c>
      <c r="BT465">
        <v>1.05</v>
      </c>
      <c r="BU465" t="s">
        <v>285</v>
      </c>
      <c r="BV465">
        <v>0.32</v>
      </c>
      <c r="BW465" t="s">
        <v>285</v>
      </c>
      <c r="BX465">
        <v>0.22</v>
      </c>
      <c r="BY465" t="s">
        <v>284</v>
      </c>
      <c r="BZ465">
        <v>0.05</v>
      </c>
      <c r="CA465" t="s">
        <v>289</v>
      </c>
      <c r="CF465">
        <v>0.4</v>
      </c>
      <c r="CG465" t="s">
        <v>54</v>
      </c>
      <c r="CH465" t="s">
        <v>52</v>
      </c>
    </row>
    <row r="466" spans="1:86" x14ac:dyDescent="0.25">
      <c r="A466" t="s">
        <v>47</v>
      </c>
      <c r="B466">
        <v>8</v>
      </c>
      <c r="C466" t="s">
        <v>138</v>
      </c>
      <c r="D466">
        <v>33</v>
      </c>
      <c r="E466" t="s">
        <v>70</v>
      </c>
      <c r="F466">
        <v>296</v>
      </c>
      <c r="G466" t="s">
        <v>72</v>
      </c>
      <c r="H466" t="s">
        <v>50</v>
      </c>
      <c r="K466" t="s">
        <v>51</v>
      </c>
      <c r="L466">
        <v>1</v>
      </c>
      <c r="M466" t="s">
        <v>53</v>
      </c>
      <c r="N466">
        <v>296</v>
      </c>
      <c r="O466">
        <v>1</v>
      </c>
      <c r="P466" t="s">
        <v>52</v>
      </c>
      <c r="Q466">
        <v>0.5</v>
      </c>
      <c r="R466">
        <v>0.75</v>
      </c>
      <c r="S466">
        <v>228</v>
      </c>
      <c r="T466" t="s">
        <v>284</v>
      </c>
      <c r="U466">
        <v>221</v>
      </c>
      <c r="V466" t="s">
        <v>284</v>
      </c>
      <c r="W466">
        <v>236</v>
      </c>
      <c r="X466" t="s">
        <v>284</v>
      </c>
      <c r="Y466">
        <v>244</v>
      </c>
      <c r="Z466" t="s">
        <v>284</v>
      </c>
      <c r="AA466">
        <v>215</v>
      </c>
      <c r="AB466" t="s">
        <v>285</v>
      </c>
      <c r="AG466">
        <v>228.33330000000001</v>
      </c>
      <c r="AH466" t="s">
        <v>54</v>
      </c>
      <c r="AI466" t="s">
        <v>52</v>
      </c>
      <c r="AZ466" t="s">
        <v>52</v>
      </c>
      <c r="BQ466" t="s">
        <v>52</v>
      </c>
      <c r="BR466">
        <v>1.85</v>
      </c>
      <c r="BS466" t="s">
        <v>284</v>
      </c>
      <c r="BT466">
        <v>2.1</v>
      </c>
      <c r="BU466" t="s">
        <v>284</v>
      </c>
      <c r="BV466">
        <v>1.99</v>
      </c>
      <c r="BW466" t="s">
        <v>284</v>
      </c>
      <c r="BX466">
        <v>1.6</v>
      </c>
      <c r="BY466" t="s">
        <v>284</v>
      </c>
      <c r="BZ466">
        <v>1.6</v>
      </c>
      <c r="CA466" t="s">
        <v>284</v>
      </c>
      <c r="CF466">
        <v>1.81</v>
      </c>
      <c r="CG466" t="s">
        <v>54</v>
      </c>
      <c r="CH466" t="s">
        <v>52</v>
      </c>
    </row>
    <row r="467" spans="1:86" x14ac:dyDescent="0.25">
      <c r="A467" t="s">
        <v>47</v>
      </c>
      <c r="B467">
        <v>8</v>
      </c>
      <c r="C467" t="s">
        <v>138</v>
      </c>
      <c r="D467">
        <v>33</v>
      </c>
      <c r="E467" t="s">
        <v>70</v>
      </c>
      <c r="F467">
        <v>296</v>
      </c>
      <c r="G467" t="s">
        <v>72</v>
      </c>
      <c r="H467" t="s">
        <v>50</v>
      </c>
      <c r="K467" t="s">
        <v>52</v>
      </c>
      <c r="L467">
        <v>1</v>
      </c>
      <c r="M467" t="s">
        <v>53</v>
      </c>
      <c r="N467">
        <v>296</v>
      </c>
      <c r="O467">
        <v>1</v>
      </c>
      <c r="P467" t="s">
        <v>52</v>
      </c>
      <c r="Q467">
        <v>0.5</v>
      </c>
      <c r="R467">
        <v>0.75</v>
      </c>
      <c r="S467">
        <v>228</v>
      </c>
      <c r="T467" t="s">
        <v>284</v>
      </c>
      <c r="U467">
        <v>221</v>
      </c>
      <c r="V467" t="s">
        <v>284</v>
      </c>
      <c r="W467">
        <v>236</v>
      </c>
      <c r="X467" t="s">
        <v>284</v>
      </c>
      <c r="Y467">
        <v>244</v>
      </c>
      <c r="Z467" t="s">
        <v>284</v>
      </c>
      <c r="AA467">
        <v>215</v>
      </c>
      <c r="AB467" t="s">
        <v>285</v>
      </c>
      <c r="AG467">
        <v>228.33330000000001</v>
      </c>
      <c r="AH467" t="s">
        <v>54</v>
      </c>
      <c r="AI467" t="s">
        <v>52</v>
      </c>
      <c r="AZ467" t="s">
        <v>52</v>
      </c>
      <c r="BQ467" t="s">
        <v>52</v>
      </c>
      <c r="BR467">
        <v>0.65</v>
      </c>
      <c r="BS467" t="s">
        <v>284</v>
      </c>
      <c r="BT467">
        <v>1.0900000000000001</v>
      </c>
      <c r="BU467" t="s">
        <v>284</v>
      </c>
      <c r="BV467">
        <v>0.33</v>
      </c>
      <c r="BW467" t="s">
        <v>284</v>
      </c>
      <c r="BX467">
        <v>0.25</v>
      </c>
      <c r="BY467" t="s">
        <v>285</v>
      </c>
      <c r="BZ467">
        <v>0.25</v>
      </c>
      <c r="CA467" t="s">
        <v>284</v>
      </c>
      <c r="CF467">
        <v>0.41</v>
      </c>
      <c r="CG467" t="s">
        <v>54</v>
      </c>
      <c r="CH467" t="s">
        <v>52</v>
      </c>
    </row>
    <row r="468" spans="1:86" x14ac:dyDescent="0.25">
      <c r="A468" t="s">
        <v>47</v>
      </c>
      <c r="B468">
        <v>8</v>
      </c>
      <c r="C468" t="s">
        <v>138</v>
      </c>
      <c r="D468">
        <v>33</v>
      </c>
      <c r="E468" t="s">
        <v>70</v>
      </c>
      <c r="F468">
        <v>296</v>
      </c>
      <c r="G468" t="s">
        <v>74</v>
      </c>
      <c r="H468" t="s">
        <v>50</v>
      </c>
      <c r="K468" t="s">
        <v>51</v>
      </c>
      <c r="L468">
        <v>1</v>
      </c>
      <c r="M468" t="s">
        <v>53</v>
      </c>
      <c r="N468">
        <v>102</v>
      </c>
      <c r="O468">
        <v>1</v>
      </c>
      <c r="P468" t="s">
        <v>52</v>
      </c>
      <c r="Q468">
        <v>0</v>
      </c>
      <c r="R468">
        <v>0.75</v>
      </c>
      <c r="S468">
        <v>135</v>
      </c>
      <c r="T468" t="s">
        <v>284</v>
      </c>
      <c r="U468">
        <v>132</v>
      </c>
      <c r="V468" t="s">
        <v>284</v>
      </c>
      <c r="W468">
        <v>147</v>
      </c>
      <c r="X468" t="s">
        <v>284</v>
      </c>
      <c r="Y468">
        <v>170</v>
      </c>
      <c r="Z468" t="s">
        <v>284</v>
      </c>
      <c r="AA468">
        <v>205</v>
      </c>
      <c r="AB468" t="s">
        <v>285</v>
      </c>
      <c r="AG468">
        <v>150.66669999999999</v>
      </c>
      <c r="AH468" t="s">
        <v>54</v>
      </c>
      <c r="AI468" t="s">
        <v>52</v>
      </c>
      <c r="AZ468" t="s">
        <v>52</v>
      </c>
      <c r="BQ468" t="s">
        <v>52</v>
      </c>
      <c r="BR468">
        <v>1.85</v>
      </c>
      <c r="BS468" t="s">
        <v>284</v>
      </c>
      <c r="BT468">
        <v>2.1</v>
      </c>
      <c r="BU468" t="s">
        <v>284</v>
      </c>
      <c r="BV468">
        <v>1.38</v>
      </c>
      <c r="BW468" t="s">
        <v>285</v>
      </c>
      <c r="BX468">
        <v>1.38</v>
      </c>
      <c r="BY468" t="s">
        <v>285</v>
      </c>
      <c r="BZ468">
        <v>1.31</v>
      </c>
      <c r="CA468" t="s">
        <v>289</v>
      </c>
      <c r="CF468">
        <v>1.54</v>
      </c>
      <c r="CG468" t="s">
        <v>54</v>
      </c>
      <c r="CH468" t="s">
        <v>52</v>
      </c>
    </row>
    <row r="469" spans="1:86" x14ac:dyDescent="0.25">
      <c r="A469" t="s">
        <v>47</v>
      </c>
      <c r="B469">
        <v>8</v>
      </c>
      <c r="C469" t="s">
        <v>138</v>
      </c>
      <c r="D469">
        <v>33</v>
      </c>
      <c r="E469" t="s">
        <v>70</v>
      </c>
      <c r="F469">
        <v>296</v>
      </c>
      <c r="G469" t="s">
        <v>74</v>
      </c>
      <c r="H469" t="s">
        <v>50</v>
      </c>
      <c r="K469" t="s">
        <v>52</v>
      </c>
      <c r="L469">
        <v>1</v>
      </c>
      <c r="M469" t="s">
        <v>53</v>
      </c>
      <c r="N469">
        <v>102</v>
      </c>
      <c r="O469">
        <v>1</v>
      </c>
      <c r="P469" t="s">
        <v>52</v>
      </c>
      <c r="Q469">
        <v>0</v>
      </c>
      <c r="R469">
        <v>0.75</v>
      </c>
      <c r="S469">
        <v>135</v>
      </c>
      <c r="T469" t="s">
        <v>284</v>
      </c>
      <c r="U469">
        <v>132</v>
      </c>
      <c r="V469" t="s">
        <v>284</v>
      </c>
      <c r="W469">
        <v>147</v>
      </c>
      <c r="X469" t="s">
        <v>284</v>
      </c>
      <c r="Y469">
        <v>170</v>
      </c>
      <c r="Z469" t="s">
        <v>284</v>
      </c>
      <c r="AA469">
        <v>205</v>
      </c>
      <c r="AB469" t="s">
        <v>285</v>
      </c>
      <c r="AG469">
        <v>150.66669999999999</v>
      </c>
      <c r="AH469" t="s">
        <v>54</v>
      </c>
      <c r="AI469" t="s">
        <v>52</v>
      </c>
      <c r="AZ469" t="s">
        <v>52</v>
      </c>
      <c r="BQ469" t="s">
        <v>52</v>
      </c>
      <c r="BR469">
        <v>0.65</v>
      </c>
      <c r="BS469" t="s">
        <v>284</v>
      </c>
      <c r="BT469">
        <v>0.53</v>
      </c>
      <c r="BU469" t="s">
        <v>284</v>
      </c>
      <c r="BV469">
        <v>0.11</v>
      </c>
      <c r="BW469" t="s">
        <v>284</v>
      </c>
      <c r="BX469">
        <v>0.25</v>
      </c>
      <c r="BY469" t="s">
        <v>285</v>
      </c>
      <c r="BZ469">
        <v>0.05</v>
      </c>
      <c r="CA469" t="s">
        <v>288</v>
      </c>
      <c r="CF469">
        <v>0.3</v>
      </c>
      <c r="CG469" t="s">
        <v>54</v>
      </c>
      <c r="CH469" t="s">
        <v>52</v>
      </c>
    </row>
    <row r="470" spans="1:86" x14ac:dyDescent="0.25">
      <c r="A470" t="s">
        <v>47</v>
      </c>
      <c r="B470">
        <v>8</v>
      </c>
      <c r="C470" t="s">
        <v>138</v>
      </c>
      <c r="D470">
        <v>33</v>
      </c>
      <c r="E470" t="s">
        <v>70</v>
      </c>
      <c r="F470">
        <v>296</v>
      </c>
      <c r="G470" t="s">
        <v>129</v>
      </c>
      <c r="H470" t="s">
        <v>50</v>
      </c>
      <c r="K470" t="s">
        <v>51</v>
      </c>
      <c r="L470">
        <v>1</v>
      </c>
      <c r="M470" t="s">
        <v>53</v>
      </c>
      <c r="N470">
        <v>102</v>
      </c>
      <c r="O470">
        <v>1</v>
      </c>
      <c r="P470" t="s">
        <v>52</v>
      </c>
      <c r="Q470">
        <v>0</v>
      </c>
      <c r="R470">
        <v>0.75</v>
      </c>
      <c r="S470">
        <v>228</v>
      </c>
      <c r="T470" t="s">
        <v>284</v>
      </c>
      <c r="U470">
        <v>190</v>
      </c>
      <c r="V470" t="s">
        <v>284</v>
      </c>
      <c r="W470">
        <v>194</v>
      </c>
      <c r="X470" t="s">
        <v>284</v>
      </c>
      <c r="Y470">
        <v>213</v>
      </c>
      <c r="Z470" t="s">
        <v>284</v>
      </c>
      <c r="AA470">
        <v>225</v>
      </c>
      <c r="AB470" t="s">
        <v>285</v>
      </c>
      <c r="AG470">
        <v>210.66669999999999</v>
      </c>
      <c r="AH470" t="s">
        <v>54</v>
      </c>
      <c r="AI470" t="s">
        <v>52</v>
      </c>
      <c r="AZ470" t="s">
        <v>52</v>
      </c>
      <c r="BQ470" t="s">
        <v>52</v>
      </c>
      <c r="BR470">
        <v>1.85</v>
      </c>
      <c r="BS470" t="s">
        <v>284</v>
      </c>
      <c r="BT470">
        <v>2.23</v>
      </c>
      <c r="BU470" t="s">
        <v>284</v>
      </c>
      <c r="BV470">
        <v>1.33</v>
      </c>
      <c r="BW470" t="s">
        <v>285</v>
      </c>
      <c r="BX470">
        <v>0.13</v>
      </c>
      <c r="BY470" t="s">
        <v>288</v>
      </c>
      <c r="BZ470">
        <v>0.4</v>
      </c>
      <c r="CA470" t="s">
        <v>289</v>
      </c>
      <c r="CF470">
        <v>1.19</v>
      </c>
      <c r="CG470" t="s">
        <v>54</v>
      </c>
      <c r="CH470" t="s">
        <v>52</v>
      </c>
    </row>
    <row r="471" spans="1:86" x14ac:dyDescent="0.25">
      <c r="A471" t="s">
        <v>47</v>
      </c>
      <c r="B471">
        <v>8</v>
      </c>
      <c r="C471" t="s">
        <v>138</v>
      </c>
      <c r="D471">
        <v>33</v>
      </c>
      <c r="E471" t="s">
        <v>70</v>
      </c>
      <c r="F471">
        <v>296</v>
      </c>
      <c r="G471" t="s">
        <v>129</v>
      </c>
      <c r="H471" t="s">
        <v>50</v>
      </c>
      <c r="K471" t="s">
        <v>52</v>
      </c>
      <c r="L471">
        <v>1</v>
      </c>
      <c r="M471" t="s">
        <v>53</v>
      </c>
      <c r="N471">
        <v>102</v>
      </c>
      <c r="O471">
        <v>1</v>
      </c>
      <c r="P471" t="s">
        <v>52</v>
      </c>
      <c r="Q471">
        <v>0</v>
      </c>
      <c r="R471">
        <v>0.75</v>
      </c>
      <c r="S471">
        <v>228</v>
      </c>
      <c r="T471" t="s">
        <v>284</v>
      </c>
      <c r="U471">
        <v>190</v>
      </c>
      <c r="V471" t="s">
        <v>284</v>
      </c>
      <c r="W471">
        <v>194</v>
      </c>
      <c r="X471" t="s">
        <v>284</v>
      </c>
      <c r="Y471">
        <v>213</v>
      </c>
      <c r="Z471" t="s">
        <v>284</v>
      </c>
      <c r="AA471">
        <v>225</v>
      </c>
      <c r="AB471" t="s">
        <v>285</v>
      </c>
      <c r="AG471">
        <v>210.66669999999999</v>
      </c>
      <c r="AH471" t="s">
        <v>54</v>
      </c>
      <c r="AI471" t="s">
        <v>52</v>
      </c>
      <c r="AZ471" t="s">
        <v>52</v>
      </c>
      <c r="BQ471" t="s">
        <v>52</v>
      </c>
      <c r="BR471">
        <v>0.65</v>
      </c>
      <c r="BS471" t="s">
        <v>284</v>
      </c>
      <c r="BT471">
        <v>1.05</v>
      </c>
      <c r="BU471" t="s">
        <v>284</v>
      </c>
      <c r="BV471">
        <v>0.33</v>
      </c>
      <c r="BW471" t="s">
        <v>284</v>
      </c>
      <c r="BX471">
        <v>0.22</v>
      </c>
      <c r="BY471" t="s">
        <v>284</v>
      </c>
      <c r="BZ471">
        <v>0.22</v>
      </c>
      <c r="CA471" t="s">
        <v>284</v>
      </c>
      <c r="CF471">
        <v>0.4</v>
      </c>
      <c r="CG471" t="s">
        <v>54</v>
      </c>
      <c r="CH471" t="s">
        <v>52</v>
      </c>
    </row>
    <row r="472" spans="1:86" x14ac:dyDescent="0.25">
      <c r="A472" t="s">
        <v>47</v>
      </c>
      <c r="B472">
        <v>8</v>
      </c>
      <c r="C472" t="s">
        <v>138</v>
      </c>
      <c r="D472">
        <v>33</v>
      </c>
      <c r="E472" t="s">
        <v>70</v>
      </c>
      <c r="F472">
        <v>296</v>
      </c>
      <c r="G472" t="s">
        <v>89</v>
      </c>
      <c r="H472" t="s">
        <v>50</v>
      </c>
      <c r="K472" t="s">
        <v>51</v>
      </c>
      <c r="L472">
        <v>1</v>
      </c>
      <c r="M472" t="s">
        <v>53</v>
      </c>
      <c r="N472">
        <v>102</v>
      </c>
      <c r="O472">
        <v>1</v>
      </c>
      <c r="P472" t="s">
        <v>52</v>
      </c>
      <c r="Q472">
        <v>0.25</v>
      </c>
      <c r="R472">
        <v>0.75</v>
      </c>
      <c r="S472">
        <v>228</v>
      </c>
      <c r="T472" t="s">
        <v>284</v>
      </c>
      <c r="U472">
        <v>168</v>
      </c>
      <c r="V472" t="s">
        <v>285</v>
      </c>
      <c r="W472">
        <v>202</v>
      </c>
      <c r="X472" t="s">
        <v>285</v>
      </c>
      <c r="Y472">
        <v>206</v>
      </c>
      <c r="Z472" t="s">
        <v>285</v>
      </c>
      <c r="AA472">
        <v>215</v>
      </c>
      <c r="AB472" t="s">
        <v>285</v>
      </c>
      <c r="AG472">
        <v>207.66669999999999</v>
      </c>
      <c r="AH472" t="s">
        <v>54</v>
      </c>
      <c r="AI472" t="s">
        <v>52</v>
      </c>
      <c r="AZ472" t="s">
        <v>52</v>
      </c>
      <c r="BQ472" t="s">
        <v>52</v>
      </c>
      <c r="BR472">
        <v>1.85</v>
      </c>
      <c r="BS472" t="s">
        <v>285</v>
      </c>
      <c r="BT472">
        <v>1.7</v>
      </c>
      <c r="BU472" t="s">
        <v>285</v>
      </c>
      <c r="BV472">
        <v>1.01</v>
      </c>
      <c r="BW472" t="s">
        <v>285</v>
      </c>
      <c r="BX472">
        <v>1.65</v>
      </c>
      <c r="BY472" t="s">
        <v>285</v>
      </c>
      <c r="BZ472">
        <v>1.39</v>
      </c>
      <c r="CA472" t="s">
        <v>285</v>
      </c>
      <c r="CF472">
        <v>1.58</v>
      </c>
      <c r="CG472" t="s">
        <v>54</v>
      </c>
      <c r="CH472" t="s">
        <v>52</v>
      </c>
    </row>
    <row r="473" spans="1:86" x14ac:dyDescent="0.25">
      <c r="A473" t="s">
        <v>47</v>
      </c>
      <c r="B473">
        <v>8</v>
      </c>
      <c r="C473" t="s">
        <v>138</v>
      </c>
      <c r="D473">
        <v>33</v>
      </c>
      <c r="E473" t="s">
        <v>70</v>
      </c>
      <c r="F473">
        <v>296</v>
      </c>
      <c r="G473" t="s">
        <v>122</v>
      </c>
      <c r="H473" t="s">
        <v>50</v>
      </c>
      <c r="K473" t="s">
        <v>51</v>
      </c>
      <c r="L473">
        <v>1</v>
      </c>
      <c r="M473" t="s">
        <v>53</v>
      </c>
      <c r="N473">
        <v>102</v>
      </c>
      <c r="O473">
        <v>1</v>
      </c>
      <c r="P473" t="s">
        <v>52</v>
      </c>
      <c r="Q473">
        <v>0</v>
      </c>
      <c r="R473">
        <v>0.75</v>
      </c>
      <c r="S473">
        <v>228</v>
      </c>
      <c r="T473" t="s">
        <v>284</v>
      </c>
      <c r="U473">
        <v>190</v>
      </c>
      <c r="V473" t="s">
        <v>285</v>
      </c>
      <c r="W473">
        <v>194</v>
      </c>
      <c r="X473" t="s">
        <v>285</v>
      </c>
      <c r="Y473">
        <v>213</v>
      </c>
      <c r="Z473" t="s">
        <v>284</v>
      </c>
      <c r="AA473">
        <v>225</v>
      </c>
      <c r="AB473" t="s">
        <v>285</v>
      </c>
      <c r="AG473">
        <v>210.66669999999999</v>
      </c>
      <c r="AH473" t="s">
        <v>54</v>
      </c>
      <c r="AI473" t="s">
        <v>52</v>
      </c>
      <c r="AZ473" t="s">
        <v>52</v>
      </c>
      <c r="BQ473" t="s">
        <v>52</v>
      </c>
      <c r="BR473">
        <v>1.85</v>
      </c>
      <c r="BS473" t="s">
        <v>284</v>
      </c>
      <c r="BT473">
        <v>2.23</v>
      </c>
      <c r="BU473" t="s">
        <v>285</v>
      </c>
      <c r="BV473">
        <v>1.33</v>
      </c>
      <c r="BW473" t="s">
        <v>285</v>
      </c>
      <c r="BX473">
        <v>0.13</v>
      </c>
      <c r="BY473" t="s">
        <v>288</v>
      </c>
      <c r="BZ473">
        <v>0.4</v>
      </c>
      <c r="CA473" t="s">
        <v>285</v>
      </c>
      <c r="CF473">
        <v>1.19</v>
      </c>
      <c r="CG473" t="s">
        <v>54</v>
      </c>
      <c r="CH473" t="s">
        <v>52</v>
      </c>
    </row>
    <row r="474" spans="1:86" x14ac:dyDescent="0.25">
      <c r="A474" t="s">
        <v>47</v>
      </c>
      <c r="B474">
        <v>8</v>
      </c>
      <c r="C474" t="s">
        <v>138</v>
      </c>
      <c r="D474">
        <v>33</v>
      </c>
      <c r="E474" t="s">
        <v>70</v>
      </c>
      <c r="F474">
        <v>296</v>
      </c>
      <c r="G474" t="s">
        <v>122</v>
      </c>
      <c r="H474" t="s">
        <v>50</v>
      </c>
      <c r="K474" t="s">
        <v>52</v>
      </c>
      <c r="L474">
        <v>1</v>
      </c>
      <c r="M474" t="s">
        <v>53</v>
      </c>
      <c r="N474">
        <v>102</v>
      </c>
      <c r="O474">
        <v>1</v>
      </c>
      <c r="P474" t="s">
        <v>52</v>
      </c>
      <c r="Q474">
        <v>0</v>
      </c>
      <c r="R474">
        <v>0.75</v>
      </c>
      <c r="S474">
        <v>228</v>
      </c>
      <c r="T474" t="s">
        <v>284</v>
      </c>
      <c r="U474">
        <v>190</v>
      </c>
      <c r="V474" t="s">
        <v>285</v>
      </c>
      <c r="W474">
        <v>194</v>
      </c>
      <c r="X474" t="s">
        <v>285</v>
      </c>
      <c r="Y474">
        <v>213</v>
      </c>
      <c r="Z474" t="s">
        <v>284</v>
      </c>
      <c r="AA474">
        <v>225</v>
      </c>
      <c r="AB474" t="s">
        <v>285</v>
      </c>
      <c r="AG474">
        <v>210.66669999999999</v>
      </c>
      <c r="AH474" t="s">
        <v>54</v>
      </c>
      <c r="AI474" t="s">
        <v>52</v>
      </c>
      <c r="AZ474" t="s">
        <v>52</v>
      </c>
      <c r="BQ474" t="s">
        <v>52</v>
      </c>
      <c r="BR474">
        <v>0.65</v>
      </c>
      <c r="BS474" t="s">
        <v>284</v>
      </c>
      <c r="BT474">
        <v>1.05</v>
      </c>
      <c r="BU474" t="s">
        <v>284</v>
      </c>
      <c r="BV474">
        <v>0.32</v>
      </c>
      <c r="BW474" t="s">
        <v>285</v>
      </c>
      <c r="BX474">
        <v>0.22</v>
      </c>
      <c r="BY474" t="s">
        <v>284</v>
      </c>
      <c r="BZ474">
        <v>0.22</v>
      </c>
      <c r="CA474" t="s">
        <v>284</v>
      </c>
      <c r="CF474">
        <v>0.4</v>
      </c>
      <c r="CG474" t="s">
        <v>54</v>
      </c>
      <c r="CH474" t="s">
        <v>52</v>
      </c>
    </row>
    <row r="475" spans="1:86" x14ac:dyDescent="0.25">
      <c r="A475" t="s">
        <v>47</v>
      </c>
      <c r="B475">
        <v>8</v>
      </c>
      <c r="C475" t="s">
        <v>138</v>
      </c>
      <c r="D475">
        <v>33</v>
      </c>
      <c r="E475" t="s">
        <v>70</v>
      </c>
      <c r="F475">
        <v>296</v>
      </c>
      <c r="G475" t="s">
        <v>90</v>
      </c>
      <c r="H475" t="s">
        <v>50</v>
      </c>
      <c r="K475" t="s">
        <v>51</v>
      </c>
      <c r="L475">
        <v>1</v>
      </c>
      <c r="M475" t="s">
        <v>53</v>
      </c>
      <c r="N475">
        <v>102</v>
      </c>
      <c r="O475">
        <v>1</v>
      </c>
      <c r="P475" t="s">
        <v>52</v>
      </c>
      <c r="Q475">
        <v>0.5</v>
      </c>
      <c r="R475">
        <v>0.75</v>
      </c>
      <c r="S475">
        <v>228</v>
      </c>
      <c r="T475" t="s">
        <v>284</v>
      </c>
      <c r="U475">
        <v>190</v>
      </c>
      <c r="V475" t="s">
        <v>285</v>
      </c>
      <c r="W475">
        <v>236</v>
      </c>
      <c r="X475" t="s">
        <v>284</v>
      </c>
      <c r="Y475">
        <v>244</v>
      </c>
      <c r="Z475" t="s">
        <v>284</v>
      </c>
      <c r="AA475">
        <v>215</v>
      </c>
      <c r="AB475" t="s">
        <v>285</v>
      </c>
      <c r="AG475">
        <v>226.33330000000001</v>
      </c>
      <c r="AH475" t="s">
        <v>54</v>
      </c>
      <c r="AI475" t="s">
        <v>52</v>
      </c>
      <c r="AZ475" t="s">
        <v>52</v>
      </c>
      <c r="BQ475" t="s">
        <v>52</v>
      </c>
      <c r="BR475">
        <v>0.65</v>
      </c>
      <c r="BS475" t="s">
        <v>284</v>
      </c>
      <c r="BT475">
        <v>2.1</v>
      </c>
      <c r="BU475" t="s">
        <v>284</v>
      </c>
      <c r="BV475">
        <v>1.99</v>
      </c>
      <c r="BW475" t="s">
        <v>284</v>
      </c>
      <c r="BX475">
        <v>1.6</v>
      </c>
      <c r="BY475" t="s">
        <v>284</v>
      </c>
      <c r="BZ475">
        <v>1.6</v>
      </c>
      <c r="CA475" t="s">
        <v>284</v>
      </c>
      <c r="CF475">
        <v>1.73</v>
      </c>
      <c r="CG475" t="s">
        <v>54</v>
      </c>
      <c r="CH475" t="s">
        <v>52</v>
      </c>
    </row>
    <row r="476" spans="1:86" x14ac:dyDescent="0.25">
      <c r="A476" t="s">
        <v>47</v>
      </c>
      <c r="B476">
        <v>8</v>
      </c>
      <c r="C476" t="s">
        <v>138</v>
      </c>
      <c r="D476">
        <v>33</v>
      </c>
      <c r="E476" t="s">
        <v>70</v>
      </c>
      <c r="F476">
        <v>296</v>
      </c>
      <c r="G476" t="s">
        <v>90</v>
      </c>
      <c r="H476" t="s">
        <v>50</v>
      </c>
      <c r="K476" t="s">
        <v>52</v>
      </c>
      <c r="L476">
        <v>1</v>
      </c>
      <c r="M476" t="s">
        <v>53</v>
      </c>
      <c r="N476">
        <v>102</v>
      </c>
      <c r="O476">
        <v>1</v>
      </c>
      <c r="P476" t="s">
        <v>52</v>
      </c>
      <c r="Q476">
        <v>0.5</v>
      </c>
      <c r="R476">
        <v>0.75</v>
      </c>
      <c r="S476">
        <v>228</v>
      </c>
      <c r="T476" t="s">
        <v>284</v>
      </c>
      <c r="U476">
        <v>190</v>
      </c>
      <c r="V476" t="s">
        <v>285</v>
      </c>
      <c r="W476">
        <v>236</v>
      </c>
      <c r="X476" t="s">
        <v>284</v>
      </c>
      <c r="Y476">
        <v>244</v>
      </c>
      <c r="Z476" t="s">
        <v>284</v>
      </c>
      <c r="AA476">
        <v>215</v>
      </c>
      <c r="AB476" t="s">
        <v>285</v>
      </c>
      <c r="AG476">
        <v>226.33330000000001</v>
      </c>
      <c r="AH476" t="s">
        <v>54</v>
      </c>
      <c r="AI476" t="s">
        <v>52</v>
      </c>
      <c r="AZ476" t="s">
        <v>52</v>
      </c>
      <c r="BQ476" t="s">
        <v>52</v>
      </c>
      <c r="BR476">
        <v>0.65</v>
      </c>
      <c r="BS476" t="s">
        <v>284</v>
      </c>
      <c r="BT476">
        <v>1.0900000000000001</v>
      </c>
      <c r="BU476" t="s">
        <v>284</v>
      </c>
      <c r="BV476">
        <v>0.33</v>
      </c>
      <c r="BW476" t="s">
        <v>284</v>
      </c>
      <c r="BX476">
        <v>0.25</v>
      </c>
      <c r="BY476" t="s">
        <v>285</v>
      </c>
      <c r="BZ476">
        <v>0.25</v>
      </c>
      <c r="CA476" t="s">
        <v>284</v>
      </c>
      <c r="CF476">
        <v>0.41</v>
      </c>
      <c r="CG476" t="s">
        <v>54</v>
      </c>
      <c r="CH476" t="s">
        <v>52</v>
      </c>
    </row>
    <row r="477" spans="1:86" x14ac:dyDescent="0.25">
      <c r="A477" t="s">
        <v>47</v>
      </c>
      <c r="B477">
        <v>8</v>
      </c>
      <c r="C477" t="s">
        <v>138</v>
      </c>
      <c r="D477">
        <v>33</v>
      </c>
      <c r="E477" t="s">
        <v>70</v>
      </c>
      <c r="F477">
        <v>296</v>
      </c>
      <c r="G477" t="s">
        <v>91</v>
      </c>
      <c r="H477" t="s">
        <v>50</v>
      </c>
      <c r="K477" t="s">
        <v>51</v>
      </c>
      <c r="L477">
        <v>1</v>
      </c>
      <c r="M477" t="s">
        <v>53</v>
      </c>
      <c r="N477">
        <v>102</v>
      </c>
      <c r="O477">
        <v>1</v>
      </c>
      <c r="P477" t="s">
        <v>52</v>
      </c>
      <c r="Q477">
        <v>0.5</v>
      </c>
      <c r="R477">
        <v>0.75</v>
      </c>
      <c r="S477">
        <v>228</v>
      </c>
      <c r="T477" t="s">
        <v>284</v>
      </c>
      <c r="U477">
        <v>190</v>
      </c>
      <c r="V477" t="s">
        <v>285</v>
      </c>
      <c r="W477">
        <v>236</v>
      </c>
      <c r="X477" t="s">
        <v>284</v>
      </c>
      <c r="Y477">
        <v>244</v>
      </c>
      <c r="Z477" t="s">
        <v>284</v>
      </c>
      <c r="AA477">
        <v>215</v>
      </c>
      <c r="AB477" t="s">
        <v>285</v>
      </c>
      <c r="AG477">
        <v>226.33330000000001</v>
      </c>
      <c r="AH477" t="s">
        <v>54</v>
      </c>
      <c r="AI477" t="s">
        <v>52</v>
      </c>
      <c r="AZ477" t="s">
        <v>52</v>
      </c>
      <c r="BQ477" t="s">
        <v>52</v>
      </c>
      <c r="BR477">
        <v>1.85</v>
      </c>
      <c r="BS477" t="s">
        <v>284</v>
      </c>
      <c r="BT477">
        <v>2.1</v>
      </c>
      <c r="BU477" t="s">
        <v>284</v>
      </c>
      <c r="BV477">
        <v>1.99</v>
      </c>
      <c r="BW477" t="s">
        <v>284</v>
      </c>
      <c r="BX477">
        <v>1.6</v>
      </c>
      <c r="BY477" t="s">
        <v>284</v>
      </c>
      <c r="BZ477">
        <v>1.6</v>
      </c>
      <c r="CA477" t="s">
        <v>284</v>
      </c>
      <c r="CF477">
        <v>1.81</v>
      </c>
      <c r="CG477" t="s">
        <v>54</v>
      </c>
      <c r="CH477" t="s">
        <v>52</v>
      </c>
    </row>
    <row r="478" spans="1:86" x14ac:dyDescent="0.25">
      <c r="A478" t="s">
        <v>47</v>
      </c>
      <c r="B478">
        <v>8</v>
      </c>
      <c r="C478" t="s">
        <v>138</v>
      </c>
      <c r="D478">
        <v>33</v>
      </c>
      <c r="E478" t="s">
        <v>70</v>
      </c>
      <c r="F478">
        <v>296</v>
      </c>
      <c r="G478" t="s">
        <v>91</v>
      </c>
      <c r="H478" t="s">
        <v>50</v>
      </c>
      <c r="K478" t="s">
        <v>52</v>
      </c>
      <c r="L478">
        <v>1</v>
      </c>
      <c r="M478" t="s">
        <v>53</v>
      </c>
      <c r="N478">
        <v>102</v>
      </c>
      <c r="O478">
        <v>1</v>
      </c>
      <c r="P478" t="s">
        <v>52</v>
      </c>
      <c r="Q478">
        <v>0.5</v>
      </c>
      <c r="R478">
        <v>0.75</v>
      </c>
      <c r="S478">
        <v>228</v>
      </c>
      <c r="T478" t="s">
        <v>284</v>
      </c>
      <c r="U478">
        <v>190</v>
      </c>
      <c r="V478" t="s">
        <v>285</v>
      </c>
      <c r="W478">
        <v>236</v>
      </c>
      <c r="X478" t="s">
        <v>284</v>
      </c>
      <c r="Y478">
        <v>244</v>
      </c>
      <c r="Z478" t="s">
        <v>284</v>
      </c>
      <c r="AA478">
        <v>215</v>
      </c>
      <c r="AB478" t="s">
        <v>285</v>
      </c>
      <c r="AG478">
        <v>226.33330000000001</v>
      </c>
      <c r="AH478" t="s">
        <v>54</v>
      </c>
      <c r="AI478" t="s">
        <v>52</v>
      </c>
      <c r="AZ478" t="s">
        <v>52</v>
      </c>
      <c r="BQ478" t="s">
        <v>52</v>
      </c>
      <c r="BR478">
        <v>0.65</v>
      </c>
      <c r="BS478" t="s">
        <v>285</v>
      </c>
      <c r="BT478">
        <v>1.0900000000000001</v>
      </c>
      <c r="BU478" t="s">
        <v>284</v>
      </c>
      <c r="BV478">
        <v>0.33</v>
      </c>
      <c r="BW478" t="s">
        <v>284</v>
      </c>
      <c r="BX478">
        <v>0.25</v>
      </c>
      <c r="BY478" t="s">
        <v>285</v>
      </c>
      <c r="BZ478">
        <v>0.25</v>
      </c>
      <c r="CA478" t="s">
        <v>284</v>
      </c>
      <c r="CF478">
        <v>0.41</v>
      </c>
      <c r="CG478" t="s">
        <v>54</v>
      </c>
      <c r="CH478" t="s">
        <v>52</v>
      </c>
    </row>
    <row r="479" spans="1:86" x14ac:dyDescent="0.25">
      <c r="A479" t="s">
        <v>47</v>
      </c>
      <c r="B479">
        <v>8</v>
      </c>
      <c r="C479" t="s">
        <v>138</v>
      </c>
      <c r="D479">
        <v>33</v>
      </c>
      <c r="E479" t="s">
        <v>70</v>
      </c>
      <c r="F479">
        <v>296</v>
      </c>
      <c r="G479" t="s">
        <v>124</v>
      </c>
      <c r="H479" t="s">
        <v>50</v>
      </c>
      <c r="K479" t="s">
        <v>51</v>
      </c>
      <c r="L479">
        <v>1</v>
      </c>
      <c r="M479" t="s">
        <v>53</v>
      </c>
      <c r="N479">
        <v>102</v>
      </c>
      <c r="O479">
        <v>1</v>
      </c>
      <c r="P479" t="s">
        <v>52</v>
      </c>
      <c r="Q479">
        <v>0</v>
      </c>
      <c r="R479">
        <v>0.75</v>
      </c>
      <c r="S479">
        <v>228</v>
      </c>
      <c r="T479" t="s">
        <v>284</v>
      </c>
      <c r="U479">
        <v>177</v>
      </c>
      <c r="V479" t="s">
        <v>284</v>
      </c>
      <c r="W479">
        <v>147</v>
      </c>
      <c r="X479" t="s">
        <v>284</v>
      </c>
      <c r="Y479">
        <v>170</v>
      </c>
      <c r="Z479" t="s">
        <v>284</v>
      </c>
      <c r="AA479">
        <v>205</v>
      </c>
      <c r="AB479" t="s">
        <v>285</v>
      </c>
      <c r="AG479">
        <v>184</v>
      </c>
      <c r="AH479" t="s">
        <v>54</v>
      </c>
      <c r="AI479" t="s">
        <v>52</v>
      </c>
      <c r="AZ479" t="s">
        <v>52</v>
      </c>
      <c r="BQ479" t="s">
        <v>52</v>
      </c>
      <c r="BR479">
        <v>1.85</v>
      </c>
      <c r="BS479" t="s">
        <v>284</v>
      </c>
      <c r="BT479">
        <v>2.1</v>
      </c>
      <c r="BU479" t="s">
        <v>284</v>
      </c>
      <c r="BV479">
        <v>1.38</v>
      </c>
      <c r="BW479" t="s">
        <v>284</v>
      </c>
      <c r="BX479">
        <v>1.39</v>
      </c>
      <c r="BY479" t="s">
        <v>284</v>
      </c>
      <c r="BZ479">
        <v>1.32</v>
      </c>
      <c r="CA479" t="s">
        <v>289</v>
      </c>
      <c r="CF479">
        <v>1.54</v>
      </c>
      <c r="CG479" t="s">
        <v>54</v>
      </c>
      <c r="CH479" t="s">
        <v>52</v>
      </c>
    </row>
    <row r="480" spans="1:86" x14ac:dyDescent="0.25">
      <c r="A480" t="s">
        <v>47</v>
      </c>
      <c r="B480">
        <v>8</v>
      </c>
      <c r="C480" t="s">
        <v>138</v>
      </c>
      <c r="D480">
        <v>33</v>
      </c>
      <c r="E480" t="s">
        <v>70</v>
      </c>
      <c r="F480">
        <v>296</v>
      </c>
      <c r="G480" t="s">
        <v>124</v>
      </c>
      <c r="H480" t="s">
        <v>50</v>
      </c>
      <c r="K480" t="s">
        <v>52</v>
      </c>
      <c r="L480">
        <v>1</v>
      </c>
      <c r="M480" t="s">
        <v>53</v>
      </c>
      <c r="N480">
        <v>102</v>
      </c>
      <c r="O480">
        <v>1</v>
      </c>
      <c r="P480" t="s">
        <v>52</v>
      </c>
      <c r="Q480">
        <v>0</v>
      </c>
      <c r="R480">
        <v>0.75</v>
      </c>
      <c r="S480">
        <v>228</v>
      </c>
      <c r="T480" t="s">
        <v>284</v>
      </c>
      <c r="U480">
        <v>177</v>
      </c>
      <c r="V480" t="s">
        <v>284</v>
      </c>
      <c r="W480">
        <v>147</v>
      </c>
      <c r="X480" t="s">
        <v>284</v>
      </c>
      <c r="Y480">
        <v>170</v>
      </c>
      <c r="Z480" t="s">
        <v>284</v>
      </c>
      <c r="AA480">
        <v>205</v>
      </c>
      <c r="AB480" t="s">
        <v>285</v>
      </c>
      <c r="AG480">
        <v>184</v>
      </c>
      <c r="AH480" t="s">
        <v>54</v>
      </c>
      <c r="AI480" t="s">
        <v>52</v>
      </c>
      <c r="AZ480" t="s">
        <v>52</v>
      </c>
      <c r="BQ480" t="s">
        <v>52</v>
      </c>
      <c r="BR480">
        <v>0.65</v>
      </c>
      <c r="BS480" t="s">
        <v>285</v>
      </c>
      <c r="BT480">
        <v>0.53</v>
      </c>
      <c r="BU480" t="s">
        <v>284</v>
      </c>
      <c r="BV480">
        <v>0.11</v>
      </c>
      <c r="BW480" t="s">
        <v>284</v>
      </c>
      <c r="BX480">
        <v>0.25</v>
      </c>
      <c r="BY480" t="s">
        <v>285</v>
      </c>
      <c r="BZ480">
        <v>0.05</v>
      </c>
      <c r="CA480" t="s">
        <v>288</v>
      </c>
      <c r="CF480">
        <v>0.3</v>
      </c>
      <c r="CG480" t="s">
        <v>54</v>
      </c>
      <c r="CH480" t="s">
        <v>52</v>
      </c>
    </row>
    <row r="481" spans="1:86" x14ac:dyDescent="0.25">
      <c r="A481" t="s">
        <v>47</v>
      </c>
      <c r="B481">
        <v>8</v>
      </c>
      <c r="C481" t="s">
        <v>138</v>
      </c>
      <c r="D481">
        <v>33</v>
      </c>
      <c r="E481" t="s">
        <v>70</v>
      </c>
      <c r="F481">
        <v>296</v>
      </c>
      <c r="G481" t="s">
        <v>92</v>
      </c>
      <c r="H481" t="s">
        <v>50</v>
      </c>
      <c r="K481" t="s">
        <v>51</v>
      </c>
      <c r="L481">
        <v>1</v>
      </c>
      <c r="M481" t="s">
        <v>53</v>
      </c>
      <c r="N481">
        <v>102</v>
      </c>
      <c r="O481">
        <v>1</v>
      </c>
      <c r="P481" t="s">
        <v>52</v>
      </c>
      <c r="Q481">
        <v>0.5</v>
      </c>
      <c r="R481">
        <v>0.75</v>
      </c>
      <c r="S481">
        <v>228</v>
      </c>
      <c r="T481" t="s">
        <v>284</v>
      </c>
      <c r="U481">
        <v>189</v>
      </c>
      <c r="V481" t="s">
        <v>285</v>
      </c>
      <c r="W481">
        <v>199</v>
      </c>
      <c r="X481" t="s">
        <v>285</v>
      </c>
      <c r="Y481">
        <v>206</v>
      </c>
      <c r="Z481" t="s">
        <v>285</v>
      </c>
      <c r="AA481">
        <v>128</v>
      </c>
      <c r="AB481" t="s">
        <v>285</v>
      </c>
      <c r="AG481">
        <v>198</v>
      </c>
      <c r="AH481" t="s">
        <v>54</v>
      </c>
      <c r="AI481" t="s">
        <v>52</v>
      </c>
      <c r="AZ481" t="s">
        <v>52</v>
      </c>
      <c r="BQ481" t="s">
        <v>52</v>
      </c>
      <c r="BR481">
        <v>1.85</v>
      </c>
      <c r="BS481" t="s">
        <v>284</v>
      </c>
      <c r="BT481">
        <v>2.1</v>
      </c>
      <c r="BU481" t="s">
        <v>284</v>
      </c>
      <c r="BV481">
        <v>2.1</v>
      </c>
      <c r="BW481" t="s">
        <v>284</v>
      </c>
      <c r="BX481">
        <v>2.1</v>
      </c>
      <c r="BY481" t="s">
        <v>284</v>
      </c>
      <c r="BZ481">
        <v>1.78</v>
      </c>
      <c r="CA481" t="s">
        <v>285</v>
      </c>
      <c r="CF481">
        <v>2.02</v>
      </c>
      <c r="CG481" t="s">
        <v>54</v>
      </c>
      <c r="CH481" t="s">
        <v>52</v>
      </c>
    </row>
    <row r="482" spans="1:86" x14ac:dyDescent="0.25">
      <c r="A482" t="s">
        <v>47</v>
      </c>
      <c r="B482">
        <v>8</v>
      </c>
      <c r="C482" t="s">
        <v>138</v>
      </c>
      <c r="D482">
        <v>33</v>
      </c>
      <c r="E482" t="s">
        <v>70</v>
      </c>
      <c r="F482">
        <v>296</v>
      </c>
      <c r="G482" t="s">
        <v>92</v>
      </c>
      <c r="H482" t="s">
        <v>50</v>
      </c>
      <c r="K482" t="s">
        <v>52</v>
      </c>
      <c r="L482">
        <v>1</v>
      </c>
      <c r="M482" t="s">
        <v>53</v>
      </c>
      <c r="N482">
        <v>102</v>
      </c>
      <c r="O482">
        <v>1</v>
      </c>
      <c r="P482" t="s">
        <v>52</v>
      </c>
      <c r="Q482">
        <v>0.5</v>
      </c>
      <c r="R482">
        <v>0.75</v>
      </c>
      <c r="S482">
        <v>228</v>
      </c>
      <c r="T482" t="s">
        <v>284</v>
      </c>
      <c r="U482">
        <v>189</v>
      </c>
      <c r="V482" t="s">
        <v>285</v>
      </c>
      <c r="W482">
        <v>199</v>
      </c>
      <c r="X482" t="s">
        <v>285</v>
      </c>
      <c r="Y482">
        <v>206</v>
      </c>
      <c r="Z482" t="s">
        <v>285</v>
      </c>
      <c r="AA482">
        <v>128</v>
      </c>
      <c r="AB482" t="s">
        <v>285</v>
      </c>
      <c r="AG482">
        <v>198</v>
      </c>
      <c r="AH482" t="s">
        <v>54</v>
      </c>
      <c r="AI482" t="s">
        <v>52</v>
      </c>
      <c r="AZ482" t="s">
        <v>52</v>
      </c>
      <c r="BQ482" t="s">
        <v>52</v>
      </c>
      <c r="BR482">
        <v>1.85</v>
      </c>
      <c r="BS482" t="s">
        <v>284</v>
      </c>
      <c r="BT482">
        <v>1.1299999999999999</v>
      </c>
      <c r="BU482" t="s">
        <v>284</v>
      </c>
      <c r="BV482">
        <v>0.32</v>
      </c>
      <c r="BW482" t="s">
        <v>284</v>
      </c>
      <c r="BX482">
        <v>0.44</v>
      </c>
      <c r="BY482" t="s">
        <v>284</v>
      </c>
      <c r="BZ482">
        <v>0.44</v>
      </c>
      <c r="CA482" t="s">
        <v>285</v>
      </c>
      <c r="CF482">
        <v>0.67</v>
      </c>
      <c r="CG482" t="s">
        <v>54</v>
      </c>
      <c r="CH482" t="s">
        <v>52</v>
      </c>
    </row>
    <row r="483" spans="1:86" x14ac:dyDescent="0.25">
      <c r="A483" t="s">
        <v>47</v>
      </c>
      <c r="B483">
        <v>8</v>
      </c>
      <c r="C483" t="s">
        <v>138</v>
      </c>
      <c r="D483">
        <v>33</v>
      </c>
      <c r="E483" t="s">
        <v>70</v>
      </c>
      <c r="F483">
        <v>296</v>
      </c>
      <c r="G483" t="s">
        <v>116</v>
      </c>
      <c r="H483" t="s">
        <v>50</v>
      </c>
      <c r="K483" t="s">
        <v>51</v>
      </c>
      <c r="L483">
        <v>1</v>
      </c>
      <c r="M483" t="s">
        <v>53</v>
      </c>
      <c r="N483">
        <v>102</v>
      </c>
      <c r="O483">
        <v>1</v>
      </c>
      <c r="P483" t="s">
        <v>52</v>
      </c>
      <c r="Q483">
        <v>0.5</v>
      </c>
      <c r="R483">
        <v>0.75</v>
      </c>
      <c r="S483">
        <v>228</v>
      </c>
      <c r="T483" t="s">
        <v>284</v>
      </c>
      <c r="U483">
        <v>190</v>
      </c>
      <c r="V483" t="s">
        <v>285</v>
      </c>
      <c r="W483">
        <v>236</v>
      </c>
      <c r="X483" t="s">
        <v>284</v>
      </c>
      <c r="Y483">
        <v>244</v>
      </c>
      <c r="Z483" t="s">
        <v>284</v>
      </c>
      <c r="AA483">
        <v>215</v>
      </c>
      <c r="AB483" t="s">
        <v>285</v>
      </c>
      <c r="AG483">
        <v>226.33330000000001</v>
      </c>
      <c r="AH483" t="s">
        <v>54</v>
      </c>
      <c r="AI483" t="s">
        <v>52</v>
      </c>
      <c r="AZ483" t="s">
        <v>52</v>
      </c>
      <c r="BQ483" t="s">
        <v>52</v>
      </c>
      <c r="BR483">
        <v>1.85</v>
      </c>
      <c r="BS483" t="s">
        <v>285</v>
      </c>
      <c r="BT483">
        <v>2.1</v>
      </c>
      <c r="BU483" t="s">
        <v>284</v>
      </c>
      <c r="BV483">
        <v>1.99</v>
      </c>
      <c r="BW483" t="s">
        <v>284</v>
      </c>
      <c r="BX483">
        <v>1.6</v>
      </c>
      <c r="BY483" t="s">
        <v>284</v>
      </c>
      <c r="BZ483">
        <v>1.6</v>
      </c>
      <c r="CA483" t="s">
        <v>284</v>
      </c>
      <c r="CF483">
        <v>1.81</v>
      </c>
      <c r="CG483" t="s">
        <v>54</v>
      </c>
      <c r="CH483" t="s">
        <v>52</v>
      </c>
    </row>
    <row r="484" spans="1:86" x14ac:dyDescent="0.25">
      <c r="A484" t="s">
        <v>47</v>
      </c>
      <c r="B484">
        <v>8</v>
      </c>
      <c r="C484" t="s">
        <v>138</v>
      </c>
      <c r="D484">
        <v>33</v>
      </c>
      <c r="E484" t="s">
        <v>70</v>
      </c>
      <c r="F484">
        <v>296</v>
      </c>
      <c r="G484" t="s">
        <v>116</v>
      </c>
      <c r="H484" t="s">
        <v>50</v>
      </c>
      <c r="K484" t="s">
        <v>52</v>
      </c>
      <c r="L484">
        <v>1</v>
      </c>
      <c r="M484" t="s">
        <v>53</v>
      </c>
      <c r="N484">
        <v>102</v>
      </c>
      <c r="O484">
        <v>1</v>
      </c>
      <c r="P484" t="s">
        <v>52</v>
      </c>
      <c r="Q484">
        <v>0.5</v>
      </c>
      <c r="R484">
        <v>0.75</v>
      </c>
      <c r="S484">
        <v>228</v>
      </c>
      <c r="T484" t="s">
        <v>284</v>
      </c>
      <c r="U484">
        <v>190</v>
      </c>
      <c r="V484" t="s">
        <v>285</v>
      </c>
      <c r="W484">
        <v>236</v>
      </c>
      <c r="X484" t="s">
        <v>284</v>
      </c>
      <c r="Y484">
        <v>244</v>
      </c>
      <c r="Z484" t="s">
        <v>284</v>
      </c>
      <c r="AA484">
        <v>215</v>
      </c>
      <c r="AB484" t="s">
        <v>285</v>
      </c>
      <c r="AG484">
        <v>226.33330000000001</v>
      </c>
      <c r="AH484" t="s">
        <v>54</v>
      </c>
      <c r="AI484" t="s">
        <v>52</v>
      </c>
      <c r="AZ484" t="s">
        <v>52</v>
      </c>
      <c r="BQ484" t="s">
        <v>52</v>
      </c>
      <c r="BR484">
        <v>0.65</v>
      </c>
      <c r="BS484" t="s">
        <v>285</v>
      </c>
      <c r="BT484">
        <v>1.0900000000000001</v>
      </c>
      <c r="BU484" t="s">
        <v>284</v>
      </c>
      <c r="BV484">
        <v>0.33</v>
      </c>
      <c r="BW484" t="s">
        <v>284</v>
      </c>
      <c r="BX484">
        <v>0.25</v>
      </c>
      <c r="BY484" t="s">
        <v>284</v>
      </c>
      <c r="BZ484">
        <v>0.25</v>
      </c>
      <c r="CA484" t="s">
        <v>284</v>
      </c>
      <c r="CF484">
        <v>0.41</v>
      </c>
      <c r="CG484" t="s">
        <v>54</v>
      </c>
      <c r="CH484" t="s">
        <v>52</v>
      </c>
    </row>
    <row r="485" spans="1:86" x14ac:dyDescent="0.25">
      <c r="A485" t="s">
        <v>47</v>
      </c>
      <c r="B485">
        <v>8</v>
      </c>
      <c r="C485" t="s">
        <v>138</v>
      </c>
      <c r="D485">
        <v>33</v>
      </c>
      <c r="E485" t="s">
        <v>75</v>
      </c>
      <c r="F485">
        <v>16</v>
      </c>
      <c r="G485" t="s">
        <v>76</v>
      </c>
      <c r="H485" t="s">
        <v>50</v>
      </c>
      <c r="K485" t="s">
        <v>51</v>
      </c>
      <c r="L485">
        <v>1</v>
      </c>
      <c r="M485" t="s">
        <v>53</v>
      </c>
      <c r="N485">
        <v>16</v>
      </c>
      <c r="O485">
        <v>2</v>
      </c>
      <c r="P485" t="s">
        <v>52</v>
      </c>
      <c r="Q485">
        <v>0.5</v>
      </c>
      <c r="R485">
        <v>0.75</v>
      </c>
      <c r="S485">
        <v>83.35</v>
      </c>
      <c r="T485" t="s">
        <v>285</v>
      </c>
      <c r="U485">
        <v>96.14</v>
      </c>
      <c r="V485" t="s">
        <v>284</v>
      </c>
      <c r="W485">
        <v>103.37</v>
      </c>
      <c r="X485" t="s">
        <v>284</v>
      </c>
      <c r="Y485">
        <v>106.14</v>
      </c>
      <c r="Z485" t="s">
        <v>284</v>
      </c>
      <c r="AA485">
        <v>128</v>
      </c>
      <c r="AB485" t="s">
        <v>285</v>
      </c>
      <c r="AG485">
        <v>101.88330000000001</v>
      </c>
      <c r="AH485" t="s">
        <v>54</v>
      </c>
      <c r="AI485" t="s">
        <v>52</v>
      </c>
      <c r="AX485">
        <v>146.69999999999999</v>
      </c>
      <c r="AY485" t="s">
        <v>285</v>
      </c>
      <c r="AZ485" t="s">
        <v>287</v>
      </c>
      <c r="BQ485" t="s">
        <v>52</v>
      </c>
      <c r="BR485">
        <v>1.85</v>
      </c>
      <c r="BS485" t="s">
        <v>284</v>
      </c>
      <c r="BT485">
        <v>2.09</v>
      </c>
      <c r="BU485" t="s">
        <v>284</v>
      </c>
      <c r="BV485">
        <v>1.58</v>
      </c>
      <c r="BW485" t="s">
        <v>284</v>
      </c>
      <c r="BX485">
        <v>1.47</v>
      </c>
      <c r="BY485" t="s">
        <v>284</v>
      </c>
      <c r="BZ485">
        <v>1.59</v>
      </c>
      <c r="CA485" t="s">
        <v>288</v>
      </c>
      <c r="CF485">
        <v>1.67</v>
      </c>
      <c r="CG485" t="s">
        <v>54</v>
      </c>
      <c r="CH485" t="s">
        <v>52</v>
      </c>
    </row>
    <row r="486" spans="1:86" x14ac:dyDescent="0.25">
      <c r="A486" t="s">
        <v>47</v>
      </c>
      <c r="B486">
        <v>8</v>
      </c>
      <c r="C486" t="s">
        <v>138</v>
      </c>
      <c r="D486">
        <v>33</v>
      </c>
      <c r="E486" t="s">
        <v>75</v>
      </c>
      <c r="F486">
        <v>16</v>
      </c>
      <c r="G486" t="s">
        <v>76</v>
      </c>
      <c r="H486" t="s">
        <v>50</v>
      </c>
      <c r="K486" t="s">
        <v>52</v>
      </c>
      <c r="L486">
        <v>1</v>
      </c>
      <c r="M486" t="s">
        <v>53</v>
      </c>
      <c r="N486">
        <v>16</v>
      </c>
      <c r="O486">
        <v>2</v>
      </c>
      <c r="P486" t="s">
        <v>52</v>
      </c>
      <c r="Q486">
        <v>0.5</v>
      </c>
      <c r="R486">
        <v>0.75</v>
      </c>
      <c r="S486">
        <v>83.35</v>
      </c>
      <c r="T486" t="s">
        <v>285</v>
      </c>
      <c r="U486">
        <v>96.14</v>
      </c>
      <c r="V486" t="s">
        <v>284</v>
      </c>
      <c r="W486">
        <v>103.37</v>
      </c>
      <c r="X486" t="s">
        <v>284</v>
      </c>
      <c r="Y486">
        <v>106.14</v>
      </c>
      <c r="Z486" t="s">
        <v>284</v>
      </c>
      <c r="AA486">
        <v>128</v>
      </c>
      <c r="AB486" t="s">
        <v>285</v>
      </c>
      <c r="AG486">
        <v>101.88330000000001</v>
      </c>
      <c r="AH486" t="s">
        <v>54</v>
      </c>
      <c r="AI486" t="s">
        <v>52</v>
      </c>
      <c r="AX486">
        <v>146.69999999999999</v>
      </c>
      <c r="AY486" t="s">
        <v>285</v>
      </c>
      <c r="AZ486" t="s">
        <v>287</v>
      </c>
      <c r="BQ486" t="s">
        <v>52</v>
      </c>
      <c r="BR486">
        <v>0.65</v>
      </c>
      <c r="BS486" t="s">
        <v>284</v>
      </c>
      <c r="BT486">
        <v>1.07</v>
      </c>
      <c r="BU486" t="s">
        <v>284</v>
      </c>
      <c r="BV486">
        <v>1.92</v>
      </c>
      <c r="BW486" t="s">
        <v>284</v>
      </c>
      <c r="BX486">
        <v>1.98</v>
      </c>
      <c r="BY486" t="s">
        <v>284</v>
      </c>
      <c r="BZ486">
        <v>0.23</v>
      </c>
      <c r="CA486" t="s">
        <v>289</v>
      </c>
      <c r="CF486">
        <v>1.21</v>
      </c>
      <c r="CG486" t="s">
        <v>54</v>
      </c>
      <c r="CH486" t="s">
        <v>52</v>
      </c>
    </row>
    <row r="487" spans="1:86" x14ac:dyDescent="0.25">
      <c r="A487" t="s">
        <v>47</v>
      </c>
      <c r="B487">
        <v>8</v>
      </c>
      <c r="C487" t="s">
        <v>138</v>
      </c>
      <c r="D487">
        <v>33</v>
      </c>
      <c r="E487" t="s">
        <v>94</v>
      </c>
      <c r="F487">
        <v>26</v>
      </c>
      <c r="H487" t="s">
        <v>50</v>
      </c>
      <c r="K487" t="s">
        <v>51</v>
      </c>
      <c r="L487">
        <v>1</v>
      </c>
      <c r="M487" t="s">
        <v>53</v>
      </c>
      <c r="N487">
        <v>102</v>
      </c>
      <c r="O487">
        <v>1</v>
      </c>
      <c r="P487" t="s">
        <v>52</v>
      </c>
      <c r="Q487">
        <v>0</v>
      </c>
      <c r="R487">
        <v>0.92</v>
      </c>
      <c r="S487">
        <v>131.69999999999999</v>
      </c>
      <c r="T487" t="s">
        <v>284</v>
      </c>
      <c r="U487">
        <v>170</v>
      </c>
      <c r="V487" t="s">
        <v>284</v>
      </c>
      <c r="W487">
        <v>191</v>
      </c>
      <c r="X487" t="s">
        <v>284</v>
      </c>
      <c r="Y487">
        <v>207</v>
      </c>
      <c r="Z487" t="s">
        <v>284</v>
      </c>
      <c r="AA487">
        <v>186</v>
      </c>
      <c r="AB487" t="s">
        <v>284</v>
      </c>
      <c r="AG487">
        <v>182.33330000000001</v>
      </c>
      <c r="AH487" t="s">
        <v>54</v>
      </c>
      <c r="AI487" t="s">
        <v>52</v>
      </c>
      <c r="AZ487" t="s">
        <v>52</v>
      </c>
      <c r="BQ487" t="s">
        <v>52</v>
      </c>
      <c r="BR487">
        <v>1.53</v>
      </c>
      <c r="BS487" t="s">
        <v>285</v>
      </c>
      <c r="BT487">
        <v>1.79</v>
      </c>
      <c r="BU487" t="s">
        <v>284</v>
      </c>
      <c r="BV487">
        <v>1.39</v>
      </c>
      <c r="BW487" t="s">
        <v>284</v>
      </c>
      <c r="BX487">
        <v>0.96</v>
      </c>
      <c r="BY487" t="s">
        <v>284</v>
      </c>
      <c r="BZ487">
        <v>1.04</v>
      </c>
      <c r="CA487" t="s">
        <v>288</v>
      </c>
      <c r="CF487">
        <v>1.32</v>
      </c>
      <c r="CG487" t="s">
        <v>54</v>
      </c>
      <c r="CH487" t="s">
        <v>52</v>
      </c>
    </row>
    <row r="488" spans="1:86" x14ac:dyDescent="0.25">
      <c r="A488" t="s">
        <v>47</v>
      </c>
      <c r="B488">
        <v>8</v>
      </c>
      <c r="C488" t="s">
        <v>138</v>
      </c>
      <c r="D488">
        <v>33</v>
      </c>
      <c r="E488" t="s">
        <v>79</v>
      </c>
      <c r="F488">
        <v>50</v>
      </c>
      <c r="G488" t="s">
        <v>65</v>
      </c>
      <c r="H488" t="s">
        <v>50</v>
      </c>
      <c r="K488" t="s">
        <v>51</v>
      </c>
      <c r="L488">
        <v>1</v>
      </c>
      <c r="M488" t="s">
        <v>53</v>
      </c>
      <c r="N488">
        <v>50</v>
      </c>
      <c r="O488">
        <v>1</v>
      </c>
      <c r="P488" t="s">
        <v>52</v>
      </c>
      <c r="Q488">
        <v>0.5</v>
      </c>
      <c r="R488">
        <v>0.75</v>
      </c>
      <c r="S488">
        <v>85</v>
      </c>
      <c r="T488" t="s">
        <v>285</v>
      </c>
      <c r="U488">
        <v>93</v>
      </c>
      <c r="V488" t="s">
        <v>284</v>
      </c>
      <c r="W488">
        <v>89.7</v>
      </c>
      <c r="X488" t="s">
        <v>284</v>
      </c>
      <c r="Y488">
        <v>92.72</v>
      </c>
      <c r="Z488" t="s">
        <v>284</v>
      </c>
      <c r="AA488">
        <v>109</v>
      </c>
      <c r="AB488" t="s">
        <v>285</v>
      </c>
      <c r="AG488">
        <v>91.806700000000006</v>
      </c>
      <c r="AH488" t="s">
        <v>54</v>
      </c>
      <c r="AI488" t="s">
        <v>52</v>
      </c>
      <c r="AZ488" t="s">
        <v>52</v>
      </c>
      <c r="BQ488" t="s">
        <v>52</v>
      </c>
      <c r="BR488">
        <v>3.57</v>
      </c>
      <c r="BS488" t="s">
        <v>289</v>
      </c>
      <c r="BT488">
        <v>2.81</v>
      </c>
      <c r="BU488" t="s">
        <v>284</v>
      </c>
      <c r="BV488">
        <v>1.81</v>
      </c>
      <c r="BW488" t="s">
        <v>284</v>
      </c>
      <c r="BX488">
        <v>3.08</v>
      </c>
      <c r="BY488" t="s">
        <v>284</v>
      </c>
      <c r="BZ488">
        <v>4.03</v>
      </c>
      <c r="CA488" t="s">
        <v>289</v>
      </c>
      <c r="CF488">
        <v>3.15</v>
      </c>
      <c r="CG488" t="s">
        <v>54</v>
      </c>
      <c r="CH488" t="s">
        <v>52</v>
      </c>
    </row>
    <row r="489" spans="1:86" x14ac:dyDescent="0.25">
      <c r="A489" t="s">
        <v>47</v>
      </c>
      <c r="B489">
        <v>8</v>
      </c>
      <c r="C489" t="s">
        <v>138</v>
      </c>
      <c r="D489">
        <v>33</v>
      </c>
      <c r="E489" t="s">
        <v>79</v>
      </c>
      <c r="F489">
        <v>50</v>
      </c>
      <c r="G489" t="s">
        <v>65</v>
      </c>
      <c r="H489" t="s">
        <v>50</v>
      </c>
      <c r="K489" t="s">
        <v>52</v>
      </c>
      <c r="L489">
        <v>1</v>
      </c>
      <c r="M489" t="s">
        <v>53</v>
      </c>
      <c r="N489">
        <v>50</v>
      </c>
      <c r="O489">
        <v>1</v>
      </c>
      <c r="P489" t="s">
        <v>52</v>
      </c>
      <c r="Q489">
        <v>0.5</v>
      </c>
      <c r="R489">
        <v>0.75</v>
      </c>
      <c r="S489">
        <v>85</v>
      </c>
      <c r="T489" t="s">
        <v>285</v>
      </c>
      <c r="U489">
        <v>93</v>
      </c>
      <c r="V489" t="s">
        <v>284</v>
      </c>
      <c r="W489">
        <v>89.7</v>
      </c>
      <c r="X489" t="s">
        <v>284</v>
      </c>
      <c r="Y489">
        <v>92.72</v>
      </c>
      <c r="Z489" t="s">
        <v>284</v>
      </c>
      <c r="AA489">
        <v>109</v>
      </c>
      <c r="AB489" t="s">
        <v>285</v>
      </c>
      <c r="AG489">
        <v>91.806700000000006</v>
      </c>
      <c r="AH489" t="s">
        <v>54</v>
      </c>
      <c r="AI489" t="s">
        <v>52</v>
      </c>
      <c r="AZ489" t="s">
        <v>52</v>
      </c>
      <c r="BQ489" t="s">
        <v>52</v>
      </c>
      <c r="BR489">
        <v>0.43</v>
      </c>
      <c r="BS489" t="s">
        <v>289</v>
      </c>
      <c r="BT489">
        <v>0.73</v>
      </c>
      <c r="BU489" t="s">
        <v>285</v>
      </c>
      <c r="BV489">
        <v>1.21</v>
      </c>
      <c r="BW489" t="s">
        <v>284</v>
      </c>
      <c r="CH489" t="s">
        <v>52</v>
      </c>
    </row>
    <row r="490" spans="1:86" x14ac:dyDescent="0.25">
      <c r="A490" t="s">
        <v>47</v>
      </c>
      <c r="B490">
        <v>8</v>
      </c>
      <c r="C490" t="s">
        <v>138</v>
      </c>
      <c r="D490">
        <v>33</v>
      </c>
      <c r="E490" t="s">
        <v>79</v>
      </c>
      <c r="F490">
        <v>50</v>
      </c>
      <c r="G490" t="s">
        <v>81</v>
      </c>
      <c r="H490" t="s">
        <v>50</v>
      </c>
      <c r="K490" t="s">
        <v>51</v>
      </c>
      <c r="L490">
        <v>1</v>
      </c>
      <c r="M490" t="s">
        <v>53</v>
      </c>
      <c r="N490">
        <v>50</v>
      </c>
      <c r="O490">
        <v>1</v>
      </c>
      <c r="P490" t="s">
        <v>52</v>
      </c>
      <c r="Q490">
        <v>0.5</v>
      </c>
      <c r="R490">
        <v>0.75</v>
      </c>
      <c r="S490">
        <v>85</v>
      </c>
      <c r="T490" t="s">
        <v>285</v>
      </c>
      <c r="U490">
        <v>93</v>
      </c>
      <c r="V490" t="s">
        <v>284</v>
      </c>
      <c r="W490">
        <v>89.7</v>
      </c>
      <c r="X490" t="s">
        <v>284</v>
      </c>
      <c r="Y490">
        <v>92.72</v>
      </c>
      <c r="Z490" t="s">
        <v>284</v>
      </c>
      <c r="AA490">
        <v>109</v>
      </c>
      <c r="AB490" t="s">
        <v>285</v>
      </c>
      <c r="AG490">
        <v>91.806700000000006</v>
      </c>
      <c r="AH490" t="s">
        <v>54</v>
      </c>
      <c r="AI490" t="s">
        <v>52</v>
      </c>
      <c r="AZ490" t="s">
        <v>52</v>
      </c>
      <c r="BQ490" t="s">
        <v>52</v>
      </c>
      <c r="BR490">
        <v>2.74</v>
      </c>
      <c r="BS490" t="s">
        <v>289</v>
      </c>
      <c r="BT490">
        <v>2.4</v>
      </c>
      <c r="BU490" t="s">
        <v>285</v>
      </c>
      <c r="BV490">
        <v>1.57</v>
      </c>
      <c r="BW490" t="s">
        <v>284</v>
      </c>
      <c r="BX490">
        <v>2.64</v>
      </c>
      <c r="BY490" t="s">
        <v>284</v>
      </c>
      <c r="BZ490">
        <v>3.46</v>
      </c>
      <c r="CA490" t="s">
        <v>289</v>
      </c>
      <c r="CF490">
        <v>2.59</v>
      </c>
      <c r="CG490" t="s">
        <v>54</v>
      </c>
      <c r="CH490" t="s">
        <v>52</v>
      </c>
    </row>
    <row r="491" spans="1:86" x14ac:dyDescent="0.25">
      <c r="A491" t="s">
        <v>47</v>
      </c>
      <c r="B491">
        <v>8</v>
      </c>
      <c r="C491" t="s">
        <v>138</v>
      </c>
      <c r="D491">
        <v>33</v>
      </c>
      <c r="E491" t="s">
        <v>79</v>
      </c>
      <c r="F491">
        <v>50</v>
      </c>
      <c r="G491" t="s">
        <v>81</v>
      </c>
      <c r="H491" t="s">
        <v>50</v>
      </c>
      <c r="K491" t="s">
        <v>52</v>
      </c>
      <c r="L491">
        <v>1</v>
      </c>
      <c r="M491" t="s">
        <v>53</v>
      </c>
      <c r="N491">
        <v>50</v>
      </c>
      <c r="O491">
        <v>1</v>
      </c>
      <c r="P491" t="s">
        <v>52</v>
      </c>
      <c r="Q491">
        <v>0.5</v>
      </c>
      <c r="R491">
        <v>0.75</v>
      </c>
      <c r="S491">
        <v>85</v>
      </c>
      <c r="T491" t="s">
        <v>285</v>
      </c>
      <c r="U491">
        <v>93</v>
      </c>
      <c r="V491" t="s">
        <v>284</v>
      </c>
      <c r="W491">
        <v>89.7</v>
      </c>
      <c r="X491" t="s">
        <v>284</v>
      </c>
      <c r="Y491">
        <v>92.72</v>
      </c>
      <c r="Z491" t="s">
        <v>284</v>
      </c>
      <c r="AA491">
        <v>109</v>
      </c>
      <c r="AB491" t="s">
        <v>285</v>
      </c>
      <c r="AG491">
        <v>91.806700000000006</v>
      </c>
      <c r="AH491" t="s">
        <v>54</v>
      </c>
      <c r="AI491" t="s">
        <v>52</v>
      </c>
      <c r="AZ491" t="s">
        <v>52</v>
      </c>
      <c r="BQ491" t="s">
        <v>52</v>
      </c>
      <c r="BR491">
        <v>2.74</v>
      </c>
      <c r="BS491" t="s">
        <v>289</v>
      </c>
      <c r="BT491">
        <v>0.74</v>
      </c>
      <c r="BU491" t="s">
        <v>285</v>
      </c>
      <c r="BV491">
        <v>1.26</v>
      </c>
      <c r="BW491" t="s">
        <v>284</v>
      </c>
      <c r="BX491">
        <v>1.1599999999999999</v>
      </c>
      <c r="BY491" t="s">
        <v>284</v>
      </c>
      <c r="BZ491">
        <v>0.64</v>
      </c>
      <c r="CA491" t="s">
        <v>289</v>
      </c>
      <c r="CF491">
        <v>1.05</v>
      </c>
      <c r="CG491" t="s">
        <v>54</v>
      </c>
      <c r="CH491" t="s">
        <v>52</v>
      </c>
    </row>
    <row r="492" spans="1:86" x14ac:dyDescent="0.25">
      <c r="A492" t="s">
        <v>47</v>
      </c>
      <c r="B492">
        <v>8</v>
      </c>
      <c r="C492" t="s">
        <v>138</v>
      </c>
      <c r="D492">
        <v>33</v>
      </c>
      <c r="E492" t="s">
        <v>82</v>
      </c>
      <c r="F492">
        <v>52</v>
      </c>
      <c r="H492" t="s">
        <v>50</v>
      </c>
      <c r="K492" t="s">
        <v>51</v>
      </c>
      <c r="L492">
        <v>1</v>
      </c>
      <c r="M492" t="s">
        <v>53</v>
      </c>
      <c r="N492">
        <v>50</v>
      </c>
      <c r="O492">
        <v>1</v>
      </c>
      <c r="P492" t="s">
        <v>52</v>
      </c>
      <c r="Q492">
        <v>0.5</v>
      </c>
      <c r="R492">
        <v>0.75</v>
      </c>
      <c r="S492">
        <v>85</v>
      </c>
      <c r="T492" t="s">
        <v>285</v>
      </c>
      <c r="U492">
        <v>93</v>
      </c>
      <c r="V492" t="s">
        <v>284</v>
      </c>
      <c r="W492">
        <v>191.5</v>
      </c>
      <c r="X492" t="s">
        <v>284</v>
      </c>
      <c r="Y492">
        <v>198</v>
      </c>
      <c r="Z492" t="s">
        <v>284</v>
      </c>
      <c r="AA492">
        <v>109</v>
      </c>
      <c r="AB492" t="s">
        <v>285</v>
      </c>
      <c r="AG492">
        <v>131.16669999999999</v>
      </c>
      <c r="AH492" t="s">
        <v>54</v>
      </c>
      <c r="AI492" t="s">
        <v>52</v>
      </c>
      <c r="AZ492" t="s">
        <v>52</v>
      </c>
      <c r="BQ492" t="s">
        <v>52</v>
      </c>
      <c r="BR492">
        <v>3.58</v>
      </c>
      <c r="BS492" t="s">
        <v>289</v>
      </c>
      <c r="BT492">
        <v>2.81</v>
      </c>
      <c r="BU492" t="s">
        <v>285</v>
      </c>
      <c r="BV492">
        <v>0.8</v>
      </c>
      <c r="BW492" t="s">
        <v>285</v>
      </c>
      <c r="BX492">
        <v>0.76</v>
      </c>
      <c r="BY492" t="s">
        <v>285</v>
      </c>
      <c r="BZ492">
        <v>0.17</v>
      </c>
      <c r="CA492" t="s">
        <v>285</v>
      </c>
      <c r="CF492">
        <v>1.46</v>
      </c>
      <c r="CG492" t="s">
        <v>54</v>
      </c>
      <c r="CH492" t="s">
        <v>52</v>
      </c>
    </row>
    <row r="493" spans="1:86" x14ac:dyDescent="0.25">
      <c r="A493" t="s">
        <v>47</v>
      </c>
      <c r="B493">
        <v>8</v>
      </c>
      <c r="C493" t="s">
        <v>138</v>
      </c>
      <c r="D493">
        <v>33</v>
      </c>
      <c r="E493" t="s">
        <v>82</v>
      </c>
      <c r="F493">
        <v>52</v>
      </c>
      <c r="H493" t="s">
        <v>50</v>
      </c>
      <c r="K493" t="s">
        <v>52</v>
      </c>
      <c r="L493">
        <v>1</v>
      </c>
      <c r="M493" t="s">
        <v>53</v>
      </c>
      <c r="N493">
        <v>50</v>
      </c>
      <c r="O493">
        <v>1</v>
      </c>
      <c r="P493" t="s">
        <v>52</v>
      </c>
      <c r="Q493">
        <v>0.5</v>
      </c>
      <c r="R493">
        <v>0.75</v>
      </c>
      <c r="S493">
        <v>85</v>
      </c>
      <c r="T493" t="s">
        <v>285</v>
      </c>
      <c r="U493">
        <v>93</v>
      </c>
      <c r="V493" t="s">
        <v>284</v>
      </c>
      <c r="W493">
        <v>191.5</v>
      </c>
      <c r="X493" t="s">
        <v>284</v>
      </c>
      <c r="Y493">
        <v>198</v>
      </c>
      <c r="Z493" t="s">
        <v>284</v>
      </c>
      <c r="AA493">
        <v>109</v>
      </c>
      <c r="AB493" t="s">
        <v>285</v>
      </c>
      <c r="AG493">
        <v>131.16669999999999</v>
      </c>
      <c r="AH493" t="s">
        <v>54</v>
      </c>
      <c r="AI493" t="s">
        <v>52</v>
      </c>
      <c r="AZ493" t="s">
        <v>52</v>
      </c>
      <c r="BQ493" t="s">
        <v>52</v>
      </c>
      <c r="BR493">
        <v>2.36</v>
      </c>
      <c r="BS493" t="s">
        <v>289</v>
      </c>
      <c r="BT493">
        <v>0.9</v>
      </c>
      <c r="BU493" t="s">
        <v>285</v>
      </c>
      <c r="CH493" t="s">
        <v>52</v>
      </c>
    </row>
    <row r="494" spans="1:86" x14ac:dyDescent="0.25">
      <c r="A494" t="s">
        <v>47</v>
      </c>
      <c r="B494">
        <v>8</v>
      </c>
      <c r="C494" t="s">
        <v>138</v>
      </c>
      <c r="D494">
        <v>33</v>
      </c>
      <c r="E494" t="s">
        <v>83</v>
      </c>
      <c r="F494">
        <v>158</v>
      </c>
      <c r="H494" t="s">
        <v>50</v>
      </c>
      <c r="K494" t="s">
        <v>51</v>
      </c>
      <c r="L494">
        <v>1</v>
      </c>
      <c r="M494" t="s">
        <v>53</v>
      </c>
      <c r="N494">
        <v>158</v>
      </c>
      <c r="O494">
        <v>2</v>
      </c>
      <c r="P494" t="s">
        <v>52</v>
      </c>
      <c r="Q494">
        <v>0.77</v>
      </c>
      <c r="R494">
        <v>0.93</v>
      </c>
      <c r="S494">
        <v>228</v>
      </c>
      <c r="T494" t="s">
        <v>284</v>
      </c>
      <c r="U494">
        <v>221</v>
      </c>
      <c r="V494" t="s">
        <v>284</v>
      </c>
      <c r="W494">
        <v>236</v>
      </c>
      <c r="X494" t="s">
        <v>284</v>
      </c>
      <c r="Y494">
        <v>244</v>
      </c>
      <c r="Z494" t="s">
        <v>284</v>
      </c>
      <c r="AA494">
        <v>252</v>
      </c>
      <c r="AB494" t="s">
        <v>284</v>
      </c>
      <c r="AG494">
        <v>236</v>
      </c>
      <c r="AH494" t="s">
        <v>54</v>
      </c>
      <c r="AI494" t="s">
        <v>52</v>
      </c>
      <c r="AX494">
        <v>339</v>
      </c>
      <c r="AY494" t="s">
        <v>285</v>
      </c>
      <c r="AZ494" t="s">
        <v>287</v>
      </c>
      <c r="BQ494" t="s">
        <v>52</v>
      </c>
      <c r="BR494">
        <v>1.85</v>
      </c>
      <c r="BS494" t="s">
        <v>284</v>
      </c>
      <c r="BT494">
        <v>1.35</v>
      </c>
      <c r="BU494" t="s">
        <v>284</v>
      </c>
      <c r="BV494">
        <v>1.03</v>
      </c>
      <c r="BW494" t="s">
        <v>288</v>
      </c>
      <c r="BX494">
        <v>1.34</v>
      </c>
      <c r="BY494" t="s">
        <v>289</v>
      </c>
      <c r="BZ494">
        <v>1.42</v>
      </c>
      <c r="CA494" t="s">
        <v>288</v>
      </c>
      <c r="CF494">
        <v>1.37</v>
      </c>
      <c r="CG494" t="s">
        <v>54</v>
      </c>
      <c r="CH494" t="s">
        <v>52</v>
      </c>
    </row>
    <row r="495" spans="1:86" x14ac:dyDescent="0.25">
      <c r="A495" t="s">
        <v>47</v>
      </c>
      <c r="B495">
        <v>8</v>
      </c>
      <c r="C495" t="s">
        <v>138</v>
      </c>
      <c r="D495">
        <v>33</v>
      </c>
      <c r="E495" t="s">
        <v>83</v>
      </c>
      <c r="F495">
        <v>158</v>
      </c>
      <c r="H495" t="s">
        <v>50</v>
      </c>
      <c r="K495" t="s">
        <v>52</v>
      </c>
      <c r="L495">
        <v>1</v>
      </c>
      <c r="M495" t="s">
        <v>53</v>
      </c>
      <c r="N495">
        <v>158</v>
      </c>
      <c r="O495">
        <v>2</v>
      </c>
      <c r="P495" t="s">
        <v>52</v>
      </c>
      <c r="Q495">
        <v>0.77</v>
      </c>
      <c r="R495">
        <v>0.93</v>
      </c>
      <c r="S495">
        <v>228</v>
      </c>
      <c r="T495" t="s">
        <v>284</v>
      </c>
      <c r="U495">
        <v>221</v>
      </c>
      <c r="V495" t="s">
        <v>284</v>
      </c>
      <c r="W495">
        <v>236</v>
      </c>
      <c r="X495" t="s">
        <v>284</v>
      </c>
      <c r="Y495">
        <v>244</v>
      </c>
      <c r="Z495" t="s">
        <v>284</v>
      </c>
      <c r="AA495">
        <v>252</v>
      </c>
      <c r="AB495" t="s">
        <v>284</v>
      </c>
      <c r="AG495">
        <v>236</v>
      </c>
      <c r="AH495" t="s">
        <v>54</v>
      </c>
      <c r="AI495" t="s">
        <v>52</v>
      </c>
      <c r="AX495">
        <v>339</v>
      </c>
      <c r="AY495" t="s">
        <v>285</v>
      </c>
      <c r="AZ495" t="s">
        <v>287</v>
      </c>
      <c r="BQ495" t="s">
        <v>52</v>
      </c>
      <c r="BR495">
        <v>1.31</v>
      </c>
      <c r="BS495" t="s">
        <v>289</v>
      </c>
      <c r="BT495">
        <v>1.01</v>
      </c>
      <c r="BU495" t="s">
        <v>284</v>
      </c>
      <c r="BV495">
        <v>0.33</v>
      </c>
      <c r="BW495" t="s">
        <v>289</v>
      </c>
      <c r="BX495">
        <v>0.56999999999999995</v>
      </c>
      <c r="BY495" t="s">
        <v>289</v>
      </c>
      <c r="BZ495">
        <v>0.1</v>
      </c>
      <c r="CA495" t="s">
        <v>289</v>
      </c>
      <c r="CF495">
        <v>0.64</v>
      </c>
      <c r="CG495" t="s">
        <v>54</v>
      </c>
      <c r="CH495" t="s">
        <v>52</v>
      </c>
    </row>
    <row r="496" spans="1:86" x14ac:dyDescent="0.25">
      <c r="A496" t="s">
        <v>47</v>
      </c>
      <c r="B496">
        <v>8</v>
      </c>
      <c r="C496" t="s">
        <v>138</v>
      </c>
      <c r="D496">
        <v>33</v>
      </c>
      <c r="E496" t="s">
        <v>84</v>
      </c>
      <c r="F496">
        <v>11</v>
      </c>
      <c r="G496" t="s">
        <v>85</v>
      </c>
      <c r="H496" t="s">
        <v>50</v>
      </c>
      <c r="K496" t="s">
        <v>51</v>
      </c>
      <c r="L496">
        <v>1</v>
      </c>
      <c r="M496" t="s">
        <v>53</v>
      </c>
      <c r="N496">
        <v>11</v>
      </c>
      <c r="O496">
        <v>2</v>
      </c>
      <c r="P496" t="s">
        <v>52</v>
      </c>
      <c r="Q496">
        <v>0.5</v>
      </c>
      <c r="R496">
        <v>0.75</v>
      </c>
      <c r="S496">
        <v>155</v>
      </c>
      <c r="T496" t="s">
        <v>284</v>
      </c>
      <c r="U496">
        <v>110</v>
      </c>
      <c r="V496" t="s">
        <v>284</v>
      </c>
      <c r="W496">
        <v>118</v>
      </c>
      <c r="X496" t="s">
        <v>284</v>
      </c>
      <c r="Y496">
        <v>122</v>
      </c>
      <c r="Z496" t="s">
        <v>284</v>
      </c>
      <c r="AA496">
        <v>126</v>
      </c>
      <c r="AB496" t="s">
        <v>284</v>
      </c>
      <c r="AG496">
        <v>122</v>
      </c>
      <c r="AH496" t="s">
        <v>54</v>
      </c>
      <c r="AI496" t="s">
        <v>52</v>
      </c>
      <c r="AZ496" t="s">
        <v>52</v>
      </c>
      <c r="BQ496" t="s">
        <v>52</v>
      </c>
      <c r="BR496">
        <v>1.41</v>
      </c>
      <c r="BS496" t="s">
        <v>285</v>
      </c>
      <c r="BT496">
        <v>1.36</v>
      </c>
      <c r="BU496" t="s">
        <v>284</v>
      </c>
      <c r="BV496">
        <v>1.48</v>
      </c>
      <c r="BW496" t="s">
        <v>284</v>
      </c>
      <c r="BX496">
        <v>1.29</v>
      </c>
      <c r="BY496" t="s">
        <v>284</v>
      </c>
      <c r="BZ496">
        <v>1.22</v>
      </c>
      <c r="CA496" t="s">
        <v>284</v>
      </c>
      <c r="CF496">
        <v>1.35</v>
      </c>
      <c r="CG496" t="s">
        <v>54</v>
      </c>
      <c r="CH496" t="s">
        <v>52</v>
      </c>
    </row>
    <row r="497" spans="1:86" x14ac:dyDescent="0.25">
      <c r="A497" t="s">
        <v>47</v>
      </c>
      <c r="B497">
        <v>8</v>
      </c>
      <c r="C497" t="s">
        <v>138</v>
      </c>
      <c r="D497">
        <v>33</v>
      </c>
      <c r="E497" t="s">
        <v>84</v>
      </c>
      <c r="F497">
        <v>11</v>
      </c>
      <c r="G497" t="s">
        <v>85</v>
      </c>
      <c r="H497" t="s">
        <v>50</v>
      </c>
      <c r="K497" t="s">
        <v>52</v>
      </c>
      <c r="L497">
        <v>1</v>
      </c>
      <c r="M497" t="s">
        <v>53</v>
      </c>
      <c r="N497">
        <v>11</v>
      </c>
      <c r="O497">
        <v>2</v>
      </c>
      <c r="P497" t="s">
        <v>52</v>
      </c>
      <c r="Q497">
        <v>0.5</v>
      </c>
      <c r="R497">
        <v>0.75</v>
      </c>
      <c r="S497">
        <v>155</v>
      </c>
      <c r="T497" t="s">
        <v>284</v>
      </c>
      <c r="U497">
        <v>110</v>
      </c>
      <c r="V497" t="s">
        <v>284</v>
      </c>
      <c r="W497">
        <v>118</v>
      </c>
      <c r="X497" t="s">
        <v>284</v>
      </c>
      <c r="Y497">
        <v>122</v>
      </c>
      <c r="Z497" t="s">
        <v>284</v>
      </c>
      <c r="AA497">
        <v>126</v>
      </c>
      <c r="AB497" t="s">
        <v>284</v>
      </c>
      <c r="AG497">
        <v>122</v>
      </c>
      <c r="AH497" t="s">
        <v>54</v>
      </c>
      <c r="AI497" t="s">
        <v>52</v>
      </c>
      <c r="AZ497" t="s">
        <v>52</v>
      </c>
      <c r="BQ497" t="s">
        <v>52</v>
      </c>
      <c r="BR497">
        <v>0.39</v>
      </c>
      <c r="BS497" t="s">
        <v>285</v>
      </c>
      <c r="BT497">
        <v>0.37</v>
      </c>
      <c r="BU497" t="s">
        <v>284</v>
      </c>
      <c r="BV497">
        <v>0.41</v>
      </c>
      <c r="BW497" t="s">
        <v>284</v>
      </c>
      <c r="BX497">
        <v>0.35</v>
      </c>
      <c r="BY497" t="s">
        <v>284</v>
      </c>
      <c r="BZ497">
        <v>0.31</v>
      </c>
      <c r="CA497" t="s">
        <v>284</v>
      </c>
      <c r="CF497">
        <v>0.37</v>
      </c>
      <c r="CG497" t="s">
        <v>54</v>
      </c>
      <c r="CH497" t="s">
        <v>52</v>
      </c>
    </row>
    <row r="498" spans="1:86" x14ac:dyDescent="0.25">
      <c r="A498" t="s">
        <v>47</v>
      </c>
      <c r="B498">
        <v>8</v>
      </c>
      <c r="C498" t="s">
        <v>138</v>
      </c>
      <c r="D498">
        <v>33</v>
      </c>
      <c r="E498" t="s">
        <v>84</v>
      </c>
      <c r="F498">
        <v>11</v>
      </c>
      <c r="G498" t="s">
        <v>96</v>
      </c>
      <c r="H498" t="s">
        <v>50</v>
      </c>
      <c r="K498" t="s">
        <v>51</v>
      </c>
      <c r="L498">
        <v>1</v>
      </c>
      <c r="M498" t="s">
        <v>53</v>
      </c>
      <c r="N498">
        <v>11</v>
      </c>
      <c r="O498">
        <v>2</v>
      </c>
      <c r="P498" t="s">
        <v>52</v>
      </c>
      <c r="Q498">
        <v>0.5</v>
      </c>
      <c r="R498">
        <v>0.75</v>
      </c>
      <c r="S498">
        <v>124</v>
      </c>
      <c r="T498" t="s">
        <v>284</v>
      </c>
      <c r="U498">
        <v>110</v>
      </c>
      <c r="V498" t="s">
        <v>284</v>
      </c>
      <c r="W498">
        <v>118</v>
      </c>
      <c r="X498" t="s">
        <v>284</v>
      </c>
      <c r="Y498">
        <v>122</v>
      </c>
      <c r="Z498" t="s">
        <v>284</v>
      </c>
      <c r="AA498">
        <v>126</v>
      </c>
      <c r="AB498" t="s">
        <v>284</v>
      </c>
      <c r="AG498">
        <v>121.33329999999999</v>
      </c>
      <c r="AH498" t="s">
        <v>54</v>
      </c>
      <c r="AI498" t="s">
        <v>52</v>
      </c>
      <c r="AZ498" t="s">
        <v>52</v>
      </c>
      <c r="BQ498" t="s">
        <v>52</v>
      </c>
      <c r="BR498">
        <v>1.41</v>
      </c>
      <c r="BS498" t="s">
        <v>285</v>
      </c>
      <c r="BT498">
        <v>1.36</v>
      </c>
      <c r="BU498" t="s">
        <v>284</v>
      </c>
      <c r="BV498">
        <v>1.48</v>
      </c>
      <c r="BW498" t="s">
        <v>284</v>
      </c>
      <c r="BX498">
        <v>1.29</v>
      </c>
      <c r="BY498" t="s">
        <v>284</v>
      </c>
      <c r="BZ498">
        <v>1.1100000000000001</v>
      </c>
      <c r="CA498" t="s">
        <v>284</v>
      </c>
      <c r="CF498">
        <v>1.35</v>
      </c>
      <c r="CG498" t="s">
        <v>54</v>
      </c>
      <c r="CH498" t="s">
        <v>52</v>
      </c>
    </row>
    <row r="499" spans="1:86" x14ac:dyDescent="0.25">
      <c r="A499" t="s">
        <v>47</v>
      </c>
      <c r="B499">
        <v>8</v>
      </c>
      <c r="C499" t="s">
        <v>138</v>
      </c>
      <c r="D499">
        <v>33</v>
      </c>
      <c r="E499" t="s">
        <v>84</v>
      </c>
      <c r="F499">
        <v>11</v>
      </c>
      <c r="G499" t="s">
        <v>96</v>
      </c>
      <c r="H499" t="s">
        <v>50</v>
      </c>
      <c r="K499" t="s">
        <v>52</v>
      </c>
      <c r="L499">
        <v>1</v>
      </c>
      <c r="M499" t="s">
        <v>53</v>
      </c>
      <c r="N499">
        <v>11</v>
      </c>
      <c r="O499">
        <v>2</v>
      </c>
      <c r="P499" t="s">
        <v>52</v>
      </c>
      <c r="Q499">
        <v>0.5</v>
      </c>
      <c r="R499">
        <v>0.75</v>
      </c>
      <c r="S499">
        <v>124</v>
      </c>
      <c r="T499" t="s">
        <v>284</v>
      </c>
      <c r="U499">
        <v>110</v>
      </c>
      <c r="V499" t="s">
        <v>284</v>
      </c>
      <c r="W499">
        <v>118</v>
      </c>
      <c r="X499" t="s">
        <v>284</v>
      </c>
      <c r="Y499">
        <v>122</v>
      </c>
      <c r="Z499" t="s">
        <v>284</v>
      </c>
      <c r="AA499">
        <v>126</v>
      </c>
      <c r="AB499" t="s">
        <v>284</v>
      </c>
      <c r="AG499">
        <v>121.33329999999999</v>
      </c>
      <c r="AH499" t="s">
        <v>54</v>
      </c>
      <c r="AI499" t="s">
        <v>52</v>
      </c>
      <c r="AZ499" t="s">
        <v>52</v>
      </c>
      <c r="BQ499" t="s">
        <v>52</v>
      </c>
      <c r="BR499">
        <v>0.39</v>
      </c>
      <c r="BS499" t="s">
        <v>285</v>
      </c>
      <c r="BT499">
        <v>0.37</v>
      </c>
      <c r="BU499" t="s">
        <v>284</v>
      </c>
      <c r="BV499">
        <v>0.41</v>
      </c>
      <c r="BW499" t="s">
        <v>284</v>
      </c>
      <c r="BX499">
        <v>0.35</v>
      </c>
      <c r="BY499" t="s">
        <v>284</v>
      </c>
      <c r="BZ499">
        <v>0.31</v>
      </c>
      <c r="CA499" t="s">
        <v>284</v>
      </c>
      <c r="CF499">
        <v>0.37</v>
      </c>
      <c r="CG499" t="s">
        <v>54</v>
      </c>
      <c r="CH499" t="s">
        <v>52</v>
      </c>
    </row>
    <row r="500" spans="1:86" x14ac:dyDescent="0.25">
      <c r="A500" t="s">
        <v>47</v>
      </c>
      <c r="B500">
        <v>8</v>
      </c>
      <c r="C500" t="s">
        <v>141</v>
      </c>
      <c r="D500">
        <v>35</v>
      </c>
      <c r="E500" t="s">
        <v>49</v>
      </c>
      <c r="F500">
        <v>27</v>
      </c>
      <c r="H500" t="s">
        <v>50</v>
      </c>
      <c r="K500" t="s">
        <v>51</v>
      </c>
      <c r="L500">
        <v>1</v>
      </c>
      <c r="M500" t="s">
        <v>53</v>
      </c>
      <c r="N500">
        <v>27</v>
      </c>
      <c r="O500">
        <v>1</v>
      </c>
      <c r="P500" t="s">
        <v>52</v>
      </c>
      <c r="Q500">
        <v>0</v>
      </c>
      <c r="R500">
        <v>0.75</v>
      </c>
      <c r="S500">
        <v>231</v>
      </c>
      <c r="T500" t="s">
        <v>284</v>
      </c>
      <c r="U500">
        <v>208</v>
      </c>
      <c r="V500" t="s">
        <v>284</v>
      </c>
      <c r="W500">
        <v>224</v>
      </c>
      <c r="X500" t="s">
        <v>284</v>
      </c>
      <c r="Y500">
        <v>225</v>
      </c>
      <c r="Z500" t="s">
        <v>285</v>
      </c>
      <c r="AA500">
        <v>247</v>
      </c>
      <c r="AB500" t="s">
        <v>285</v>
      </c>
      <c r="AC500">
        <v>241</v>
      </c>
      <c r="AD500" t="s">
        <v>285</v>
      </c>
      <c r="AE500">
        <v>219</v>
      </c>
      <c r="AF500" t="s">
        <v>285</v>
      </c>
      <c r="AG500">
        <v>219</v>
      </c>
      <c r="AH500" t="s">
        <v>286</v>
      </c>
      <c r="AI500" t="s">
        <v>287</v>
      </c>
      <c r="AX500">
        <v>263</v>
      </c>
      <c r="AY500" t="s">
        <v>286</v>
      </c>
      <c r="AZ500" t="s">
        <v>287</v>
      </c>
      <c r="BQ500" t="s">
        <v>52</v>
      </c>
      <c r="BR500">
        <v>3.7</v>
      </c>
      <c r="BS500" t="s">
        <v>284</v>
      </c>
      <c r="BT500">
        <v>3.4</v>
      </c>
      <c r="BU500" t="s">
        <v>284</v>
      </c>
      <c r="BV500">
        <v>3.29</v>
      </c>
      <c r="BW500" t="s">
        <v>284</v>
      </c>
      <c r="BX500">
        <v>1</v>
      </c>
      <c r="BY500" t="s">
        <v>284</v>
      </c>
      <c r="BZ500">
        <v>0.8</v>
      </c>
      <c r="CA500" t="s">
        <v>289</v>
      </c>
      <c r="CF500">
        <v>2.56</v>
      </c>
      <c r="CG500" t="s">
        <v>54</v>
      </c>
      <c r="CH500" t="s">
        <v>52</v>
      </c>
    </row>
    <row r="501" spans="1:86" x14ac:dyDescent="0.25">
      <c r="A501" t="s">
        <v>47</v>
      </c>
      <c r="B501">
        <v>8</v>
      </c>
      <c r="C501" t="s">
        <v>141</v>
      </c>
      <c r="D501">
        <v>35</v>
      </c>
      <c r="E501" t="s">
        <v>49</v>
      </c>
      <c r="F501">
        <v>27</v>
      </c>
      <c r="H501" t="s">
        <v>50</v>
      </c>
      <c r="K501" t="s">
        <v>52</v>
      </c>
      <c r="L501">
        <v>1</v>
      </c>
      <c r="M501" t="s">
        <v>53</v>
      </c>
      <c r="N501">
        <v>27</v>
      </c>
      <c r="O501">
        <v>1</v>
      </c>
      <c r="P501" t="s">
        <v>52</v>
      </c>
      <c r="Q501">
        <v>0</v>
      </c>
      <c r="R501">
        <v>0.75</v>
      </c>
      <c r="S501">
        <v>231</v>
      </c>
      <c r="T501" t="s">
        <v>284</v>
      </c>
      <c r="U501">
        <v>208</v>
      </c>
      <c r="V501" t="s">
        <v>284</v>
      </c>
      <c r="W501">
        <v>224</v>
      </c>
      <c r="X501" t="s">
        <v>284</v>
      </c>
      <c r="Y501">
        <v>225</v>
      </c>
      <c r="Z501" t="s">
        <v>285</v>
      </c>
      <c r="AA501">
        <v>247</v>
      </c>
      <c r="AB501" t="s">
        <v>285</v>
      </c>
      <c r="AC501">
        <v>241</v>
      </c>
      <c r="AD501" t="s">
        <v>285</v>
      </c>
      <c r="AE501">
        <v>219</v>
      </c>
      <c r="AF501" t="s">
        <v>285</v>
      </c>
      <c r="AG501">
        <v>219</v>
      </c>
      <c r="AH501" t="s">
        <v>286</v>
      </c>
      <c r="AI501" t="s">
        <v>287</v>
      </c>
      <c r="AX501">
        <v>263</v>
      </c>
      <c r="AY501" t="s">
        <v>286</v>
      </c>
      <c r="AZ501" t="s">
        <v>287</v>
      </c>
      <c r="BQ501" t="s">
        <v>52</v>
      </c>
      <c r="BR501">
        <v>1.3</v>
      </c>
      <c r="BS501" t="s">
        <v>284</v>
      </c>
      <c r="BT501">
        <v>1.2</v>
      </c>
      <c r="BU501" t="s">
        <v>284</v>
      </c>
      <c r="BV501">
        <v>0.75</v>
      </c>
      <c r="BW501" t="s">
        <v>284</v>
      </c>
      <c r="BX501">
        <v>0.12</v>
      </c>
      <c r="BY501" t="s">
        <v>284</v>
      </c>
      <c r="BZ501">
        <v>0.14000000000000001</v>
      </c>
      <c r="CA501" t="s">
        <v>289</v>
      </c>
      <c r="CF501">
        <v>0.7</v>
      </c>
      <c r="CG501" t="s">
        <v>54</v>
      </c>
      <c r="CH501" t="s">
        <v>52</v>
      </c>
    </row>
    <row r="502" spans="1:86" x14ac:dyDescent="0.25">
      <c r="A502" t="s">
        <v>47</v>
      </c>
      <c r="B502">
        <v>8</v>
      </c>
      <c r="C502" t="s">
        <v>141</v>
      </c>
      <c r="D502">
        <v>35</v>
      </c>
      <c r="E502" t="s">
        <v>58</v>
      </c>
      <c r="F502">
        <v>102</v>
      </c>
      <c r="G502" t="s">
        <v>62</v>
      </c>
      <c r="H502" t="s">
        <v>50</v>
      </c>
      <c r="K502" t="s">
        <v>51</v>
      </c>
      <c r="L502">
        <v>1</v>
      </c>
      <c r="M502" t="s">
        <v>53</v>
      </c>
      <c r="N502">
        <v>102</v>
      </c>
      <c r="O502">
        <v>1</v>
      </c>
      <c r="P502" t="s">
        <v>52</v>
      </c>
      <c r="Q502">
        <v>0</v>
      </c>
      <c r="R502">
        <v>0.92</v>
      </c>
      <c r="S502">
        <v>131.69999999999999</v>
      </c>
      <c r="T502" t="s">
        <v>284</v>
      </c>
      <c r="U502">
        <v>170</v>
      </c>
      <c r="V502" t="s">
        <v>284</v>
      </c>
      <c r="W502">
        <v>191</v>
      </c>
      <c r="X502" t="s">
        <v>284</v>
      </c>
      <c r="Y502">
        <v>207</v>
      </c>
      <c r="Z502" t="s">
        <v>284</v>
      </c>
      <c r="AA502">
        <v>205</v>
      </c>
      <c r="AB502" t="s">
        <v>285</v>
      </c>
      <c r="AG502">
        <v>188.66669999999999</v>
      </c>
      <c r="AH502" t="s">
        <v>54</v>
      </c>
      <c r="AI502" t="s">
        <v>52</v>
      </c>
      <c r="AX502">
        <v>271.60000000000002</v>
      </c>
      <c r="AY502" t="s">
        <v>285</v>
      </c>
      <c r="AZ502" t="s">
        <v>287</v>
      </c>
      <c r="BQ502" t="s">
        <v>52</v>
      </c>
      <c r="BR502">
        <v>1.85</v>
      </c>
      <c r="BS502" t="s">
        <v>284</v>
      </c>
      <c r="BT502">
        <v>0.92</v>
      </c>
      <c r="BU502" t="s">
        <v>284</v>
      </c>
      <c r="BV502">
        <v>0.53</v>
      </c>
      <c r="BW502" t="s">
        <v>285</v>
      </c>
      <c r="BX502">
        <v>0.41</v>
      </c>
      <c r="BY502" t="s">
        <v>285</v>
      </c>
      <c r="BZ502">
        <v>0.35</v>
      </c>
      <c r="CA502" t="s">
        <v>284</v>
      </c>
      <c r="CF502">
        <v>0.62</v>
      </c>
      <c r="CG502" t="s">
        <v>54</v>
      </c>
      <c r="CH502" t="s">
        <v>52</v>
      </c>
    </row>
    <row r="503" spans="1:86" x14ac:dyDescent="0.25">
      <c r="A503" t="s">
        <v>47</v>
      </c>
      <c r="B503">
        <v>8</v>
      </c>
      <c r="C503" t="s">
        <v>141</v>
      </c>
      <c r="D503">
        <v>35</v>
      </c>
      <c r="E503" t="s">
        <v>58</v>
      </c>
      <c r="F503">
        <v>102</v>
      </c>
      <c r="G503" t="s">
        <v>62</v>
      </c>
      <c r="H503" t="s">
        <v>50</v>
      </c>
      <c r="K503" t="s">
        <v>52</v>
      </c>
      <c r="L503">
        <v>1</v>
      </c>
      <c r="M503" t="s">
        <v>53</v>
      </c>
      <c r="N503">
        <v>102</v>
      </c>
      <c r="O503">
        <v>1</v>
      </c>
      <c r="P503" t="s">
        <v>52</v>
      </c>
      <c r="Q503">
        <v>0</v>
      </c>
      <c r="R503">
        <v>0.92</v>
      </c>
      <c r="S503">
        <v>131.69999999999999</v>
      </c>
      <c r="T503" t="s">
        <v>284</v>
      </c>
      <c r="U503">
        <v>170</v>
      </c>
      <c r="V503" t="s">
        <v>284</v>
      </c>
      <c r="W503">
        <v>191</v>
      </c>
      <c r="X503" t="s">
        <v>284</v>
      </c>
      <c r="Y503">
        <v>207</v>
      </c>
      <c r="Z503" t="s">
        <v>284</v>
      </c>
      <c r="AA503">
        <v>205</v>
      </c>
      <c r="AB503" t="s">
        <v>285</v>
      </c>
      <c r="AG503">
        <v>188.66669999999999</v>
      </c>
      <c r="AH503" t="s">
        <v>54</v>
      </c>
      <c r="AI503" t="s">
        <v>52</v>
      </c>
      <c r="AX503">
        <v>271.60000000000002</v>
      </c>
      <c r="AY503" t="s">
        <v>285</v>
      </c>
      <c r="AZ503" t="s">
        <v>287</v>
      </c>
      <c r="BQ503" t="s">
        <v>52</v>
      </c>
      <c r="BR503">
        <v>0.83</v>
      </c>
      <c r="BS503" t="s">
        <v>285</v>
      </c>
      <c r="BT503">
        <v>0.43</v>
      </c>
      <c r="BU503" t="s">
        <v>285</v>
      </c>
      <c r="BV503">
        <v>0.19</v>
      </c>
      <c r="BW503" t="s">
        <v>285</v>
      </c>
      <c r="BX503">
        <v>0.35</v>
      </c>
      <c r="BY503" t="s">
        <v>285</v>
      </c>
      <c r="BZ503">
        <v>0.3</v>
      </c>
      <c r="CA503" t="s">
        <v>284</v>
      </c>
      <c r="CF503">
        <v>0.36</v>
      </c>
      <c r="CG503" t="s">
        <v>54</v>
      </c>
      <c r="CH503" t="s">
        <v>52</v>
      </c>
    </row>
    <row r="504" spans="1:86" x14ac:dyDescent="0.25">
      <c r="A504" t="s">
        <v>47</v>
      </c>
      <c r="B504">
        <v>8</v>
      </c>
      <c r="C504" t="s">
        <v>141</v>
      </c>
      <c r="D504">
        <v>35</v>
      </c>
      <c r="E504" t="s">
        <v>68</v>
      </c>
      <c r="F504">
        <v>80</v>
      </c>
      <c r="G504" t="s">
        <v>69</v>
      </c>
      <c r="H504" t="s">
        <v>50</v>
      </c>
      <c r="K504" t="s">
        <v>52</v>
      </c>
      <c r="L504">
        <v>1</v>
      </c>
      <c r="M504" t="s">
        <v>53</v>
      </c>
      <c r="N504">
        <v>80</v>
      </c>
      <c r="O504">
        <v>1</v>
      </c>
      <c r="P504" t="s">
        <v>52</v>
      </c>
      <c r="Q504">
        <v>0.5</v>
      </c>
      <c r="R504">
        <v>0.75</v>
      </c>
      <c r="S504">
        <v>202.92</v>
      </c>
      <c r="T504" t="s">
        <v>284</v>
      </c>
      <c r="U504">
        <v>198.9</v>
      </c>
      <c r="V504" t="s">
        <v>284</v>
      </c>
      <c r="W504">
        <v>212.4</v>
      </c>
      <c r="X504" t="s">
        <v>284</v>
      </c>
      <c r="Y504">
        <v>219.6</v>
      </c>
      <c r="Z504" t="s">
        <v>284</v>
      </c>
      <c r="AA504">
        <v>178</v>
      </c>
      <c r="AB504" t="s">
        <v>284</v>
      </c>
      <c r="AG504">
        <v>204.74</v>
      </c>
      <c r="AH504" t="s">
        <v>54</v>
      </c>
      <c r="AI504" t="s">
        <v>52</v>
      </c>
      <c r="AZ504" t="s">
        <v>52</v>
      </c>
      <c r="BQ504" t="s">
        <v>52</v>
      </c>
      <c r="BR504">
        <v>0.65</v>
      </c>
      <c r="BS504" t="s">
        <v>285</v>
      </c>
      <c r="BT504">
        <v>0.48</v>
      </c>
      <c r="BU504" t="s">
        <v>284</v>
      </c>
      <c r="BV504">
        <v>0.69</v>
      </c>
      <c r="BW504" t="s">
        <v>284</v>
      </c>
      <c r="BX504">
        <v>0.65</v>
      </c>
      <c r="BY504" t="s">
        <v>284</v>
      </c>
      <c r="BZ504">
        <v>0.56999999999999995</v>
      </c>
      <c r="CA504" t="s">
        <v>285</v>
      </c>
      <c r="CF504">
        <v>0.62</v>
      </c>
      <c r="CG504" t="s">
        <v>54</v>
      </c>
      <c r="CH504" t="s">
        <v>52</v>
      </c>
    </row>
    <row r="505" spans="1:86" x14ac:dyDescent="0.25">
      <c r="A505" t="s">
        <v>47</v>
      </c>
      <c r="B505">
        <v>8</v>
      </c>
      <c r="C505" t="s">
        <v>141</v>
      </c>
      <c r="D505">
        <v>35</v>
      </c>
      <c r="E505" t="s">
        <v>70</v>
      </c>
      <c r="F505">
        <v>296</v>
      </c>
      <c r="G505" t="s">
        <v>71</v>
      </c>
      <c r="H505" t="s">
        <v>50</v>
      </c>
      <c r="K505" t="s">
        <v>51</v>
      </c>
      <c r="L505">
        <v>1</v>
      </c>
      <c r="M505" t="s">
        <v>53</v>
      </c>
      <c r="N505">
        <v>296</v>
      </c>
      <c r="O505">
        <v>1</v>
      </c>
      <c r="P505" t="s">
        <v>52</v>
      </c>
      <c r="Q505">
        <v>0</v>
      </c>
      <c r="R505">
        <v>0.75</v>
      </c>
      <c r="S505">
        <v>228</v>
      </c>
      <c r="T505" t="s">
        <v>284</v>
      </c>
      <c r="U505">
        <v>190</v>
      </c>
      <c r="V505" t="s">
        <v>285</v>
      </c>
      <c r="W505">
        <v>194</v>
      </c>
      <c r="X505" t="s">
        <v>285</v>
      </c>
      <c r="Y505">
        <v>225</v>
      </c>
      <c r="Z505" t="s">
        <v>285</v>
      </c>
      <c r="AA505">
        <v>247</v>
      </c>
      <c r="AB505" t="s">
        <v>285</v>
      </c>
      <c r="AC505">
        <v>241</v>
      </c>
      <c r="AD505" t="s">
        <v>285</v>
      </c>
      <c r="AE505">
        <v>219</v>
      </c>
      <c r="AF505" t="s">
        <v>285</v>
      </c>
      <c r="AG505">
        <v>219</v>
      </c>
      <c r="AH505" t="s">
        <v>286</v>
      </c>
      <c r="AI505" t="s">
        <v>287</v>
      </c>
      <c r="AX505">
        <v>263</v>
      </c>
      <c r="AY505" t="s">
        <v>286</v>
      </c>
      <c r="AZ505" t="s">
        <v>287</v>
      </c>
      <c r="BQ505" t="s">
        <v>52</v>
      </c>
      <c r="BR505">
        <v>1.85</v>
      </c>
      <c r="BS505" t="s">
        <v>284</v>
      </c>
      <c r="BT505">
        <v>0.92</v>
      </c>
      <c r="BU505" t="s">
        <v>284</v>
      </c>
      <c r="BV505">
        <v>0.55000000000000004</v>
      </c>
      <c r="BW505" t="s">
        <v>285</v>
      </c>
      <c r="BX505">
        <v>0.55000000000000004</v>
      </c>
      <c r="BY505" t="s">
        <v>285</v>
      </c>
      <c r="BZ505">
        <v>0.55000000000000004</v>
      </c>
      <c r="CA505" t="s">
        <v>284</v>
      </c>
      <c r="CF505">
        <v>0.67</v>
      </c>
      <c r="CG505" t="s">
        <v>54</v>
      </c>
      <c r="CH505" t="s">
        <v>52</v>
      </c>
    </row>
    <row r="506" spans="1:86" x14ac:dyDescent="0.25">
      <c r="A506" t="s">
        <v>47</v>
      </c>
      <c r="B506">
        <v>8</v>
      </c>
      <c r="C506" t="s">
        <v>141</v>
      </c>
      <c r="D506">
        <v>35</v>
      </c>
      <c r="E506" t="s">
        <v>70</v>
      </c>
      <c r="F506">
        <v>296</v>
      </c>
      <c r="G506" t="s">
        <v>71</v>
      </c>
      <c r="H506" t="s">
        <v>50</v>
      </c>
      <c r="K506" t="s">
        <v>52</v>
      </c>
      <c r="L506">
        <v>1</v>
      </c>
      <c r="M506" t="s">
        <v>53</v>
      </c>
      <c r="N506">
        <v>296</v>
      </c>
      <c r="O506">
        <v>1</v>
      </c>
      <c r="P506" t="s">
        <v>52</v>
      </c>
      <c r="Q506">
        <v>0</v>
      </c>
      <c r="R506">
        <v>0.75</v>
      </c>
      <c r="S506">
        <v>228</v>
      </c>
      <c r="T506" t="s">
        <v>284</v>
      </c>
      <c r="U506">
        <v>190</v>
      </c>
      <c r="V506" t="s">
        <v>285</v>
      </c>
      <c r="W506">
        <v>194</v>
      </c>
      <c r="X506" t="s">
        <v>285</v>
      </c>
      <c r="Y506">
        <v>225</v>
      </c>
      <c r="Z506" t="s">
        <v>285</v>
      </c>
      <c r="AA506">
        <v>247</v>
      </c>
      <c r="AB506" t="s">
        <v>285</v>
      </c>
      <c r="AC506">
        <v>241</v>
      </c>
      <c r="AD506" t="s">
        <v>285</v>
      </c>
      <c r="AE506">
        <v>219</v>
      </c>
      <c r="AF506" t="s">
        <v>285</v>
      </c>
      <c r="AG506">
        <v>219</v>
      </c>
      <c r="AH506" t="s">
        <v>286</v>
      </c>
      <c r="AI506" t="s">
        <v>287</v>
      </c>
      <c r="AX506">
        <v>263</v>
      </c>
      <c r="AY506" t="s">
        <v>286</v>
      </c>
      <c r="AZ506" t="s">
        <v>287</v>
      </c>
      <c r="BQ506" t="s">
        <v>52</v>
      </c>
      <c r="BR506">
        <v>0.65</v>
      </c>
      <c r="BS506" t="s">
        <v>284</v>
      </c>
      <c r="BT506">
        <v>0.46</v>
      </c>
      <c r="BU506" t="s">
        <v>285</v>
      </c>
      <c r="BV506">
        <v>0.14000000000000001</v>
      </c>
      <c r="BW506" t="s">
        <v>285</v>
      </c>
      <c r="BX506">
        <v>0.22</v>
      </c>
      <c r="BY506" t="s">
        <v>284</v>
      </c>
      <c r="BZ506">
        <v>0.22</v>
      </c>
      <c r="CA506" t="s">
        <v>284</v>
      </c>
      <c r="CF506">
        <v>0.3</v>
      </c>
      <c r="CG506" t="s">
        <v>54</v>
      </c>
      <c r="CH506" t="s">
        <v>52</v>
      </c>
    </row>
    <row r="507" spans="1:86" x14ac:dyDescent="0.25">
      <c r="A507" t="s">
        <v>47</v>
      </c>
      <c r="B507">
        <v>8</v>
      </c>
      <c r="C507" t="s">
        <v>141</v>
      </c>
      <c r="D507">
        <v>35</v>
      </c>
      <c r="E507" t="s">
        <v>75</v>
      </c>
      <c r="F507">
        <v>16</v>
      </c>
      <c r="G507" t="s">
        <v>76</v>
      </c>
      <c r="H507" t="s">
        <v>50</v>
      </c>
      <c r="K507" t="s">
        <v>52</v>
      </c>
      <c r="L507">
        <v>1</v>
      </c>
      <c r="M507" t="s">
        <v>53</v>
      </c>
      <c r="N507">
        <v>16</v>
      </c>
      <c r="O507">
        <v>2</v>
      </c>
      <c r="P507" t="s">
        <v>52</v>
      </c>
      <c r="Q507">
        <v>0.5</v>
      </c>
      <c r="R507">
        <v>0.75</v>
      </c>
      <c r="S507">
        <v>83.35</v>
      </c>
      <c r="T507" t="s">
        <v>285</v>
      </c>
      <c r="U507">
        <v>96.14</v>
      </c>
      <c r="V507" t="s">
        <v>284</v>
      </c>
      <c r="W507">
        <v>103.37</v>
      </c>
      <c r="X507" t="s">
        <v>284</v>
      </c>
      <c r="Y507">
        <v>106.14</v>
      </c>
      <c r="Z507" t="s">
        <v>284</v>
      </c>
      <c r="AA507">
        <v>128</v>
      </c>
      <c r="AB507" t="s">
        <v>285</v>
      </c>
      <c r="AG507">
        <v>101.88330000000001</v>
      </c>
      <c r="AH507" t="s">
        <v>54</v>
      </c>
      <c r="AI507" t="s">
        <v>52</v>
      </c>
      <c r="AX507">
        <v>146.69999999999999</v>
      </c>
      <c r="AY507" t="s">
        <v>285</v>
      </c>
      <c r="AZ507" t="s">
        <v>287</v>
      </c>
      <c r="BQ507" t="s">
        <v>52</v>
      </c>
      <c r="CH507" t="s">
        <v>52</v>
      </c>
    </row>
    <row r="508" spans="1:86" x14ac:dyDescent="0.25">
      <c r="A508" t="s">
        <v>47</v>
      </c>
      <c r="B508">
        <v>8</v>
      </c>
      <c r="C508" t="s">
        <v>141</v>
      </c>
      <c r="D508">
        <v>35</v>
      </c>
      <c r="E508" t="s">
        <v>79</v>
      </c>
      <c r="F508">
        <v>50</v>
      </c>
      <c r="G508" t="s">
        <v>65</v>
      </c>
      <c r="H508" t="s">
        <v>50</v>
      </c>
      <c r="K508" t="s">
        <v>51</v>
      </c>
      <c r="L508">
        <v>1</v>
      </c>
      <c r="M508" t="s">
        <v>53</v>
      </c>
      <c r="N508">
        <v>50</v>
      </c>
      <c r="O508">
        <v>1</v>
      </c>
      <c r="P508" t="s">
        <v>52</v>
      </c>
      <c r="Q508">
        <v>0.5</v>
      </c>
      <c r="R508">
        <v>0.75</v>
      </c>
      <c r="S508">
        <v>85</v>
      </c>
      <c r="T508" t="s">
        <v>285</v>
      </c>
      <c r="U508">
        <v>93</v>
      </c>
      <c r="V508" t="s">
        <v>284</v>
      </c>
      <c r="W508">
        <v>89.7</v>
      </c>
      <c r="X508" t="s">
        <v>284</v>
      </c>
      <c r="Y508">
        <v>92.72</v>
      </c>
      <c r="Z508" t="s">
        <v>284</v>
      </c>
      <c r="AA508">
        <v>109</v>
      </c>
      <c r="AB508" t="s">
        <v>285</v>
      </c>
      <c r="AG508">
        <v>91.806700000000006</v>
      </c>
      <c r="AH508" t="s">
        <v>54</v>
      </c>
      <c r="AI508" t="s">
        <v>52</v>
      </c>
      <c r="AZ508" t="s">
        <v>52</v>
      </c>
      <c r="BQ508" t="s">
        <v>52</v>
      </c>
      <c r="CH508" t="s">
        <v>52</v>
      </c>
    </row>
    <row r="509" spans="1:86" x14ac:dyDescent="0.25">
      <c r="A509" t="s">
        <v>47</v>
      </c>
      <c r="B509">
        <v>8</v>
      </c>
      <c r="C509" t="s">
        <v>141</v>
      </c>
      <c r="D509">
        <v>35</v>
      </c>
      <c r="E509" t="s">
        <v>79</v>
      </c>
      <c r="F509">
        <v>50</v>
      </c>
      <c r="G509" t="s">
        <v>65</v>
      </c>
      <c r="H509" t="s">
        <v>50</v>
      </c>
      <c r="K509" t="s">
        <v>52</v>
      </c>
      <c r="L509">
        <v>1</v>
      </c>
      <c r="M509" t="s">
        <v>53</v>
      </c>
      <c r="N509">
        <v>50</v>
      </c>
      <c r="O509">
        <v>1</v>
      </c>
      <c r="P509" t="s">
        <v>52</v>
      </c>
      <c r="Q509">
        <v>0.5</v>
      </c>
      <c r="R509">
        <v>0.75</v>
      </c>
      <c r="S509">
        <v>85</v>
      </c>
      <c r="T509" t="s">
        <v>285</v>
      </c>
      <c r="U509">
        <v>93</v>
      </c>
      <c r="V509" t="s">
        <v>284</v>
      </c>
      <c r="W509">
        <v>89.7</v>
      </c>
      <c r="X509" t="s">
        <v>284</v>
      </c>
      <c r="Y509">
        <v>92.72</v>
      </c>
      <c r="Z509" t="s">
        <v>284</v>
      </c>
      <c r="AA509">
        <v>109</v>
      </c>
      <c r="AB509" t="s">
        <v>285</v>
      </c>
      <c r="AG509">
        <v>91.806700000000006</v>
      </c>
      <c r="AH509" t="s">
        <v>54</v>
      </c>
      <c r="AI509" t="s">
        <v>52</v>
      </c>
      <c r="AZ509" t="s">
        <v>52</v>
      </c>
      <c r="BQ509" t="s">
        <v>52</v>
      </c>
      <c r="BR509">
        <v>0.43</v>
      </c>
      <c r="BS509" t="s">
        <v>289</v>
      </c>
      <c r="BT509">
        <v>0.49</v>
      </c>
      <c r="BU509" t="s">
        <v>284</v>
      </c>
      <c r="BV509">
        <v>0.7</v>
      </c>
      <c r="BW509" t="s">
        <v>284</v>
      </c>
      <c r="CH509" t="s">
        <v>52</v>
      </c>
    </row>
    <row r="510" spans="1:86" x14ac:dyDescent="0.25">
      <c r="A510" t="s">
        <v>47</v>
      </c>
      <c r="B510">
        <v>8</v>
      </c>
      <c r="C510" t="s">
        <v>141</v>
      </c>
      <c r="D510">
        <v>35</v>
      </c>
      <c r="E510" t="s">
        <v>83</v>
      </c>
      <c r="F510">
        <v>158</v>
      </c>
      <c r="H510" t="s">
        <v>50</v>
      </c>
      <c r="K510" t="s">
        <v>52</v>
      </c>
      <c r="L510">
        <v>1</v>
      </c>
      <c r="M510" t="s">
        <v>53</v>
      </c>
      <c r="N510">
        <v>158</v>
      </c>
      <c r="O510">
        <v>2</v>
      </c>
      <c r="P510" t="s">
        <v>52</v>
      </c>
      <c r="Q510">
        <v>0.77</v>
      </c>
      <c r="R510">
        <v>0.93</v>
      </c>
      <c r="S510">
        <v>228</v>
      </c>
      <c r="T510" t="s">
        <v>284</v>
      </c>
      <c r="U510">
        <v>221</v>
      </c>
      <c r="V510" t="s">
        <v>284</v>
      </c>
      <c r="W510">
        <v>236</v>
      </c>
      <c r="X510" t="s">
        <v>284</v>
      </c>
      <c r="Y510">
        <v>244</v>
      </c>
      <c r="Z510" t="s">
        <v>284</v>
      </c>
      <c r="AA510">
        <v>252</v>
      </c>
      <c r="AB510" t="s">
        <v>284</v>
      </c>
      <c r="AG510">
        <v>236</v>
      </c>
      <c r="AH510" t="s">
        <v>54</v>
      </c>
      <c r="AI510" t="s">
        <v>52</v>
      </c>
      <c r="AX510">
        <v>339</v>
      </c>
      <c r="AY510" t="s">
        <v>285</v>
      </c>
      <c r="AZ510" t="s">
        <v>287</v>
      </c>
      <c r="BQ510" t="s">
        <v>52</v>
      </c>
      <c r="CH510" t="s">
        <v>52</v>
      </c>
    </row>
    <row r="511" spans="1:86" x14ac:dyDescent="0.25">
      <c r="A511" t="s">
        <v>47</v>
      </c>
      <c r="B511">
        <v>8</v>
      </c>
      <c r="C511" t="s">
        <v>141</v>
      </c>
      <c r="D511">
        <v>35</v>
      </c>
      <c r="E511" t="s">
        <v>84</v>
      </c>
      <c r="F511">
        <v>11</v>
      </c>
      <c r="G511" t="s">
        <v>96</v>
      </c>
      <c r="H511" t="s">
        <v>50</v>
      </c>
      <c r="K511" t="s">
        <v>52</v>
      </c>
      <c r="L511">
        <v>1</v>
      </c>
      <c r="M511" t="s">
        <v>53</v>
      </c>
      <c r="N511">
        <v>11</v>
      </c>
      <c r="O511">
        <v>2</v>
      </c>
      <c r="P511" t="s">
        <v>52</v>
      </c>
      <c r="Q511">
        <v>0.5</v>
      </c>
      <c r="R511">
        <v>0.75</v>
      </c>
      <c r="S511">
        <v>124</v>
      </c>
      <c r="T511" t="s">
        <v>284</v>
      </c>
      <c r="U511">
        <v>110</v>
      </c>
      <c r="V511" t="s">
        <v>284</v>
      </c>
      <c r="W511">
        <v>118</v>
      </c>
      <c r="X511" t="s">
        <v>284</v>
      </c>
      <c r="Y511">
        <v>122</v>
      </c>
      <c r="Z511" t="s">
        <v>284</v>
      </c>
      <c r="AA511">
        <v>126</v>
      </c>
      <c r="AB511" t="s">
        <v>284</v>
      </c>
      <c r="AG511">
        <v>121.33329999999999</v>
      </c>
      <c r="AH511" t="s">
        <v>54</v>
      </c>
      <c r="AI511" t="s">
        <v>52</v>
      </c>
      <c r="AZ511" t="s">
        <v>52</v>
      </c>
      <c r="BQ511" t="s">
        <v>52</v>
      </c>
      <c r="BR511">
        <v>0.51</v>
      </c>
      <c r="BS511" t="s">
        <v>285</v>
      </c>
      <c r="BT511">
        <v>0.43</v>
      </c>
      <c r="BU511" t="s">
        <v>284</v>
      </c>
      <c r="BV511">
        <v>0.53</v>
      </c>
      <c r="BW511" t="s">
        <v>284</v>
      </c>
      <c r="BX511">
        <v>0.46</v>
      </c>
      <c r="BY511" t="s">
        <v>284</v>
      </c>
      <c r="BZ511">
        <v>0.41</v>
      </c>
      <c r="CA511" t="s">
        <v>284</v>
      </c>
      <c r="CF511">
        <v>0.47</v>
      </c>
      <c r="CG511" t="s">
        <v>54</v>
      </c>
      <c r="CH511" t="s">
        <v>52</v>
      </c>
    </row>
    <row r="512" spans="1:86" x14ac:dyDescent="0.25">
      <c r="A512" t="s">
        <v>47</v>
      </c>
      <c r="B512">
        <v>8</v>
      </c>
      <c r="C512" t="s">
        <v>142</v>
      </c>
      <c r="D512">
        <v>37</v>
      </c>
      <c r="E512" t="s">
        <v>49</v>
      </c>
      <c r="F512">
        <v>27</v>
      </c>
      <c r="H512" t="s">
        <v>50</v>
      </c>
      <c r="K512" t="s">
        <v>51</v>
      </c>
      <c r="L512">
        <v>1</v>
      </c>
      <c r="M512" t="s">
        <v>53</v>
      </c>
      <c r="N512">
        <v>27</v>
      </c>
      <c r="O512">
        <v>1</v>
      </c>
      <c r="P512" t="s">
        <v>52</v>
      </c>
      <c r="Q512">
        <v>0</v>
      </c>
      <c r="R512">
        <v>0.75</v>
      </c>
      <c r="S512">
        <v>231</v>
      </c>
      <c r="T512" t="s">
        <v>284</v>
      </c>
      <c r="U512">
        <v>208</v>
      </c>
      <c r="V512" t="s">
        <v>284</v>
      </c>
      <c r="W512">
        <v>224</v>
      </c>
      <c r="X512" t="s">
        <v>284</v>
      </c>
      <c r="Y512">
        <v>225</v>
      </c>
      <c r="Z512" t="s">
        <v>285</v>
      </c>
      <c r="AA512">
        <v>247</v>
      </c>
      <c r="AB512" t="s">
        <v>285</v>
      </c>
      <c r="AC512">
        <v>241</v>
      </c>
      <c r="AD512" t="s">
        <v>285</v>
      </c>
      <c r="AE512">
        <v>219</v>
      </c>
      <c r="AF512" t="s">
        <v>285</v>
      </c>
      <c r="AG512">
        <v>219</v>
      </c>
      <c r="AH512" t="s">
        <v>286</v>
      </c>
      <c r="AI512" t="s">
        <v>287</v>
      </c>
      <c r="AX512">
        <v>263</v>
      </c>
      <c r="AY512" t="s">
        <v>286</v>
      </c>
      <c r="AZ512" t="s">
        <v>287</v>
      </c>
      <c r="BQ512" t="s">
        <v>52</v>
      </c>
      <c r="BR512">
        <v>3.7</v>
      </c>
      <c r="BS512" t="s">
        <v>284</v>
      </c>
      <c r="BT512">
        <v>3.4</v>
      </c>
      <c r="BU512" t="s">
        <v>284</v>
      </c>
      <c r="BV512">
        <v>1.51</v>
      </c>
      <c r="BW512" t="s">
        <v>284</v>
      </c>
      <c r="BX512">
        <v>2.38</v>
      </c>
      <c r="BY512" t="s">
        <v>284</v>
      </c>
      <c r="BZ512">
        <v>1.34</v>
      </c>
      <c r="CA512" t="s">
        <v>288</v>
      </c>
      <c r="CF512">
        <v>2.4300000000000002</v>
      </c>
      <c r="CG512" t="s">
        <v>54</v>
      </c>
      <c r="CH512" t="s">
        <v>52</v>
      </c>
    </row>
    <row r="513" spans="1:86" x14ac:dyDescent="0.25">
      <c r="A513" t="s">
        <v>47</v>
      </c>
      <c r="B513">
        <v>8</v>
      </c>
      <c r="C513" t="s">
        <v>142</v>
      </c>
      <c r="D513">
        <v>37</v>
      </c>
      <c r="E513" t="s">
        <v>58</v>
      </c>
      <c r="F513">
        <v>102</v>
      </c>
      <c r="G513" t="s">
        <v>62</v>
      </c>
      <c r="H513" t="s">
        <v>50</v>
      </c>
      <c r="K513" t="s">
        <v>51</v>
      </c>
      <c r="L513">
        <v>1</v>
      </c>
      <c r="M513" t="s">
        <v>53</v>
      </c>
      <c r="N513">
        <v>102</v>
      </c>
      <c r="O513">
        <v>1</v>
      </c>
      <c r="P513" t="s">
        <v>52</v>
      </c>
      <c r="Q513">
        <v>0</v>
      </c>
      <c r="R513">
        <v>0.92</v>
      </c>
      <c r="S513">
        <v>131.69999999999999</v>
      </c>
      <c r="T513" t="s">
        <v>284</v>
      </c>
      <c r="U513">
        <v>170</v>
      </c>
      <c r="V513" t="s">
        <v>284</v>
      </c>
      <c r="W513">
        <v>191</v>
      </c>
      <c r="X513" t="s">
        <v>284</v>
      </c>
      <c r="Y513">
        <v>207</v>
      </c>
      <c r="Z513" t="s">
        <v>284</v>
      </c>
      <c r="AA513">
        <v>205</v>
      </c>
      <c r="AB513" t="s">
        <v>285</v>
      </c>
      <c r="AG513">
        <v>188.66669999999999</v>
      </c>
      <c r="AH513" t="s">
        <v>54</v>
      </c>
      <c r="AI513" t="s">
        <v>52</v>
      </c>
      <c r="AX513">
        <v>271.60000000000002</v>
      </c>
      <c r="AY513" t="s">
        <v>285</v>
      </c>
      <c r="AZ513" t="s">
        <v>287</v>
      </c>
      <c r="BQ513" t="s">
        <v>52</v>
      </c>
      <c r="BR513">
        <v>1.85</v>
      </c>
      <c r="BS513" t="s">
        <v>284</v>
      </c>
      <c r="BT513">
        <v>1.34</v>
      </c>
      <c r="BU513" t="s">
        <v>284</v>
      </c>
      <c r="BV513">
        <v>0.53</v>
      </c>
      <c r="BW513" t="s">
        <v>285</v>
      </c>
      <c r="BX513">
        <v>0.54</v>
      </c>
      <c r="BY513" t="s">
        <v>285</v>
      </c>
      <c r="BZ513">
        <v>0.46</v>
      </c>
      <c r="CA513" t="s">
        <v>284</v>
      </c>
      <c r="CF513">
        <v>0.8</v>
      </c>
      <c r="CG513" t="s">
        <v>54</v>
      </c>
      <c r="CH513" t="s">
        <v>52</v>
      </c>
    </row>
    <row r="514" spans="1:86" x14ac:dyDescent="0.25">
      <c r="A514" t="s">
        <v>47</v>
      </c>
      <c r="B514">
        <v>8</v>
      </c>
      <c r="C514" t="s">
        <v>142</v>
      </c>
      <c r="D514">
        <v>37</v>
      </c>
      <c r="E514" t="s">
        <v>58</v>
      </c>
      <c r="F514">
        <v>102</v>
      </c>
      <c r="G514" t="s">
        <v>62</v>
      </c>
      <c r="H514" t="s">
        <v>50</v>
      </c>
      <c r="K514" t="s">
        <v>52</v>
      </c>
      <c r="L514">
        <v>1</v>
      </c>
      <c r="M514" t="s">
        <v>53</v>
      </c>
      <c r="N514">
        <v>102</v>
      </c>
      <c r="O514">
        <v>1</v>
      </c>
      <c r="P514" t="s">
        <v>52</v>
      </c>
      <c r="Q514">
        <v>0</v>
      </c>
      <c r="R514">
        <v>0.92</v>
      </c>
      <c r="S514">
        <v>131.69999999999999</v>
      </c>
      <c r="T514" t="s">
        <v>284</v>
      </c>
      <c r="U514">
        <v>170</v>
      </c>
      <c r="V514" t="s">
        <v>284</v>
      </c>
      <c r="W514">
        <v>191</v>
      </c>
      <c r="X514" t="s">
        <v>284</v>
      </c>
      <c r="Y514">
        <v>207</v>
      </c>
      <c r="Z514" t="s">
        <v>284</v>
      </c>
      <c r="AA514">
        <v>205</v>
      </c>
      <c r="AB514" t="s">
        <v>285</v>
      </c>
      <c r="AG514">
        <v>188.66669999999999</v>
      </c>
      <c r="AH514" t="s">
        <v>54</v>
      </c>
      <c r="AI514" t="s">
        <v>52</v>
      </c>
      <c r="AX514">
        <v>271.60000000000002</v>
      </c>
      <c r="AY514" t="s">
        <v>285</v>
      </c>
      <c r="AZ514" t="s">
        <v>287</v>
      </c>
      <c r="BQ514" t="s">
        <v>52</v>
      </c>
      <c r="BR514">
        <v>0.83</v>
      </c>
      <c r="BS514" t="s">
        <v>285</v>
      </c>
      <c r="BT514">
        <v>0.77</v>
      </c>
      <c r="BU514" t="s">
        <v>284</v>
      </c>
      <c r="BV514">
        <v>0.23</v>
      </c>
      <c r="BW514" t="s">
        <v>285</v>
      </c>
      <c r="BX514">
        <v>0.41</v>
      </c>
      <c r="BY514" t="s">
        <v>285</v>
      </c>
      <c r="BZ514">
        <v>0.35</v>
      </c>
      <c r="CA514" t="s">
        <v>284</v>
      </c>
      <c r="CF514">
        <v>0.51</v>
      </c>
      <c r="CG514" t="s">
        <v>54</v>
      </c>
      <c r="CH514" t="s">
        <v>52</v>
      </c>
    </row>
    <row r="515" spans="1:86" x14ac:dyDescent="0.25">
      <c r="A515" t="s">
        <v>47</v>
      </c>
      <c r="B515">
        <v>8</v>
      </c>
      <c r="C515" t="s">
        <v>142</v>
      </c>
      <c r="D515">
        <v>37</v>
      </c>
      <c r="E515" t="s">
        <v>70</v>
      </c>
      <c r="F515">
        <v>296</v>
      </c>
      <c r="G515" t="s">
        <v>71</v>
      </c>
      <c r="H515" t="s">
        <v>50</v>
      </c>
      <c r="K515" t="s">
        <v>51</v>
      </c>
      <c r="L515">
        <v>1</v>
      </c>
      <c r="M515" t="s">
        <v>53</v>
      </c>
      <c r="N515">
        <v>296</v>
      </c>
      <c r="O515">
        <v>1</v>
      </c>
      <c r="P515" t="s">
        <v>52</v>
      </c>
      <c r="Q515">
        <v>0</v>
      </c>
      <c r="R515">
        <v>0.75</v>
      </c>
      <c r="S515">
        <v>228</v>
      </c>
      <c r="T515" t="s">
        <v>284</v>
      </c>
      <c r="U515">
        <v>190</v>
      </c>
      <c r="V515" t="s">
        <v>285</v>
      </c>
      <c r="W515">
        <v>194</v>
      </c>
      <c r="X515" t="s">
        <v>285</v>
      </c>
      <c r="Y515">
        <v>225</v>
      </c>
      <c r="Z515" t="s">
        <v>285</v>
      </c>
      <c r="AA515">
        <v>247</v>
      </c>
      <c r="AB515" t="s">
        <v>285</v>
      </c>
      <c r="AC515">
        <v>241</v>
      </c>
      <c r="AD515" t="s">
        <v>285</v>
      </c>
      <c r="AE515">
        <v>219</v>
      </c>
      <c r="AF515" t="s">
        <v>285</v>
      </c>
      <c r="AG515">
        <v>219</v>
      </c>
      <c r="AH515" t="s">
        <v>286</v>
      </c>
      <c r="AI515" t="s">
        <v>287</v>
      </c>
      <c r="AX515">
        <v>263</v>
      </c>
      <c r="AY515" t="s">
        <v>286</v>
      </c>
      <c r="AZ515" t="s">
        <v>287</v>
      </c>
      <c r="BQ515" t="s">
        <v>52</v>
      </c>
      <c r="BR515">
        <v>1.85</v>
      </c>
      <c r="BS515" t="s">
        <v>284</v>
      </c>
      <c r="BT515">
        <v>1.59</v>
      </c>
      <c r="BU515" t="s">
        <v>285</v>
      </c>
      <c r="BV515">
        <v>0.95</v>
      </c>
      <c r="BW515" t="s">
        <v>285</v>
      </c>
      <c r="BX515">
        <v>0.82</v>
      </c>
      <c r="BY515" t="s">
        <v>288</v>
      </c>
      <c r="BZ515">
        <v>1.28</v>
      </c>
      <c r="CA515" t="s">
        <v>288</v>
      </c>
      <c r="CF515">
        <v>1.27</v>
      </c>
      <c r="CG515" t="s">
        <v>54</v>
      </c>
      <c r="CH515" t="s">
        <v>52</v>
      </c>
    </row>
    <row r="516" spans="1:86" x14ac:dyDescent="0.25">
      <c r="A516" t="s">
        <v>47</v>
      </c>
      <c r="B516">
        <v>8</v>
      </c>
      <c r="C516" t="s">
        <v>142</v>
      </c>
      <c r="D516">
        <v>37</v>
      </c>
      <c r="E516" t="s">
        <v>70</v>
      </c>
      <c r="F516">
        <v>296</v>
      </c>
      <c r="G516" t="s">
        <v>71</v>
      </c>
      <c r="H516" t="s">
        <v>50</v>
      </c>
      <c r="K516" t="s">
        <v>52</v>
      </c>
      <c r="L516">
        <v>1</v>
      </c>
      <c r="M516" t="s">
        <v>53</v>
      </c>
      <c r="N516">
        <v>296</v>
      </c>
      <c r="O516">
        <v>1</v>
      </c>
      <c r="P516" t="s">
        <v>52</v>
      </c>
      <c r="Q516">
        <v>0</v>
      </c>
      <c r="R516">
        <v>0.75</v>
      </c>
      <c r="S516">
        <v>228</v>
      </c>
      <c r="T516" t="s">
        <v>284</v>
      </c>
      <c r="U516">
        <v>190</v>
      </c>
      <c r="V516" t="s">
        <v>285</v>
      </c>
      <c r="W516">
        <v>194</v>
      </c>
      <c r="X516" t="s">
        <v>285</v>
      </c>
      <c r="Y516">
        <v>225</v>
      </c>
      <c r="Z516" t="s">
        <v>285</v>
      </c>
      <c r="AA516">
        <v>247</v>
      </c>
      <c r="AB516" t="s">
        <v>285</v>
      </c>
      <c r="AC516">
        <v>241</v>
      </c>
      <c r="AD516" t="s">
        <v>285</v>
      </c>
      <c r="AE516">
        <v>219</v>
      </c>
      <c r="AF516" t="s">
        <v>285</v>
      </c>
      <c r="AG516">
        <v>219</v>
      </c>
      <c r="AH516" t="s">
        <v>286</v>
      </c>
      <c r="AI516" t="s">
        <v>287</v>
      </c>
      <c r="AX516">
        <v>263</v>
      </c>
      <c r="AY516" t="s">
        <v>286</v>
      </c>
      <c r="AZ516" t="s">
        <v>287</v>
      </c>
      <c r="BQ516" t="s">
        <v>52</v>
      </c>
      <c r="BR516">
        <v>0.65</v>
      </c>
      <c r="BS516" t="s">
        <v>284</v>
      </c>
      <c r="BT516">
        <v>0.79</v>
      </c>
      <c r="BU516" t="s">
        <v>285</v>
      </c>
      <c r="BV516">
        <v>0.24</v>
      </c>
      <c r="BW516" t="s">
        <v>285</v>
      </c>
      <c r="BX516">
        <v>0.22</v>
      </c>
      <c r="BY516" t="s">
        <v>284</v>
      </c>
      <c r="BZ516">
        <v>0.22</v>
      </c>
      <c r="CA516" t="s">
        <v>284</v>
      </c>
      <c r="CF516">
        <v>0.37</v>
      </c>
      <c r="CG516" t="s">
        <v>54</v>
      </c>
      <c r="CH516" t="s">
        <v>52</v>
      </c>
    </row>
    <row r="517" spans="1:86" x14ac:dyDescent="0.25">
      <c r="A517" t="s">
        <v>47</v>
      </c>
      <c r="B517">
        <v>8</v>
      </c>
      <c r="C517" t="s">
        <v>142</v>
      </c>
      <c r="D517">
        <v>37</v>
      </c>
      <c r="E517" t="s">
        <v>75</v>
      </c>
      <c r="F517">
        <v>16</v>
      </c>
      <c r="G517" t="s">
        <v>76</v>
      </c>
      <c r="H517" t="s">
        <v>50</v>
      </c>
      <c r="K517" t="s">
        <v>51</v>
      </c>
      <c r="L517">
        <v>1</v>
      </c>
      <c r="M517" t="s">
        <v>53</v>
      </c>
      <c r="N517">
        <v>16</v>
      </c>
      <c r="O517">
        <v>2</v>
      </c>
      <c r="P517" t="s">
        <v>52</v>
      </c>
      <c r="Q517">
        <v>0.5</v>
      </c>
      <c r="R517">
        <v>0.75</v>
      </c>
      <c r="S517">
        <v>83.35</v>
      </c>
      <c r="T517" t="s">
        <v>285</v>
      </c>
      <c r="U517">
        <v>96.14</v>
      </c>
      <c r="V517" t="s">
        <v>284</v>
      </c>
      <c r="W517">
        <v>103.37</v>
      </c>
      <c r="X517" t="s">
        <v>284</v>
      </c>
      <c r="Y517">
        <v>106.14</v>
      </c>
      <c r="Z517" t="s">
        <v>284</v>
      </c>
      <c r="AA517">
        <v>128</v>
      </c>
      <c r="AB517" t="s">
        <v>285</v>
      </c>
      <c r="AG517">
        <v>101.88330000000001</v>
      </c>
      <c r="AH517" t="s">
        <v>54</v>
      </c>
      <c r="AI517" t="s">
        <v>52</v>
      </c>
      <c r="AX517">
        <v>146.69999999999999</v>
      </c>
      <c r="AY517" t="s">
        <v>285</v>
      </c>
      <c r="AZ517" t="s">
        <v>287</v>
      </c>
      <c r="BQ517" t="s">
        <v>52</v>
      </c>
      <c r="BR517">
        <v>1.85</v>
      </c>
      <c r="BS517" t="s">
        <v>284</v>
      </c>
      <c r="BT517">
        <v>1.34</v>
      </c>
      <c r="BU517" t="s">
        <v>284</v>
      </c>
      <c r="BV517">
        <v>1.1200000000000001</v>
      </c>
      <c r="BW517" t="s">
        <v>284</v>
      </c>
      <c r="BX517">
        <v>1.84</v>
      </c>
      <c r="BY517" t="s">
        <v>284</v>
      </c>
      <c r="BZ517">
        <v>2.15</v>
      </c>
      <c r="CA517" t="s">
        <v>289</v>
      </c>
      <c r="CF517">
        <v>1.68</v>
      </c>
      <c r="CG517" t="s">
        <v>54</v>
      </c>
      <c r="CH517" t="s">
        <v>52</v>
      </c>
    </row>
    <row r="518" spans="1:86" x14ac:dyDescent="0.25">
      <c r="A518" t="s">
        <v>47</v>
      </c>
      <c r="B518">
        <v>8</v>
      </c>
      <c r="C518" t="s">
        <v>143</v>
      </c>
      <c r="D518">
        <v>39</v>
      </c>
      <c r="E518" t="s">
        <v>49</v>
      </c>
      <c r="F518">
        <v>27</v>
      </c>
      <c r="H518" t="s">
        <v>50</v>
      </c>
      <c r="K518" t="s">
        <v>51</v>
      </c>
      <c r="L518">
        <v>1</v>
      </c>
      <c r="M518" t="s">
        <v>53</v>
      </c>
      <c r="N518">
        <v>27</v>
      </c>
      <c r="O518">
        <v>1</v>
      </c>
      <c r="P518" t="s">
        <v>52</v>
      </c>
      <c r="Q518">
        <v>0</v>
      </c>
      <c r="R518">
        <v>0.75</v>
      </c>
      <c r="S518">
        <v>231</v>
      </c>
      <c r="T518" t="s">
        <v>284</v>
      </c>
      <c r="U518">
        <v>208</v>
      </c>
      <c r="V518" t="s">
        <v>284</v>
      </c>
      <c r="W518">
        <v>224</v>
      </c>
      <c r="X518" t="s">
        <v>284</v>
      </c>
      <c r="Y518">
        <v>225</v>
      </c>
      <c r="Z518" t="s">
        <v>285</v>
      </c>
      <c r="AA518">
        <v>247</v>
      </c>
      <c r="AB518" t="s">
        <v>285</v>
      </c>
      <c r="AC518">
        <v>241</v>
      </c>
      <c r="AD518" t="s">
        <v>285</v>
      </c>
      <c r="AE518">
        <v>219</v>
      </c>
      <c r="AF518" t="s">
        <v>285</v>
      </c>
      <c r="AG518">
        <v>219</v>
      </c>
      <c r="AH518" t="s">
        <v>286</v>
      </c>
      <c r="AI518" t="s">
        <v>287</v>
      </c>
      <c r="AX518">
        <v>263</v>
      </c>
      <c r="AY518" t="s">
        <v>286</v>
      </c>
      <c r="AZ518" t="s">
        <v>287</v>
      </c>
      <c r="BQ518" t="s">
        <v>52</v>
      </c>
      <c r="BR518">
        <v>3.7</v>
      </c>
      <c r="BS518" t="s">
        <v>284</v>
      </c>
      <c r="BT518">
        <v>3.4</v>
      </c>
      <c r="BU518" t="s">
        <v>284</v>
      </c>
      <c r="BV518">
        <v>1</v>
      </c>
      <c r="BW518" t="s">
        <v>284</v>
      </c>
      <c r="BX518">
        <v>1.1100000000000001</v>
      </c>
      <c r="BY518" t="s">
        <v>284</v>
      </c>
      <c r="BZ518">
        <v>1.2</v>
      </c>
      <c r="CA518" t="s">
        <v>289</v>
      </c>
      <c r="CF518">
        <v>1.9</v>
      </c>
      <c r="CG518" t="s">
        <v>54</v>
      </c>
      <c r="CH518" t="s">
        <v>52</v>
      </c>
    </row>
    <row r="519" spans="1:86" x14ac:dyDescent="0.25">
      <c r="A519" t="s">
        <v>47</v>
      </c>
      <c r="B519">
        <v>8</v>
      </c>
      <c r="C519" t="s">
        <v>143</v>
      </c>
      <c r="D519">
        <v>39</v>
      </c>
      <c r="E519" t="s">
        <v>49</v>
      </c>
      <c r="F519">
        <v>27</v>
      </c>
      <c r="H519" t="s">
        <v>50</v>
      </c>
      <c r="K519" t="s">
        <v>52</v>
      </c>
      <c r="L519">
        <v>1</v>
      </c>
      <c r="M519" t="s">
        <v>53</v>
      </c>
      <c r="N519">
        <v>27</v>
      </c>
      <c r="O519">
        <v>1</v>
      </c>
      <c r="P519" t="s">
        <v>52</v>
      </c>
      <c r="Q519">
        <v>0</v>
      </c>
      <c r="R519">
        <v>0.75</v>
      </c>
      <c r="S519">
        <v>231</v>
      </c>
      <c r="T519" t="s">
        <v>284</v>
      </c>
      <c r="U519">
        <v>208</v>
      </c>
      <c r="V519" t="s">
        <v>284</v>
      </c>
      <c r="W519">
        <v>224</v>
      </c>
      <c r="X519" t="s">
        <v>284</v>
      </c>
      <c r="Y519">
        <v>225</v>
      </c>
      <c r="Z519" t="s">
        <v>285</v>
      </c>
      <c r="AA519">
        <v>247</v>
      </c>
      <c r="AB519" t="s">
        <v>285</v>
      </c>
      <c r="AC519">
        <v>241</v>
      </c>
      <c r="AD519" t="s">
        <v>285</v>
      </c>
      <c r="AE519">
        <v>219</v>
      </c>
      <c r="AF519" t="s">
        <v>285</v>
      </c>
      <c r="AG519">
        <v>219</v>
      </c>
      <c r="AH519" t="s">
        <v>286</v>
      </c>
      <c r="AI519" t="s">
        <v>287</v>
      </c>
      <c r="AX519">
        <v>263</v>
      </c>
      <c r="AY519" t="s">
        <v>286</v>
      </c>
      <c r="AZ519" t="s">
        <v>287</v>
      </c>
      <c r="BQ519" t="s">
        <v>52</v>
      </c>
      <c r="BR519">
        <v>1.3</v>
      </c>
      <c r="BS519" t="s">
        <v>284</v>
      </c>
      <c r="BT519">
        <v>1.2</v>
      </c>
      <c r="BU519" t="s">
        <v>284</v>
      </c>
      <c r="BV519">
        <v>0.56999999999999995</v>
      </c>
      <c r="BW519" t="s">
        <v>284</v>
      </c>
      <c r="BX519">
        <v>0.56999999999999995</v>
      </c>
      <c r="BY519" t="s">
        <v>284</v>
      </c>
      <c r="BZ519">
        <v>1.3</v>
      </c>
      <c r="CA519" t="s">
        <v>288</v>
      </c>
      <c r="CF519">
        <v>1.02</v>
      </c>
      <c r="CG519" t="s">
        <v>54</v>
      </c>
      <c r="CH519" t="s">
        <v>52</v>
      </c>
    </row>
    <row r="520" spans="1:86" x14ac:dyDescent="0.25">
      <c r="A520" t="s">
        <v>47</v>
      </c>
      <c r="B520">
        <v>8</v>
      </c>
      <c r="C520" t="s">
        <v>143</v>
      </c>
      <c r="D520">
        <v>39</v>
      </c>
      <c r="E520" t="s">
        <v>58</v>
      </c>
      <c r="F520">
        <v>102</v>
      </c>
      <c r="G520" t="s">
        <v>62</v>
      </c>
      <c r="H520" t="s">
        <v>50</v>
      </c>
      <c r="K520" t="s">
        <v>52</v>
      </c>
      <c r="L520">
        <v>1</v>
      </c>
      <c r="M520" t="s">
        <v>53</v>
      </c>
      <c r="N520">
        <v>102</v>
      </c>
      <c r="O520">
        <v>1</v>
      </c>
      <c r="P520" t="s">
        <v>52</v>
      </c>
      <c r="Q520">
        <v>0</v>
      </c>
      <c r="R520">
        <v>0.92</v>
      </c>
      <c r="S520">
        <v>131.69999999999999</v>
      </c>
      <c r="T520" t="s">
        <v>284</v>
      </c>
      <c r="U520">
        <v>170</v>
      </c>
      <c r="V520" t="s">
        <v>284</v>
      </c>
      <c r="W520">
        <v>191</v>
      </c>
      <c r="X520" t="s">
        <v>284</v>
      </c>
      <c r="Y520">
        <v>207</v>
      </c>
      <c r="Z520" t="s">
        <v>284</v>
      </c>
      <c r="AA520">
        <v>205</v>
      </c>
      <c r="AB520" t="s">
        <v>285</v>
      </c>
      <c r="AG520">
        <v>188.66669999999999</v>
      </c>
      <c r="AH520" t="s">
        <v>54</v>
      </c>
      <c r="AI520" t="s">
        <v>52</v>
      </c>
      <c r="AX520">
        <v>271.60000000000002</v>
      </c>
      <c r="AY520" t="s">
        <v>285</v>
      </c>
      <c r="AZ520" t="s">
        <v>287</v>
      </c>
      <c r="BQ520" t="s">
        <v>52</v>
      </c>
      <c r="BR520">
        <v>0.83</v>
      </c>
      <c r="BS520" t="s">
        <v>285</v>
      </c>
      <c r="BT520">
        <v>0.43</v>
      </c>
      <c r="BU520" t="s">
        <v>285</v>
      </c>
      <c r="BV520">
        <v>0.19</v>
      </c>
      <c r="BW520" t="s">
        <v>285</v>
      </c>
      <c r="BX520">
        <v>0.35</v>
      </c>
      <c r="BY520" t="s">
        <v>285</v>
      </c>
      <c r="BZ520">
        <v>0.3</v>
      </c>
      <c r="CA520" t="s">
        <v>284</v>
      </c>
      <c r="CF520">
        <v>0.36</v>
      </c>
      <c r="CG520" t="s">
        <v>54</v>
      </c>
      <c r="CH520" t="s">
        <v>52</v>
      </c>
    </row>
    <row r="521" spans="1:86" x14ac:dyDescent="0.25">
      <c r="A521" t="s">
        <v>47</v>
      </c>
      <c r="B521">
        <v>8</v>
      </c>
      <c r="C521" t="s">
        <v>143</v>
      </c>
      <c r="D521">
        <v>39</v>
      </c>
      <c r="E521" t="s">
        <v>68</v>
      </c>
      <c r="F521">
        <v>80</v>
      </c>
      <c r="G521" t="s">
        <v>69</v>
      </c>
      <c r="H521" t="s">
        <v>50</v>
      </c>
      <c r="K521" t="s">
        <v>51</v>
      </c>
      <c r="L521">
        <v>1</v>
      </c>
      <c r="M521" t="s">
        <v>53</v>
      </c>
      <c r="N521">
        <v>80</v>
      </c>
      <c r="O521">
        <v>1</v>
      </c>
      <c r="P521" t="s">
        <v>52</v>
      </c>
      <c r="Q521">
        <v>0.5</v>
      </c>
      <c r="R521">
        <v>0.75</v>
      </c>
      <c r="S521">
        <v>202.92</v>
      </c>
      <c r="T521" t="s">
        <v>284</v>
      </c>
      <c r="U521">
        <v>198.9</v>
      </c>
      <c r="V521" t="s">
        <v>284</v>
      </c>
      <c r="W521">
        <v>212.4</v>
      </c>
      <c r="X521" t="s">
        <v>284</v>
      </c>
      <c r="Y521">
        <v>219.6</v>
      </c>
      <c r="Z521" t="s">
        <v>284</v>
      </c>
      <c r="AA521">
        <v>178</v>
      </c>
      <c r="AB521" t="s">
        <v>284</v>
      </c>
      <c r="AG521">
        <v>204.74</v>
      </c>
      <c r="AH521" t="s">
        <v>54</v>
      </c>
      <c r="AI521" t="s">
        <v>52</v>
      </c>
      <c r="AZ521" t="s">
        <v>52</v>
      </c>
      <c r="BQ521" t="s">
        <v>52</v>
      </c>
      <c r="BR521">
        <v>1.85</v>
      </c>
      <c r="BS521" t="s">
        <v>285</v>
      </c>
      <c r="BT521">
        <v>1.28</v>
      </c>
      <c r="BU521" t="s">
        <v>285</v>
      </c>
      <c r="BV521">
        <v>1.37</v>
      </c>
      <c r="BW521" t="s">
        <v>285</v>
      </c>
      <c r="BX521">
        <v>1.71</v>
      </c>
      <c r="BY521" t="s">
        <v>285</v>
      </c>
      <c r="BZ521">
        <v>1.3</v>
      </c>
      <c r="CA521" t="s">
        <v>289</v>
      </c>
      <c r="CF521">
        <v>1.46</v>
      </c>
      <c r="CG521" t="s">
        <v>54</v>
      </c>
      <c r="CH521" t="s">
        <v>52</v>
      </c>
    </row>
    <row r="522" spans="1:86" x14ac:dyDescent="0.25">
      <c r="A522" t="s">
        <v>47</v>
      </c>
      <c r="B522">
        <v>8</v>
      </c>
      <c r="C522" t="s">
        <v>143</v>
      </c>
      <c r="D522">
        <v>39</v>
      </c>
      <c r="E522" t="s">
        <v>68</v>
      </c>
      <c r="F522">
        <v>80</v>
      </c>
      <c r="G522" t="s">
        <v>69</v>
      </c>
      <c r="H522" t="s">
        <v>50</v>
      </c>
      <c r="K522" t="s">
        <v>52</v>
      </c>
      <c r="L522">
        <v>1</v>
      </c>
      <c r="M522" t="s">
        <v>53</v>
      </c>
      <c r="N522">
        <v>80</v>
      </c>
      <c r="O522">
        <v>1</v>
      </c>
      <c r="P522" t="s">
        <v>52</v>
      </c>
      <c r="Q522">
        <v>0.5</v>
      </c>
      <c r="R522">
        <v>0.75</v>
      </c>
      <c r="S522">
        <v>202.92</v>
      </c>
      <c r="T522" t="s">
        <v>284</v>
      </c>
      <c r="U522">
        <v>198.9</v>
      </c>
      <c r="V522" t="s">
        <v>284</v>
      </c>
      <c r="W522">
        <v>212.4</v>
      </c>
      <c r="X522" t="s">
        <v>284</v>
      </c>
      <c r="Y522">
        <v>219.6</v>
      </c>
      <c r="Z522" t="s">
        <v>284</v>
      </c>
      <c r="AA522">
        <v>178</v>
      </c>
      <c r="AB522" t="s">
        <v>284</v>
      </c>
      <c r="AG522">
        <v>204.74</v>
      </c>
      <c r="AH522" t="s">
        <v>54</v>
      </c>
      <c r="AI522" t="s">
        <v>52</v>
      </c>
      <c r="AZ522" t="s">
        <v>52</v>
      </c>
      <c r="BQ522" t="s">
        <v>52</v>
      </c>
      <c r="BR522">
        <v>0.65</v>
      </c>
      <c r="BS522" t="s">
        <v>285</v>
      </c>
      <c r="BT522">
        <v>0.48</v>
      </c>
      <c r="BU522" t="s">
        <v>284</v>
      </c>
      <c r="BV522">
        <v>0.69</v>
      </c>
      <c r="BW522" t="s">
        <v>284</v>
      </c>
      <c r="BX522">
        <v>0.39</v>
      </c>
      <c r="BY522" t="s">
        <v>288</v>
      </c>
      <c r="BZ522">
        <v>0.17</v>
      </c>
      <c r="CA522" t="s">
        <v>288</v>
      </c>
      <c r="CF522">
        <v>0.51</v>
      </c>
      <c r="CG522" t="s">
        <v>54</v>
      </c>
      <c r="CH522" t="s">
        <v>52</v>
      </c>
    </row>
    <row r="523" spans="1:86" x14ac:dyDescent="0.25">
      <c r="A523" t="s">
        <v>47</v>
      </c>
      <c r="B523">
        <v>8</v>
      </c>
      <c r="C523" t="s">
        <v>143</v>
      </c>
      <c r="D523">
        <v>39</v>
      </c>
      <c r="E523" t="s">
        <v>70</v>
      </c>
      <c r="F523">
        <v>296</v>
      </c>
      <c r="G523" t="s">
        <v>71</v>
      </c>
      <c r="H523" t="s">
        <v>50</v>
      </c>
      <c r="K523" t="s">
        <v>51</v>
      </c>
      <c r="L523">
        <v>1</v>
      </c>
      <c r="M523" t="s">
        <v>53</v>
      </c>
      <c r="N523">
        <v>296</v>
      </c>
      <c r="O523">
        <v>1</v>
      </c>
      <c r="P523" t="s">
        <v>52</v>
      </c>
      <c r="Q523">
        <v>0</v>
      </c>
      <c r="R523">
        <v>0.75</v>
      </c>
      <c r="S523">
        <v>228</v>
      </c>
      <c r="T523" t="s">
        <v>284</v>
      </c>
      <c r="U523">
        <v>190</v>
      </c>
      <c r="V523" t="s">
        <v>285</v>
      </c>
      <c r="W523">
        <v>194</v>
      </c>
      <c r="X523" t="s">
        <v>285</v>
      </c>
      <c r="Y523">
        <v>225</v>
      </c>
      <c r="Z523" t="s">
        <v>285</v>
      </c>
      <c r="AA523">
        <v>247</v>
      </c>
      <c r="AB523" t="s">
        <v>285</v>
      </c>
      <c r="AC523">
        <v>241</v>
      </c>
      <c r="AD523" t="s">
        <v>285</v>
      </c>
      <c r="AE523">
        <v>219</v>
      </c>
      <c r="AF523" t="s">
        <v>285</v>
      </c>
      <c r="AG523">
        <v>219</v>
      </c>
      <c r="AH523" t="s">
        <v>286</v>
      </c>
      <c r="AI523" t="s">
        <v>287</v>
      </c>
      <c r="AX523">
        <v>263</v>
      </c>
      <c r="AY523" t="s">
        <v>286</v>
      </c>
      <c r="AZ523" t="s">
        <v>287</v>
      </c>
      <c r="BQ523" t="s">
        <v>52</v>
      </c>
      <c r="BR523">
        <v>1.85</v>
      </c>
      <c r="BS523" t="s">
        <v>284</v>
      </c>
      <c r="BT523">
        <v>0.92</v>
      </c>
      <c r="BU523" t="s">
        <v>285</v>
      </c>
      <c r="BV523">
        <v>0.93</v>
      </c>
      <c r="BW523" t="s">
        <v>285</v>
      </c>
      <c r="BX523">
        <v>0.93</v>
      </c>
      <c r="BY523" t="s">
        <v>285</v>
      </c>
      <c r="BZ523">
        <v>1.03</v>
      </c>
      <c r="CA523" t="s">
        <v>288</v>
      </c>
      <c r="CF523">
        <v>0.96</v>
      </c>
      <c r="CG523" t="s">
        <v>54</v>
      </c>
      <c r="CH523" t="s">
        <v>52</v>
      </c>
    </row>
    <row r="524" spans="1:86" x14ac:dyDescent="0.25">
      <c r="A524" t="s">
        <v>47</v>
      </c>
      <c r="B524">
        <v>8</v>
      </c>
      <c r="C524" t="s">
        <v>143</v>
      </c>
      <c r="D524">
        <v>39</v>
      </c>
      <c r="E524" t="s">
        <v>70</v>
      </c>
      <c r="F524">
        <v>296</v>
      </c>
      <c r="G524" t="s">
        <v>71</v>
      </c>
      <c r="H524" t="s">
        <v>50</v>
      </c>
      <c r="K524" t="s">
        <v>52</v>
      </c>
      <c r="L524">
        <v>1</v>
      </c>
      <c r="M524" t="s">
        <v>53</v>
      </c>
      <c r="N524">
        <v>296</v>
      </c>
      <c r="O524">
        <v>1</v>
      </c>
      <c r="P524" t="s">
        <v>52</v>
      </c>
      <c r="Q524">
        <v>0</v>
      </c>
      <c r="R524">
        <v>0.75</v>
      </c>
      <c r="S524">
        <v>228</v>
      </c>
      <c r="T524" t="s">
        <v>284</v>
      </c>
      <c r="U524">
        <v>190</v>
      </c>
      <c r="V524" t="s">
        <v>285</v>
      </c>
      <c r="W524">
        <v>194</v>
      </c>
      <c r="X524" t="s">
        <v>285</v>
      </c>
      <c r="Y524">
        <v>225</v>
      </c>
      <c r="Z524" t="s">
        <v>285</v>
      </c>
      <c r="AA524">
        <v>247</v>
      </c>
      <c r="AB524" t="s">
        <v>285</v>
      </c>
      <c r="AC524">
        <v>241</v>
      </c>
      <c r="AD524" t="s">
        <v>285</v>
      </c>
      <c r="AE524">
        <v>219</v>
      </c>
      <c r="AF524" t="s">
        <v>285</v>
      </c>
      <c r="AG524">
        <v>219</v>
      </c>
      <c r="AH524" t="s">
        <v>286</v>
      </c>
      <c r="AI524" t="s">
        <v>287</v>
      </c>
      <c r="AX524">
        <v>263</v>
      </c>
      <c r="AY524" t="s">
        <v>286</v>
      </c>
      <c r="AZ524" t="s">
        <v>287</v>
      </c>
      <c r="BQ524" t="s">
        <v>52</v>
      </c>
      <c r="BR524">
        <v>0.65</v>
      </c>
      <c r="BS524" t="s">
        <v>284</v>
      </c>
      <c r="BT524">
        <v>0.68</v>
      </c>
      <c r="BU524" t="s">
        <v>285</v>
      </c>
      <c r="BV524">
        <v>0.21</v>
      </c>
      <c r="BW524" t="s">
        <v>285</v>
      </c>
      <c r="BX524">
        <v>0.47</v>
      </c>
      <c r="BY524" t="s">
        <v>285</v>
      </c>
      <c r="BZ524">
        <v>0.13</v>
      </c>
      <c r="CA524" t="s">
        <v>288</v>
      </c>
      <c r="CF524">
        <v>0.44</v>
      </c>
      <c r="CG524" t="s">
        <v>54</v>
      </c>
      <c r="CH524" t="s">
        <v>52</v>
      </c>
    </row>
    <row r="525" spans="1:86" x14ac:dyDescent="0.25">
      <c r="A525" t="s">
        <v>47</v>
      </c>
      <c r="B525">
        <v>8</v>
      </c>
      <c r="C525" t="s">
        <v>143</v>
      </c>
      <c r="D525">
        <v>39</v>
      </c>
      <c r="E525" t="s">
        <v>70</v>
      </c>
      <c r="F525">
        <v>296</v>
      </c>
      <c r="G525" t="s">
        <v>92</v>
      </c>
      <c r="H525" t="s">
        <v>50</v>
      </c>
      <c r="K525" t="s">
        <v>52</v>
      </c>
      <c r="L525">
        <v>1</v>
      </c>
      <c r="M525" t="s">
        <v>53</v>
      </c>
      <c r="N525">
        <v>102</v>
      </c>
      <c r="O525">
        <v>1</v>
      </c>
      <c r="P525" t="s">
        <v>52</v>
      </c>
      <c r="Q525">
        <v>0.5</v>
      </c>
      <c r="R525">
        <v>0.75</v>
      </c>
      <c r="S525">
        <v>228</v>
      </c>
      <c r="T525" t="s">
        <v>284</v>
      </c>
      <c r="U525">
        <v>189</v>
      </c>
      <c r="V525" t="s">
        <v>285</v>
      </c>
      <c r="W525">
        <v>199</v>
      </c>
      <c r="X525" t="s">
        <v>285</v>
      </c>
      <c r="Y525">
        <v>206</v>
      </c>
      <c r="Z525" t="s">
        <v>285</v>
      </c>
      <c r="AA525">
        <v>128</v>
      </c>
      <c r="AB525" t="s">
        <v>285</v>
      </c>
      <c r="AG525">
        <v>198</v>
      </c>
      <c r="AH525" t="s">
        <v>54</v>
      </c>
      <c r="AI525" t="s">
        <v>52</v>
      </c>
      <c r="AZ525" t="s">
        <v>52</v>
      </c>
      <c r="BQ525" t="s">
        <v>52</v>
      </c>
      <c r="CH525" t="s">
        <v>52</v>
      </c>
    </row>
    <row r="526" spans="1:86" x14ac:dyDescent="0.25">
      <c r="A526" t="s">
        <v>47</v>
      </c>
      <c r="B526">
        <v>8</v>
      </c>
      <c r="C526" t="s">
        <v>143</v>
      </c>
      <c r="D526">
        <v>39</v>
      </c>
      <c r="E526" t="s">
        <v>75</v>
      </c>
      <c r="F526">
        <v>16</v>
      </c>
      <c r="G526" t="s">
        <v>76</v>
      </c>
      <c r="H526" t="s">
        <v>50</v>
      </c>
      <c r="K526" t="s">
        <v>51</v>
      </c>
      <c r="L526">
        <v>1</v>
      </c>
      <c r="M526" t="s">
        <v>53</v>
      </c>
      <c r="N526">
        <v>16</v>
      </c>
      <c r="O526">
        <v>2</v>
      </c>
      <c r="P526" t="s">
        <v>52</v>
      </c>
      <c r="Q526">
        <v>0.5</v>
      </c>
      <c r="R526">
        <v>0.75</v>
      </c>
      <c r="S526">
        <v>83.35</v>
      </c>
      <c r="T526" t="s">
        <v>285</v>
      </c>
      <c r="U526">
        <v>96.14</v>
      </c>
      <c r="V526" t="s">
        <v>284</v>
      </c>
      <c r="W526">
        <v>103.37</v>
      </c>
      <c r="X526" t="s">
        <v>284</v>
      </c>
      <c r="Y526">
        <v>106.14</v>
      </c>
      <c r="Z526" t="s">
        <v>284</v>
      </c>
      <c r="AA526">
        <v>128</v>
      </c>
      <c r="AB526" t="s">
        <v>285</v>
      </c>
      <c r="AG526">
        <v>101.88330000000001</v>
      </c>
      <c r="AH526" t="s">
        <v>54</v>
      </c>
      <c r="AI526" t="s">
        <v>52</v>
      </c>
      <c r="AX526">
        <v>146.69999999999999</v>
      </c>
      <c r="AY526" t="s">
        <v>285</v>
      </c>
      <c r="AZ526" t="s">
        <v>287</v>
      </c>
      <c r="BQ526" t="s">
        <v>52</v>
      </c>
      <c r="BR526">
        <v>1.85</v>
      </c>
      <c r="BS526" t="s">
        <v>284</v>
      </c>
      <c r="BT526">
        <v>0.99</v>
      </c>
      <c r="BU526" t="s">
        <v>284</v>
      </c>
      <c r="BV526">
        <v>0.83</v>
      </c>
      <c r="BW526" t="s">
        <v>284</v>
      </c>
      <c r="BX526">
        <v>1.37</v>
      </c>
      <c r="BY526" t="s">
        <v>284</v>
      </c>
      <c r="BZ526">
        <v>1.6</v>
      </c>
      <c r="CA526" t="s">
        <v>288</v>
      </c>
      <c r="CF526">
        <v>1.32</v>
      </c>
      <c r="CG526" t="s">
        <v>54</v>
      </c>
      <c r="CH526" t="s">
        <v>52</v>
      </c>
    </row>
    <row r="527" spans="1:86" x14ac:dyDescent="0.25">
      <c r="A527" t="s">
        <v>47</v>
      </c>
      <c r="B527">
        <v>8</v>
      </c>
      <c r="C527" t="s">
        <v>143</v>
      </c>
      <c r="D527">
        <v>39</v>
      </c>
      <c r="E527" t="s">
        <v>75</v>
      </c>
      <c r="F527">
        <v>16</v>
      </c>
      <c r="G527" t="s">
        <v>76</v>
      </c>
      <c r="H527" t="s">
        <v>50</v>
      </c>
      <c r="K527" t="s">
        <v>52</v>
      </c>
      <c r="L527">
        <v>1</v>
      </c>
      <c r="M527" t="s">
        <v>53</v>
      </c>
      <c r="N527">
        <v>16</v>
      </c>
      <c r="O527">
        <v>2</v>
      </c>
      <c r="P527" t="s">
        <v>52</v>
      </c>
      <c r="Q527">
        <v>0.5</v>
      </c>
      <c r="R527">
        <v>0.75</v>
      </c>
      <c r="S527">
        <v>83.35</v>
      </c>
      <c r="T527" t="s">
        <v>285</v>
      </c>
      <c r="U527">
        <v>96.14</v>
      </c>
      <c r="V527" t="s">
        <v>284</v>
      </c>
      <c r="W527">
        <v>103.37</v>
      </c>
      <c r="X527" t="s">
        <v>284</v>
      </c>
      <c r="Y527">
        <v>106.14</v>
      </c>
      <c r="Z527" t="s">
        <v>284</v>
      </c>
      <c r="AA527">
        <v>128</v>
      </c>
      <c r="AB527" t="s">
        <v>285</v>
      </c>
      <c r="AG527">
        <v>101.88330000000001</v>
      </c>
      <c r="AH527" t="s">
        <v>54</v>
      </c>
      <c r="AI527" t="s">
        <v>52</v>
      </c>
      <c r="AX527">
        <v>146.69999999999999</v>
      </c>
      <c r="AY527" t="s">
        <v>285</v>
      </c>
      <c r="AZ527" t="s">
        <v>287</v>
      </c>
      <c r="BQ527" t="s">
        <v>52</v>
      </c>
      <c r="BR527">
        <v>0.65</v>
      </c>
      <c r="BS527" t="s">
        <v>284</v>
      </c>
      <c r="BT527">
        <v>0.65</v>
      </c>
      <c r="BU527" t="s">
        <v>284</v>
      </c>
      <c r="BV527">
        <v>0.57999999999999996</v>
      </c>
      <c r="BW527" t="s">
        <v>284</v>
      </c>
      <c r="BX527">
        <v>1.2</v>
      </c>
      <c r="BY527" t="s">
        <v>284</v>
      </c>
      <c r="BZ527">
        <v>0.39</v>
      </c>
      <c r="CA527" t="s">
        <v>289</v>
      </c>
      <c r="CF527">
        <v>0.63</v>
      </c>
      <c r="CG527" t="s">
        <v>54</v>
      </c>
      <c r="CH527" t="s">
        <v>52</v>
      </c>
    </row>
    <row r="528" spans="1:86" x14ac:dyDescent="0.25">
      <c r="A528" t="s">
        <v>47</v>
      </c>
      <c r="B528">
        <v>8</v>
      </c>
      <c r="C528" t="s">
        <v>143</v>
      </c>
      <c r="D528">
        <v>39</v>
      </c>
      <c r="E528" t="s">
        <v>93</v>
      </c>
      <c r="F528">
        <v>94</v>
      </c>
      <c r="H528" t="s">
        <v>50</v>
      </c>
      <c r="K528" t="s">
        <v>52</v>
      </c>
      <c r="L528">
        <v>1</v>
      </c>
      <c r="M528" t="s">
        <v>53</v>
      </c>
      <c r="N528">
        <v>94</v>
      </c>
      <c r="O528">
        <v>2</v>
      </c>
      <c r="P528" t="s">
        <v>52</v>
      </c>
      <c r="Q528">
        <v>0.77</v>
      </c>
      <c r="R528">
        <v>0.93</v>
      </c>
      <c r="S528">
        <v>205</v>
      </c>
      <c r="T528" t="s">
        <v>284</v>
      </c>
      <c r="U528">
        <v>175</v>
      </c>
      <c r="V528" t="s">
        <v>284</v>
      </c>
      <c r="W528">
        <v>188</v>
      </c>
      <c r="X528" t="s">
        <v>284</v>
      </c>
      <c r="Y528">
        <v>202.32</v>
      </c>
      <c r="Z528" t="s">
        <v>284</v>
      </c>
      <c r="AA528">
        <v>209.16</v>
      </c>
      <c r="AB528" t="s">
        <v>284</v>
      </c>
      <c r="AG528">
        <v>198.44</v>
      </c>
      <c r="AH528" t="s">
        <v>54</v>
      </c>
      <c r="AI528" t="s">
        <v>52</v>
      </c>
      <c r="AZ528" t="s">
        <v>52</v>
      </c>
      <c r="BQ528" t="s">
        <v>52</v>
      </c>
      <c r="CH528" t="s">
        <v>52</v>
      </c>
    </row>
    <row r="529" spans="1:86" x14ac:dyDescent="0.25">
      <c r="A529" t="s">
        <v>47</v>
      </c>
      <c r="B529">
        <v>8</v>
      </c>
      <c r="C529" t="s">
        <v>143</v>
      </c>
      <c r="D529">
        <v>39</v>
      </c>
      <c r="E529" t="s">
        <v>79</v>
      </c>
      <c r="F529">
        <v>50</v>
      </c>
      <c r="G529" t="s">
        <v>65</v>
      </c>
      <c r="H529" t="s">
        <v>50</v>
      </c>
      <c r="K529" t="s">
        <v>51</v>
      </c>
      <c r="L529">
        <v>1</v>
      </c>
      <c r="M529" t="s">
        <v>53</v>
      </c>
      <c r="N529">
        <v>50</v>
      </c>
      <c r="O529">
        <v>1</v>
      </c>
      <c r="P529" t="s">
        <v>52</v>
      </c>
      <c r="Q529">
        <v>0.5</v>
      </c>
      <c r="R529">
        <v>0.75</v>
      </c>
      <c r="S529">
        <v>85</v>
      </c>
      <c r="T529" t="s">
        <v>285</v>
      </c>
      <c r="U529">
        <v>93</v>
      </c>
      <c r="V529" t="s">
        <v>284</v>
      </c>
      <c r="W529">
        <v>89.7</v>
      </c>
      <c r="X529" t="s">
        <v>284</v>
      </c>
      <c r="Y529">
        <v>92.72</v>
      </c>
      <c r="Z529" t="s">
        <v>284</v>
      </c>
      <c r="AA529">
        <v>109</v>
      </c>
      <c r="AB529" t="s">
        <v>285</v>
      </c>
      <c r="AG529">
        <v>91.806700000000006</v>
      </c>
      <c r="AH529" t="s">
        <v>54</v>
      </c>
      <c r="AI529" t="s">
        <v>52</v>
      </c>
      <c r="AZ529" t="s">
        <v>52</v>
      </c>
      <c r="BQ529" t="s">
        <v>52</v>
      </c>
      <c r="BR529">
        <v>3.57</v>
      </c>
      <c r="BS529" t="s">
        <v>289</v>
      </c>
      <c r="BT529">
        <v>1.74</v>
      </c>
      <c r="BU529" t="s">
        <v>284</v>
      </c>
      <c r="BV529">
        <v>2.5099999999999998</v>
      </c>
      <c r="BW529" t="s">
        <v>284</v>
      </c>
      <c r="BX529">
        <v>2.38</v>
      </c>
      <c r="BY529" t="s">
        <v>284</v>
      </c>
      <c r="BZ529">
        <v>3.12</v>
      </c>
      <c r="CA529" t="s">
        <v>289</v>
      </c>
      <c r="CF529">
        <v>2.67</v>
      </c>
      <c r="CG529" t="s">
        <v>54</v>
      </c>
      <c r="CH529" t="s">
        <v>52</v>
      </c>
    </row>
    <row r="530" spans="1:86" x14ac:dyDescent="0.25">
      <c r="A530" t="s">
        <v>47</v>
      </c>
      <c r="B530">
        <v>8</v>
      </c>
      <c r="C530" t="s">
        <v>143</v>
      </c>
      <c r="D530">
        <v>39</v>
      </c>
      <c r="E530" t="s">
        <v>79</v>
      </c>
      <c r="F530">
        <v>50</v>
      </c>
      <c r="G530" t="s">
        <v>65</v>
      </c>
      <c r="H530" t="s">
        <v>50</v>
      </c>
      <c r="K530" t="s">
        <v>52</v>
      </c>
      <c r="L530">
        <v>1</v>
      </c>
      <c r="M530" t="s">
        <v>53</v>
      </c>
      <c r="N530">
        <v>50</v>
      </c>
      <c r="O530">
        <v>1</v>
      </c>
      <c r="P530" t="s">
        <v>52</v>
      </c>
      <c r="Q530">
        <v>0.5</v>
      </c>
      <c r="R530">
        <v>0.75</v>
      </c>
      <c r="S530">
        <v>85</v>
      </c>
      <c r="T530" t="s">
        <v>285</v>
      </c>
      <c r="U530">
        <v>93</v>
      </c>
      <c r="V530" t="s">
        <v>284</v>
      </c>
      <c r="W530">
        <v>89.7</v>
      </c>
      <c r="X530" t="s">
        <v>284</v>
      </c>
      <c r="Y530">
        <v>92.72</v>
      </c>
      <c r="Z530" t="s">
        <v>284</v>
      </c>
      <c r="AA530">
        <v>109</v>
      </c>
      <c r="AB530" t="s">
        <v>285</v>
      </c>
      <c r="AG530">
        <v>91.806700000000006</v>
      </c>
      <c r="AH530" t="s">
        <v>54</v>
      </c>
      <c r="AI530" t="s">
        <v>52</v>
      </c>
      <c r="AZ530" t="s">
        <v>52</v>
      </c>
      <c r="BQ530" t="s">
        <v>52</v>
      </c>
      <c r="BR530">
        <v>0.33</v>
      </c>
      <c r="BS530" t="s">
        <v>288</v>
      </c>
      <c r="BT530">
        <v>0.8</v>
      </c>
      <c r="BU530" t="s">
        <v>285</v>
      </c>
      <c r="BV530">
        <v>0.51</v>
      </c>
      <c r="BW530" t="s">
        <v>285</v>
      </c>
      <c r="BX530">
        <v>0.92</v>
      </c>
      <c r="BY530" t="s">
        <v>285</v>
      </c>
      <c r="BZ530">
        <v>0.28999999999999998</v>
      </c>
      <c r="CA530" t="s">
        <v>288</v>
      </c>
      <c r="CF530">
        <v>0.55000000000000004</v>
      </c>
      <c r="CG530" t="s">
        <v>54</v>
      </c>
      <c r="CH530" t="s">
        <v>52</v>
      </c>
    </row>
    <row r="531" spans="1:86" x14ac:dyDescent="0.25">
      <c r="A531" t="s">
        <v>47</v>
      </c>
      <c r="B531">
        <v>8</v>
      </c>
      <c r="C531" t="s">
        <v>143</v>
      </c>
      <c r="D531">
        <v>39</v>
      </c>
      <c r="E531" t="s">
        <v>144</v>
      </c>
      <c r="F531">
        <v>81</v>
      </c>
      <c r="G531" t="s">
        <v>69</v>
      </c>
      <c r="H531" t="s">
        <v>50</v>
      </c>
      <c r="K531" t="s">
        <v>52</v>
      </c>
      <c r="L531">
        <v>1</v>
      </c>
      <c r="M531" t="s">
        <v>53</v>
      </c>
      <c r="N531">
        <v>81</v>
      </c>
      <c r="O531">
        <v>1</v>
      </c>
      <c r="P531" t="s">
        <v>52</v>
      </c>
      <c r="Q531">
        <v>0.67</v>
      </c>
      <c r="R531">
        <v>0.92</v>
      </c>
      <c r="S531">
        <v>228</v>
      </c>
      <c r="T531" t="s">
        <v>284</v>
      </c>
      <c r="U531">
        <v>198.9</v>
      </c>
      <c r="V531" t="s">
        <v>284</v>
      </c>
      <c r="AI531" t="s">
        <v>52</v>
      </c>
      <c r="AZ531" t="s">
        <v>52</v>
      </c>
      <c r="BQ531" t="s">
        <v>52</v>
      </c>
      <c r="BR531">
        <v>0.93</v>
      </c>
      <c r="BS531" t="s">
        <v>285</v>
      </c>
      <c r="BT531">
        <v>0.72</v>
      </c>
      <c r="BU531" t="s">
        <v>284</v>
      </c>
      <c r="CH531" t="s">
        <v>52</v>
      </c>
    </row>
    <row r="532" spans="1:86" x14ac:dyDescent="0.25">
      <c r="A532" t="s">
        <v>47</v>
      </c>
      <c r="B532">
        <v>8</v>
      </c>
      <c r="C532" t="s">
        <v>143</v>
      </c>
      <c r="D532">
        <v>39</v>
      </c>
      <c r="E532" t="s">
        <v>83</v>
      </c>
      <c r="F532">
        <v>158</v>
      </c>
      <c r="H532" t="s">
        <v>50</v>
      </c>
      <c r="K532" t="s">
        <v>51</v>
      </c>
      <c r="L532">
        <v>1</v>
      </c>
      <c r="M532" t="s">
        <v>53</v>
      </c>
      <c r="N532">
        <v>158</v>
      </c>
      <c r="O532">
        <v>2</v>
      </c>
      <c r="P532" t="s">
        <v>52</v>
      </c>
      <c r="Q532">
        <v>0.77</v>
      </c>
      <c r="R532">
        <v>0.93</v>
      </c>
      <c r="S532">
        <v>228</v>
      </c>
      <c r="T532" t="s">
        <v>284</v>
      </c>
      <c r="U532">
        <v>221</v>
      </c>
      <c r="V532" t="s">
        <v>284</v>
      </c>
      <c r="W532">
        <v>236</v>
      </c>
      <c r="X532" t="s">
        <v>284</v>
      </c>
      <c r="Y532">
        <v>244</v>
      </c>
      <c r="Z532" t="s">
        <v>284</v>
      </c>
      <c r="AA532">
        <v>252</v>
      </c>
      <c r="AB532" t="s">
        <v>284</v>
      </c>
      <c r="AG532">
        <v>236</v>
      </c>
      <c r="AH532" t="s">
        <v>54</v>
      </c>
      <c r="AI532" t="s">
        <v>52</v>
      </c>
      <c r="AX532">
        <v>339</v>
      </c>
      <c r="AY532" t="s">
        <v>285</v>
      </c>
      <c r="AZ532" t="s">
        <v>287</v>
      </c>
      <c r="BQ532" t="s">
        <v>52</v>
      </c>
      <c r="BR532">
        <v>1.85</v>
      </c>
      <c r="BS532" t="s">
        <v>284</v>
      </c>
      <c r="BT532">
        <v>1.35</v>
      </c>
      <c r="BU532" t="s">
        <v>284</v>
      </c>
      <c r="BV532">
        <v>1.03</v>
      </c>
      <c r="BW532" t="s">
        <v>288</v>
      </c>
      <c r="BX532">
        <v>1.34</v>
      </c>
      <c r="BY532" t="s">
        <v>289</v>
      </c>
      <c r="BZ532">
        <v>1.22</v>
      </c>
      <c r="CA532" t="s">
        <v>289</v>
      </c>
      <c r="CF532">
        <v>1.3</v>
      </c>
      <c r="CG532" t="s">
        <v>54</v>
      </c>
      <c r="CH532" t="s">
        <v>52</v>
      </c>
    </row>
    <row r="533" spans="1:86" x14ac:dyDescent="0.25">
      <c r="A533" t="s">
        <v>47</v>
      </c>
      <c r="B533">
        <v>8</v>
      </c>
      <c r="C533" t="s">
        <v>143</v>
      </c>
      <c r="D533">
        <v>39</v>
      </c>
      <c r="E533" t="s">
        <v>83</v>
      </c>
      <c r="F533">
        <v>158</v>
      </c>
      <c r="H533" t="s">
        <v>50</v>
      </c>
      <c r="K533" t="s">
        <v>52</v>
      </c>
      <c r="L533">
        <v>1</v>
      </c>
      <c r="M533" t="s">
        <v>53</v>
      </c>
      <c r="N533">
        <v>158</v>
      </c>
      <c r="O533">
        <v>2</v>
      </c>
      <c r="P533" t="s">
        <v>52</v>
      </c>
      <c r="Q533">
        <v>0.77</v>
      </c>
      <c r="R533">
        <v>0.93</v>
      </c>
      <c r="S533">
        <v>228</v>
      </c>
      <c r="T533" t="s">
        <v>284</v>
      </c>
      <c r="U533">
        <v>221</v>
      </c>
      <c r="V533" t="s">
        <v>284</v>
      </c>
      <c r="W533">
        <v>236</v>
      </c>
      <c r="X533" t="s">
        <v>284</v>
      </c>
      <c r="Y533">
        <v>244</v>
      </c>
      <c r="Z533" t="s">
        <v>284</v>
      </c>
      <c r="AA533">
        <v>252</v>
      </c>
      <c r="AB533" t="s">
        <v>284</v>
      </c>
      <c r="AG533">
        <v>236</v>
      </c>
      <c r="AH533" t="s">
        <v>54</v>
      </c>
      <c r="AI533" t="s">
        <v>52</v>
      </c>
      <c r="AX533">
        <v>339</v>
      </c>
      <c r="AY533" t="s">
        <v>285</v>
      </c>
      <c r="AZ533" t="s">
        <v>287</v>
      </c>
      <c r="BQ533" t="s">
        <v>52</v>
      </c>
      <c r="BR533">
        <v>1.31</v>
      </c>
      <c r="BS533" t="s">
        <v>285</v>
      </c>
      <c r="BT533">
        <v>1.01</v>
      </c>
      <c r="BU533" t="s">
        <v>284</v>
      </c>
      <c r="BV533">
        <v>0.33</v>
      </c>
      <c r="BW533" t="s">
        <v>288</v>
      </c>
      <c r="BX533">
        <v>0.56999999999999995</v>
      </c>
      <c r="BY533" t="s">
        <v>285</v>
      </c>
      <c r="BZ533">
        <v>0.1</v>
      </c>
      <c r="CA533" t="s">
        <v>289</v>
      </c>
      <c r="CF533">
        <v>0.64</v>
      </c>
      <c r="CG533" t="s">
        <v>54</v>
      </c>
      <c r="CH533" t="s">
        <v>52</v>
      </c>
    </row>
    <row r="534" spans="1:86" x14ac:dyDescent="0.25">
      <c r="A534" t="s">
        <v>47</v>
      </c>
      <c r="B534">
        <v>8</v>
      </c>
      <c r="C534" t="s">
        <v>143</v>
      </c>
      <c r="D534">
        <v>39</v>
      </c>
      <c r="E534" t="s">
        <v>84</v>
      </c>
      <c r="F534">
        <v>11</v>
      </c>
      <c r="G534" t="s">
        <v>96</v>
      </c>
      <c r="H534" t="s">
        <v>50</v>
      </c>
      <c r="K534" t="s">
        <v>52</v>
      </c>
      <c r="L534">
        <v>1</v>
      </c>
      <c r="M534" t="s">
        <v>53</v>
      </c>
      <c r="N534">
        <v>11</v>
      </c>
      <c r="O534">
        <v>2</v>
      </c>
      <c r="P534" t="s">
        <v>52</v>
      </c>
      <c r="Q534">
        <v>0.5</v>
      </c>
      <c r="R534">
        <v>0.75</v>
      </c>
      <c r="S534">
        <v>124</v>
      </c>
      <c r="T534" t="s">
        <v>284</v>
      </c>
      <c r="U534">
        <v>110</v>
      </c>
      <c r="V534" t="s">
        <v>284</v>
      </c>
      <c r="W534">
        <v>118</v>
      </c>
      <c r="X534" t="s">
        <v>284</v>
      </c>
      <c r="Y534">
        <v>122</v>
      </c>
      <c r="Z534" t="s">
        <v>284</v>
      </c>
      <c r="AA534">
        <v>126</v>
      </c>
      <c r="AB534" t="s">
        <v>284</v>
      </c>
      <c r="AG534">
        <v>121.33329999999999</v>
      </c>
      <c r="AH534" t="s">
        <v>54</v>
      </c>
      <c r="AI534" t="s">
        <v>52</v>
      </c>
      <c r="AZ534" t="s">
        <v>52</v>
      </c>
      <c r="BQ534" t="s">
        <v>52</v>
      </c>
      <c r="BR534">
        <v>0.75</v>
      </c>
      <c r="BS534" t="s">
        <v>285</v>
      </c>
      <c r="BT534">
        <v>0.73</v>
      </c>
      <c r="BU534" t="s">
        <v>284</v>
      </c>
      <c r="BV534">
        <v>0.79</v>
      </c>
      <c r="BW534" t="s">
        <v>284</v>
      </c>
      <c r="BX534">
        <v>0.68</v>
      </c>
      <c r="BY534" t="s">
        <v>284</v>
      </c>
      <c r="BZ534">
        <v>0.6</v>
      </c>
      <c r="CA534" t="s">
        <v>284</v>
      </c>
      <c r="CF534">
        <v>0.72</v>
      </c>
      <c r="CG534" t="s">
        <v>54</v>
      </c>
      <c r="CH534" t="s">
        <v>52</v>
      </c>
    </row>
    <row r="535" spans="1:86" x14ac:dyDescent="0.25">
      <c r="A535" t="s">
        <v>47</v>
      </c>
      <c r="B535">
        <v>8</v>
      </c>
      <c r="C535" t="s">
        <v>146</v>
      </c>
      <c r="D535">
        <v>41</v>
      </c>
      <c r="E535" t="s">
        <v>49</v>
      </c>
      <c r="F535">
        <v>27</v>
      </c>
      <c r="H535" t="s">
        <v>50</v>
      </c>
      <c r="K535" t="s">
        <v>51</v>
      </c>
      <c r="L535">
        <v>1</v>
      </c>
      <c r="M535" t="s">
        <v>53</v>
      </c>
      <c r="N535">
        <v>27</v>
      </c>
      <c r="O535">
        <v>1</v>
      </c>
      <c r="P535" t="s">
        <v>52</v>
      </c>
      <c r="Q535">
        <v>0</v>
      </c>
      <c r="R535">
        <v>0.75</v>
      </c>
      <c r="S535">
        <v>231</v>
      </c>
      <c r="T535" t="s">
        <v>284</v>
      </c>
      <c r="U535">
        <v>208</v>
      </c>
      <c r="V535" t="s">
        <v>284</v>
      </c>
      <c r="W535">
        <v>224</v>
      </c>
      <c r="X535" t="s">
        <v>284</v>
      </c>
      <c r="Y535">
        <v>225</v>
      </c>
      <c r="Z535" t="s">
        <v>285</v>
      </c>
      <c r="AA535">
        <v>247</v>
      </c>
      <c r="AB535" t="s">
        <v>285</v>
      </c>
      <c r="AC535">
        <v>241</v>
      </c>
      <c r="AD535" t="s">
        <v>285</v>
      </c>
      <c r="AE535">
        <v>219</v>
      </c>
      <c r="AF535" t="s">
        <v>285</v>
      </c>
      <c r="AG535">
        <v>219</v>
      </c>
      <c r="AH535" t="s">
        <v>286</v>
      </c>
      <c r="AI535" t="s">
        <v>287</v>
      </c>
      <c r="AX535">
        <v>263</v>
      </c>
      <c r="AY535" t="s">
        <v>286</v>
      </c>
      <c r="AZ535" t="s">
        <v>287</v>
      </c>
      <c r="BQ535" t="s">
        <v>52</v>
      </c>
      <c r="BR535">
        <v>3.7</v>
      </c>
      <c r="BS535" t="s">
        <v>284</v>
      </c>
      <c r="BT535">
        <v>3.4</v>
      </c>
      <c r="BU535" t="s">
        <v>284</v>
      </c>
      <c r="BV535">
        <v>1.67</v>
      </c>
      <c r="BW535" t="s">
        <v>284</v>
      </c>
      <c r="BX535">
        <v>1.67</v>
      </c>
      <c r="BY535" t="s">
        <v>284</v>
      </c>
      <c r="BZ535">
        <v>1.7</v>
      </c>
      <c r="CA535" t="s">
        <v>289</v>
      </c>
      <c r="CF535">
        <v>2.2599999999999998</v>
      </c>
      <c r="CG535" t="s">
        <v>54</v>
      </c>
      <c r="CH535" t="s">
        <v>52</v>
      </c>
    </row>
    <row r="536" spans="1:86" x14ac:dyDescent="0.25">
      <c r="A536" t="s">
        <v>47</v>
      </c>
      <c r="B536">
        <v>8</v>
      </c>
      <c r="C536" t="s">
        <v>146</v>
      </c>
      <c r="D536">
        <v>41</v>
      </c>
      <c r="E536" t="s">
        <v>49</v>
      </c>
      <c r="F536">
        <v>27</v>
      </c>
      <c r="H536" t="s">
        <v>50</v>
      </c>
      <c r="K536" t="s">
        <v>52</v>
      </c>
      <c r="L536">
        <v>1</v>
      </c>
      <c r="M536" t="s">
        <v>53</v>
      </c>
      <c r="N536">
        <v>27</v>
      </c>
      <c r="O536">
        <v>1</v>
      </c>
      <c r="P536" t="s">
        <v>52</v>
      </c>
      <c r="Q536">
        <v>0</v>
      </c>
      <c r="R536">
        <v>0.75</v>
      </c>
      <c r="S536">
        <v>231</v>
      </c>
      <c r="T536" t="s">
        <v>284</v>
      </c>
      <c r="U536">
        <v>208</v>
      </c>
      <c r="V536" t="s">
        <v>284</v>
      </c>
      <c r="W536">
        <v>224</v>
      </c>
      <c r="X536" t="s">
        <v>284</v>
      </c>
      <c r="Y536">
        <v>225</v>
      </c>
      <c r="Z536" t="s">
        <v>285</v>
      </c>
      <c r="AA536">
        <v>247</v>
      </c>
      <c r="AB536" t="s">
        <v>285</v>
      </c>
      <c r="AC536">
        <v>241</v>
      </c>
      <c r="AD536" t="s">
        <v>285</v>
      </c>
      <c r="AE536">
        <v>219</v>
      </c>
      <c r="AF536" t="s">
        <v>285</v>
      </c>
      <c r="AG536">
        <v>219</v>
      </c>
      <c r="AH536" t="s">
        <v>286</v>
      </c>
      <c r="AI536" t="s">
        <v>287</v>
      </c>
      <c r="AX536">
        <v>263</v>
      </c>
      <c r="AY536" t="s">
        <v>286</v>
      </c>
      <c r="AZ536" t="s">
        <v>287</v>
      </c>
      <c r="BQ536" t="s">
        <v>52</v>
      </c>
      <c r="BR536">
        <v>1.3</v>
      </c>
      <c r="BS536" t="s">
        <v>284</v>
      </c>
      <c r="BT536">
        <v>1.2</v>
      </c>
      <c r="BU536" t="s">
        <v>284</v>
      </c>
      <c r="BV536">
        <v>1.59</v>
      </c>
      <c r="BW536" t="s">
        <v>284</v>
      </c>
      <c r="BX536">
        <v>1.59</v>
      </c>
      <c r="BY536" t="s">
        <v>284</v>
      </c>
      <c r="BZ536">
        <v>1.6</v>
      </c>
      <c r="CA536" t="s">
        <v>289</v>
      </c>
      <c r="CF536">
        <v>1.49</v>
      </c>
      <c r="CG536" t="s">
        <v>54</v>
      </c>
      <c r="CH536" t="s">
        <v>52</v>
      </c>
    </row>
    <row r="537" spans="1:86" x14ac:dyDescent="0.25">
      <c r="A537" t="s">
        <v>47</v>
      </c>
      <c r="B537">
        <v>8</v>
      </c>
      <c r="C537" t="s">
        <v>146</v>
      </c>
      <c r="D537">
        <v>41</v>
      </c>
      <c r="E537" t="s">
        <v>87</v>
      </c>
      <c r="F537">
        <v>91</v>
      </c>
      <c r="G537" t="s">
        <v>76</v>
      </c>
      <c r="H537" t="s">
        <v>50</v>
      </c>
      <c r="K537" t="s">
        <v>52</v>
      </c>
      <c r="L537">
        <v>1</v>
      </c>
      <c r="M537" t="s">
        <v>53</v>
      </c>
      <c r="N537">
        <v>91</v>
      </c>
      <c r="O537">
        <v>2</v>
      </c>
      <c r="P537" t="s">
        <v>52</v>
      </c>
      <c r="Q537">
        <v>0.77</v>
      </c>
      <c r="R537">
        <v>0.93</v>
      </c>
      <c r="S537">
        <v>135</v>
      </c>
      <c r="T537" t="s">
        <v>284</v>
      </c>
      <c r="U537">
        <v>133</v>
      </c>
      <c r="V537" t="s">
        <v>284</v>
      </c>
      <c r="W537">
        <v>147</v>
      </c>
      <c r="X537" t="s">
        <v>284</v>
      </c>
      <c r="Y537">
        <v>170</v>
      </c>
      <c r="Z537" t="s">
        <v>284</v>
      </c>
      <c r="AA537">
        <v>167</v>
      </c>
      <c r="AB537" t="s">
        <v>284</v>
      </c>
      <c r="AG537">
        <v>149.66669999999999</v>
      </c>
      <c r="AH537" t="s">
        <v>54</v>
      </c>
      <c r="AI537" t="s">
        <v>52</v>
      </c>
      <c r="AZ537" t="s">
        <v>52</v>
      </c>
      <c r="BQ537" t="s">
        <v>52</v>
      </c>
      <c r="CH537" t="s">
        <v>52</v>
      </c>
    </row>
    <row r="538" spans="1:86" x14ac:dyDescent="0.25">
      <c r="A538" t="s">
        <v>47</v>
      </c>
      <c r="B538">
        <v>8</v>
      </c>
      <c r="C538" t="s">
        <v>146</v>
      </c>
      <c r="D538">
        <v>41</v>
      </c>
      <c r="E538" t="s">
        <v>58</v>
      </c>
      <c r="F538">
        <v>102</v>
      </c>
      <c r="G538" t="s">
        <v>147</v>
      </c>
      <c r="H538" t="s">
        <v>50</v>
      </c>
      <c r="K538" t="s">
        <v>52</v>
      </c>
      <c r="L538">
        <v>1</v>
      </c>
      <c r="M538" t="s">
        <v>53</v>
      </c>
      <c r="N538">
        <v>102</v>
      </c>
      <c r="O538">
        <v>1</v>
      </c>
      <c r="P538" t="s">
        <v>52</v>
      </c>
      <c r="Q538">
        <v>0</v>
      </c>
      <c r="R538">
        <v>0.92</v>
      </c>
      <c r="S538">
        <v>131.69999999999999</v>
      </c>
      <c r="T538" t="s">
        <v>284</v>
      </c>
      <c r="U538">
        <v>170</v>
      </c>
      <c r="V538" t="s">
        <v>284</v>
      </c>
      <c r="AI538" t="s">
        <v>52</v>
      </c>
      <c r="AZ538" t="s">
        <v>52</v>
      </c>
      <c r="BQ538" t="s">
        <v>52</v>
      </c>
      <c r="CH538" t="s">
        <v>52</v>
      </c>
    </row>
    <row r="539" spans="1:86" x14ac:dyDescent="0.25">
      <c r="A539" t="s">
        <v>47</v>
      </c>
      <c r="B539">
        <v>8</v>
      </c>
      <c r="C539" t="s">
        <v>146</v>
      </c>
      <c r="D539">
        <v>41</v>
      </c>
      <c r="E539" t="s">
        <v>58</v>
      </c>
      <c r="F539">
        <v>102</v>
      </c>
      <c r="G539" t="s">
        <v>59</v>
      </c>
      <c r="H539" t="s">
        <v>50</v>
      </c>
      <c r="K539" t="s">
        <v>51</v>
      </c>
      <c r="L539">
        <v>1</v>
      </c>
      <c r="M539" t="s">
        <v>53</v>
      </c>
      <c r="N539">
        <v>102</v>
      </c>
      <c r="O539">
        <v>1</v>
      </c>
      <c r="P539" t="s">
        <v>52</v>
      </c>
      <c r="Q539">
        <v>0</v>
      </c>
      <c r="R539">
        <v>0.92</v>
      </c>
      <c r="S539">
        <v>131.69999999999999</v>
      </c>
      <c r="T539" t="s">
        <v>284</v>
      </c>
      <c r="U539">
        <v>126.5</v>
      </c>
      <c r="V539" t="s">
        <v>284</v>
      </c>
      <c r="W539">
        <v>170</v>
      </c>
      <c r="X539" t="s">
        <v>284</v>
      </c>
      <c r="Y539">
        <v>207</v>
      </c>
      <c r="Z539" t="s">
        <v>284</v>
      </c>
      <c r="AA539">
        <v>315</v>
      </c>
      <c r="AB539" t="s">
        <v>285</v>
      </c>
      <c r="AG539">
        <v>169.5667</v>
      </c>
      <c r="AH539" t="s">
        <v>54</v>
      </c>
      <c r="AI539" t="s">
        <v>52</v>
      </c>
      <c r="AZ539" t="s">
        <v>52</v>
      </c>
      <c r="BQ539" t="s">
        <v>52</v>
      </c>
      <c r="BR539">
        <v>1.49</v>
      </c>
      <c r="BS539" t="s">
        <v>288</v>
      </c>
      <c r="BT539">
        <v>1.25</v>
      </c>
      <c r="BU539" t="s">
        <v>284</v>
      </c>
      <c r="BV539">
        <v>0.97</v>
      </c>
      <c r="BW539" t="s">
        <v>285</v>
      </c>
      <c r="BX539">
        <v>0.68</v>
      </c>
      <c r="BY539" t="s">
        <v>285</v>
      </c>
      <c r="BZ539">
        <v>0.57999999999999996</v>
      </c>
      <c r="CA539" t="s">
        <v>284</v>
      </c>
      <c r="CF539">
        <v>0.97</v>
      </c>
      <c r="CG539" t="s">
        <v>54</v>
      </c>
      <c r="CH539" t="s">
        <v>52</v>
      </c>
    </row>
    <row r="540" spans="1:86" x14ac:dyDescent="0.25">
      <c r="A540" t="s">
        <v>47</v>
      </c>
      <c r="B540">
        <v>8</v>
      </c>
      <c r="C540" t="s">
        <v>146</v>
      </c>
      <c r="D540">
        <v>41</v>
      </c>
      <c r="E540" t="s">
        <v>58</v>
      </c>
      <c r="F540">
        <v>102</v>
      </c>
      <c r="G540" t="s">
        <v>61</v>
      </c>
      <c r="H540" t="s">
        <v>50</v>
      </c>
      <c r="K540" t="s">
        <v>51</v>
      </c>
      <c r="L540">
        <v>1</v>
      </c>
      <c r="M540" t="s">
        <v>53</v>
      </c>
      <c r="N540">
        <v>102</v>
      </c>
      <c r="O540">
        <v>1</v>
      </c>
      <c r="P540" t="s">
        <v>52</v>
      </c>
      <c r="Q540">
        <v>0</v>
      </c>
      <c r="R540">
        <v>0.92</v>
      </c>
      <c r="S540">
        <v>131.69999999999999</v>
      </c>
      <c r="T540" t="s">
        <v>284</v>
      </c>
      <c r="U540">
        <v>170</v>
      </c>
      <c r="V540" t="s">
        <v>284</v>
      </c>
      <c r="W540">
        <v>191</v>
      </c>
      <c r="X540" t="s">
        <v>284</v>
      </c>
      <c r="Y540">
        <v>207</v>
      </c>
      <c r="Z540" t="s">
        <v>284</v>
      </c>
      <c r="AA540">
        <v>315</v>
      </c>
      <c r="AB540" t="s">
        <v>285</v>
      </c>
      <c r="AG540">
        <v>189.33330000000001</v>
      </c>
      <c r="AH540" t="s">
        <v>54</v>
      </c>
      <c r="AI540" t="s">
        <v>52</v>
      </c>
      <c r="AZ540" t="s">
        <v>52</v>
      </c>
      <c r="BQ540" t="s">
        <v>52</v>
      </c>
      <c r="CH540" t="s">
        <v>52</v>
      </c>
    </row>
    <row r="541" spans="1:86" x14ac:dyDescent="0.25">
      <c r="A541" t="s">
        <v>47</v>
      </c>
      <c r="B541">
        <v>8</v>
      </c>
      <c r="C541" t="s">
        <v>146</v>
      </c>
      <c r="D541">
        <v>41</v>
      </c>
      <c r="E541" t="s">
        <v>58</v>
      </c>
      <c r="F541">
        <v>102</v>
      </c>
      <c r="G541" t="s">
        <v>148</v>
      </c>
      <c r="H541" t="s">
        <v>50</v>
      </c>
      <c r="K541" t="s">
        <v>52</v>
      </c>
      <c r="L541">
        <v>1</v>
      </c>
      <c r="M541" t="s">
        <v>53</v>
      </c>
      <c r="N541">
        <v>102</v>
      </c>
      <c r="O541">
        <v>1</v>
      </c>
      <c r="P541" t="s">
        <v>52</v>
      </c>
      <c r="Q541">
        <v>0</v>
      </c>
      <c r="R541">
        <v>0.92</v>
      </c>
      <c r="S541">
        <v>131.69999999999999</v>
      </c>
      <c r="T541" t="s">
        <v>284</v>
      </c>
      <c r="U541">
        <v>170</v>
      </c>
      <c r="V541" t="s">
        <v>284</v>
      </c>
      <c r="AI541" t="s">
        <v>52</v>
      </c>
      <c r="AZ541" t="s">
        <v>52</v>
      </c>
      <c r="BQ541" t="s">
        <v>52</v>
      </c>
      <c r="CH541" t="s">
        <v>52</v>
      </c>
    </row>
    <row r="542" spans="1:86" x14ac:dyDescent="0.25">
      <c r="A542" t="s">
        <v>47</v>
      </c>
      <c r="B542">
        <v>8</v>
      </c>
      <c r="C542" t="s">
        <v>146</v>
      </c>
      <c r="D542">
        <v>41</v>
      </c>
      <c r="E542" t="s">
        <v>58</v>
      </c>
      <c r="F542">
        <v>102</v>
      </c>
      <c r="G542" t="s">
        <v>62</v>
      </c>
      <c r="H542" t="s">
        <v>50</v>
      </c>
      <c r="K542" t="s">
        <v>51</v>
      </c>
      <c r="L542">
        <v>1</v>
      </c>
      <c r="M542" t="s">
        <v>53</v>
      </c>
      <c r="N542">
        <v>102</v>
      </c>
      <c r="O542">
        <v>1</v>
      </c>
      <c r="P542" t="s">
        <v>52</v>
      </c>
      <c r="Q542">
        <v>0</v>
      </c>
      <c r="R542">
        <v>0.92</v>
      </c>
      <c r="S542">
        <v>131.69999999999999</v>
      </c>
      <c r="T542" t="s">
        <v>284</v>
      </c>
      <c r="U542">
        <v>170</v>
      </c>
      <c r="V542" t="s">
        <v>284</v>
      </c>
      <c r="W542">
        <v>191</v>
      </c>
      <c r="X542" t="s">
        <v>284</v>
      </c>
      <c r="Y542">
        <v>207</v>
      </c>
      <c r="Z542" t="s">
        <v>284</v>
      </c>
      <c r="AA542">
        <v>205</v>
      </c>
      <c r="AB542" t="s">
        <v>285</v>
      </c>
      <c r="AG542">
        <v>188.66669999999999</v>
      </c>
      <c r="AH542" t="s">
        <v>54</v>
      </c>
      <c r="AI542" t="s">
        <v>52</v>
      </c>
      <c r="AX542">
        <v>271.60000000000002</v>
      </c>
      <c r="AY542" t="s">
        <v>285</v>
      </c>
      <c r="AZ542" t="s">
        <v>287</v>
      </c>
      <c r="BQ542" t="s">
        <v>52</v>
      </c>
      <c r="BR542">
        <v>1.85</v>
      </c>
      <c r="BS542" t="s">
        <v>284</v>
      </c>
      <c r="BT542">
        <v>1.25</v>
      </c>
      <c r="BU542" t="s">
        <v>284</v>
      </c>
      <c r="BV542">
        <v>0.53</v>
      </c>
      <c r="BW542" t="s">
        <v>285</v>
      </c>
      <c r="BX542">
        <v>0.51</v>
      </c>
      <c r="BY542" t="s">
        <v>285</v>
      </c>
      <c r="BZ542">
        <v>0.44</v>
      </c>
      <c r="CA542" t="s">
        <v>284</v>
      </c>
      <c r="CF542">
        <v>0.76</v>
      </c>
      <c r="CG542" t="s">
        <v>54</v>
      </c>
      <c r="CH542" t="s">
        <v>52</v>
      </c>
    </row>
    <row r="543" spans="1:86" x14ac:dyDescent="0.25">
      <c r="A543" t="s">
        <v>47</v>
      </c>
      <c r="B543">
        <v>8</v>
      </c>
      <c r="C543" t="s">
        <v>146</v>
      </c>
      <c r="D543">
        <v>41</v>
      </c>
      <c r="E543" t="s">
        <v>58</v>
      </c>
      <c r="F543">
        <v>102</v>
      </c>
      <c r="G543" t="s">
        <v>62</v>
      </c>
      <c r="H543" t="s">
        <v>50</v>
      </c>
      <c r="K543" t="s">
        <v>52</v>
      </c>
      <c r="L543">
        <v>1</v>
      </c>
      <c r="M543" t="s">
        <v>53</v>
      </c>
      <c r="N543">
        <v>102</v>
      </c>
      <c r="O543">
        <v>1</v>
      </c>
      <c r="P543" t="s">
        <v>52</v>
      </c>
      <c r="Q543">
        <v>0</v>
      </c>
      <c r="R543">
        <v>0.92</v>
      </c>
      <c r="S543">
        <v>131.69999999999999</v>
      </c>
      <c r="T543" t="s">
        <v>284</v>
      </c>
      <c r="U543">
        <v>170</v>
      </c>
      <c r="V543" t="s">
        <v>284</v>
      </c>
      <c r="W543">
        <v>191</v>
      </c>
      <c r="X543" t="s">
        <v>284</v>
      </c>
      <c r="Y543">
        <v>207</v>
      </c>
      <c r="Z543" t="s">
        <v>284</v>
      </c>
      <c r="AA543">
        <v>205</v>
      </c>
      <c r="AB543" t="s">
        <v>285</v>
      </c>
      <c r="AG543">
        <v>188.66669999999999</v>
      </c>
      <c r="AH543" t="s">
        <v>54</v>
      </c>
      <c r="AI543" t="s">
        <v>52</v>
      </c>
      <c r="AX543">
        <v>271.60000000000002</v>
      </c>
      <c r="AY543" t="s">
        <v>285</v>
      </c>
      <c r="AZ543" t="s">
        <v>287</v>
      </c>
      <c r="BQ543" t="s">
        <v>52</v>
      </c>
      <c r="BR543">
        <v>0.51</v>
      </c>
      <c r="BS543" t="s">
        <v>285</v>
      </c>
      <c r="BT543">
        <v>0.88</v>
      </c>
      <c r="BU543" t="s">
        <v>285</v>
      </c>
      <c r="BV543">
        <v>0.19</v>
      </c>
      <c r="BW543" t="s">
        <v>285</v>
      </c>
      <c r="BX543">
        <v>1.47</v>
      </c>
      <c r="BY543" t="s">
        <v>288</v>
      </c>
      <c r="BZ543">
        <v>1.26</v>
      </c>
      <c r="CA543" t="s">
        <v>284</v>
      </c>
      <c r="CF543">
        <v>0.88</v>
      </c>
      <c r="CG543" t="s">
        <v>54</v>
      </c>
      <c r="CH543" t="s">
        <v>52</v>
      </c>
    </row>
    <row r="544" spans="1:86" x14ac:dyDescent="0.25">
      <c r="A544" t="s">
        <v>47</v>
      </c>
      <c r="B544">
        <v>8</v>
      </c>
      <c r="C544" t="s">
        <v>146</v>
      </c>
      <c r="D544">
        <v>41</v>
      </c>
      <c r="E544" t="s">
        <v>58</v>
      </c>
      <c r="F544">
        <v>102</v>
      </c>
      <c r="G544" t="s">
        <v>149</v>
      </c>
      <c r="H544" t="s">
        <v>50</v>
      </c>
      <c r="K544" t="s">
        <v>52</v>
      </c>
      <c r="L544">
        <v>1</v>
      </c>
      <c r="M544" t="s">
        <v>53</v>
      </c>
      <c r="N544">
        <v>102</v>
      </c>
      <c r="O544">
        <v>1</v>
      </c>
      <c r="P544" t="s">
        <v>52</v>
      </c>
      <c r="Q544">
        <v>0</v>
      </c>
      <c r="R544">
        <v>0.92</v>
      </c>
      <c r="S544">
        <v>131.69999999999999</v>
      </c>
      <c r="T544" t="s">
        <v>284</v>
      </c>
      <c r="U544">
        <v>170</v>
      </c>
      <c r="V544" t="s">
        <v>285</v>
      </c>
      <c r="AI544" t="s">
        <v>52</v>
      </c>
      <c r="AZ544" t="s">
        <v>52</v>
      </c>
      <c r="BQ544" t="s">
        <v>52</v>
      </c>
      <c r="CH544" t="s">
        <v>52</v>
      </c>
    </row>
    <row r="545" spans="1:86" x14ac:dyDescent="0.25">
      <c r="A545" t="s">
        <v>47</v>
      </c>
      <c r="B545">
        <v>8</v>
      </c>
      <c r="C545" t="s">
        <v>146</v>
      </c>
      <c r="D545">
        <v>41</v>
      </c>
      <c r="E545" t="s">
        <v>58</v>
      </c>
      <c r="F545">
        <v>102</v>
      </c>
      <c r="G545" t="s">
        <v>136</v>
      </c>
      <c r="H545" t="s">
        <v>50</v>
      </c>
      <c r="K545" t="s">
        <v>51</v>
      </c>
      <c r="L545">
        <v>1</v>
      </c>
      <c r="M545" t="s">
        <v>53</v>
      </c>
      <c r="N545">
        <v>102</v>
      </c>
      <c r="O545">
        <v>1</v>
      </c>
      <c r="P545" t="s">
        <v>52</v>
      </c>
      <c r="Q545">
        <v>0</v>
      </c>
      <c r="R545">
        <v>0.92</v>
      </c>
      <c r="S545">
        <v>131.69999999999999</v>
      </c>
      <c r="T545" t="s">
        <v>284</v>
      </c>
      <c r="U545">
        <v>170</v>
      </c>
      <c r="V545" t="s">
        <v>284</v>
      </c>
      <c r="W545">
        <v>191</v>
      </c>
      <c r="X545" t="s">
        <v>285</v>
      </c>
      <c r="Y545">
        <v>207</v>
      </c>
      <c r="Z545" t="s">
        <v>284</v>
      </c>
      <c r="AA545">
        <v>275</v>
      </c>
      <c r="AB545" t="s">
        <v>285</v>
      </c>
      <c r="AG545">
        <v>189.33330000000001</v>
      </c>
      <c r="AH545" t="s">
        <v>54</v>
      </c>
      <c r="AI545" t="s">
        <v>52</v>
      </c>
      <c r="AZ545" t="s">
        <v>52</v>
      </c>
      <c r="BQ545" t="s">
        <v>52</v>
      </c>
      <c r="CH545" t="s">
        <v>52</v>
      </c>
    </row>
    <row r="546" spans="1:86" x14ac:dyDescent="0.25">
      <c r="A546" t="s">
        <v>47</v>
      </c>
      <c r="B546">
        <v>8</v>
      </c>
      <c r="C546" t="s">
        <v>146</v>
      </c>
      <c r="D546">
        <v>41</v>
      </c>
      <c r="E546" t="s">
        <v>58</v>
      </c>
      <c r="F546">
        <v>102</v>
      </c>
      <c r="G546" t="s">
        <v>114</v>
      </c>
      <c r="H546" t="s">
        <v>50</v>
      </c>
      <c r="K546" t="s">
        <v>51</v>
      </c>
      <c r="L546">
        <v>1</v>
      </c>
      <c r="M546" t="s">
        <v>53</v>
      </c>
      <c r="N546">
        <v>102</v>
      </c>
      <c r="O546">
        <v>1</v>
      </c>
      <c r="P546" t="s">
        <v>52</v>
      </c>
      <c r="Q546">
        <v>0</v>
      </c>
      <c r="R546">
        <v>0.92</v>
      </c>
      <c r="S546">
        <v>131.69999999999999</v>
      </c>
      <c r="T546" t="s">
        <v>284</v>
      </c>
      <c r="U546">
        <v>170</v>
      </c>
      <c r="V546" t="s">
        <v>284</v>
      </c>
      <c r="W546">
        <v>191</v>
      </c>
      <c r="X546" t="s">
        <v>285</v>
      </c>
      <c r="Y546">
        <v>207</v>
      </c>
      <c r="Z546" t="s">
        <v>285</v>
      </c>
      <c r="AA546">
        <v>205</v>
      </c>
      <c r="AB546" t="s">
        <v>285</v>
      </c>
      <c r="AG546">
        <v>188.66669999999999</v>
      </c>
      <c r="AH546" t="s">
        <v>54</v>
      </c>
      <c r="AI546" t="s">
        <v>52</v>
      </c>
      <c r="AZ546" t="s">
        <v>52</v>
      </c>
      <c r="BQ546" t="s">
        <v>52</v>
      </c>
      <c r="CH546" t="s">
        <v>52</v>
      </c>
    </row>
    <row r="547" spans="1:86" x14ac:dyDescent="0.25">
      <c r="A547" t="s">
        <v>47</v>
      </c>
      <c r="B547">
        <v>8</v>
      </c>
      <c r="C547" t="s">
        <v>146</v>
      </c>
      <c r="D547">
        <v>41</v>
      </c>
      <c r="E547" t="s">
        <v>68</v>
      </c>
      <c r="F547">
        <v>80</v>
      </c>
      <c r="G547" t="s">
        <v>69</v>
      </c>
      <c r="H547" t="s">
        <v>50</v>
      </c>
      <c r="K547" t="s">
        <v>51</v>
      </c>
      <c r="L547">
        <v>1</v>
      </c>
      <c r="M547" t="s">
        <v>53</v>
      </c>
      <c r="N547">
        <v>80</v>
      </c>
      <c r="O547">
        <v>1</v>
      </c>
      <c r="P547" t="s">
        <v>52</v>
      </c>
      <c r="Q547">
        <v>0.5</v>
      </c>
      <c r="R547">
        <v>0.75</v>
      </c>
      <c r="S547">
        <v>202.92</v>
      </c>
      <c r="T547" t="s">
        <v>284</v>
      </c>
      <c r="U547">
        <v>198.9</v>
      </c>
      <c r="V547" t="s">
        <v>284</v>
      </c>
      <c r="W547">
        <v>212.4</v>
      </c>
      <c r="X547" t="s">
        <v>284</v>
      </c>
      <c r="Y547">
        <v>219.6</v>
      </c>
      <c r="Z547" t="s">
        <v>284</v>
      </c>
      <c r="AA547">
        <v>178</v>
      </c>
      <c r="AB547" t="s">
        <v>284</v>
      </c>
      <c r="AG547">
        <v>204.74</v>
      </c>
      <c r="AH547" t="s">
        <v>54</v>
      </c>
      <c r="AI547" t="s">
        <v>52</v>
      </c>
      <c r="AZ547" t="s">
        <v>52</v>
      </c>
      <c r="BQ547" t="s">
        <v>52</v>
      </c>
      <c r="BR547">
        <v>1.85</v>
      </c>
      <c r="BS547" t="s">
        <v>284</v>
      </c>
      <c r="BT547">
        <v>1.25</v>
      </c>
      <c r="BU547" t="s">
        <v>284</v>
      </c>
      <c r="BV547">
        <v>1.37</v>
      </c>
      <c r="BW547" t="s">
        <v>284</v>
      </c>
      <c r="BX547">
        <v>1.71</v>
      </c>
      <c r="BY547" t="s">
        <v>284</v>
      </c>
      <c r="BZ547">
        <v>1.49</v>
      </c>
      <c r="CA547" t="s">
        <v>285</v>
      </c>
      <c r="CF547">
        <v>1.52</v>
      </c>
      <c r="CG547" t="s">
        <v>54</v>
      </c>
      <c r="CH547" t="s">
        <v>52</v>
      </c>
    </row>
    <row r="548" spans="1:86" x14ac:dyDescent="0.25">
      <c r="A548" t="s">
        <v>47</v>
      </c>
      <c r="B548">
        <v>8</v>
      </c>
      <c r="C548" t="s">
        <v>146</v>
      </c>
      <c r="D548">
        <v>41</v>
      </c>
      <c r="E548" t="s">
        <v>68</v>
      </c>
      <c r="F548">
        <v>80</v>
      </c>
      <c r="G548" t="s">
        <v>69</v>
      </c>
      <c r="H548" t="s">
        <v>50</v>
      </c>
      <c r="K548" t="s">
        <v>52</v>
      </c>
      <c r="L548">
        <v>1</v>
      </c>
      <c r="M548" t="s">
        <v>53</v>
      </c>
      <c r="N548">
        <v>80</v>
      </c>
      <c r="O548">
        <v>1</v>
      </c>
      <c r="P548" t="s">
        <v>52</v>
      </c>
      <c r="Q548">
        <v>0.5</v>
      </c>
      <c r="R548">
        <v>0.75</v>
      </c>
      <c r="S548">
        <v>202.92</v>
      </c>
      <c r="T548" t="s">
        <v>284</v>
      </c>
      <c r="U548">
        <v>198.9</v>
      </c>
      <c r="V548" t="s">
        <v>284</v>
      </c>
      <c r="W548">
        <v>212.4</v>
      </c>
      <c r="X548" t="s">
        <v>284</v>
      </c>
      <c r="Y548">
        <v>219.6</v>
      </c>
      <c r="Z548" t="s">
        <v>284</v>
      </c>
      <c r="AA548">
        <v>178</v>
      </c>
      <c r="AB548" t="s">
        <v>284</v>
      </c>
      <c r="AG548">
        <v>204.74</v>
      </c>
      <c r="AH548" t="s">
        <v>54</v>
      </c>
      <c r="AI548" t="s">
        <v>52</v>
      </c>
      <c r="AZ548" t="s">
        <v>52</v>
      </c>
      <c r="BQ548" t="s">
        <v>52</v>
      </c>
      <c r="BR548">
        <v>0.65</v>
      </c>
      <c r="BS548" t="s">
        <v>285</v>
      </c>
      <c r="BT548">
        <v>0.65</v>
      </c>
      <c r="BU548" t="s">
        <v>284</v>
      </c>
      <c r="BV548">
        <v>0.94</v>
      </c>
      <c r="BW548" t="s">
        <v>284</v>
      </c>
      <c r="BX548">
        <v>0.89</v>
      </c>
      <c r="BY548" t="s">
        <v>284</v>
      </c>
      <c r="BZ548">
        <v>0.77</v>
      </c>
      <c r="CA548" t="s">
        <v>285</v>
      </c>
      <c r="CF548">
        <v>0.77</v>
      </c>
      <c r="CG548" t="s">
        <v>54</v>
      </c>
      <c r="CH548" t="s">
        <v>52</v>
      </c>
    </row>
    <row r="549" spans="1:86" x14ac:dyDescent="0.25">
      <c r="A549" t="s">
        <v>47</v>
      </c>
      <c r="B549">
        <v>8</v>
      </c>
      <c r="C549" t="s">
        <v>146</v>
      </c>
      <c r="D549">
        <v>41</v>
      </c>
      <c r="E549" t="s">
        <v>70</v>
      </c>
      <c r="F549">
        <v>296</v>
      </c>
      <c r="G549" t="s">
        <v>71</v>
      </c>
      <c r="H549" t="s">
        <v>50</v>
      </c>
      <c r="K549" t="s">
        <v>51</v>
      </c>
      <c r="L549">
        <v>1</v>
      </c>
      <c r="M549" t="s">
        <v>53</v>
      </c>
      <c r="N549">
        <v>296</v>
      </c>
      <c r="O549">
        <v>1</v>
      </c>
      <c r="P549" t="s">
        <v>52</v>
      </c>
      <c r="Q549">
        <v>0</v>
      </c>
      <c r="R549">
        <v>0.75</v>
      </c>
      <c r="S549">
        <v>228</v>
      </c>
      <c r="T549" t="s">
        <v>284</v>
      </c>
      <c r="U549">
        <v>190</v>
      </c>
      <c r="V549" t="s">
        <v>285</v>
      </c>
      <c r="W549">
        <v>194</v>
      </c>
      <c r="X549" t="s">
        <v>285</v>
      </c>
      <c r="Y549">
        <v>225</v>
      </c>
      <c r="Z549" t="s">
        <v>285</v>
      </c>
      <c r="AA549">
        <v>247</v>
      </c>
      <c r="AB549" t="s">
        <v>285</v>
      </c>
      <c r="AC549">
        <v>241</v>
      </c>
      <c r="AD549" t="s">
        <v>285</v>
      </c>
      <c r="AE549">
        <v>219</v>
      </c>
      <c r="AF549" t="s">
        <v>285</v>
      </c>
      <c r="AG549">
        <v>219</v>
      </c>
      <c r="AH549" t="s">
        <v>286</v>
      </c>
      <c r="AI549" t="s">
        <v>287</v>
      </c>
      <c r="AX549">
        <v>263</v>
      </c>
      <c r="AY549" t="s">
        <v>286</v>
      </c>
      <c r="AZ549" t="s">
        <v>287</v>
      </c>
      <c r="BQ549" t="s">
        <v>52</v>
      </c>
      <c r="BR549">
        <v>1.85</v>
      </c>
      <c r="BS549" t="s">
        <v>284</v>
      </c>
      <c r="BT549">
        <v>1.25</v>
      </c>
      <c r="BU549" t="s">
        <v>284</v>
      </c>
      <c r="BV549">
        <v>0.75</v>
      </c>
      <c r="BW549" t="s">
        <v>285</v>
      </c>
      <c r="BX549">
        <v>0.75</v>
      </c>
      <c r="BY549" t="s">
        <v>285</v>
      </c>
      <c r="BZ549">
        <v>0.75</v>
      </c>
      <c r="CA549" t="s">
        <v>284</v>
      </c>
      <c r="CF549">
        <v>0.92</v>
      </c>
      <c r="CG549" t="s">
        <v>54</v>
      </c>
      <c r="CH549" t="s">
        <v>52</v>
      </c>
    </row>
    <row r="550" spans="1:86" x14ac:dyDescent="0.25">
      <c r="A550" t="s">
        <v>47</v>
      </c>
      <c r="B550">
        <v>8</v>
      </c>
      <c r="C550" t="s">
        <v>146</v>
      </c>
      <c r="D550">
        <v>41</v>
      </c>
      <c r="E550" t="s">
        <v>70</v>
      </c>
      <c r="F550">
        <v>296</v>
      </c>
      <c r="G550" t="s">
        <v>71</v>
      </c>
      <c r="H550" t="s">
        <v>50</v>
      </c>
      <c r="K550" t="s">
        <v>52</v>
      </c>
      <c r="L550">
        <v>1</v>
      </c>
      <c r="M550" t="s">
        <v>53</v>
      </c>
      <c r="N550">
        <v>296</v>
      </c>
      <c r="O550">
        <v>1</v>
      </c>
      <c r="P550" t="s">
        <v>52</v>
      </c>
      <c r="Q550">
        <v>0</v>
      </c>
      <c r="R550">
        <v>0.75</v>
      </c>
      <c r="S550">
        <v>228</v>
      </c>
      <c r="T550" t="s">
        <v>284</v>
      </c>
      <c r="U550">
        <v>190</v>
      </c>
      <c r="V550" t="s">
        <v>285</v>
      </c>
      <c r="W550">
        <v>194</v>
      </c>
      <c r="X550" t="s">
        <v>285</v>
      </c>
      <c r="Y550">
        <v>225</v>
      </c>
      <c r="Z550" t="s">
        <v>285</v>
      </c>
      <c r="AA550">
        <v>247</v>
      </c>
      <c r="AB550" t="s">
        <v>285</v>
      </c>
      <c r="AC550">
        <v>241</v>
      </c>
      <c r="AD550" t="s">
        <v>285</v>
      </c>
      <c r="AE550">
        <v>219</v>
      </c>
      <c r="AF550" t="s">
        <v>285</v>
      </c>
      <c r="AG550">
        <v>219</v>
      </c>
      <c r="AH550" t="s">
        <v>286</v>
      </c>
      <c r="AI550" t="s">
        <v>287</v>
      </c>
      <c r="AX550">
        <v>263</v>
      </c>
      <c r="AY550" t="s">
        <v>286</v>
      </c>
      <c r="AZ550" t="s">
        <v>287</v>
      </c>
      <c r="BQ550" t="s">
        <v>52</v>
      </c>
      <c r="BR550">
        <v>0.65</v>
      </c>
      <c r="BS550" t="s">
        <v>284</v>
      </c>
      <c r="BT550">
        <v>0.98</v>
      </c>
      <c r="BU550" t="s">
        <v>285</v>
      </c>
      <c r="BV550">
        <v>0.3</v>
      </c>
      <c r="BW550" t="s">
        <v>285</v>
      </c>
      <c r="BX550">
        <v>0.22</v>
      </c>
      <c r="BY550" t="s">
        <v>284</v>
      </c>
      <c r="BZ550">
        <v>0.22</v>
      </c>
      <c r="CA550" t="s">
        <v>284</v>
      </c>
      <c r="CF550">
        <v>0.39</v>
      </c>
      <c r="CG550" t="s">
        <v>54</v>
      </c>
      <c r="CH550" t="s">
        <v>52</v>
      </c>
    </row>
    <row r="551" spans="1:86" x14ac:dyDescent="0.25">
      <c r="A551" t="s">
        <v>47</v>
      </c>
      <c r="B551">
        <v>8</v>
      </c>
      <c r="C551" t="s">
        <v>146</v>
      </c>
      <c r="D551">
        <v>41</v>
      </c>
      <c r="E551" t="s">
        <v>70</v>
      </c>
      <c r="F551">
        <v>296</v>
      </c>
      <c r="G551" t="s">
        <v>74</v>
      </c>
      <c r="H551" t="s">
        <v>50</v>
      </c>
      <c r="K551" t="s">
        <v>51</v>
      </c>
      <c r="L551">
        <v>1</v>
      </c>
      <c r="M551" t="s">
        <v>53</v>
      </c>
      <c r="N551">
        <v>102</v>
      </c>
      <c r="O551">
        <v>1</v>
      </c>
      <c r="P551" t="s">
        <v>52</v>
      </c>
      <c r="Q551">
        <v>0</v>
      </c>
      <c r="R551">
        <v>0.75</v>
      </c>
      <c r="S551">
        <v>135</v>
      </c>
      <c r="T551" t="s">
        <v>284</v>
      </c>
      <c r="U551">
        <v>132</v>
      </c>
      <c r="V551" t="s">
        <v>284</v>
      </c>
      <c r="W551">
        <v>147</v>
      </c>
      <c r="X551" t="s">
        <v>284</v>
      </c>
      <c r="Y551">
        <v>170</v>
      </c>
      <c r="Z551" t="s">
        <v>284</v>
      </c>
      <c r="AA551">
        <v>205</v>
      </c>
      <c r="AB551" t="s">
        <v>285</v>
      </c>
      <c r="AG551">
        <v>150.66669999999999</v>
      </c>
      <c r="AH551" t="s">
        <v>54</v>
      </c>
      <c r="AI551" t="s">
        <v>52</v>
      </c>
      <c r="AZ551" t="s">
        <v>52</v>
      </c>
      <c r="BQ551" t="s">
        <v>52</v>
      </c>
      <c r="BR551">
        <v>1.85</v>
      </c>
      <c r="BS551" t="s">
        <v>284</v>
      </c>
      <c r="BT551">
        <v>1.25</v>
      </c>
      <c r="BU551" t="s">
        <v>284</v>
      </c>
      <c r="BV551">
        <v>0.82</v>
      </c>
      <c r="BW551" t="s">
        <v>285</v>
      </c>
      <c r="CH551" t="s">
        <v>52</v>
      </c>
    </row>
    <row r="552" spans="1:86" x14ac:dyDescent="0.25">
      <c r="A552" t="s">
        <v>47</v>
      </c>
      <c r="B552">
        <v>8</v>
      </c>
      <c r="C552" t="s">
        <v>146</v>
      </c>
      <c r="D552">
        <v>41</v>
      </c>
      <c r="E552" t="s">
        <v>70</v>
      </c>
      <c r="F552">
        <v>296</v>
      </c>
      <c r="G552" t="s">
        <v>74</v>
      </c>
      <c r="H552" t="s">
        <v>50</v>
      </c>
      <c r="K552" t="s">
        <v>52</v>
      </c>
      <c r="L552">
        <v>1</v>
      </c>
      <c r="M552" t="s">
        <v>53</v>
      </c>
      <c r="N552">
        <v>102</v>
      </c>
      <c r="O552">
        <v>1</v>
      </c>
      <c r="P552" t="s">
        <v>52</v>
      </c>
      <c r="Q552">
        <v>0</v>
      </c>
      <c r="R552">
        <v>0.75</v>
      </c>
      <c r="S552">
        <v>135</v>
      </c>
      <c r="T552" t="s">
        <v>284</v>
      </c>
      <c r="U552">
        <v>132</v>
      </c>
      <c r="V552" t="s">
        <v>284</v>
      </c>
      <c r="W552">
        <v>147</v>
      </c>
      <c r="X552" t="s">
        <v>284</v>
      </c>
      <c r="Y552">
        <v>170</v>
      </c>
      <c r="Z552" t="s">
        <v>284</v>
      </c>
      <c r="AA552">
        <v>205</v>
      </c>
      <c r="AB552" t="s">
        <v>285</v>
      </c>
      <c r="AG552">
        <v>150.66669999999999</v>
      </c>
      <c r="AH552" t="s">
        <v>54</v>
      </c>
      <c r="AI552" t="s">
        <v>52</v>
      </c>
      <c r="AZ552" t="s">
        <v>52</v>
      </c>
      <c r="BQ552" t="s">
        <v>52</v>
      </c>
      <c r="BR552">
        <v>0.65</v>
      </c>
      <c r="BS552" t="s">
        <v>284</v>
      </c>
      <c r="BT552">
        <v>0.54</v>
      </c>
      <c r="BU552" t="s">
        <v>284</v>
      </c>
      <c r="BV552">
        <v>0.11</v>
      </c>
      <c r="BW552" t="s">
        <v>284</v>
      </c>
      <c r="BX552">
        <v>0.25</v>
      </c>
      <c r="BY552" t="s">
        <v>285</v>
      </c>
      <c r="BZ552">
        <v>0.22</v>
      </c>
      <c r="CA552" t="s">
        <v>289</v>
      </c>
      <c r="CF552">
        <v>0.34</v>
      </c>
      <c r="CG552" t="s">
        <v>54</v>
      </c>
      <c r="CH552" t="s">
        <v>52</v>
      </c>
    </row>
    <row r="553" spans="1:86" x14ac:dyDescent="0.25">
      <c r="A553" t="s">
        <v>47</v>
      </c>
      <c r="B553">
        <v>8</v>
      </c>
      <c r="C553" t="s">
        <v>146</v>
      </c>
      <c r="D553">
        <v>41</v>
      </c>
      <c r="E553" t="s">
        <v>75</v>
      </c>
      <c r="F553">
        <v>16</v>
      </c>
      <c r="G553" t="s">
        <v>76</v>
      </c>
      <c r="H553" t="s">
        <v>50</v>
      </c>
      <c r="K553" t="s">
        <v>51</v>
      </c>
      <c r="L553">
        <v>1</v>
      </c>
      <c r="M553" t="s">
        <v>53</v>
      </c>
      <c r="N553">
        <v>16</v>
      </c>
      <c r="O553">
        <v>2</v>
      </c>
      <c r="P553" t="s">
        <v>52</v>
      </c>
      <c r="Q553">
        <v>0.5</v>
      </c>
      <c r="R553">
        <v>0.75</v>
      </c>
      <c r="S553">
        <v>83.35</v>
      </c>
      <c r="T553" t="s">
        <v>285</v>
      </c>
      <c r="U553">
        <v>96.14</v>
      </c>
      <c r="V553" t="s">
        <v>284</v>
      </c>
      <c r="W553">
        <v>103.37</v>
      </c>
      <c r="X553" t="s">
        <v>284</v>
      </c>
      <c r="Y553">
        <v>106.14</v>
      </c>
      <c r="Z553" t="s">
        <v>284</v>
      </c>
      <c r="AA553">
        <v>128</v>
      </c>
      <c r="AB553" t="s">
        <v>285</v>
      </c>
      <c r="AG553">
        <v>101.88330000000001</v>
      </c>
      <c r="AH553" t="s">
        <v>54</v>
      </c>
      <c r="AI553" t="s">
        <v>52</v>
      </c>
      <c r="AX553">
        <v>146.69999999999999</v>
      </c>
      <c r="AY553" t="s">
        <v>285</v>
      </c>
      <c r="AZ553" t="s">
        <v>287</v>
      </c>
      <c r="BQ553" t="s">
        <v>52</v>
      </c>
      <c r="BR553">
        <v>1.85</v>
      </c>
      <c r="BS553" t="s">
        <v>284</v>
      </c>
      <c r="BT553">
        <v>1.25</v>
      </c>
      <c r="BU553" t="s">
        <v>284</v>
      </c>
      <c r="BV553">
        <v>1.05</v>
      </c>
      <c r="BW553" t="s">
        <v>284</v>
      </c>
      <c r="BX553">
        <v>1.71</v>
      </c>
      <c r="BY553" t="s">
        <v>284</v>
      </c>
      <c r="BZ553">
        <v>2</v>
      </c>
      <c r="CA553" t="s">
        <v>288</v>
      </c>
      <c r="CF553">
        <v>1.6</v>
      </c>
      <c r="CG553" t="s">
        <v>54</v>
      </c>
      <c r="CH553" t="s">
        <v>52</v>
      </c>
    </row>
    <row r="554" spans="1:86" x14ac:dyDescent="0.25">
      <c r="A554" t="s">
        <v>47</v>
      </c>
      <c r="B554">
        <v>8</v>
      </c>
      <c r="C554" t="s">
        <v>146</v>
      </c>
      <c r="D554">
        <v>41</v>
      </c>
      <c r="E554" t="s">
        <v>75</v>
      </c>
      <c r="F554">
        <v>16</v>
      </c>
      <c r="G554" t="s">
        <v>76</v>
      </c>
      <c r="H554" t="s">
        <v>50</v>
      </c>
      <c r="K554" t="s">
        <v>52</v>
      </c>
      <c r="L554">
        <v>1</v>
      </c>
      <c r="M554" t="s">
        <v>53</v>
      </c>
      <c r="N554">
        <v>16</v>
      </c>
      <c r="O554">
        <v>2</v>
      </c>
      <c r="P554" t="s">
        <v>52</v>
      </c>
      <c r="Q554">
        <v>0.5</v>
      </c>
      <c r="R554">
        <v>0.75</v>
      </c>
      <c r="S554">
        <v>83.35</v>
      </c>
      <c r="T554" t="s">
        <v>285</v>
      </c>
      <c r="U554">
        <v>96.14</v>
      </c>
      <c r="V554" t="s">
        <v>284</v>
      </c>
      <c r="W554">
        <v>103.37</v>
      </c>
      <c r="X554" t="s">
        <v>284</v>
      </c>
      <c r="Y554">
        <v>106.14</v>
      </c>
      <c r="Z554" t="s">
        <v>284</v>
      </c>
      <c r="AA554">
        <v>128</v>
      </c>
      <c r="AB554" t="s">
        <v>285</v>
      </c>
      <c r="AG554">
        <v>101.88330000000001</v>
      </c>
      <c r="AH554" t="s">
        <v>54</v>
      </c>
      <c r="AI554" t="s">
        <v>52</v>
      </c>
      <c r="AX554">
        <v>146.69999999999999</v>
      </c>
      <c r="AY554" t="s">
        <v>285</v>
      </c>
      <c r="AZ554" t="s">
        <v>287</v>
      </c>
      <c r="BQ554" t="s">
        <v>52</v>
      </c>
      <c r="BR554">
        <v>0.65</v>
      </c>
      <c r="BS554" t="s">
        <v>284</v>
      </c>
      <c r="BT554">
        <v>0.65</v>
      </c>
      <c r="BU554" t="s">
        <v>284</v>
      </c>
      <c r="BV554">
        <v>1.17</v>
      </c>
      <c r="BW554" t="s">
        <v>284</v>
      </c>
      <c r="BX554">
        <v>1.2</v>
      </c>
      <c r="BY554" t="s">
        <v>284</v>
      </c>
      <c r="BZ554">
        <v>0.13</v>
      </c>
      <c r="CA554" t="s">
        <v>289</v>
      </c>
      <c r="CF554">
        <v>0.82</v>
      </c>
      <c r="CG554" t="s">
        <v>54</v>
      </c>
      <c r="CH554" t="s">
        <v>52</v>
      </c>
    </row>
    <row r="555" spans="1:86" x14ac:dyDescent="0.25">
      <c r="A555" t="s">
        <v>47</v>
      </c>
      <c r="B555">
        <v>8</v>
      </c>
      <c r="C555" t="s">
        <v>146</v>
      </c>
      <c r="D555">
        <v>41</v>
      </c>
      <c r="E555" t="s">
        <v>93</v>
      </c>
      <c r="F555">
        <v>94</v>
      </c>
      <c r="H555" t="s">
        <v>50</v>
      </c>
      <c r="K555" t="s">
        <v>52</v>
      </c>
      <c r="L555">
        <v>1</v>
      </c>
      <c r="M555" t="s">
        <v>53</v>
      </c>
      <c r="N555">
        <v>94</v>
      </c>
      <c r="O555">
        <v>2</v>
      </c>
      <c r="P555" t="s">
        <v>52</v>
      </c>
      <c r="Q555">
        <v>0.77</v>
      </c>
      <c r="R555">
        <v>0.93</v>
      </c>
      <c r="S555">
        <v>205</v>
      </c>
      <c r="T555" t="s">
        <v>284</v>
      </c>
      <c r="U555">
        <v>175</v>
      </c>
      <c r="V555" t="s">
        <v>284</v>
      </c>
      <c r="W555">
        <v>188</v>
      </c>
      <c r="X555" t="s">
        <v>284</v>
      </c>
      <c r="Y555">
        <v>202.32</v>
      </c>
      <c r="Z555" t="s">
        <v>284</v>
      </c>
      <c r="AA555">
        <v>209.16</v>
      </c>
      <c r="AB555" t="s">
        <v>284</v>
      </c>
      <c r="AG555">
        <v>198.44</v>
      </c>
      <c r="AH555" t="s">
        <v>54</v>
      </c>
      <c r="AI555" t="s">
        <v>52</v>
      </c>
      <c r="AZ555" t="s">
        <v>52</v>
      </c>
      <c r="BQ555" t="s">
        <v>52</v>
      </c>
      <c r="BR555">
        <v>0.86</v>
      </c>
      <c r="BS555" t="s">
        <v>284</v>
      </c>
      <c r="BT555">
        <v>0.46</v>
      </c>
      <c r="BU555" t="s">
        <v>284</v>
      </c>
      <c r="BV555">
        <v>0.93</v>
      </c>
      <c r="BW555" t="s">
        <v>284</v>
      </c>
      <c r="BX555">
        <v>0.87</v>
      </c>
      <c r="BY555" t="s">
        <v>284</v>
      </c>
      <c r="BZ555">
        <v>0.77</v>
      </c>
      <c r="CA555" t="s">
        <v>284</v>
      </c>
      <c r="CF555">
        <v>0.83</v>
      </c>
      <c r="CG555" t="s">
        <v>54</v>
      </c>
      <c r="CH555" t="s">
        <v>52</v>
      </c>
    </row>
    <row r="556" spans="1:86" x14ac:dyDescent="0.25">
      <c r="A556" t="s">
        <v>47</v>
      </c>
      <c r="B556">
        <v>8</v>
      </c>
      <c r="C556" t="s">
        <v>146</v>
      </c>
      <c r="D556">
        <v>41</v>
      </c>
      <c r="E556" t="s">
        <v>77</v>
      </c>
      <c r="F556">
        <v>51</v>
      </c>
      <c r="G556" t="s">
        <v>78</v>
      </c>
      <c r="H556" t="s">
        <v>50</v>
      </c>
      <c r="K556" t="s">
        <v>51</v>
      </c>
      <c r="L556">
        <v>1</v>
      </c>
      <c r="M556" t="s">
        <v>53</v>
      </c>
      <c r="N556">
        <v>51</v>
      </c>
      <c r="O556">
        <v>2</v>
      </c>
      <c r="P556" t="s">
        <v>52</v>
      </c>
      <c r="Q556">
        <v>0.5</v>
      </c>
      <c r="R556">
        <v>0.73</v>
      </c>
      <c r="S556">
        <v>228</v>
      </c>
      <c r="T556" t="s">
        <v>284</v>
      </c>
      <c r="U556">
        <v>218</v>
      </c>
      <c r="V556" t="s">
        <v>284</v>
      </c>
      <c r="W556">
        <v>147</v>
      </c>
      <c r="X556" t="s">
        <v>284</v>
      </c>
      <c r="Y556">
        <v>170</v>
      </c>
      <c r="Z556" t="s">
        <v>284</v>
      </c>
      <c r="AA556">
        <v>109</v>
      </c>
      <c r="AB556" t="s">
        <v>285</v>
      </c>
      <c r="AG556">
        <v>178.33330000000001</v>
      </c>
      <c r="AH556" t="s">
        <v>54</v>
      </c>
      <c r="AI556" t="s">
        <v>52</v>
      </c>
      <c r="AZ556" t="s">
        <v>52</v>
      </c>
      <c r="BQ556" t="s">
        <v>52</v>
      </c>
      <c r="CH556" t="s">
        <v>52</v>
      </c>
    </row>
    <row r="557" spans="1:86" x14ac:dyDescent="0.25">
      <c r="A557" t="s">
        <v>47</v>
      </c>
      <c r="B557">
        <v>8</v>
      </c>
      <c r="C557" t="s">
        <v>146</v>
      </c>
      <c r="D557">
        <v>41</v>
      </c>
      <c r="E557" t="s">
        <v>77</v>
      </c>
      <c r="F557">
        <v>51</v>
      </c>
      <c r="G557" t="s">
        <v>78</v>
      </c>
      <c r="H557" t="s">
        <v>50</v>
      </c>
      <c r="K557" t="s">
        <v>52</v>
      </c>
      <c r="L557">
        <v>1</v>
      </c>
      <c r="M557" t="s">
        <v>53</v>
      </c>
      <c r="N557">
        <v>51</v>
      </c>
      <c r="O557">
        <v>2</v>
      </c>
      <c r="P557" t="s">
        <v>52</v>
      </c>
      <c r="Q557">
        <v>0.5</v>
      </c>
      <c r="R557">
        <v>0.73</v>
      </c>
      <c r="S557">
        <v>228</v>
      </c>
      <c r="T557" t="s">
        <v>284</v>
      </c>
      <c r="U557">
        <v>218</v>
      </c>
      <c r="V557" t="s">
        <v>284</v>
      </c>
      <c r="W557">
        <v>147</v>
      </c>
      <c r="X557" t="s">
        <v>284</v>
      </c>
      <c r="Y557">
        <v>170</v>
      </c>
      <c r="Z557" t="s">
        <v>284</v>
      </c>
      <c r="AA557">
        <v>109</v>
      </c>
      <c r="AB557" t="s">
        <v>285</v>
      </c>
      <c r="AG557">
        <v>178.33330000000001</v>
      </c>
      <c r="AH557" t="s">
        <v>54</v>
      </c>
      <c r="AI557" t="s">
        <v>52</v>
      </c>
      <c r="AZ557" t="s">
        <v>52</v>
      </c>
      <c r="BQ557" t="s">
        <v>52</v>
      </c>
      <c r="CH557" t="s">
        <v>52</v>
      </c>
    </row>
    <row r="558" spans="1:86" x14ac:dyDescent="0.25">
      <c r="A558" t="s">
        <v>47</v>
      </c>
      <c r="B558">
        <v>8</v>
      </c>
      <c r="C558" t="s">
        <v>146</v>
      </c>
      <c r="D558">
        <v>41</v>
      </c>
      <c r="E558" t="s">
        <v>79</v>
      </c>
      <c r="F558">
        <v>50</v>
      </c>
      <c r="G558" t="s">
        <v>65</v>
      </c>
      <c r="H558" t="s">
        <v>50</v>
      </c>
      <c r="K558" t="s">
        <v>51</v>
      </c>
      <c r="L558">
        <v>1</v>
      </c>
      <c r="M558" t="s">
        <v>53</v>
      </c>
      <c r="N558">
        <v>50</v>
      </c>
      <c r="O558">
        <v>1</v>
      </c>
      <c r="P558" t="s">
        <v>52</v>
      </c>
      <c r="Q558">
        <v>0.5</v>
      </c>
      <c r="R558">
        <v>0.75</v>
      </c>
      <c r="S558">
        <v>85</v>
      </c>
      <c r="T558" t="s">
        <v>285</v>
      </c>
      <c r="U558">
        <v>93</v>
      </c>
      <c r="V558" t="s">
        <v>284</v>
      </c>
      <c r="W558">
        <v>89.7</v>
      </c>
      <c r="X558" t="s">
        <v>284</v>
      </c>
      <c r="Y558">
        <v>92.72</v>
      </c>
      <c r="Z558" t="s">
        <v>284</v>
      </c>
      <c r="AA558">
        <v>109</v>
      </c>
      <c r="AB558" t="s">
        <v>285</v>
      </c>
      <c r="AG558">
        <v>91.806700000000006</v>
      </c>
      <c r="AH558" t="s">
        <v>54</v>
      </c>
      <c r="AI558" t="s">
        <v>52</v>
      </c>
      <c r="AZ558" t="s">
        <v>52</v>
      </c>
      <c r="BQ558" t="s">
        <v>52</v>
      </c>
      <c r="BR558">
        <v>3.57</v>
      </c>
      <c r="BS558" t="s">
        <v>289</v>
      </c>
      <c r="BT558">
        <v>1.7</v>
      </c>
      <c r="BU558" t="s">
        <v>284</v>
      </c>
      <c r="BV558">
        <v>2.44</v>
      </c>
      <c r="BW558" t="s">
        <v>284</v>
      </c>
      <c r="BX558">
        <v>2.3199999999999998</v>
      </c>
      <c r="BY558" t="s">
        <v>284</v>
      </c>
      <c r="BZ558">
        <v>3.04</v>
      </c>
      <c r="CA558" t="s">
        <v>289</v>
      </c>
      <c r="CF558">
        <v>2.6</v>
      </c>
      <c r="CG558" t="s">
        <v>54</v>
      </c>
      <c r="CH558" t="s">
        <v>52</v>
      </c>
    </row>
    <row r="559" spans="1:86" x14ac:dyDescent="0.25">
      <c r="A559" t="s">
        <v>47</v>
      </c>
      <c r="B559">
        <v>8</v>
      </c>
      <c r="C559" t="s">
        <v>146</v>
      </c>
      <c r="D559">
        <v>41</v>
      </c>
      <c r="E559" t="s">
        <v>79</v>
      </c>
      <c r="F559">
        <v>50</v>
      </c>
      <c r="G559" t="s">
        <v>65</v>
      </c>
      <c r="H559" t="s">
        <v>50</v>
      </c>
      <c r="K559" t="s">
        <v>52</v>
      </c>
      <c r="L559">
        <v>1</v>
      </c>
      <c r="M559" t="s">
        <v>53</v>
      </c>
      <c r="N559">
        <v>50</v>
      </c>
      <c r="O559">
        <v>1</v>
      </c>
      <c r="P559" t="s">
        <v>52</v>
      </c>
      <c r="Q559">
        <v>0.5</v>
      </c>
      <c r="R559">
        <v>0.75</v>
      </c>
      <c r="S559">
        <v>85</v>
      </c>
      <c r="T559" t="s">
        <v>285</v>
      </c>
      <c r="U559">
        <v>93</v>
      </c>
      <c r="V559" t="s">
        <v>284</v>
      </c>
      <c r="W559">
        <v>89.7</v>
      </c>
      <c r="X559" t="s">
        <v>284</v>
      </c>
      <c r="Y559">
        <v>92.72</v>
      </c>
      <c r="Z559" t="s">
        <v>284</v>
      </c>
      <c r="AA559">
        <v>109</v>
      </c>
      <c r="AB559" t="s">
        <v>285</v>
      </c>
      <c r="AG559">
        <v>91.806700000000006</v>
      </c>
      <c r="AH559" t="s">
        <v>54</v>
      </c>
      <c r="AI559" t="s">
        <v>52</v>
      </c>
      <c r="AZ559" t="s">
        <v>52</v>
      </c>
      <c r="BQ559" t="s">
        <v>52</v>
      </c>
      <c r="BR559">
        <v>0.15</v>
      </c>
      <c r="BS559" t="s">
        <v>288</v>
      </c>
      <c r="BT559">
        <v>0.37</v>
      </c>
      <c r="BU559" t="s">
        <v>285</v>
      </c>
      <c r="BV559">
        <v>0.72</v>
      </c>
      <c r="BW559" t="s">
        <v>284</v>
      </c>
      <c r="BX559">
        <v>0.65</v>
      </c>
      <c r="BY559" t="s">
        <v>284</v>
      </c>
      <c r="BZ559">
        <v>0.06</v>
      </c>
      <c r="CA559" t="s">
        <v>288</v>
      </c>
      <c r="CF559">
        <v>0.39</v>
      </c>
      <c r="CG559" t="s">
        <v>54</v>
      </c>
      <c r="CH559" t="s">
        <v>52</v>
      </c>
    </row>
    <row r="560" spans="1:86" x14ac:dyDescent="0.25">
      <c r="A560" t="s">
        <v>47</v>
      </c>
      <c r="B560">
        <v>8</v>
      </c>
      <c r="C560" t="s">
        <v>146</v>
      </c>
      <c r="D560">
        <v>41</v>
      </c>
      <c r="E560" t="s">
        <v>79</v>
      </c>
      <c r="F560">
        <v>50</v>
      </c>
      <c r="G560" t="s">
        <v>81</v>
      </c>
      <c r="H560" t="s">
        <v>50</v>
      </c>
      <c r="K560" t="s">
        <v>51</v>
      </c>
      <c r="L560">
        <v>1</v>
      </c>
      <c r="M560" t="s">
        <v>53</v>
      </c>
      <c r="N560">
        <v>50</v>
      </c>
      <c r="O560">
        <v>1</v>
      </c>
      <c r="P560" t="s">
        <v>52</v>
      </c>
      <c r="Q560">
        <v>0.5</v>
      </c>
      <c r="R560">
        <v>0.75</v>
      </c>
      <c r="S560">
        <v>85</v>
      </c>
      <c r="T560" t="s">
        <v>285</v>
      </c>
      <c r="U560">
        <v>93</v>
      </c>
      <c r="V560" t="s">
        <v>284</v>
      </c>
      <c r="W560">
        <v>89.7</v>
      </c>
      <c r="X560" t="s">
        <v>284</v>
      </c>
      <c r="Y560">
        <v>92.72</v>
      </c>
      <c r="Z560" t="s">
        <v>284</v>
      </c>
      <c r="AA560">
        <v>109</v>
      </c>
      <c r="AB560" t="s">
        <v>285</v>
      </c>
      <c r="AG560">
        <v>91.806700000000006</v>
      </c>
      <c r="AH560" t="s">
        <v>54</v>
      </c>
      <c r="AI560" t="s">
        <v>52</v>
      </c>
      <c r="AZ560" t="s">
        <v>52</v>
      </c>
      <c r="BQ560" t="s">
        <v>52</v>
      </c>
      <c r="BR560">
        <v>2.74</v>
      </c>
      <c r="BS560" t="s">
        <v>289</v>
      </c>
      <c r="BT560">
        <v>1.54</v>
      </c>
      <c r="BU560" t="s">
        <v>284</v>
      </c>
      <c r="BV560">
        <v>2.2200000000000002</v>
      </c>
      <c r="BW560" t="s">
        <v>284</v>
      </c>
      <c r="BX560">
        <v>2.11</v>
      </c>
      <c r="BY560" t="s">
        <v>284</v>
      </c>
      <c r="BZ560">
        <v>2.76</v>
      </c>
      <c r="CA560" t="s">
        <v>289</v>
      </c>
      <c r="CF560">
        <v>2.36</v>
      </c>
      <c r="CG560" t="s">
        <v>54</v>
      </c>
      <c r="CH560" t="s">
        <v>52</v>
      </c>
    </row>
    <row r="561" spans="1:86" x14ac:dyDescent="0.25">
      <c r="A561" t="s">
        <v>47</v>
      </c>
      <c r="B561">
        <v>8</v>
      </c>
      <c r="C561" t="s">
        <v>146</v>
      </c>
      <c r="D561">
        <v>41</v>
      </c>
      <c r="E561" t="s">
        <v>79</v>
      </c>
      <c r="F561">
        <v>50</v>
      </c>
      <c r="G561" t="s">
        <v>81</v>
      </c>
      <c r="H561" t="s">
        <v>50</v>
      </c>
      <c r="K561" t="s">
        <v>52</v>
      </c>
      <c r="L561">
        <v>1</v>
      </c>
      <c r="M561" t="s">
        <v>53</v>
      </c>
      <c r="N561">
        <v>50</v>
      </c>
      <c r="O561">
        <v>1</v>
      </c>
      <c r="P561" t="s">
        <v>52</v>
      </c>
      <c r="Q561">
        <v>0.5</v>
      </c>
      <c r="R561">
        <v>0.75</v>
      </c>
      <c r="S561">
        <v>85</v>
      </c>
      <c r="T561" t="s">
        <v>285</v>
      </c>
      <c r="U561">
        <v>93</v>
      </c>
      <c r="V561" t="s">
        <v>284</v>
      </c>
      <c r="W561">
        <v>89.7</v>
      </c>
      <c r="X561" t="s">
        <v>284</v>
      </c>
      <c r="Y561">
        <v>92.72</v>
      </c>
      <c r="Z561" t="s">
        <v>284</v>
      </c>
      <c r="AA561">
        <v>109</v>
      </c>
      <c r="AB561" t="s">
        <v>285</v>
      </c>
      <c r="AG561">
        <v>91.806700000000006</v>
      </c>
      <c r="AH561" t="s">
        <v>54</v>
      </c>
      <c r="AI561" t="s">
        <v>52</v>
      </c>
      <c r="AZ561" t="s">
        <v>52</v>
      </c>
      <c r="BQ561" t="s">
        <v>52</v>
      </c>
      <c r="BR561">
        <v>2.74</v>
      </c>
      <c r="BS561" t="s">
        <v>289</v>
      </c>
      <c r="BT561">
        <v>0.71</v>
      </c>
      <c r="BU561" t="s">
        <v>285</v>
      </c>
      <c r="BV561">
        <v>0.76</v>
      </c>
      <c r="BW561" t="s">
        <v>284</v>
      </c>
      <c r="BX561">
        <v>0.78</v>
      </c>
      <c r="BY561" t="s">
        <v>284</v>
      </c>
      <c r="BZ561">
        <v>0.06</v>
      </c>
      <c r="CA561" t="s">
        <v>289</v>
      </c>
      <c r="CF561">
        <v>0.75</v>
      </c>
      <c r="CG561" t="s">
        <v>54</v>
      </c>
      <c r="CH561" t="s">
        <v>52</v>
      </c>
    </row>
    <row r="562" spans="1:86" x14ac:dyDescent="0.25">
      <c r="A562" t="s">
        <v>47</v>
      </c>
      <c r="B562">
        <v>8</v>
      </c>
      <c r="C562" t="s">
        <v>146</v>
      </c>
      <c r="D562">
        <v>41</v>
      </c>
      <c r="E562" t="s">
        <v>83</v>
      </c>
      <c r="F562">
        <v>158</v>
      </c>
      <c r="H562" t="s">
        <v>50</v>
      </c>
      <c r="K562" t="s">
        <v>51</v>
      </c>
      <c r="L562">
        <v>1</v>
      </c>
      <c r="M562" t="s">
        <v>53</v>
      </c>
      <c r="N562">
        <v>158</v>
      </c>
      <c r="O562">
        <v>2</v>
      </c>
      <c r="P562" t="s">
        <v>52</v>
      </c>
      <c r="Q562">
        <v>0.77</v>
      </c>
      <c r="R562">
        <v>0.93</v>
      </c>
      <c r="S562">
        <v>228</v>
      </c>
      <c r="T562" t="s">
        <v>284</v>
      </c>
      <c r="U562">
        <v>221</v>
      </c>
      <c r="V562" t="s">
        <v>284</v>
      </c>
      <c r="W562">
        <v>236</v>
      </c>
      <c r="X562" t="s">
        <v>284</v>
      </c>
      <c r="Y562">
        <v>244</v>
      </c>
      <c r="Z562" t="s">
        <v>284</v>
      </c>
      <c r="AA562">
        <v>252</v>
      </c>
      <c r="AB562" t="s">
        <v>284</v>
      </c>
      <c r="AG562">
        <v>236</v>
      </c>
      <c r="AH562" t="s">
        <v>54</v>
      </c>
      <c r="AI562" t="s">
        <v>52</v>
      </c>
      <c r="AX562">
        <v>339</v>
      </c>
      <c r="AY562" t="s">
        <v>285</v>
      </c>
      <c r="AZ562" t="s">
        <v>287</v>
      </c>
      <c r="BQ562" t="s">
        <v>52</v>
      </c>
      <c r="BR562">
        <v>1.85</v>
      </c>
      <c r="BS562" t="s">
        <v>284</v>
      </c>
      <c r="BT562">
        <v>1.35</v>
      </c>
      <c r="BU562" t="s">
        <v>284</v>
      </c>
      <c r="BV562">
        <v>1.03</v>
      </c>
      <c r="BW562" t="s">
        <v>288</v>
      </c>
      <c r="BX562">
        <v>1.34</v>
      </c>
      <c r="BY562" t="s">
        <v>289</v>
      </c>
      <c r="BZ562">
        <v>1.22</v>
      </c>
      <c r="CA562" t="s">
        <v>289</v>
      </c>
      <c r="CF562">
        <v>1.3</v>
      </c>
      <c r="CG562" t="s">
        <v>54</v>
      </c>
      <c r="CH562" t="s">
        <v>52</v>
      </c>
    </row>
    <row r="563" spans="1:86" x14ac:dyDescent="0.25">
      <c r="A563" t="s">
        <v>47</v>
      </c>
      <c r="B563">
        <v>8</v>
      </c>
      <c r="C563" t="s">
        <v>146</v>
      </c>
      <c r="D563">
        <v>41</v>
      </c>
      <c r="E563" t="s">
        <v>83</v>
      </c>
      <c r="F563">
        <v>158</v>
      </c>
      <c r="H563" t="s">
        <v>50</v>
      </c>
      <c r="K563" t="s">
        <v>52</v>
      </c>
      <c r="L563">
        <v>1</v>
      </c>
      <c r="M563" t="s">
        <v>53</v>
      </c>
      <c r="N563">
        <v>158</v>
      </c>
      <c r="O563">
        <v>2</v>
      </c>
      <c r="P563" t="s">
        <v>52</v>
      </c>
      <c r="Q563">
        <v>0.77</v>
      </c>
      <c r="R563">
        <v>0.93</v>
      </c>
      <c r="S563">
        <v>228</v>
      </c>
      <c r="T563" t="s">
        <v>284</v>
      </c>
      <c r="U563">
        <v>221</v>
      </c>
      <c r="V563" t="s">
        <v>284</v>
      </c>
      <c r="W563">
        <v>236</v>
      </c>
      <c r="X563" t="s">
        <v>284</v>
      </c>
      <c r="Y563">
        <v>244</v>
      </c>
      <c r="Z563" t="s">
        <v>284</v>
      </c>
      <c r="AA563">
        <v>252</v>
      </c>
      <c r="AB563" t="s">
        <v>284</v>
      </c>
      <c r="AG563">
        <v>236</v>
      </c>
      <c r="AH563" t="s">
        <v>54</v>
      </c>
      <c r="AI563" t="s">
        <v>52</v>
      </c>
      <c r="AX563">
        <v>339</v>
      </c>
      <c r="AY563" t="s">
        <v>285</v>
      </c>
      <c r="AZ563" t="s">
        <v>287</v>
      </c>
      <c r="BQ563" t="s">
        <v>52</v>
      </c>
      <c r="BR563">
        <v>1.31</v>
      </c>
      <c r="BS563" t="s">
        <v>285</v>
      </c>
      <c r="BT563">
        <v>1.01</v>
      </c>
      <c r="BU563" t="s">
        <v>284</v>
      </c>
      <c r="BV563">
        <v>0.33</v>
      </c>
      <c r="BW563" t="s">
        <v>288</v>
      </c>
      <c r="BX563">
        <v>0.56999999999999995</v>
      </c>
      <c r="BY563" t="s">
        <v>285</v>
      </c>
      <c r="BZ563">
        <v>0.1</v>
      </c>
      <c r="CA563" t="s">
        <v>289</v>
      </c>
      <c r="CF563">
        <v>0.64</v>
      </c>
      <c r="CG563" t="s">
        <v>54</v>
      </c>
      <c r="CH563" t="s">
        <v>52</v>
      </c>
    </row>
    <row r="564" spans="1:86" x14ac:dyDescent="0.25">
      <c r="A564" t="s">
        <v>47</v>
      </c>
      <c r="B564">
        <v>8</v>
      </c>
      <c r="C564" t="s">
        <v>150</v>
      </c>
      <c r="D564">
        <v>43</v>
      </c>
      <c r="E564" t="s">
        <v>49</v>
      </c>
      <c r="F564">
        <v>27</v>
      </c>
      <c r="H564" t="s">
        <v>50</v>
      </c>
      <c r="K564" t="s">
        <v>51</v>
      </c>
      <c r="L564">
        <v>1</v>
      </c>
      <c r="M564" t="s">
        <v>53</v>
      </c>
      <c r="N564">
        <v>27</v>
      </c>
      <c r="O564">
        <v>1</v>
      </c>
      <c r="P564" t="s">
        <v>52</v>
      </c>
      <c r="Q564">
        <v>0</v>
      </c>
      <c r="R564">
        <v>0.75</v>
      </c>
      <c r="S564">
        <v>231</v>
      </c>
      <c r="T564" t="s">
        <v>284</v>
      </c>
      <c r="U564">
        <v>208</v>
      </c>
      <c r="V564" t="s">
        <v>284</v>
      </c>
      <c r="W564">
        <v>224</v>
      </c>
      <c r="X564" t="s">
        <v>284</v>
      </c>
      <c r="Y564">
        <v>225</v>
      </c>
      <c r="Z564" t="s">
        <v>285</v>
      </c>
      <c r="AA564">
        <v>247</v>
      </c>
      <c r="AB564" t="s">
        <v>285</v>
      </c>
      <c r="AC564">
        <v>241</v>
      </c>
      <c r="AD564" t="s">
        <v>285</v>
      </c>
      <c r="AE564">
        <v>219</v>
      </c>
      <c r="AF564" t="s">
        <v>285</v>
      </c>
      <c r="AG564">
        <v>219</v>
      </c>
      <c r="AH564" t="s">
        <v>286</v>
      </c>
      <c r="AI564" t="s">
        <v>287</v>
      </c>
      <c r="AX564">
        <v>263</v>
      </c>
      <c r="AY564" t="s">
        <v>286</v>
      </c>
      <c r="AZ564" t="s">
        <v>287</v>
      </c>
      <c r="BQ564" t="s">
        <v>52</v>
      </c>
      <c r="BR564">
        <v>3.7</v>
      </c>
      <c r="BS564" t="s">
        <v>284</v>
      </c>
      <c r="BT564">
        <v>3.4</v>
      </c>
      <c r="BU564" t="s">
        <v>284</v>
      </c>
      <c r="BV564">
        <v>1</v>
      </c>
      <c r="BW564" t="s">
        <v>284</v>
      </c>
      <c r="BX564">
        <v>2.29</v>
      </c>
      <c r="BY564" t="s">
        <v>284</v>
      </c>
      <c r="BZ564">
        <v>0.7</v>
      </c>
      <c r="CA564" t="s">
        <v>288</v>
      </c>
      <c r="CF564">
        <v>2.23</v>
      </c>
      <c r="CG564" t="s">
        <v>54</v>
      </c>
      <c r="CH564" t="s">
        <v>52</v>
      </c>
    </row>
    <row r="565" spans="1:86" x14ac:dyDescent="0.25">
      <c r="A565" t="s">
        <v>47</v>
      </c>
      <c r="B565">
        <v>8</v>
      </c>
      <c r="C565" t="s">
        <v>150</v>
      </c>
      <c r="D565">
        <v>43</v>
      </c>
      <c r="E565" t="s">
        <v>58</v>
      </c>
      <c r="F565">
        <v>102</v>
      </c>
      <c r="G565" t="s">
        <v>61</v>
      </c>
      <c r="H565" t="s">
        <v>50</v>
      </c>
      <c r="K565" t="s">
        <v>51</v>
      </c>
      <c r="L565">
        <v>1</v>
      </c>
      <c r="M565" t="s">
        <v>53</v>
      </c>
      <c r="N565">
        <v>102</v>
      </c>
      <c r="O565">
        <v>1</v>
      </c>
      <c r="P565" t="s">
        <v>52</v>
      </c>
      <c r="Q565">
        <v>0</v>
      </c>
      <c r="R565">
        <v>0.92</v>
      </c>
      <c r="S565">
        <v>131.69999999999999</v>
      </c>
      <c r="T565" t="s">
        <v>284</v>
      </c>
      <c r="U565">
        <v>170</v>
      </c>
      <c r="V565" t="s">
        <v>284</v>
      </c>
      <c r="W565">
        <v>191</v>
      </c>
      <c r="X565" t="s">
        <v>284</v>
      </c>
      <c r="Y565">
        <v>207</v>
      </c>
      <c r="Z565" t="s">
        <v>284</v>
      </c>
      <c r="AA565">
        <v>315</v>
      </c>
      <c r="AB565" t="s">
        <v>285</v>
      </c>
      <c r="AG565">
        <v>189.33330000000001</v>
      </c>
      <c r="AH565" t="s">
        <v>54</v>
      </c>
      <c r="AI565" t="s">
        <v>52</v>
      </c>
      <c r="AZ565" t="s">
        <v>52</v>
      </c>
      <c r="BQ565" t="s">
        <v>52</v>
      </c>
      <c r="BR565">
        <v>1.85</v>
      </c>
      <c r="BS565" t="s">
        <v>284</v>
      </c>
      <c r="BT565">
        <v>1.65</v>
      </c>
      <c r="BU565" t="s">
        <v>284</v>
      </c>
      <c r="BV565">
        <v>1.28</v>
      </c>
      <c r="BW565" t="s">
        <v>285</v>
      </c>
      <c r="CH565" t="s">
        <v>52</v>
      </c>
    </row>
    <row r="566" spans="1:86" x14ac:dyDescent="0.25">
      <c r="A566" t="s">
        <v>47</v>
      </c>
      <c r="B566">
        <v>8</v>
      </c>
      <c r="C566" t="s">
        <v>150</v>
      </c>
      <c r="D566">
        <v>43</v>
      </c>
      <c r="E566" t="s">
        <v>58</v>
      </c>
      <c r="F566">
        <v>102</v>
      </c>
      <c r="G566" t="s">
        <v>61</v>
      </c>
      <c r="H566" t="s">
        <v>50</v>
      </c>
      <c r="K566" t="s">
        <v>52</v>
      </c>
      <c r="L566">
        <v>1</v>
      </c>
      <c r="M566" t="s">
        <v>53</v>
      </c>
      <c r="N566">
        <v>102</v>
      </c>
      <c r="O566">
        <v>1</v>
      </c>
      <c r="P566" t="s">
        <v>52</v>
      </c>
      <c r="Q566">
        <v>0</v>
      </c>
      <c r="R566">
        <v>0.92</v>
      </c>
      <c r="S566">
        <v>131.69999999999999</v>
      </c>
      <c r="T566" t="s">
        <v>284</v>
      </c>
      <c r="U566">
        <v>170</v>
      </c>
      <c r="V566" t="s">
        <v>284</v>
      </c>
      <c r="W566">
        <v>191</v>
      </c>
      <c r="X566" t="s">
        <v>284</v>
      </c>
      <c r="Y566">
        <v>207</v>
      </c>
      <c r="Z566" t="s">
        <v>284</v>
      </c>
      <c r="AA566">
        <v>315</v>
      </c>
      <c r="AB566" t="s">
        <v>285</v>
      </c>
      <c r="AG566">
        <v>189.33330000000001</v>
      </c>
      <c r="AH566" t="s">
        <v>54</v>
      </c>
      <c r="AI566" t="s">
        <v>52</v>
      </c>
      <c r="AZ566" t="s">
        <v>52</v>
      </c>
      <c r="BQ566" t="s">
        <v>52</v>
      </c>
      <c r="BR566">
        <v>0.93</v>
      </c>
      <c r="BS566" t="s">
        <v>285</v>
      </c>
      <c r="BT566">
        <v>0.86</v>
      </c>
      <c r="BU566" t="s">
        <v>284</v>
      </c>
      <c r="BV566">
        <v>0.66</v>
      </c>
      <c r="BW566" t="s">
        <v>285</v>
      </c>
      <c r="BX566">
        <v>0.47</v>
      </c>
      <c r="BY566" t="s">
        <v>285</v>
      </c>
      <c r="BZ566">
        <v>0.4</v>
      </c>
      <c r="CA566" t="s">
        <v>284</v>
      </c>
      <c r="CF566">
        <v>0.66</v>
      </c>
      <c r="CG566" t="s">
        <v>54</v>
      </c>
      <c r="CH566" t="s">
        <v>52</v>
      </c>
    </row>
    <row r="567" spans="1:86" x14ac:dyDescent="0.25">
      <c r="A567" t="s">
        <v>47</v>
      </c>
      <c r="B567">
        <v>8</v>
      </c>
      <c r="C567" t="s">
        <v>150</v>
      </c>
      <c r="D567">
        <v>43</v>
      </c>
      <c r="E567" t="s">
        <v>58</v>
      </c>
      <c r="F567">
        <v>102</v>
      </c>
      <c r="G567" t="s">
        <v>151</v>
      </c>
      <c r="H567" t="s">
        <v>50</v>
      </c>
      <c r="K567" t="s">
        <v>51</v>
      </c>
      <c r="L567">
        <v>1</v>
      </c>
      <c r="M567" t="s">
        <v>53</v>
      </c>
      <c r="N567">
        <v>102</v>
      </c>
      <c r="O567">
        <v>1</v>
      </c>
      <c r="P567" t="s">
        <v>52</v>
      </c>
      <c r="Q567">
        <v>0</v>
      </c>
      <c r="R567">
        <v>0.92</v>
      </c>
      <c r="S567">
        <v>131.69999999999999</v>
      </c>
      <c r="T567" t="s">
        <v>284</v>
      </c>
      <c r="U567">
        <v>170</v>
      </c>
      <c r="V567" t="s">
        <v>284</v>
      </c>
      <c r="W567">
        <v>191</v>
      </c>
      <c r="X567" t="s">
        <v>284</v>
      </c>
      <c r="AI567" t="s">
        <v>52</v>
      </c>
      <c r="AZ567" t="s">
        <v>52</v>
      </c>
      <c r="BQ567" t="s">
        <v>52</v>
      </c>
      <c r="BR567">
        <v>1.85</v>
      </c>
      <c r="BS567" t="s">
        <v>284</v>
      </c>
      <c r="BT567">
        <v>1.6</v>
      </c>
      <c r="BU567" t="s">
        <v>284</v>
      </c>
      <c r="BV567">
        <v>1.24</v>
      </c>
      <c r="BW567" t="s">
        <v>284</v>
      </c>
      <c r="CH567" t="s">
        <v>52</v>
      </c>
    </row>
    <row r="568" spans="1:86" x14ac:dyDescent="0.25">
      <c r="A568" t="s">
        <v>47</v>
      </c>
      <c r="B568">
        <v>8</v>
      </c>
      <c r="C568" t="s">
        <v>150</v>
      </c>
      <c r="D568">
        <v>43</v>
      </c>
      <c r="E568" t="s">
        <v>58</v>
      </c>
      <c r="F568">
        <v>102</v>
      </c>
      <c r="G568" t="s">
        <v>62</v>
      </c>
      <c r="H568" t="s">
        <v>50</v>
      </c>
      <c r="K568" t="s">
        <v>51</v>
      </c>
      <c r="L568">
        <v>1</v>
      </c>
      <c r="M568" t="s">
        <v>53</v>
      </c>
      <c r="N568">
        <v>102</v>
      </c>
      <c r="O568">
        <v>1</v>
      </c>
      <c r="P568" t="s">
        <v>52</v>
      </c>
      <c r="Q568">
        <v>0</v>
      </c>
      <c r="R568">
        <v>0.92</v>
      </c>
      <c r="S568">
        <v>131.69999999999999</v>
      </c>
      <c r="T568" t="s">
        <v>284</v>
      </c>
      <c r="U568">
        <v>170</v>
      </c>
      <c r="V568" t="s">
        <v>284</v>
      </c>
      <c r="W568">
        <v>191</v>
      </c>
      <c r="X568" t="s">
        <v>284</v>
      </c>
      <c r="Y568">
        <v>207</v>
      </c>
      <c r="Z568" t="s">
        <v>284</v>
      </c>
      <c r="AA568">
        <v>205</v>
      </c>
      <c r="AB568" t="s">
        <v>285</v>
      </c>
      <c r="AG568">
        <v>188.66669999999999</v>
      </c>
      <c r="AH568" t="s">
        <v>54</v>
      </c>
      <c r="AI568" t="s">
        <v>52</v>
      </c>
      <c r="AX568">
        <v>271.60000000000002</v>
      </c>
      <c r="AY568" t="s">
        <v>285</v>
      </c>
      <c r="AZ568" t="s">
        <v>287</v>
      </c>
      <c r="BQ568" t="s">
        <v>52</v>
      </c>
      <c r="BR568">
        <v>1.85</v>
      </c>
      <c r="BS568" t="s">
        <v>284</v>
      </c>
      <c r="BT568">
        <v>1.32</v>
      </c>
      <c r="BU568" t="s">
        <v>284</v>
      </c>
      <c r="BV568">
        <v>0.53</v>
      </c>
      <c r="BW568" t="s">
        <v>285</v>
      </c>
      <c r="BX568">
        <v>0.62</v>
      </c>
      <c r="BY568" t="s">
        <v>285</v>
      </c>
      <c r="BZ568">
        <v>0.53</v>
      </c>
      <c r="CA568" t="s">
        <v>284</v>
      </c>
      <c r="CF568">
        <v>0.82</v>
      </c>
      <c r="CG568" t="s">
        <v>54</v>
      </c>
      <c r="CH568" t="s">
        <v>52</v>
      </c>
    </row>
    <row r="569" spans="1:86" x14ac:dyDescent="0.25">
      <c r="A569" t="s">
        <v>47</v>
      </c>
      <c r="B569">
        <v>8</v>
      </c>
      <c r="C569" t="s">
        <v>150</v>
      </c>
      <c r="D569">
        <v>43</v>
      </c>
      <c r="E569" t="s">
        <v>58</v>
      </c>
      <c r="F569">
        <v>102</v>
      </c>
      <c r="G569" t="s">
        <v>62</v>
      </c>
      <c r="H569" t="s">
        <v>50</v>
      </c>
      <c r="K569" t="s">
        <v>52</v>
      </c>
      <c r="L569">
        <v>1</v>
      </c>
      <c r="M569" t="s">
        <v>53</v>
      </c>
      <c r="N569">
        <v>102</v>
      </c>
      <c r="O569">
        <v>1</v>
      </c>
      <c r="P569" t="s">
        <v>52</v>
      </c>
      <c r="Q569">
        <v>0</v>
      </c>
      <c r="R569">
        <v>0.92</v>
      </c>
      <c r="S569">
        <v>131.69999999999999</v>
      </c>
      <c r="T569" t="s">
        <v>284</v>
      </c>
      <c r="U569">
        <v>170</v>
      </c>
      <c r="V569" t="s">
        <v>284</v>
      </c>
      <c r="W569">
        <v>191</v>
      </c>
      <c r="X569" t="s">
        <v>284</v>
      </c>
      <c r="Y569">
        <v>207</v>
      </c>
      <c r="Z569" t="s">
        <v>284</v>
      </c>
      <c r="AA569">
        <v>205</v>
      </c>
      <c r="AB569" t="s">
        <v>285</v>
      </c>
      <c r="AG569">
        <v>188.66669999999999</v>
      </c>
      <c r="AH569" t="s">
        <v>54</v>
      </c>
      <c r="AI569" t="s">
        <v>52</v>
      </c>
      <c r="AX569">
        <v>271.60000000000002</v>
      </c>
      <c r="AY569" t="s">
        <v>285</v>
      </c>
      <c r="AZ569" t="s">
        <v>287</v>
      </c>
      <c r="BQ569" t="s">
        <v>52</v>
      </c>
      <c r="BR569">
        <v>0.83</v>
      </c>
      <c r="BS569" t="s">
        <v>285</v>
      </c>
      <c r="BT569">
        <v>0.92</v>
      </c>
      <c r="BU569" t="s">
        <v>284</v>
      </c>
      <c r="BV569">
        <v>0.27</v>
      </c>
      <c r="BW569" t="s">
        <v>285</v>
      </c>
      <c r="BX569">
        <v>0.5</v>
      </c>
      <c r="BY569" t="s">
        <v>285</v>
      </c>
      <c r="BZ569">
        <v>0.43</v>
      </c>
      <c r="CA569" t="s">
        <v>284</v>
      </c>
      <c r="CF569">
        <v>0.59</v>
      </c>
      <c r="CG569" t="s">
        <v>54</v>
      </c>
      <c r="CH569" t="s">
        <v>52</v>
      </c>
    </row>
    <row r="570" spans="1:86" x14ac:dyDescent="0.25">
      <c r="A570" t="s">
        <v>47</v>
      </c>
      <c r="B570">
        <v>8</v>
      </c>
      <c r="C570" t="s">
        <v>150</v>
      </c>
      <c r="D570">
        <v>43</v>
      </c>
      <c r="E570" t="s">
        <v>58</v>
      </c>
      <c r="F570">
        <v>102</v>
      </c>
      <c r="G570" t="s">
        <v>63</v>
      </c>
      <c r="H570" t="s">
        <v>50</v>
      </c>
      <c r="K570" t="s">
        <v>51</v>
      </c>
      <c r="L570">
        <v>1</v>
      </c>
      <c r="M570" t="s">
        <v>53</v>
      </c>
      <c r="N570">
        <v>102</v>
      </c>
      <c r="O570">
        <v>1</v>
      </c>
      <c r="P570" t="s">
        <v>52</v>
      </c>
      <c r="Q570">
        <v>0</v>
      </c>
      <c r="R570">
        <v>0.92</v>
      </c>
      <c r="S570">
        <v>131.69999999999999</v>
      </c>
      <c r="T570" t="s">
        <v>284</v>
      </c>
      <c r="U570">
        <v>170</v>
      </c>
      <c r="V570" t="s">
        <v>284</v>
      </c>
      <c r="W570">
        <v>191</v>
      </c>
      <c r="X570" t="s">
        <v>285</v>
      </c>
      <c r="Y570">
        <v>207</v>
      </c>
      <c r="Z570" t="s">
        <v>285</v>
      </c>
      <c r="AA570">
        <v>265</v>
      </c>
      <c r="AB570" t="s">
        <v>285</v>
      </c>
      <c r="AG570">
        <v>189.33330000000001</v>
      </c>
      <c r="AH570" t="s">
        <v>54</v>
      </c>
      <c r="AI570" t="s">
        <v>52</v>
      </c>
      <c r="AZ570" t="s">
        <v>52</v>
      </c>
      <c r="BQ570" t="s">
        <v>52</v>
      </c>
      <c r="CH570" t="s">
        <v>52</v>
      </c>
    </row>
    <row r="571" spans="1:86" x14ac:dyDescent="0.25">
      <c r="A571" t="s">
        <v>47</v>
      </c>
      <c r="B571">
        <v>8</v>
      </c>
      <c r="C571" t="s">
        <v>150</v>
      </c>
      <c r="D571">
        <v>43</v>
      </c>
      <c r="E571" t="s">
        <v>58</v>
      </c>
      <c r="F571">
        <v>102</v>
      </c>
      <c r="G571" t="s">
        <v>63</v>
      </c>
      <c r="H571" t="s">
        <v>50</v>
      </c>
      <c r="K571" t="s">
        <v>52</v>
      </c>
      <c r="L571">
        <v>1</v>
      </c>
      <c r="M571" t="s">
        <v>53</v>
      </c>
      <c r="N571">
        <v>102</v>
      </c>
      <c r="O571">
        <v>1</v>
      </c>
      <c r="P571" t="s">
        <v>52</v>
      </c>
      <c r="Q571">
        <v>0</v>
      </c>
      <c r="R571">
        <v>0.92</v>
      </c>
      <c r="S571">
        <v>131.69999999999999</v>
      </c>
      <c r="T571" t="s">
        <v>284</v>
      </c>
      <c r="U571">
        <v>170</v>
      </c>
      <c r="V571" t="s">
        <v>284</v>
      </c>
      <c r="W571">
        <v>191</v>
      </c>
      <c r="X571" t="s">
        <v>285</v>
      </c>
      <c r="Y571">
        <v>207</v>
      </c>
      <c r="Z571" t="s">
        <v>285</v>
      </c>
      <c r="AA571">
        <v>265</v>
      </c>
      <c r="AB571" t="s">
        <v>285</v>
      </c>
      <c r="AG571">
        <v>189.33330000000001</v>
      </c>
      <c r="AH571" t="s">
        <v>54</v>
      </c>
      <c r="AI571" t="s">
        <v>52</v>
      </c>
      <c r="AZ571" t="s">
        <v>52</v>
      </c>
      <c r="BQ571" t="s">
        <v>52</v>
      </c>
      <c r="CH571" t="s">
        <v>52</v>
      </c>
    </row>
    <row r="572" spans="1:86" x14ac:dyDescent="0.25">
      <c r="A572" t="s">
        <v>47</v>
      </c>
      <c r="B572">
        <v>8</v>
      </c>
      <c r="C572" t="s">
        <v>150</v>
      </c>
      <c r="D572">
        <v>43</v>
      </c>
      <c r="E572" t="s">
        <v>58</v>
      </c>
      <c r="F572">
        <v>102</v>
      </c>
      <c r="G572" t="s">
        <v>64</v>
      </c>
      <c r="H572" t="s">
        <v>50</v>
      </c>
      <c r="K572" t="s">
        <v>51</v>
      </c>
      <c r="L572">
        <v>1</v>
      </c>
      <c r="M572" t="s">
        <v>53</v>
      </c>
      <c r="N572">
        <v>102</v>
      </c>
      <c r="O572">
        <v>1</v>
      </c>
      <c r="P572" t="s">
        <v>52</v>
      </c>
      <c r="Q572">
        <v>0</v>
      </c>
      <c r="R572">
        <v>0.92</v>
      </c>
      <c r="S572">
        <v>131.69999999999999</v>
      </c>
      <c r="T572" t="s">
        <v>284</v>
      </c>
      <c r="U572">
        <v>170</v>
      </c>
      <c r="V572" t="s">
        <v>284</v>
      </c>
      <c r="W572">
        <v>191</v>
      </c>
      <c r="X572" t="s">
        <v>284</v>
      </c>
      <c r="Y572">
        <v>207</v>
      </c>
      <c r="Z572" t="s">
        <v>284</v>
      </c>
      <c r="AA572">
        <v>205</v>
      </c>
      <c r="AB572" t="s">
        <v>285</v>
      </c>
      <c r="AG572">
        <v>188.66669999999999</v>
      </c>
      <c r="AH572" t="s">
        <v>54</v>
      </c>
      <c r="AI572" t="s">
        <v>52</v>
      </c>
      <c r="AZ572" t="s">
        <v>52</v>
      </c>
      <c r="BQ572" t="s">
        <v>52</v>
      </c>
      <c r="CH572" t="s">
        <v>52</v>
      </c>
    </row>
    <row r="573" spans="1:86" x14ac:dyDescent="0.25">
      <c r="A573" t="s">
        <v>47</v>
      </c>
      <c r="B573">
        <v>8</v>
      </c>
      <c r="C573" t="s">
        <v>150</v>
      </c>
      <c r="D573">
        <v>43</v>
      </c>
      <c r="E573" t="s">
        <v>58</v>
      </c>
      <c r="F573">
        <v>102</v>
      </c>
      <c r="G573" t="s">
        <v>65</v>
      </c>
      <c r="H573" t="s">
        <v>50</v>
      </c>
      <c r="K573" t="s">
        <v>52</v>
      </c>
      <c r="L573">
        <v>1</v>
      </c>
      <c r="M573" t="s">
        <v>53</v>
      </c>
      <c r="N573">
        <v>102</v>
      </c>
      <c r="O573">
        <v>1</v>
      </c>
      <c r="P573" t="s">
        <v>52</v>
      </c>
      <c r="Q573">
        <v>0</v>
      </c>
      <c r="R573">
        <v>0.92</v>
      </c>
      <c r="S573">
        <v>131.69999999999999</v>
      </c>
      <c r="T573" t="s">
        <v>284</v>
      </c>
      <c r="U573">
        <v>170</v>
      </c>
      <c r="V573" t="s">
        <v>284</v>
      </c>
      <c r="W573">
        <v>191</v>
      </c>
      <c r="X573" t="s">
        <v>284</v>
      </c>
      <c r="Y573">
        <v>207</v>
      </c>
      <c r="Z573" t="s">
        <v>284</v>
      </c>
      <c r="AA573">
        <v>155</v>
      </c>
      <c r="AB573" t="s">
        <v>285</v>
      </c>
      <c r="AG573">
        <v>172</v>
      </c>
      <c r="AH573" t="s">
        <v>54</v>
      </c>
      <c r="AI573" t="s">
        <v>52</v>
      </c>
      <c r="AZ573" t="s">
        <v>52</v>
      </c>
      <c r="BQ573" t="s">
        <v>52</v>
      </c>
      <c r="BR573">
        <v>0.93</v>
      </c>
      <c r="BS573" t="s">
        <v>285</v>
      </c>
      <c r="BT573">
        <v>0.86</v>
      </c>
      <c r="BU573" t="s">
        <v>284</v>
      </c>
      <c r="BV573">
        <v>0.66</v>
      </c>
      <c r="BW573" t="s">
        <v>285</v>
      </c>
      <c r="BX573">
        <v>0.46</v>
      </c>
      <c r="BY573" t="s">
        <v>285</v>
      </c>
      <c r="BZ573">
        <v>0.4</v>
      </c>
      <c r="CA573" t="s">
        <v>284</v>
      </c>
      <c r="CF573">
        <v>0.66</v>
      </c>
      <c r="CG573" t="s">
        <v>54</v>
      </c>
      <c r="CH573" t="s">
        <v>52</v>
      </c>
    </row>
    <row r="574" spans="1:86" x14ac:dyDescent="0.25">
      <c r="A574" t="s">
        <v>47</v>
      </c>
      <c r="B574">
        <v>8</v>
      </c>
      <c r="C574" t="s">
        <v>150</v>
      </c>
      <c r="D574">
        <v>43</v>
      </c>
      <c r="E574" t="s">
        <v>58</v>
      </c>
      <c r="F574">
        <v>102</v>
      </c>
      <c r="G574" t="s">
        <v>118</v>
      </c>
      <c r="H574" t="s">
        <v>50</v>
      </c>
      <c r="K574" t="s">
        <v>51</v>
      </c>
      <c r="L574">
        <v>1</v>
      </c>
      <c r="M574" t="s">
        <v>53</v>
      </c>
      <c r="N574">
        <v>102</v>
      </c>
      <c r="O574">
        <v>1</v>
      </c>
      <c r="P574" t="s">
        <v>52</v>
      </c>
      <c r="Q574">
        <v>0</v>
      </c>
      <c r="R574">
        <v>0.92</v>
      </c>
      <c r="S574">
        <v>131.69999999999999</v>
      </c>
      <c r="T574" t="s">
        <v>284</v>
      </c>
      <c r="U574">
        <v>170</v>
      </c>
      <c r="V574" t="s">
        <v>284</v>
      </c>
      <c r="W574">
        <v>191</v>
      </c>
      <c r="X574" t="s">
        <v>284</v>
      </c>
      <c r="Y574">
        <v>207</v>
      </c>
      <c r="Z574" t="s">
        <v>284</v>
      </c>
      <c r="AA574">
        <v>205</v>
      </c>
      <c r="AB574" t="s">
        <v>285</v>
      </c>
      <c r="AG574">
        <v>188.66669999999999</v>
      </c>
      <c r="AH574" t="s">
        <v>54</v>
      </c>
      <c r="AI574" t="s">
        <v>52</v>
      </c>
      <c r="AZ574" t="s">
        <v>52</v>
      </c>
      <c r="BQ574" t="s">
        <v>52</v>
      </c>
      <c r="CH574" t="s">
        <v>52</v>
      </c>
    </row>
    <row r="575" spans="1:86" x14ac:dyDescent="0.25">
      <c r="A575" t="s">
        <v>47</v>
      </c>
      <c r="B575">
        <v>8</v>
      </c>
      <c r="C575" t="s">
        <v>150</v>
      </c>
      <c r="D575">
        <v>43</v>
      </c>
      <c r="E575" t="s">
        <v>58</v>
      </c>
      <c r="F575">
        <v>102</v>
      </c>
      <c r="G575" t="s">
        <v>118</v>
      </c>
      <c r="H575" t="s">
        <v>50</v>
      </c>
      <c r="K575" t="s">
        <v>52</v>
      </c>
      <c r="L575">
        <v>1</v>
      </c>
      <c r="M575" t="s">
        <v>53</v>
      </c>
      <c r="N575">
        <v>102</v>
      </c>
      <c r="O575">
        <v>1</v>
      </c>
      <c r="P575" t="s">
        <v>52</v>
      </c>
      <c r="Q575">
        <v>0</v>
      </c>
      <c r="R575">
        <v>0.92</v>
      </c>
      <c r="S575">
        <v>131.69999999999999</v>
      </c>
      <c r="T575" t="s">
        <v>284</v>
      </c>
      <c r="U575">
        <v>170</v>
      </c>
      <c r="V575" t="s">
        <v>284</v>
      </c>
      <c r="W575">
        <v>191</v>
      </c>
      <c r="X575" t="s">
        <v>284</v>
      </c>
      <c r="Y575">
        <v>207</v>
      </c>
      <c r="Z575" t="s">
        <v>284</v>
      </c>
      <c r="AA575">
        <v>205</v>
      </c>
      <c r="AB575" t="s">
        <v>285</v>
      </c>
      <c r="AG575">
        <v>188.66669999999999</v>
      </c>
      <c r="AH575" t="s">
        <v>54</v>
      </c>
      <c r="AI575" t="s">
        <v>52</v>
      </c>
      <c r="AZ575" t="s">
        <v>52</v>
      </c>
      <c r="BQ575" t="s">
        <v>52</v>
      </c>
      <c r="CH575" t="s">
        <v>52</v>
      </c>
    </row>
    <row r="576" spans="1:86" x14ac:dyDescent="0.25">
      <c r="A576" t="s">
        <v>47</v>
      </c>
      <c r="B576">
        <v>8</v>
      </c>
      <c r="C576" t="s">
        <v>150</v>
      </c>
      <c r="D576">
        <v>43</v>
      </c>
      <c r="E576" t="s">
        <v>58</v>
      </c>
      <c r="F576">
        <v>102</v>
      </c>
      <c r="G576" t="s">
        <v>67</v>
      </c>
      <c r="H576" t="s">
        <v>50</v>
      </c>
      <c r="K576" t="s">
        <v>51</v>
      </c>
      <c r="L576">
        <v>1</v>
      </c>
      <c r="M576" t="s">
        <v>53</v>
      </c>
      <c r="N576">
        <v>102</v>
      </c>
      <c r="O576">
        <v>1</v>
      </c>
      <c r="P576" t="s">
        <v>52</v>
      </c>
      <c r="Q576">
        <v>0</v>
      </c>
      <c r="R576">
        <v>0.92</v>
      </c>
      <c r="S576">
        <v>131.69999999999999</v>
      </c>
      <c r="T576" t="s">
        <v>284</v>
      </c>
      <c r="U576">
        <v>170</v>
      </c>
      <c r="V576" t="s">
        <v>284</v>
      </c>
      <c r="W576">
        <v>191</v>
      </c>
      <c r="X576" t="s">
        <v>284</v>
      </c>
      <c r="Y576">
        <v>207</v>
      </c>
      <c r="Z576" t="s">
        <v>285</v>
      </c>
      <c r="AA576">
        <v>205</v>
      </c>
      <c r="AB576" t="s">
        <v>285</v>
      </c>
      <c r="AG576">
        <v>188.66669999999999</v>
      </c>
      <c r="AH576" t="s">
        <v>54</v>
      </c>
      <c r="AI576" t="s">
        <v>52</v>
      </c>
      <c r="AZ576" t="s">
        <v>52</v>
      </c>
      <c r="BQ576" t="s">
        <v>52</v>
      </c>
      <c r="CH576" t="s">
        <v>52</v>
      </c>
    </row>
    <row r="577" spans="1:86" x14ac:dyDescent="0.25">
      <c r="A577" t="s">
        <v>47</v>
      </c>
      <c r="B577">
        <v>8</v>
      </c>
      <c r="C577" t="s">
        <v>150</v>
      </c>
      <c r="D577">
        <v>43</v>
      </c>
      <c r="E577" t="s">
        <v>58</v>
      </c>
      <c r="F577">
        <v>102</v>
      </c>
      <c r="G577" t="s">
        <v>67</v>
      </c>
      <c r="H577" t="s">
        <v>50</v>
      </c>
      <c r="K577" t="s">
        <v>52</v>
      </c>
      <c r="L577">
        <v>1</v>
      </c>
      <c r="M577" t="s">
        <v>53</v>
      </c>
      <c r="N577">
        <v>102</v>
      </c>
      <c r="O577">
        <v>1</v>
      </c>
      <c r="P577" t="s">
        <v>52</v>
      </c>
      <c r="Q577">
        <v>0</v>
      </c>
      <c r="R577">
        <v>0.92</v>
      </c>
      <c r="S577">
        <v>131.69999999999999</v>
      </c>
      <c r="T577" t="s">
        <v>284</v>
      </c>
      <c r="U577">
        <v>170</v>
      </c>
      <c r="V577" t="s">
        <v>284</v>
      </c>
      <c r="W577">
        <v>191</v>
      </c>
      <c r="X577" t="s">
        <v>284</v>
      </c>
      <c r="Y577">
        <v>207</v>
      </c>
      <c r="Z577" t="s">
        <v>285</v>
      </c>
      <c r="AA577">
        <v>205</v>
      </c>
      <c r="AB577" t="s">
        <v>285</v>
      </c>
      <c r="AG577">
        <v>188.66669999999999</v>
      </c>
      <c r="AH577" t="s">
        <v>54</v>
      </c>
      <c r="AI577" t="s">
        <v>52</v>
      </c>
      <c r="AZ577" t="s">
        <v>52</v>
      </c>
      <c r="BQ577" t="s">
        <v>52</v>
      </c>
      <c r="CH577" t="s">
        <v>52</v>
      </c>
    </row>
    <row r="578" spans="1:86" x14ac:dyDescent="0.25">
      <c r="A578" t="s">
        <v>47</v>
      </c>
      <c r="B578">
        <v>8</v>
      </c>
      <c r="C578" t="s">
        <v>150</v>
      </c>
      <c r="D578">
        <v>43</v>
      </c>
      <c r="E578" t="s">
        <v>70</v>
      </c>
      <c r="F578">
        <v>296</v>
      </c>
      <c r="G578" t="s">
        <v>71</v>
      </c>
      <c r="H578" t="s">
        <v>50</v>
      </c>
      <c r="K578" t="s">
        <v>51</v>
      </c>
      <c r="L578">
        <v>1</v>
      </c>
      <c r="M578" t="s">
        <v>53</v>
      </c>
      <c r="N578">
        <v>296</v>
      </c>
      <c r="O578">
        <v>1</v>
      </c>
      <c r="P578" t="s">
        <v>52</v>
      </c>
      <c r="Q578">
        <v>0</v>
      </c>
      <c r="R578">
        <v>0.75</v>
      </c>
      <c r="S578">
        <v>228</v>
      </c>
      <c r="T578" t="s">
        <v>284</v>
      </c>
      <c r="U578">
        <v>190</v>
      </c>
      <c r="V578" t="s">
        <v>285</v>
      </c>
      <c r="W578">
        <v>194</v>
      </c>
      <c r="X578" t="s">
        <v>285</v>
      </c>
      <c r="Y578">
        <v>225</v>
      </c>
      <c r="Z578" t="s">
        <v>285</v>
      </c>
      <c r="AA578">
        <v>247</v>
      </c>
      <c r="AB578" t="s">
        <v>285</v>
      </c>
      <c r="AC578">
        <v>241</v>
      </c>
      <c r="AD578" t="s">
        <v>285</v>
      </c>
      <c r="AE578">
        <v>219</v>
      </c>
      <c r="AF578" t="s">
        <v>285</v>
      </c>
      <c r="AG578">
        <v>219</v>
      </c>
      <c r="AH578" t="s">
        <v>286</v>
      </c>
      <c r="AI578" t="s">
        <v>287</v>
      </c>
      <c r="AX578">
        <v>263</v>
      </c>
      <c r="AY578" t="s">
        <v>286</v>
      </c>
      <c r="AZ578" t="s">
        <v>287</v>
      </c>
      <c r="BQ578" t="s">
        <v>52</v>
      </c>
      <c r="BR578">
        <v>1.85</v>
      </c>
      <c r="BS578" t="s">
        <v>284</v>
      </c>
      <c r="BT578">
        <v>1.65</v>
      </c>
      <c r="BU578" t="s">
        <v>284</v>
      </c>
      <c r="BV578">
        <v>0.98</v>
      </c>
      <c r="BW578" t="s">
        <v>285</v>
      </c>
      <c r="BX578">
        <v>0.98</v>
      </c>
      <c r="BY578" t="s">
        <v>285</v>
      </c>
      <c r="BZ578">
        <v>1.19</v>
      </c>
      <c r="CA578" t="s">
        <v>288</v>
      </c>
      <c r="CF578">
        <v>1.27</v>
      </c>
      <c r="CG578" t="s">
        <v>54</v>
      </c>
      <c r="CH578" t="s">
        <v>52</v>
      </c>
    </row>
    <row r="579" spans="1:86" x14ac:dyDescent="0.25">
      <c r="A579" t="s">
        <v>47</v>
      </c>
      <c r="B579">
        <v>8</v>
      </c>
      <c r="C579" t="s">
        <v>150</v>
      </c>
      <c r="D579">
        <v>43</v>
      </c>
      <c r="E579" t="s">
        <v>70</v>
      </c>
      <c r="F579">
        <v>296</v>
      </c>
      <c r="G579" t="s">
        <v>72</v>
      </c>
      <c r="H579" t="s">
        <v>50</v>
      </c>
      <c r="K579" t="s">
        <v>51</v>
      </c>
      <c r="L579">
        <v>1</v>
      </c>
      <c r="M579" t="s">
        <v>53</v>
      </c>
      <c r="N579">
        <v>296</v>
      </c>
      <c r="O579">
        <v>1</v>
      </c>
      <c r="P579" t="s">
        <v>52</v>
      </c>
      <c r="Q579">
        <v>0.5</v>
      </c>
      <c r="R579">
        <v>0.75</v>
      </c>
      <c r="S579">
        <v>228</v>
      </c>
      <c r="T579" t="s">
        <v>284</v>
      </c>
      <c r="U579">
        <v>221</v>
      </c>
      <c r="V579" t="s">
        <v>284</v>
      </c>
      <c r="W579">
        <v>236</v>
      </c>
      <c r="X579" t="s">
        <v>284</v>
      </c>
      <c r="Y579">
        <v>244</v>
      </c>
      <c r="Z579" t="s">
        <v>284</v>
      </c>
      <c r="AA579">
        <v>215</v>
      </c>
      <c r="AB579" t="s">
        <v>285</v>
      </c>
      <c r="AG579">
        <v>228.33330000000001</v>
      </c>
      <c r="AH579" t="s">
        <v>54</v>
      </c>
      <c r="AI579" t="s">
        <v>52</v>
      </c>
      <c r="AZ579" t="s">
        <v>52</v>
      </c>
      <c r="BQ579" t="s">
        <v>52</v>
      </c>
      <c r="CH579" t="s">
        <v>52</v>
      </c>
    </row>
    <row r="580" spans="1:86" x14ac:dyDescent="0.25">
      <c r="A580" t="s">
        <v>47</v>
      </c>
      <c r="B580">
        <v>8</v>
      </c>
      <c r="C580" t="s">
        <v>150</v>
      </c>
      <c r="D580">
        <v>43</v>
      </c>
      <c r="E580" t="s">
        <v>70</v>
      </c>
      <c r="F580">
        <v>296</v>
      </c>
      <c r="G580" t="s">
        <v>74</v>
      </c>
      <c r="H580" t="s">
        <v>50</v>
      </c>
      <c r="K580" t="s">
        <v>51</v>
      </c>
      <c r="L580">
        <v>1</v>
      </c>
      <c r="M580" t="s">
        <v>53</v>
      </c>
      <c r="N580">
        <v>102</v>
      </c>
      <c r="O580">
        <v>1</v>
      </c>
      <c r="P580" t="s">
        <v>52</v>
      </c>
      <c r="Q580">
        <v>0</v>
      </c>
      <c r="R580">
        <v>0.75</v>
      </c>
      <c r="S580">
        <v>135</v>
      </c>
      <c r="T580" t="s">
        <v>284</v>
      </c>
      <c r="U580">
        <v>132</v>
      </c>
      <c r="V580" t="s">
        <v>284</v>
      </c>
      <c r="W580">
        <v>147</v>
      </c>
      <c r="X580" t="s">
        <v>284</v>
      </c>
      <c r="Y580">
        <v>170</v>
      </c>
      <c r="Z580" t="s">
        <v>284</v>
      </c>
      <c r="AA580">
        <v>205</v>
      </c>
      <c r="AB580" t="s">
        <v>285</v>
      </c>
      <c r="AG580">
        <v>150.66669999999999</v>
      </c>
      <c r="AH580" t="s">
        <v>54</v>
      </c>
      <c r="AI580" t="s">
        <v>52</v>
      </c>
      <c r="AZ580" t="s">
        <v>52</v>
      </c>
      <c r="BQ580" t="s">
        <v>52</v>
      </c>
      <c r="BR580">
        <v>1.85</v>
      </c>
      <c r="BS580" t="s">
        <v>284</v>
      </c>
      <c r="BT580">
        <v>1.65</v>
      </c>
      <c r="BU580" t="s">
        <v>284</v>
      </c>
      <c r="BV580">
        <v>1.08</v>
      </c>
      <c r="BW580" t="s">
        <v>289</v>
      </c>
      <c r="BX580">
        <v>0.32</v>
      </c>
      <c r="BY580" t="s">
        <v>289</v>
      </c>
      <c r="BZ580">
        <v>0.19</v>
      </c>
      <c r="CA580" t="s">
        <v>288</v>
      </c>
      <c r="CF580">
        <v>1.02</v>
      </c>
      <c r="CG580" t="s">
        <v>54</v>
      </c>
      <c r="CH580" t="s">
        <v>52</v>
      </c>
    </row>
    <row r="581" spans="1:86" x14ac:dyDescent="0.25">
      <c r="A581" t="s">
        <v>47</v>
      </c>
      <c r="B581">
        <v>8</v>
      </c>
      <c r="C581" t="s">
        <v>150</v>
      </c>
      <c r="D581">
        <v>43</v>
      </c>
      <c r="E581" t="s">
        <v>70</v>
      </c>
      <c r="F581">
        <v>296</v>
      </c>
      <c r="G581" t="s">
        <v>74</v>
      </c>
      <c r="H581" t="s">
        <v>50</v>
      </c>
      <c r="K581" t="s">
        <v>52</v>
      </c>
      <c r="L581">
        <v>1</v>
      </c>
      <c r="M581" t="s">
        <v>53</v>
      </c>
      <c r="N581">
        <v>102</v>
      </c>
      <c r="O581">
        <v>1</v>
      </c>
      <c r="P581" t="s">
        <v>52</v>
      </c>
      <c r="Q581">
        <v>0</v>
      </c>
      <c r="R581">
        <v>0.75</v>
      </c>
      <c r="S581">
        <v>135</v>
      </c>
      <c r="T581" t="s">
        <v>284</v>
      </c>
      <c r="U581">
        <v>132</v>
      </c>
      <c r="V581" t="s">
        <v>284</v>
      </c>
      <c r="W581">
        <v>147</v>
      </c>
      <c r="X581" t="s">
        <v>284</v>
      </c>
      <c r="Y581">
        <v>170</v>
      </c>
      <c r="Z581" t="s">
        <v>284</v>
      </c>
      <c r="AA581">
        <v>205</v>
      </c>
      <c r="AB581" t="s">
        <v>285</v>
      </c>
      <c r="AG581">
        <v>150.66669999999999</v>
      </c>
      <c r="AH581" t="s">
        <v>54</v>
      </c>
      <c r="AI581" t="s">
        <v>52</v>
      </c>
      <c r="AZ581" t="s">
        <v>52</v>
      </c>
      <c r="BQ581" t="s">
        <v>52</v>
      </c>
      <c r="BR581">
        <v>0.65</v>
      </c>
      <c r="BS581" t="s">
        <v>284</v>
      </c>
      <c r="BT581">
        <v>0.54</v>
      </c>
      <c r="BU581" t="s">
        <v>284</v>
      </c>
      <c r="BV581">
        <v>0.11</v>
      </c>
      <c r="BW581" t="s">
        <v>284</v>
      </c>
      <c r="BX581">
        <v>0.25</v>
      </c>
      <c r="BY581" t="s">
        <v>285</v>
      </c>
      <c r="BZ581">
        <v>0.22</v>
      </c>
      <c r="CA581" t="s">
        <v>289</v>
      </c>
      <c r="CF581">
        <v>0.34</v>
      </c>
      <c r="CG581" t="s">
        <v>54</v>
      </c>
      <c r="CH581" t="s">
        <v>52</v>
      </c>
    </row>
    <row r="582" spans="1:86" x14ac:dyDescent="0.25">
      <c r="A582" t="s">
        <v>47</v>
      </c>
      <c r="B582">
        <v>8</v>
      </c>
      <c r="C582" t="s">
        <v>150</v>
      </c>
      <c r="D582">
        <v>43</v>
      </c>
      <c r="E582" t="s">
        <v>70</v>
      </c>
      <c r="F582">
        <v>296</v>
      </c>
      <c r="G582" t="s">
        <v>122</v>
      </c>
      <c r="H582" t="s">
        <v>50</v>
      </c>
      <c r="K582" t="s">
        <v>51</v>
      </c>
      <c r="L582">
        <v>1</v>
      </c>
      <c r="M582" t="s">
        <v>53</v>
      </c>
      <c r="N582">
        <v>102</v>
      </c>
      <c r="O582">
        <v>1</v>
      </c>
      <c r="P582" t="s">
        <v>52</v>
      </c>
      <c r="Q582">
        <v>0</v>
      </c>
      <c r="R582">
        <v>0.75</v>
      </c>
      <c r="S582">
        <v>228</v>
      </c>
      <c r="T582" t="s">
        <v>284</v>
      </c>
      <c r="U582">
        <v>190</v>
      </c>
      <c r="V582" t="s">
        <v>285</v>
      </c>
      <c r="W582">
        <v>194</v>
      </c>
      <c r="X582" t="s">
        <v>285</v>
      </c>
      <c r="Y582">
        <v>213</v>
      </c>
      <c r="Z582" t="s">
        <v>284</v>
      </c>
      <c r="AA582">
        <v>225</v>
      </c>
      <c r="AB582" t="s">
        <v>285</v>
      </c>
      <c r="AG582">
        <v>210.66669999999999</v>
      </c>
      <c r="AH582" t="s">
        <v>54</v>
      </c>
      <c r="AI582" t="s">
        <v>52</v>
      </c>
      <c r="AZ582" t="s">
        <v>52</v>
      </c>
      <c r="BQ582" t="s">
        <v>52</v>
      </c>
      <c r="BR582">
        <v>1.85</v>
      </c>
      <c r="BS582" t="s">
        <v>284</v>
      </c>
      <c r="BT582">
        <v>1.65</v>
      </c>
      <c r="BU582" t="s">
        <v>284</v>
      </c>
      <c r="BV582">
        <v>0.98</v>
      </c>
      <c r="BW582" t="s">
        <v>288</v>
      </c>
      <c r="BX582">
        <v>0.98</v>
      </c>
      <c r="BY582" t="s">
        <v>285</v>
      </c>
      <c r="BZ582">
        <v>0.17</v>
      </c>
      <c r="CA582" t="s">
        <v>288</v>
      </c>
      <c r="CF582">
        <v>1.2</v>
      </c>
      <c r="CG582" t="s">
        <v>54</v>
      </c>
      <c r="CH582" t="s">
        <v>52</v>
      </c>
    </row>
    <row r="583" spans="1:86" x14ac:dyDescent="0.25">
      <c r="A583" t="s">
        <v>47</v>
      </c>
      <c r="B583">
        <v>8</v>
      </c>
      <c r="C583" t="s">
        <v>150</v>
      </c>
      <c r="D583">
        <v>43</v>
      </c>
      <c r="E583" t="s">
        <v>70</v>
      </c>
      <c r="F583">
        <v>296</v>
      </c>
      <c r="G583" t="s">
        <v>122</v>
      </c>
      <c r="H583" t="s">
        <v>50</v>
      </c>
      <c r="K583" t="s">
        <v>52</v>
      </c>
      <c r="L583">
        <v>1</v>
      </c>
      <c r="M583" t="s">
        <v>53</v>
      </c>
      <c r="N583">
        <v>102</v>
      </c>
      <c r="O583">
        <v>1</v>
      </c>
      <c r="P583" t="s">
        <v>52</v>
      </c>
      <c r="Q583">
        <v>0</v>
      </c>
      <c r="R583">
        <v>0.75</v>
      </c>
      <c r="S583">
        <v>228</v>
      </c>
      <c r="T583" t="s">
        <v>284</v>
      </c>
      <c r="U583">
        <v>190</v>
      </c>
      <c r="V583" t="s">
        <v>285</v>
      </c>
      <c r="W583">
        <v>194</v>
      </c>
      <c r="X583" t="s">
        <v>285</v>
      </c>
      <c r="Y583">
        <v>213</v>
      </c>
      <c r="Z583" t="s">
        <v>284</v>
      </c>
      <c r="AA583">
        <v>225</v>
      </c>
      <c r="AB583" t="s">
        <v>285</v>
      </c>
      <c r="AG583">
        <v>210.66669999999999</v>
      </c>
      <c r="AH583" t="s">
        <v>54</v>
      </c>
      <c r="AI583" t="s">
        <v>52</v>
      </c>
      <c r="AZ583" t="s">
        <v>52</v>
      </c>
      <c r="BQ583" t="s">
        <v>52</v>
      </c>
      <c r="BR583">
        <v>0.65</v>
      </c>
      <c r="BS583" t="s">
        <v>284</v>
      </c>
      <c r="BT583">
        <v>0.82</v>
      </c>
      <c r="BU583" t="s">
        <v>284</v>
      </c>
      <c r="BV583">
        <v>0.25</v>
      </c>
      <c r="BW583" t="s">
        <v>284</v>
      </c>
      <c r="BX583">
        <v>0.22</v>
      </c>
      <c r="BY583" t="s">
        <v>284</v>
      </c>
      <c r="BZ583">
        <v>0.22</v>
      </c>
      <c r="CA583" t="s">
        <v>284</v>
      </c>
      <c r="CF583">
        <v>0.37</v>
      </c>
      <c r="CG583" t="s">
        <v>54</v>
      </c>
      <c r="CH583" t="s">
        <v>52</v>
      </c>
    </row>
    <row r="584" spans="1:86" x14ac:dyDescent="0.25">
      <c r="A584" t="s">
        <v>47</v>
      </c>
      <c r="B584">
        <v>8</v>
      </c>
      <c r="C584" t="s">
        <v>150</v>
      </c>
      <c r="D584">
        <v>43</v>
      </c>
      <c r="E584" t="s">
        <v>70</v>
      </c>
      <c r="F584">
        <v>296</v>
      </c>
      <c r="G584" t="s">
        <v>90</v>
      </c>
      <c r="H584" t="s">
        <v>50</v>
      </c>
      <c r="K584" t="s">
        <v>51</v>
      </c>
      <c r="L584">
        <v>1</v>
      </c>
      <c r="M584" t="s">
        <v>53</v>
      </c>
      <c r="N584">
        <v>102</v>
      </c>
      <c r="O584">
        <v>1</v>
      </c>
      <c r="P584" t="s">
        <v>52</v>
      </c>
      <c r="Q584">
        <v>0.5</v>
      </c>
      <c r="R584">
        <v>0.75</v>
      </c>
      <c r="S584">
        <v>228</v>
      </c>
      <c r="T584" t="s">
        <v>284</v>
      </c>
      <c r="U584">
        <v>190</v>
      </c>
      <c r="V584" t="s">
        <v>285</v>
      </c>
      <c r="W584">
        <v>236</v>
      </c>
      <c r="X584" t="s">
        <v>284</v>
      </c>
      <c r="Y584">
        <v>244</v>
      </c>
      <c r="Z584" t="s">
        <v>284</v>
      </c>
      <c r="AA584">
        <v>215</v>
      </c>
      <c r="AB584" t="s">
        <v>285</v>
      </c>
      <c r="AG584">
        <v>226.33330000000001</v>
      </c>
      <c r="AH584" t="s">
        <v>54</v>
      </c>
      <c r="AI584" t="s">
        <v>52</v>
      </c>
      <c r="AZ584" t="s">
        <v>52</v>
      </c>
      <c r="BQ584" t="s">
        <v>52</v>
      </c>
      <c r="CH584" t="s">
        <v>52</v>
      </c>
    </row>
    <row r="585" spans="1:86" x14ac:dyDescent="0.25">
      <c r="A585" t="s">
        <v>47</v>
      </c>
      <c r="B585">
        <v>8</v>
      </c>
      <c r="C585" t="s">
        <v>150</v>
      </c>
      <c r="D585">
        <v>43</v>
      </c>
      <c r="E585" t="s">
        <v>70</v>
      </c>
      <c r="F585">
        <v>296</v>
      </c>
      <c r="G585" t="s">
        <v>92</v>
      </c>
      <c r="H585" t="s">
        <v>50</v>
      </c>
      <c r="K585" t="s">
        <v>51</v>
      </c>
      <c r="L585">
        <v>1</v>
      </c>
      <c r="M585" t="s">
        <v>53</v>
      </c>
      <c r="N585">
        <v>102</v>
      </c>
      <c r="O585">
        <v>1</v>
      </c>
      <c r="P585" t="s">
        <v>52</v>
      </c>
      <c r="Q585">
        <v>0.5</v>
      </c>
      <c r="R585">
        <v>0.75</v>
      </c>
      <c r="S585">
        <v>228</v>
      </c>
      <c r="T585" t="s">
        <v>284</v>
      </c>
      <c r="U585">
        <v>189</v>
      </c>
      <c r="V585" t="s">
        <v>285</v>
      </c>
      <c r="W585">
        <v>199</v>
      </c>
      <c r="X585" t="s">
        <v>285</v>
      </c>
      <c r="Y585">
        <v>206</v>
      </c>
      <c r="Z585" t="s">
        <v>285</v>
      </c>
      <c r="AA585">
        <v>128</v>
      </c>
      <c r="AB585" t="s">
        <v>285</v>
      </c>
      <c r="AG585">
        <v>198</v>
      </c>
      <c r="AH585" t="s">
        <v>54</v>
      </c>
      <c r="AI585" t="s">
        <v>52</v>
      </c>
      <c r="AZ585" t="s">
        <v>52</v>
      </c>
      <c r="BQ585" t="s">
        <v>52</v>
      </c>
      <c r="BR585">
        <v>1.85</v>
      </c>
      <c r="BS585" t="s">
        <v>284</v>
      </c>
      <c r="BT585">
        <v>1.82</v>
      </c>
      <c r="BU585" t="s">
        <v>284</v>
      </c>
      <c r="BV585">
        <v>1.82</v>
      </c>
      <c r="BW585" t="s">
        <v>284</v>
      </c>
      <c r="BX585">
        <v>1.82</v>
      </c>
      <c r="BY585" t="s">
        <v>284</v>
      </c>
      <c r="BZ585">
        <v>1.82</v>
      </c>
      <c r="CA585" t="s">
        <v>285</v>
      </c>
      <c r="CF585">
        <v>1.82</v>
      </c>
      <c r="CG585" t="s">
        <v>54</v>
      </c>
      <c r="CH585" t="s">
        <v>52</v>
      </c>
    </row>
    <row r="586" spans="1:86" x14ac:dyDescent="0.25">
      <c r="A586" t="s">
        <v>47</v>
      </c>
      <c r="B586">
        <v>8</v>
      </c>
      <c r="C586" t="s">
        <v>150</v>
      </c>
      <c r="D586">
        <v>43</v>
      </c>
      <c r="E586" t="s">
        <v>70</v>
      </c>
      <c r="F586">
        <v>296</v>
      </c>
      <c r="G586" t="s">
        <v>116</v>
      </c>
      <c r="H586" t="s">
        <v>50</v>
      </c>
      <c r="K586" t="s">
        <v>51</v>
      </c>
      <c r="L586">
        <v>1</v>
      </c>
      <c r="M586" t="s">
        <v>53</v>
      </c>
      <c r="N586">
        <v>102</v>
      </c>
      <c r="O586">
        <v>1</v>
      </c>
      <c r="P586" t="s">
        <v>52</v>
      </c>
      <c r="Q586">
        <v>0.5</v>
      </c>
      <c r="R586">
        <v>0.75</v>
      </c>
      <c r="S586">
        <v>228</v>
      </c>
      <c r="T586" t="s">
        <v>284</v>
      </c>
      <c r="U586">
        <v>190</v>
      </c>
      <c r="V586" t="s">
        <v>285</v>
      </c>
      <c r="W586">
        <v>236</v>
      </c>
      <c r="X586" t="s">
        <v>284</v>
      </c>
      <c r="Y586">
        <v>244</v>
      </c>
      <c r="Z586" t="s">
        <v>284</v>
      </c>
      <c r="AA586">
        <v>215</v>
      </c>
      <c r="AB586" t="s">
        <v>285</v>
      </c>
      <c r="AG586">
        <v>226.33330000000001</v>
      </c>
      <c r="AH586" t="s">
        <v>54</v>
      </c>
      <c r="AI586" t="s">
        <v>52</v>
      </c>
      <c r="AZ586" t="s">
        <v>52</v>
      </c>
      <c r="BQ586" t="s">
        <v>52</v>
      </c>
      <c r="CH586" t="s">
        <v>52</v>
      </c>
    </row>
    <row r="587" spans="1:86" x14ac:dyDescent="0.25">
      <c r="A587" t="s">
        <v>47</v>
      </c>
      <c r="B587">
        <v>8</v>
      </c>
      <c r="C587" t="s">
        <v>150</v>
      </c>
      <c r="D587">
        <v>43</v>
      </c>
      <c r="E587" t="s">
        <v>75</v>
      </c>
      <c r="F587">
        <v>16</v>
      </c>
      <c r="G587" t="s">
        <v>76</v>
      </c>
      <c r="H587" t="s">
        <v>50</v>
      </c>
      <c r="K587" t="s">
        <v>51</v>
      </c>
      <c r="L587">
        <v>1</v>
      </c>
      <c r="M587" t="s">
        <v>53</v>
      </c>
      <c r="N587">
        <v>16</v>
      </c>
      <c r="O587">
        <v>2</v>
      </c>
      <c r="P587" t="s">
        <v>52</v>
      </c>
      <c r="Q587">
        <v>0.5</v>
      </c>
      <c r="R587">
        <v>0.75</v>
      </c>
      <c r="S587">
        <v>83.35</v>
      </c>
      <c r="T587" t="s">
        <v>285</v>
      </c>
      <c r="U587">
        <v>96.14</v>
      </c>
      <c r="V587" t="s">
        <v>284</v>
      </c>
      <c r="W587">
        <v>103.37</v>
      </c>
      <c r="X587" t="s">
        <v>284</v>
      </c>
      <c r="Y587">
        <v>106.14</v>
      </c>
      <c r="Z587" t="s">
        <v>284</v>
      </c>
      <c r="AA587">
        <v>128</v>
      </c>
      <c r="AB587" t="s">
        <v>285</v>
      </c>
      <c r="AG587">
        <v>101.88330000000001</v>
      </c>
      <c r="AH587" t="s">
        <v>54</v>
      </c>
      <c r="AI587" t="s">
        <v>52</v>
      </c>
      <c r="AX587">
        <v>146.69999999999999</v>
      </c>
      <c r="AY587" t="s">
        <v>285</v>
      </c>
      <c r="AZ587" t="s">
        <v>287</v>
      </c>
      <c r="BQ587" t="s">
        <v>52</v>
      </c>
      <c r="BR587">
        <v>1.85</v>
      </c>
      <c r="BS587" t="s">
        <v>284</v>
      </c>
      <c r="BT587">
        <v>1.65</v>
      </c>
      <c r="BU587" t="s">
        <v>284</v>
      </c>
      <c r="BV587">
        <v>1.38</v>
      </c>
      <c r="BW587" t="s">
        <v>284</v>
      </c>
      <c r="BX587">
        <v>2.25</v>
      </c>
      <c r="BY587" t="s">
        <v>284</v>
      </c>
      <c r="BZ587">
        <v>2.63</v>
      </c>
      <c r="CA587" t="s">
        <v>289</v>
      </c>
      <c r="CF587">
        <v>1.92</v>
      </c>
      <c r="CG587" t="s">
        <v>54</v>
      </c>
      <c r="CH587" t="s">
        <v>52</v>
      </c>
    </row>
    <row r="588" spans="1:86" x14ac:dyDescent="0.25">
      <c r="A588" t="s">
        <v>47</v>
      </c>
      <c r="B588">
        <v>8</v>
      </c>
      <c r="C588" t="s">
        <v>150</v>
      </c>
      <c r="D588">
        <v>43</v>
      </c>
      <c r="E588" t="s">
        <v>79</v>
      </c>
      <c r="F588">
        <v>50</v>
      </c>
      <c r="G588" t="s">
        <v>65</v>
      </c>
      <c r="H588" t="s">
        <v>50</v>
      </c>
      <c r="K588" t="s">
        <v>51</v>
      </c>
      <c r="L588">
        <v>1</v>
      </c>
      <c r="M588" t="s">
        <v>53</v>
      </c>
      <c r="N588">
        <v>50</v>
      </c>
      <c r="O588">
        <v>1</v>
      </c>
      <c r="P588" t="s">
        <v>52</v>
      </c>
      <c r="Q588">
        <v>0.5</v>
      </c>
      <c r="R588">
        <v>0.75</v>
      </c>
      <c r="S588">
        <v>85</v>
      </c>
      <c r="T588" t="s">
        <v>285</v>
      </c>
      <c r="U588">
        <v>93</v>
      </c>
      <c r="V588" t="s">
        <v>284</v>
      </c>
      <c r="W588">
        <v>89.7</v>
      </c>
      <c r="X588" t="s">
        <v>284</v>
      </c>
      <c r="Y588">
        <v>92.72</v>
      </c>
      <c r="Z588" t="s">
        <v>284</v>
      </c>
      <c r="AA588">
        <v>109</v>
      </c>
      <c r="AB588" t="s">
        <v>285</v>
      </c>
      <c r="AG588">
        <v>91.806700000000006</v>
      </c>
      <c r="AH588" t="s">
        <v>54</v>
      </c>
      <c r="AI588" t="s">
        <v>52</v>
      </c>
      <c r="AZ588" t="s">
        <v>52</v>
      </c>
      <c r="BQ588" t="s">
        <v>52</v>
      </c>
      <c r="BR588">
        <v>3.57</v>
      </c>
      <c r="BS588" t="s">
        <v>285</v>
      </c>
      <c r="BT588">
        <v>1.36</v>
      </c>
      <c r="BU588" t="s">
        <v>285</v>
      </c>
      <c r="BV588">
        <v>2.74</v>
      </c>
      <c r="BW588" t="s">
        <v>284</v>
      </c>
      <c r="BX588">
        <v>2.6</v>
      </c>
      <c r="BY588" t="s">
        <v>284</v>
      </c>
      <c r="BZ588">
        <v>0.54</v>
      </c>
      <c r="CA588" t="s">
        <v>288</v>
      </c>
      <c r="CF588">
        <v>2.23</v>
      </c>
      <c r="CG588" t="s">
        <v>54</v>
      </c>
      <c r="CH588" t="s">
        <v>52</v>
      </c>
    </row>
    <row r="589" spans="1:86" x14ac:dyDescent="0.25">
      <c r="A589" t="s">
        <v>47</v>
      </c>
      <c r="B589">
        <v>8</v>
      </c>
      <c r="C589" t="s">
        <v>150</v>
      </c>
      <c r="D589">
        <v>43</v>
      </c>
      <c r="E589" t="s">
        <v>79</v>
      </c>
      <c r="F589">
        <v>50</v>
      </c>
      <c r="G589" t="s">
        <v>81</v>
      </c>
      <c r="H589" t="s">
        <v>50</v>
      </c>
      <c r="K589" t="s">
        <v>51</v>
      </c>
      <c r="L589">
        <v>1</v>
      </c>
      <c r="M589" t="s">
        <v>53</v>
      </c>
      <c r="N589">
        <v>50</v>
      </c>
      <c r="O589">
        <v>1</v>
      </c>
      <c r="P589" t="s">
        <v>52</v>
      </c>
      <c r="Q589">
        <v>0.5</v>
      </c>
      <c r="R589">
        <v>0.75</v>
      </c>
      <c r="S589">
        <v>85</v>
      </c>
      <c r="T589" t="s">
        <v>285</v>
      </c>
      <c r="U589">
        <v>93</v>
      </c>
      <c r="V589" t="s">
        <v>284</v>
      </c>
      <c r="W589">
        <v>89.7</v>
      </c>
      <c r="X589" t="s">
        <v>284</v>
      </c>
      <c r="Y589">
        <v>92.72</v>
      </c>
      <c r="Z589" t="s">
        <v>284</v>
      </c>
      <c r="AA589">
        <v>109</v>
      </c>
      <c r="AB589" t="s">
        <v>285</v>
      </c>
      <c r="AG589">
        <v>91.806700000000006</v>
      </c>
      <c r="AH589" t="s">
        <v>54</v>
      </c>
      <c r="AI589" t="s">
        <v>52</v>
      </c>
      <c r="AZ589" t="s">
        <v>52</v>
      </c>
      <c r="BQ589" t="s">
        <v>52</v>
      </c>
      <c r="BR589">
        <v>2.74</v>
      </c>
      <c r="BS589" t="s">
        <v>289</v>
      </c>
      <c r="BT589">
        <v>1.25</v>
      </c>
      <c r="BU589" t="s">
        <v>285</v>
      </c>
      <c r="BV589">
        <v>2.5299999999999998</v>
      </c>
      <c r="BW589" t="s">
        <v>284</v>
      </c>
      <c r="BX589">
        <v>2.4</v>
      </c>
      <c r="BY589" t="s">
        <v>284</v>
      </c>
      <c r="BZ589">
        <v>0.54</v>
      </c>
      <c r="CA589" t="s">
        <v>289</v>
      </c>
      <c r="CF589">
        <v>2.06</v>
      </c>
      <c r="CG589" t="s">
        <v>54</v>
      </c>
      <c r="CH589" t="s">
        <v>52</v>
      </c>
    </row>
    <row r="590" spans="1:86" x14ac:dyDescent="0.25">
      <c r="A590" t="s">
        <v>47</v>
      </c>
      <c r="B590">
        <v>8</v>
      </c>
      <c r="C590" t="s">
        <v>150</v>
      </c>
      <c r="D590">
        <v>43</v>
      </c>
      <c r="E590" t="s">
        <v>83</v>
      </c>
      <c r="F590">
        <v>158</v>
      </c>
      <c r="H590" t="s">
        <v>50</v>
      </c>
      <c r="K590" t="s">
        <v>51</v>
      </c>
      <c r="L590">
        <v>1</v>
      </c>
      <c r="M590" t="s">
        <v>53</v>
      </c>
      <c r="N590">
        <v>158</v>
      </c>
      <c r="O590">
        <v>2</v>
      </c>
      <c r="P590" t="s">
        <v>52</v>
      </c>
      <c r="Q590">
        <v>0.77</v>
      </c>
      <c r="R590">
        <v>0.93</v>
      </c>
      <c r="S590">
        <v>228</v>
      </c>
      <c r="T590" t="s">
        <v>284</v>
      </c>
      <c r="U590">
        <v>221</v>
      </c>
      <c r="V590" t="s">
        <v>284</v>
      </c>
      <c r="W590">
        <v>236</v>
      </c>
      <c r="X590" t="s">
        <v>284</v>
      </c>
      <c r="Y590">
        <v>244</v>
      </c>
      <c r="Z590" t="s">
        <v>284</v>
      </c>
      <c r="AA590">
        <v>252</v>
      </c>
      <c r="AB590" t="s">
        <v>284</v>
      </c>
      <c r="AG590">
        <v>236</v>
      </c>
      <c r="AH590" t="s">
        <v>54</v>
      </c>
      <c r="AI590" t="s">
        <v>52</v>
      </c>
      <c r="AX590">
        <v>339</v>
      </c>
      <c r="AY590" t="s">
        <v>285</v>
      </c>
      <c r="AZ590" t="s">
        <v>287</v>
      </c>
      <c r="BQ590" t="s">
        <v>52</v>
      </c>
      <c r="CH590" t="s">
        <v>52</v>
      </c>
    </row>
    <row r="591" spans="1:86" x14ac:dyDescent="0.25">
      <c r="A591" t="s">
        <v>47</v>
      </c>
      <c r="B591">
        <v>8</v>
      </c>
      <c r="C591" t="s">
        <v>150</v>
      </c>
      <c r="D591">
        <v>43</v>
      </c>
      <c r="E591" t="s">
        <v>84</v>
      </c>
      <c r="F591">
        <v>11</v>
      </c>
      <c r="G591" t="s">
        <v>96</v>
      </c>
      <c r="H591" t="s">
        <v>50</v>
      </c>
      <c r="K591" t="s">
        <v>51</v>
      </c>
      <c r="L591">
        <v>1</v>
      </c>
      <c r="M591" t="s">
        <v>53</v>
      </c>
      <c r="N591">
        <v>11</v>
      </c>
      <c r="O591">
        <v>2</v>
      </c>
      <c r="P591" t="s">
        <v>52</v>
      </c>
      <c r="Q591">
        <v>0.5</v>
      </c>
      <c r="R591">
        <v>0.75</v>
      </c>
      <c r="S591">
        <v>124</v>
      </c>
      <c r="T591" t="s">
        <v>284</v>
      </c>
      <c r="U591">
        <v>110</v>
      </c>
      <c r="V591" t="s">
        <v>284</v>
      </c>
      <c r="W591">
        <v>118</v>
      </c>
      <c r="X591" t="s">
        <v>284</v>
      </c>
      <c r="Y591">
        <v>122</v>
      </c>
      <c r="Z591" t="s">
        <v>284</v>
      </c>
      <c r="AA591">
        <v>126</v>
      </c>
      <c r="AB591" t="s">
        <v>284</v>
      </c>
      <c r="AG591">
        <v>121.33329999999999</v>
      </c>
      <c r="AH591" t="s">
        <v>54</v>
      </c>
      <c r="AI591" t="s">
        <v>52</v>
      </c>
      <c r="AZ591" t="s">
        <v>52</v>
      </c>
      <c r="BQ591" t="s">
        <v>52</v>
      </c>
      <c r="CH591" t="s">
        <v>52</v>
      </c>
    </row>
    <row r="592" spans="1:86" x14ac:dyDescent="0.25">
      <c r="A592" t="s">
        <v>47</v>
      </c>
      <c r="B592">
        <v>8</v>
      </c>
      <c r="C592" t="s">
        <v>152</v>
      </c>
      <c r="D592">
        <v>45</v>
      </c>
      <c r="E592" t="s">
        <v>49</v>
      </c>
      <c r="F592">
        <v>27</v>
      </c>
      <c r="H592" t="s">
        <v>50</v>
      </c>
      <c r="K592" t="s">
        <v>51</v>
      </c>
      <c r="L592">
        <v>1</v>
      </c>
      <c r="M592" t="s">
        <v>53</v>
      </c>
      <c r="N592">
        <v>27</v>
      </c>
      <c r="O592">
        <v>1</v>
      </c>
      <c r="P592" t="s">
        <v>52</v>
      </c>
      <c r="Q592">
        <v>0</v>
      </c>
      <c r="R592">
        <v>0.75</v>
      </c>
      <c r="S592">
        <v>231</v>
      </c>
      <c r="T592" t="s">
        <v>284</v>
      </c>
      <c r="U592">
        <v>208</v>
      </c>
      <c r="V592" t="s">
        <v>284</v>
      </c>
      <c r="W592">
        <v>224</v>
      </c>
      <c r="X592" t="s">
        <v>284</v>
      </c>
      <c r="Y592">
        <v>225</v>
      </c>
      <c r="Z592" t="s">
        <v>285</v>
      </c>
      <c r="AA592">
        <v>247</v>
      </c>
      <c r="AB592" t="s">
        <v>285</v>
      </c>
      <c r="AC592">
        <v>241</v>
      </c>
      <c r="AD592" t="s">
        <v>285</v>
      </c>
      <c r="AE592">
        <v>219</v>
      </c>
      <c r="AF592" t="s">
        <v>285</v>
      </c>
      <c r="AG592">
        <v>219</v>
      </c>
      <c r="AH592" t="s">
        <v>286</v>
      </c>
      <c r="AI592" t="s">
        <v>287</v>
      </c>
      <c r="AX592">
        <v>263</v>
      </c>
      <c r="AY592" t="s">
        <v>286</v>
      </c>
      <c r="AZ592" t="s">
        <v>287</v>
      </c>
      <c r="BQ592" t="s">
        <v>52</v>
      </c>
      <c r="BR592">
        <v>3.7</v>
      </c>
      <c r="BS592" t="s">
        <v>284</v>
      </c>
      <c r="BT592">
        <v>3.4</v>
      </c>
      <c r="BU592" t="s">
        <v>284</v>
      </c>
      <c r="BV592">
        <v>1</v>
      </c>
      <c r="BW592" t="s">
        <v>284</v>
      </c>
      <c r="BX592">
        <v>0.99</v>
      </c>
      <c r="BY592" t="s">
        <v>284</v>
      </c>
      <c r="BZ592">
        <v>1.74</v>
      </c>
      <c r="CA592" t="s">
        <v>288</v>
      </c>
      <c r="CF592">
        <v>2.0499999999999998</v>
      </c>
      <c r="CG592" t="s">
        <v>54</v>
      </c>
      <c r="CH592" t="s">
        <v>52</v>
      </c>
    </row>
    <row r="593" spans="1:86" x14ac:dyDescent="0.25">
      <c r="A593" t="s">
        <v>47</v>
      </c>
      <c r="B593">
        <v>8</v>
      </c>
      <c r="C593" t="s">
        <v>152</v>
      </c>
      <c r="D593">
        <v>45</v>
      </c>
      <c r="E593" t="s">
        <v>49</v>
      </c>
      <c r="F593">
        <v>27</v>
      </c>
      <c r="H593" t="s">
        <v>50</v>
      </c>
      <c r="K593" t="s">
        <v>52</v>
      </c>
      <c r="L593">
        <v>1</v>
      </c>
      <c r="M593" t="s">
        <v>53</v>
      </c>
      <c r="N593">
        <v>27</v>
      </c>
      <c r="O593">
        <v>1</v>
      </c>
      <c r="P593" t="s">
        <v>52</v>
      </c>
      <c r="Q593">
        <v>0</v>
      </c>
      <c r="R593">
        <v>0.75</v>
      </c>
      <c r="S593">
        <v>231</v>
      </c>
      <c r="T593" t="s">
        <v>284</v>
      </c>
      <c r="U593">
        <v>208</v>
      </c>
      <c r="V593" t="s">
        <v>284</v>
      </c>
      <c r="W593">
        <v>224</v>
      </c>
      <c r="X593" t="s">
        <v>284</v>
      </c>
      <c r="Y593">
        <v>225</v>
      </c>
      <c r="Z593" t="s">
        <v>285</v>
      </c>
      <c r="AA593">
        <v>247</v>
      </c>
      <c r="AB593" t="s">
        <v>285</v>
      </c>
      <c r="AC593">
        <v>241</v>
      </c>
      <c r="AD593" t="s">
        <v>285</v>
      </c>
      <c r="AE593">
        <v>219</v>
      </c>
      <c r="AF593" t="s">
        <v>285</v>
      </c>
      <c r="AG593">
        <v>219</v>
      </c>
      <c r="AH593" t="s">
        <v>286</v>
      </c>
      <c r="AI593" t="s">
        <v>287</v>
      </c>
      <c r="AX593">
        <v>263</v>
      </c>
      <c r="AY593" t="s">
        <v>286</v>
      </c>
      <c r="AZ593" t="s">
        <v>287</v>
      </c>
      <c r="BQ593" t="s">
        <v>52</v>
      </c>
      <c r="BR593">
        <v>1.3</v>
      </c>
      <c r="BS593" t="s">
        <v>284</v>
      </c>
      <c r="BT593">
        <v>1.2</v>
      </c>
      <c r="BU593" t="s">
        <v>284</v>
      </c>
      <c r="BV593">
        <v>0.55000000000000004</v>
      </c>
      <c r="BW593" t="s">
        <v>284</v>
      </c>
      <c r="BX593">
        <v>0.44</v>
      </c>
      <c r="BY593" t="s">
        <v>284</v>
      </c>
      <c r="BZ593">
        <v>0.5</v>
      </c>
      <c r="CA593" t="s">
        <v>288</v>
      </c>
      <c r="CF593">
        <v>0.75</v>
      </c>
      <c r="CG593" t="s">
        <v>54</v>
      </c>
      <c r="CH593" t="s">
        <v>52</v>
      </c>
    </row>
    <row r="594" spans="1:86" x14ac:dyDescent="0.25">
      <c r="A594" t="s">
        <v>47</v>
      </c>
      <c r="B594">
        <v>8</v>
      </c>
      <c r="C594" t="s">
        <v>152</v>
      </c>
      <c r="D594">
        <v>45</v>
      </c>
      <c r="E594" t="s">
        <v>58</v>
      </c>
      <c r="F594">
        <v>102</v>
      </c>
      <c r="G594" t="s">
        <v>62</v>
      </c>
      <c r="H594" t="s">
        <v>50</v>
      </c>
      <c r="K594" t="s">
        <v>51</v>
      </c>
      <c r="L594">
        <v>1</v>
      </c>
      <c r="M594" t="s">
        <v>53</v>
      </c>
      <c r="N594">
        <v>102</v>
      </c>
      <c r="O594">
        <v>1</v>
      </c>
      <c r="P594" t="s">
        <v>52</v>
      </c>
      <c r="Q594">
        <v>0</v>
      </c>
      <c r="R594">
        <v>0.92</v>
      </c>
      <c r="S594">
        <v>131.69999999999999</v>
      </c>
      <c r="T594" t="s">
        <v>284</v>
      </c>
      <c r="U594">
        <v>170</v>
      </c>
      <c r="V594" t="s">
        <v>284</v>
      </c>
      <c r="W594">
        <v>191</v>
      </c>
      <c r="X594" t="s">
        <v>284</v>
      </c>
      <c r="Y594">
        <v>207</v>
      </c>
      <c r="Z594" t="s">
        <v>284</v>
      </c>
      <c r="AA594">
        <v>205</v>
      </c>
      <c r="AB594" t="s">
        <v>285</v>
      </c>
      <c r="AG594">
        <v>188.66669999999999</v>
      </c>
      <c r="AH594" t="s">
        <v>54</v>
      </c>
      <c r="AI594" t="s">
        <v>52</v>
      </c>
      <c r="AX594">
        <v>271.60000000000002</v>
      </c>
      <c r="AY594" t="s">
        <v>285</v>
      </c>
      <c r="AZ594" t="s">
        <v>287</v>
      </c>
      <c r="BQ594" t="s">
        <v>52</v>
      </c>
      <c r="BR594">
        <v>1.85</v>
      </c>
      <c r="BS594" t="s">
        <v>284</v>
      </c>
      <c r="BT594">
        <v>1.41</v>
      </c>
      <c r="BU594" t="s">
        <v>284</v>
      </c>
      <c r="BV594">
        <v>0.53</v>
      </c>
      <c r="BW594" t="s">
        <v>285</v>
      </c>
      <c r="BX594">
        <v>0.55000000000000004</v>
      </c>
      <c r="BY594" t="s">
        <v>285</v>
      </c>
      <c r="BZ594">
        <v>0.47</v>
      </c>
      <c r="CA594" t="s">
        <v>284</v>
      </c>
      <c r="CF594">
        <v>0.83</v>
      </c>
      <c r="CG594" t="s">
        <v>54</v>
      </c>
      <c r="CH594" t="s">
        <v>52</v>
      </c>
    </row>
    <row r="595" spans="1:86" x14ac:dyDescent="0.25">
      <c r="A595" t="s">
        <v>47</v>
      </c>
      <c r="B595">
        <v>8</v>
      </c>
      <c r="C595" t="s">
        <v>152</v>
      </c>
      <c r="D595">
        <v>45</v>
      </c>
      <c r="E595" t="s">
        <v>58</v>
      </c>
      <c r="F595">
        <v>102</v>
      </c>
      <c r="G595" t="s">
        <v>62</v>
      </c>
      <c r="H595" t="s">
        <v>50</v>
      </c>
      <c r="K595" t="s">
        <v>52</v>
      </c>
      <c r="L595">
        <v>1</v>
      </c>
      <c r="M595" t="s">
        <v>53</v>
      </c>
      <c r="N595">
        <v>102</v>
      </c>
      <c r="O595">
        <v>1</v>
      </c>
      <c r="P595" t="s">
        <v>52</v>
      </c>
      <c r="Q595">
        <v>0</v>
      </c>
      <c r="R595">
        <v>0.92</v>
      </c>
      <c r="S595">
        <v>131.69999999999999</v>
      </c>
      <c r="T595" t="s">
        <v>284</v>
      </c>
      <c r="U595">
        <v>170</v>
      </c>
      <c r="V595" t="s">
        <v>284</v>
      </c>
      <c r="W595">
        <v>191</v>
      </c>
      <c r="X595" t="s">
        <v>284</v>
      </c>
      <c r="Y595">
        <v>207</v>
      </c>
      <c r="Z595" t="s">
        <v>284</v>
      </c>
      <c r="AA595">
        <v>205</v>
      </c>
      <c r="AB595" t="s">
        <v>285</v>
      </c>
      <c r="AG595">
        <v>188.66669999999999</v>
      </c>
      <c r="AH595" t="s">
        <v>54</v>
      </c>
      <c r="AI595" t="s">
        <v>52</v>
      </c>
      <c r="AX595">
        <v>271.60000000000002</v>
      </c>
      <c r="AY595" t="s">
        <v>285</v>
      </c>
      <c r="AZ595" t="s">
        <v>287</v>
      </c>
      <c r="BQ595" t="s">
        <v>52</v>
      </c>
      <c r="BR595">
        <v>0.83</v>
      </c>
      <c r="BS595" t="s">
        <v>285</v>
      </c>
      <c r="BT595">
        <v>0.67</v>
      </c>
      <c r="BU595" t="s">
        <v>285</v>
      </c>
      <c r="BV595">
        <v>0.5</v>
      </c>
      <c r="BW595" t="s">
        <v>285</v>
      </c>
      <c r="BX595">
        <v>0.39</v>
      </c>
      <c r="BY595" t="s">
        <v>285</v>
      </c>
      <c r="BZ595">
        <v>0.34</v>
      </c>
      <c r="CA595" t="s">
        <v>284</v>
      </c>
      <c r="CF595">
        <v>0.52</v>
      </c>
      <c r="CG595" t="s">
        <v>54</v>
      </c>
      <c r="CH595" t="s">
        <v>52</v>
      </c>
    </row>
    <row r="596" spans="1:86" x14ac:dyDescent="0.25">
      <c r="A596" t="s">
        <v>47</v>
      </c>
      <c r="B596">
        <v>8</v>
      </c>
      <c r="C596" t="s">
        <v>152</v>
      </c>
      <c r="D596">
        <v>45</v>
      </c>
      <c r="E596" t="s">
        <v>58</v>
      </c>
      <c r="F596">
        <v>102</v>
      </c>
      <c r="G596" t="s">
        <v>136</v>
      </c>
      <c r="H596" t="s">
        <v>50</v>
      </c>
      <c r="K596" t="s">
        <v>51</v>
      </c>
      <c r="L596">
        <v>1</v>
      </c>
      <c r="M596" t="s">
        <v>53</v>
      </c>
      <c r="N596">
        <v>102</v>
      </c>
      <c r="O596">
        <v>1</v>
      </c>
      <c r="P596" t="s">
        <v>52</v>
      </c>
      <c r="Q596">
        <v>0</v>
      </c>
      <c r="R596">
        <v>0.92</v>
      </c>
      <c r="S596">
        <v>131.69999999999999</v>
      </c>
      <c r="T596" t="s">
        <v>284</v>
      </c>
      <c r="U596">
        <v>170</v>
      </c>
      <c r="V596" t="s">
        <v>284</v>
      </c>
      <c r="W596">
        <v>191</v>
      </c>
      <c r="X596" t="s">
        <v>285</v>
      </c>
      <c r="Y596">
        <v>207</v>
      </c>
      <c r="Z596" t="s">
        <v>284</v>
      </c>
      <c r="AA596">
        <v>275</v>
      </c>
      <c r="AB596" t="s">
        <v>285</v>
      </c>
      <c r="AG596">
        <v>189.33330000000001</v>
      </c>
      <c r="AH596" t="s">
        <v>54</v>
      </c>
      <c r="AI596" t="s">
        <v>52</v>
      </c>
      <c r="AZ596" t="s">
        <v>52</v>
      </c>
      <c r="BQ596" t="s">
        <v>52</v>
      </c>
      <c r="BR596">
        <v>1.37</v>
      </c>
      <c r="BS596" t="s">
        <v>285</v>
      </c>
      <c r="BT596">
        <v>1.41</v>
      </c>
      <c r="BU596" t="s">
        <v>284</v>
      </c>
      <c r="BV596">
        <v>1.1000000000000001</v>
      </c>
      <c r="BW596" t="s">
        <v>285</v>
      </c>
      <c r="CH596" t="s">
        <v>52</v>
      </c>
    </row>
    <row r="597" spans="1:86" x14ac:dyDescent="0.25">
      <c r="A597" t="s">
        <v>47</v>
      </c>
      <c r="B597">
        <v>8</v>
      </c>
      <c r="C597" t="s">
        <v>152</v>
      </c>
      <c r="D597">
        <v>45</v>
      </c>
      <c r="E597" t="s">
        <v>58</v>
      </c>
      <c r="F597">
        <v>102</v>
      </c>
      <c r="G597" t="s">
        <v>136</v>
      </c>
      <c r="H597" t="s">
        <v>50</v>
      </c>
      <c r="K597" t="s">
        <v>52</v>
      </c>
      <c r="L597">
        <v>1</v>
      </c>
      <c r="M597" t="s">
        <v>53</v>
      </c>
      <c r="N597">
        <v>102</v>
      </c>
      <c r="O597">
        <v>1</v>
      </c>
      <c r="P597" t="s">
        <v>52</v>
      </c>
      <c r="Q597">
        <v>0</v>
      </c>
      <c r="R597">
        <v>0.92</v>
      </c>
      <c r="S597">
        <v>131.69999999999999</v>
      </c>
      <c r="T597" t="s">
        <v>284</v>
      </c>
      <c r="U597">
        <v>170</v>
      </c>
      <c r="V597" t="s">
        <v>284</v>
      </c>
      <c r="W597">
        <v>191</v>
      </c>
      <c r="X597" t="s">
        <v>285</v>
      </c>
      <c r="Y597">
        <v>207</v>
      </c>
      <c r="Z597" t="s">
        <v>284</v>
      </c>
      <c r="AA597">
        <v>275</v>
      </c>
      <c r="AB597" t="s">
        <v>285</v>
      </c>
      <c r="AG597">
        <v>189.33330000000001</v>
      </c>
      <c r="AH597" t="s">
        <v>54</v>
      </c>
      <c r="AI597" t="s">
        <v>52</v>
      </c>
      <c r="AZ597" t="s">
        <v>52</v>
      </c>
      <c r="BQ597" t="s">
        <v>52</v>
      </c>
      <c r="BR597">
        <v>0.93</v>
      </c>
      <c r="BS597" t="s">
        <v>285</v>
      </c>
      <c r="BT597">
        <v>0.66</v>
      </c>
      <c r="BU597" t="s">
        <v>284</v>
      </c>
      <c r="BV597">
        <v>0.19</v>
      </c>
      <c r="BW597" t="s">
        <v>285</v>
      </c>
      <c r="BX597">
        <v>0.36</v>
      </c>
      <c r="BY597" t="s">
        <v>285</v>
      </c>
      <c r="BZ597">
        <v>0.31</v>
      </c>
      <c r="CA597" t="s">
        <v>284</v>
      </c>
      <c r="CF597">
        <v>0.44</v>
      </c>
      <c r="CG597" t="s">
        <v>54</v>
      </c>
      <c r="CH597" t="s">
        <v>52</v>
      </c>
    </row>
    <row r="598" spans="1:86" x14ac:dyDescent="0.25">
      <c r="A598" t="s">
        <v>47</v>
      </c>
      <c r="B598">
        <v>8</v>
      </c>
      <c r="C598" t="s">
        <v>152</v>
      </c>
      <c r="D598">
        <v>45</v>
      </c>
      <c r="E598" t="s">
        <v>70</v>
      </c>
      <c r="F598">
        <v>296</v>
      </c>
      <c r="G598" t="s">
        <v>71</v>
      </c>
      <c r="H598" t="s">
        <v>50</v>
      </c>
      <c r="K598" t="s">
        <v>51</v>
      </c>
      <c r="L598">
        <v>1</v>
      </c>
      <c r="M598" t="s">
        <v>53</v>
      </c>
      <c r="N598">
        <v>296</v>
      </c>
      <c r="O598">
        <v>1</v>
      </c>
      <c r="P598" t="s">
        <v>52</v>
      </c>
      <c r="Q598">
        <v>0</v>
      </c>
      <c r="R598">
        <v>0.75</v>
      </c>
      <c r="S598">
        <v>228</v>
      </c>
      <c r="T598" t="s">
        <v>284</v>
      </c>
      <c r="U598">
        <v>190</v>
      </c>
      <c r="V598" t="s">
        <v>285</v>
      </c>
      <c r="W598">
        <v>194</v>
      </c>
      <c r="X598" t="s">
        <v>285</v>
      </c>
      <c r="Y598">
        <v>225</v>
      </c>
      <c r="Z598" t="s">
        <v>285</v>
      </c>
      <c r="AA598">
        <v>247</v>
      </c>
      <c r="AB598" t="s">
        <v>285</v>
      </c>
      <c r="AC598">
        <v>241</v>
      </c>
      <c r="AD598" t="s">
        <v>285</v>
      </c>
      <c r="AE598">
        <v>219</v>
      </c>
      <c r="AF598" t="s">
        <v>285</v>
      </c>
      <c r="AG598">
        <v>219</v>
      </c>
      <c r="AH598" t="s">
        <v>286</v>
      </c>
      <c r="AI598" t="s">
        <v>287</v>
      </c>
      <c r="AX598">
        <v>263</v>
      </c>
      <c r="AY598" t="s">
        <v>286</v>
      </c>
      <c r="AZ598" t="s">
        <v>287</v>
      </c>
      <c r="BQ598" t="s">
        <v>52</v>
      </c>
      <c r="BR598">
        <v>1.85</v>
      </c>
      <c r="BS598" t="s">
        <v>284</v>
      </c>
      <c r="BT598">
        <v>1.82</v>
      </c>
      <c r="BU598" t="s">
        <v>285</v>
      </c>
      <c r="BV598">
        <v>1.0900000000000001</v>
      </c>
      <c r="BW598" t="s">
        <v>285</v>
      </c>
      <c r="BX598">
        <v>0.56999999999999995</v>
      </c>
      <c r="BY598" t="s">
        <v>285</v>
      </c>
      <c r="BZ598">
        <v>0.26</v>
      </c>
      <c r="CA598" t="s">
        <v>288</v>
      </c>
      <c r="CF598">
        <v>1.1599999999999999</v>
      </c>
      <c r="CG598" t="s">
        <v>54</v>
      </c>
      <c r="CH598" t="s">
        <v>52</v>
      </c>
    </row>
    <row r="599" spans="1:86" x14ac:dyDescent="0.25">
      <c r="A599" t="s">
        <v>47</v>
      </c>
      <c r="B599">
        <v>8</v>
      </c>
      <c r="C599" t="s">
        <v>152</v>
      </c>
      <c r="D599">
        <v>45</v>
      </c>
      <c r="E599" t="s">
        <v>70</v>
      </c>
      <c r="F599">
        <v>296</v>
      </c>
      <c r="G599" t="s">
        <v>71</v>
      </c>
      <c r="H599" t="s">
        <v>50</v>
      </c>
      <c r="K599" t="s">
        <v>52</v>
      </c>
      <c r="L599">
        <v>1</v>
      </c>
      <c r="M599" t="s">
        <v>53</v>
      </c>
      <c r="N599">
        <v>296</v>
      </c>
      <c r="O599">
        <v>1</v>
      </c>
      <c r="P599" t="s">
        <v>52</v>
      </c>
      <c r="Q599">
        <v>0</v>
      </c>
      <c r="R599">
        <v>0.75</v>
      </c>
      <c r="S599">
        <v>228</v>
      </c>
      <c r="T599" t="s">
        <v>284</v>
      </c>
      <c r="U599">
        <v>190</v>
      </c>
      <c r="V599" t="s">
        <v>285</v>
      </c>
      <c r="W599">
        <v>194</v>
      </c>
      <c r="X599" t="s">
        <v>285</v>
      </c>
      <c r="Y599">
        <v>225</v>
      </c>
      <c r="Z599" t="s">
        <v>285</v>
      </c>
      <c r="AA599">
        <v>247</v>
      </c>
      <c r="AB599" t="s">
        <v>285</v>
      </c>
      <c r="AC599">
        <v>241</v>
      </c>
      <c r="AD599" t="s">
        <v>285</v>
      </c>
      <c r="AE599">
        <v>219</v>
      </c>
      <c r="AF599" t="s">
        <v>285</v>
      </c>
      <c r="AG599">
        <v>219</v>
      </c>
      <c r="AH599" t="s">
        <v>286</v>
      </c>
      <c r="AI599" t="s">
        <v>287</v>
      </c>
      <c r="AX599">
        <v>263</v>
      </c>
      <c r="AY599" t="s">
        <v>286</v>
      </c>
      <c r="AZ599" t="s">
        <v>287</v>
      </c>
      <c r="BQ599" t="s">
        <v>52</v>
      </c>
      <c r="BR599">
        <v>0.65</v>
      </c>
      <c r="BS599" t="s">
        <v>284</v>
      </c>
      <c r="BT599">
        <v>0.95</v>
      </c>
      <c r="BU599" t="s">
        <v>285</v>
      </c>
      <c r="BV599">
        <v>0.28999999999999998</v>
      </c>
      <c r="BW599" t="s">
        <v>285</v>
      </c>
      <c r="BX599">
        <v>0.22</v>
      </c>
      <c r="BY599" t="s">
        <v>284</v>
      </c>
      <c r="BZ599">
        <v>0.19</v>
      </c>
      <c r="CA599" t="s">
        <v>288</v>
      </c>
      <c r="CF599">
        <v>0.39</v>
      </c>
      <c r="CG599" t="s">
        <v>54</v>
      </c>
      <c r="CH599" t="s">
        <v>52</v>
      </c>
    </row>
    <row r="600" spans="1:86" x14ac:dyDescent="0.25">
      <c r="A600" t="s">
        <v>47</v>
      </c>
      <c r="B600">
        <v>8</v>
      </c>
      <c r="C600" t="s">
        <v>152</v>
      </c>
      <c r="D600">
        <v>45</v>
      </c>
      <c r="E600" t="s">
        <v>75</v>
      </c>
      <c r="F600">
        <v>16</v>
      </c>
      <c r="G600" t="s">
        <v>76</v>
      </c>
      <c r="H600" t="s">
        <v>50</v>
      </c>
      <c r="K600" t="s">
        <v>51</v>
      </c>
      <c r="L600">
        <v>1</v>
      </c>
      <c r="M600" t="s">
        <v>53</v>
      </c>
      <c r="N600">
        <v>16</v>
      </c>
      <c r="O600">
        <v>2</v>
      </c>
      <c r="P600" t="s">
        <v>52</v>
      </c>
      <c r="Q600">
        <v>0.5</v>
      </c>
      <c r="R600">
        <v>0.75</v>
      </c>
      <c r="S600">
        <v>83.35</v>
      </c>
      <c r="T600" t="s">
        <v>285</v>
      </c>
      <c r="U600">
        <v>96.14</v>
      </c>
      <c r="V600" t="s">
        <v>284</v>
      </c>
      <c r="W600">
        <v>103.37</v>
      </c>
      <c r="X600" t="s">
        <v>284</v>
      </c>
      <c r="Y600">
        <v>106.14</v>
      </c>
      <c r="Z600" t="s">
        <v>284</v>
      </c>
      <c r="AA600">
        <v>128</v>
      </c>
      <c r="AB600" t="s">
        <v>285</v>
      </c>
      <c r="AG600">
        <v>101.88330000000001</v>
      </c>
      <c r="AH600" t="s">
        <v>54</v>
      </c>
      <c r="AI600" t="s">
        <v>52</v>
      </c>
      <c r="AX600">
        <v>146.69999999999999</v>
      </c>
      <c r="AY600" t="s">
        <v>285</v>
      </c>
      <c r="AZ600" t="s">
        <v>287</v>
      </c>
      <c r="BQ600" t="s">
        <v>52</v>
      </c>
      <c r="BR600">
        <v>1.85</v>
      </c>
      <c r="BS600" t="s">
        <v>284</v>
      </c>
      <c r="BT600">
        <v>1.33</v>
      </c>
      <c r="BU600" t="s">
        <v>284</v>
      </c>
      <c r="BV600">
        <v>1.1200000000000001</v>
      </c>
      <c r="BW600" t="s">
        <v>284</v>
      </c>
      <c r="BX600">
        <v>1.82</v>
      </c>
      <c r="BY600" t="s">
        <v>284</v>
      </c>
      <c r="BZ600">
        <v>2.13</v>
      </c>
      <c r="CA600" t="s">
        <v>289</v>
      </c>
      <c r="CF600">
        <v>1.67</v>
      </c>
      <c r="CG600" t="s">
        <v>54</v>
      </c>
      <c r="CH600" t="s">
        <v>52</v>
      </c>
    </row>
    <row r="601" spans="1:86" x14ac:dyDescent="0.25">
      <c r="A601" t="s">
        <v>47</v>
      </c>
      <c r="B601">
        <v>8</v>
      </c>
      <c r="C601" t="s">
        <v>152</v>
      </c>
      <c r="D601">
        <v>45</v>
      </c>
      <c r="E601" t="s">
        <v>125</v>
      </c>
      <c r="F601">
        <v>67</v>
      </c>
      <c r="G601" t="s">
        <v>291</v>
      </c>
      <c r="H601" t="s">
        <v>50</v>
      </c>
      <c r="K601" t="s">
        <v>51</v>
      </c>
      <c r="L601">
        <v>1</v>
      </c>
      <c r="M601" t="s">
        <v>53</v>
      </c>
      <c r="N601">
        <v>67</v>
      </c>
      <c r="O601">
        <v>3</v>
      </c>
      <c r="P601" t="s">
        <v>52</v>
      </c>
      <c r="Q601">
        <v>0.5</v>
      </c>
      <c r="R601">
        <v>0.87</v>
      </c>
      <c r="S601">
        <v>228</v>
      </c>
      <c r="T601" t="s">
        <v>284</v>
      </c>
      <c r="AI601" t="s">
        <v>52</v>
      </c>
      <c r="AZ601" t="s">
        <v>52</v>
      </c>
      <c r="BQ601" t="s">
        <v>52</v>
      </c>
      <c r="BR601">
        <v>1.85</v>
      </c>
      <c r="BS601" t="s">
        <v>284</v>
      </c>
      <c r="CH601" t="s">
        <v>52</v>
      </c>
    </row>
    <row r="602" spans="1:86" x14ac:dyDescent="0.25">
      <c r="A602" t="s">
        <v>47</v>
      </c>
      <c r="B602">
        <v>8</v>
      </c>
      <c r="C602" t="s">
        <v>152</v>
      </c>
      <c r="D602">
        <v>45</v>
      </c>
      <c r="E602" t="s">
        <v>93</v>
      </c>
      <c r="F602">
        <v>94</v>
      </c>
      <c r="H602" t="s">
        <v>50</v>
      </c>
      <c r="K602" t="s">
        <v>51</v>
      </c>
      <c r="L602">
        <v>1</v>
      </c>
      <c r="M602" t="s">
        <v>53</v>
      </c>
      <c r="N602">
        <v>94</v>
      </c>
      <c r="O602">
        <v>2</v>
      </c>
      <c r="P602" t="s">
        <v>52</v>
      </c>
      <c r="Q602">
        <v>0.77</v>
      </c>
      <c r="R602">
        <v>0.93</v>
      </c>
      <c r="S602">
        <v>205</v>
      </c>
      <c r="T602" t="s">
        <v>284</v>
      </c>
      <c r="U602">
        <v>175</v>
      </c>
      <c r="V602" t="s">
        <v>284</v>
      </c>
      <c r="W602">
        <v>188</v>
      </c>
      <c r="X602" t="s">
        <v>284</v>
      </c>
      <c r="Y602">
        <v>202.32</v>
      </c>
      <c r="Z602" t="s">
        <v>284</v>
      </c>
      <c r="AA602">
        <v>209.16</v>
      </c>
      <c r="AB602" t="s">
        <v>284</v>
      </c>
      <c r="AG602">
        <v>198.44</v>
      </c>
      <c r="AH602" t="s">
        <v>54</v>
      </c>
      <c r="AI602" t="s">
        <v>52</v>
      </c>
      <c r="AZ602" t="s">
        <v>52</v>
      </c>
      <c r="BQ602" t="s">
        <v>52</v>
      </c>
      <c r="CH602" t="s">
        <v>52</v>
      </c>
    </row>
    <row r="603" spans="1:86" x14ac:dyDescent="0.25">
      <c r="A603" t="s">
        <v>47</v>
      </c>
      <c r="B603">
        <v>8</v>
      </c>
      <c r="C603" t="s">
        <v>152</v>
      </c>
      <c r="D603">
        <v>45</v>
      </c>
      <c r="E603" t="s">
        <v>83</v>
      </c>
      <c r="F603">
        <v>158</v>
      </c>
      <c r="H603" t="s">
        <v>50</v>
      </c>
      <c r="K603" t="s">
        <v>51</v>
      </c>
      <c r="L603">
        <v>1</v>
      </c>
      <c r="M603" t="s">
        <v>53</v>
      </c>
      <c r="N603">
        <v>158</v>
      </c>
      <c r="O603">
        <v>2</v>
      </c>
      <c r="P603" t="s">
        <v>52</v>
      </c>
      <c r="Q603">
        <v>0.77</v>
      </c>
      <c r="R603">
        <v>0.93</v>
      </c>
      <c r="S603">
        <v>228</v>
      </c>
      <c r="T603" t="s">
        <v>284</v>
      </c>
      <c r="U603">
        <v>221</v>
      </c>
      <c r="V603" t="s">
        <v>284</v>
      </c>
      <c r="W603">
        <v>236</v>
      </c>
      <c r="X603" t="s">
        <v>284</v>
      </c>
      <c r="Y603">
        <v>244</v>
      </c>
      <c r="Z603" t="s">
        <v>284</v>
      </c>
      <c r="AA603">
        <v>252</v>
      </c>
      <c r="AB603" t="s">
        <v>284</v>
      </c>
      <c r="AG603">
        <v>236</v>
      </c>
      <c r="AH603" t="s">
        <v>54</v>
      </c>
      <c r="AI603" t="s">
        <v>52</v>
      </c>
      <c r="AX603">
        <v>339</v>
      </c>
      <c r="AY603" t="s">
        <v>285</v>
      </c>
      <c r="AZ603" t="s">
        <v>287</v>
      </c>
      <c r="BQ603" t="s">
        <v>52</v>
      </c>
      <c r="BR603">
        <v>1.85</v>
      </c>
      <c r="BS603" t="s">
        <v>285</v>
      </c>
      <c r="BT603">
        <v>1.35</v>
      </c>
      <c r="BU603" t="s">
        <v>285</v>
      </c>
      <c r="BV603">
        <v>1.03</v>
      </c>
      <c r="BW603" t="s">
        <v>285</v>
      </c>
      <c r="BX603">
        <v>1.34</v>
      </c>
      <c r="BY603" t="s">
        <v>285</v>
      </c>
      <c r="BZ603">
        <v>1.22</v>
      </c>
      <c r="CA603" t="s">
        <v>289</v>
      </c>
      <c r="CF603">
        <v>1.3</v>
      </c>
      <c r="CG603" t="s">
        <v>54</v>
      </c>
      <c r="CH603" t="s">
        <v>52</v>
      </c>
    </row>
    <row r="604" spans="1:86" x14ac:dyDescent="0.25">
      <c r="A604" t="s">
        <v>47</v>
      </c>
      <c r="B604">
        <v>8</v>
      </c>
      <c r="C604" t="s">
        <v>153</v>
      </c>
      <c r="D604">
        <v>49</v>
      </c>
      <c r="E604" t="s">
        <v>49</v>
      </c>
      <c r="F604">
        <v>27</v>
      </c>
      <c r="H604" t="s">
        <v>50</v>
      </c>
      <c r="K604" t="s">
        <v>51</v>
      </c>
      <c r="L604">
        <v>1</v>
      </c>
      <c r="M604" t="s">
        <v>53</v>
      </c>
      <c r="N604">
        <v>27</v>
      </c>
      <c r="O604">
        <v>1</v>
      </c>
      <c r="P604" t="s">
        <v>52</v>
      </c>
      <c r="Q604">
        <v>0</v>
      </c>
      <c r="R604">
        <v>0.75</v>
      </c>
      <c r="S604">
        <v>231</v>
      </c>
      <c r="T604" t="s">
        <v>284</v>
      </c>
      <c r="U604">
        <v>208</v>
      </c>
      <c r="V604" t="s">
        <v>284</v>
      </c>
      <c r="W604">
        <v>224</v>
      </c>
      <c r="X604" t="s">
        <v>284</v>
      </c>
      <c r="Y604">
        <v>225</v>
      </c>
      <c r="Z604" t="s">
        <v>285</v>
      </c>
      <c r="AA604">
        <v>247</v>
      </c>
      <c r="AB604" t="s">
        <v>285</v>
      </c>
      <c r="AC604">
        <v>241</v>
      </c>
      <c r="AD604" t="s">
        <v>285</v>
      </c>
      <c r="AE604">
        <v>219</v>
      </c>
      <c r="AF604" t="s">
        <v>285</v>
      </c>
      <c r="AG604">
        <v>219</v>
      </c>
      <c r="AH604" t="s">
        <v>286</v>
      </c>
      <c r="AI604" t="s">
        <v>287</v>
      </c>
      <c r="AX604">
        <v>263</v>
      </c>
      <c r="AY604" t="s">
        <v>286</v>
      </c>
      <c r="AZ604" t="s">
        <v>287</v>
      </c>
      <c r="BQ604" t="s">
        <v>52</v>
      </c>
      <c r="BR604">
        <v>3.7</v>
      </c>
      <c r="BS604" t="s">
        <v>284</v>
      </c>
      <c r="BT604">
        <v>3.4</v>
      </c>
      <c r="BU604" t="s">
        <v>284</v>
      </c>
      <c r="CH604" t="s">
        <v>52</v>
      </c>
    </row>
    <row r="605" spans="1:86" x14ac:dyDescent="0.25">
      <c r="A605" t="s">
        <v>47</v>
      </c>
      <c r="B605">
        <v>8</v>
      </c>
      <c r="C605" t="s">
        <v>153</v>
      </c>
      <c r="D605">
        <v>49</v>
      </c>
      <c r="E605" t="s">
        <v>49</v>
      </c>
      <c r="F605">
        <v>27</v>
      </c>
      <c r="H605" t="s">
        <v>50</v>
      </c>
      <c r="K605" t="s">
        <v>52</v>
      </c>
      <c r="L605">
        <v>1</v>
      </c>
      <c r="M605" t="s">
        <v>53</v>
      </c>
      <c r="N605">
        <v>27</v>
      </c>
      <c r="O605">
        <v>1</v>
      </c>
      <c r="P605" t="s">
        <v>52</v>
      </c>
      <c r="Q605">
        <v>0</v>
      </c>
      <c r="R605">
        <v>0.75</v>
      </c>
      <c r="S605">
        <v>231</v>
      </c>
      <c r="T605" t="s">
        <v>284</v>
      </c>
      <c r="U605">
        <v>208</v>
      </c>
      <c r="V605" t="s">
        <v>284</v>
      </c>
      <c r="W605">
        <v>224</v>
      </c>
      <c r="X605" t="s">
        <v>284</v>
      </c>
      <c r="Y605">
        <v>225</v>
      </c>
      <c r="Z605" t="s">
        <v>285</v>
      </c>
      <c r="AA605">
        <v>247</v>
      </c>
      <c r="AB605" t="s">
        <v>285</v>
      </c>
      <c r="AC605">
        <v>241</v>
      </c>
      <c r="AD605" t="s">
        <v>285</v>
      </c>
      <c r="AE605">
        <v>219</v>
      </c>
      <c r="AF605" t="s">
        <v>285</v>
      </c>
      <c r="AG605">
        <v>219</v>
      </c>
      <c r="AH605" t="s">
        <v>286</v>
      </c>
      <c r="AI605" t="s">
        <v>287</v>
      </c>
      <c r="AX605">
        <v>263</v>
      </c>
      <c r="AY605" t="s">
        <v>286</v>
      </c>
      <c r="AZ605" t="s">
        <v>287</v>
      </c>
      <c r="BQ605" t="s">
        <v>52</v>
      </c>
      <c r="CH605" t="s">
        <v>52</v>
      </c>
    </row>
    <row r="606" spans="1:86" x14ac:dyDescent="0.25">
      <c r="A606" t="s">
        <v>47</v>
      </c>
      <c r="B606">
        <v>8</v>
      </c>
      <c r="C606" t="s">
        <v>153</v>
      </c>
      <c r="D606">
        <v>49</v>
      </c>
      <c r="E606" t="s">
        <v>58</v>
      </c>
      <c r="F606">
        <v>102</v>
      </c>
      <c r="G606" t="s">
        <v>62</v>
      </c>
      <c r="H606" t="s">
        <v>50</v>
      </c>
      <c r="K606" t="s">
        <v>51</v>
      </c>
      <c r="L606">
        <v>1</v>
      </c>
      <c r="M606" t="s">
        <v>53</v>
      </c>
      <c r="N606">
        <v>102</v>
      </c>
      <c r="O606">
        <v>1</v>
      </c>
      <c r="P606" t="s">
        <v>52</v>
      </c>
      <c r="Q606">
        <v>0</v>
      </c>
      <c r="R606">
        <v>0.92</v>
      </c>
      <c r="S606">
        <v>131.69999999999999</v>
      </c>
      <c r="T606" t="s">
        <v>284</v>
      </c>
      <c r="U606">
        <v>170</v>
      </c>
      <c r="V606" t="s">
        <v>284</v>
      </c>
      <c r="W606">
        <v>191</v>
      </c>
      <c r="X606" t="s">
        <v>284</v>
      </c>
      <c r="Y606">
        <v>207</v>
      </c>
      <c r="Z606" t="s">
        <v>284</v>
      </c>
      <c r="AA606">
        <v>205</v>
      </c>
      <c r="AB606" t="s">
        <v>285</v>
      </c>
      <c r="AG606">
        <v>188.66669999999999</v>
      </c>
      <c r="AH606" t="s">
        <v>54</v>
      </c>
      <c r="AI606" t="s">
        <v>52</v>
      </c>
      <c r="AX606">
        <v>271.60000000000002</v>
      </c>
      <c r="AY606" t="s">
        <v>285</v>
      </c>
      <c r="AZ606" t="s">
        <v>287</v>
      </c>
      <c r="BQ606" t="s">
        <v>52</v>
      </c>
      <c r="BR606">
        <v>1.85</v>
      </c>
      <c r="BS606" t="s">
        <v>284</v>
      </c>
      <c r="BT606">
        <v>1.28</v>
      </c>
      <c r="BU606" t="s">
        <v>284</v>
      </c>
      <c r="BV606">
        <v>0.38</v>
      </c>
      <c r="BW606" t="s">
        <v>285</v>
      </c>
      <c r="BX606">
        <v>0.69</v>
      </c>
      <c r="BY606" t="s">
        <v>285</v>
      </c>
      <c r="BZ606">
        <v>0.82</v>
      </c>
      <c r="CA606" t="s">
        <v>288</v>
      </c>
      <c r="CF606">
        <v>0.93</v>
      </c>
      <c r="CG606" t="s">
        <v>54</v>
      </c>
      <c r="CH606" t="s">
        <v>52</v>
      </c>
    </row>
    <row r="607" spans="1:86" x14ac:dyDescent="0.25">
      <c r="A607" t="s">
        <v>47</v>
      </c>
      <c r="B607">
        <v>8</v>
      </c>
      <c r="C607" t="s">
        <v>153</v>
      </c>
      <c r="D607">
        <v>49</v>
      </c>
      <c r="E607" t="s">
        <v>58</v>
      </c>
      <c r="F607">
        <v>102</v>
      </c>
      <c r="G607" t="s">
        <v>62</v>
      </c>
      <c r="H607" t="s">
        <v>50</v>
      </c>
      <c r="K607" t="s">
        <v>52</v>
      </c>
      <c r="L607">
        <v>1</v>
      </c>
      <c r="M607" t="s">
        <v>53</v>
      </c>
      <c r="N607">
        <v>102</v>
      </c>
      <c r="O607">
        <v>1</v>
      </c>
      <c r="P607" t="s">
        <v>52</v>
      </c>
      <c r="Q607">
        <v>0</v>
      </c>
      <c r="R607">
        <v>0.92</v>
      </c>
      <c r="S607">
        <v>131.69999999999999</v>
      </c>
      <c r="T607" t="s">
        <v>284</v>
      </c>
      <c r="U607">
        <v>170</v>
      </c>
      <c r="V607" t="s">
        <v>284</v>
      </c>
      <c r="W607">
        <v>191</v>
      </c>
      <c r="X607" t="s">
        <v>284</v>
      </c>
      <c r="Y607">
        <v>207</v>
      </c>
      <c r="Z607" t="s">
        <v>284</v>
      </c>
      <c r="AA607">
        <v>205</v>
      </c>
      <c r="AB607" t="s">
        <v>285</v>
      </c>
      <c r="AG607">
        <v>188.66669999999999</v>
      </c>
      <c r="AH607" t="s">
        <v>54</v>
      </c>
      <c r="AI607" t="s">
        <v>52</v>
      </c>
      <c r="AX607">
        <v>271.60000000000002</v>
      </c>
      <c r="AY607" t="s">
        <v>285</v>
      </c>
      <c r="AZ607" t="s">
        <v>287</v>
      </c>
      <c r="BQ607" t="s">
        <v>52</v>
      </c>
      <c r="BR607">
        <v>0.83</v>
      </c>
      <c r="BS607" t="s">
        <v>285</v>
      </c>
      <c r="BT607">
        <v>0.78</v>
      </c>
      <c r="BU607" t="s">
        <v>284</v>
      </c>
      <c r="BV607">
        <v>0.23</v>
      </c>
      <c r="BW607" t="s">
        <v>285</v>
      </c>
      <c r="BX607">
        <v>0.42</v>
      </c>
      <c r="BY607" t="s">
        <v>285</v>
      </c>
      <c r="BZ607">
        <v>0.36</v>
      </c>
      <c r="CA607" t="s">
        <v>284</v>
      </c>
      <c r="CF607">
        <v>0.52</v>
      </c>
      <c r="CG607" t="s">
        <v>54</v>
      </c>
      <c r="CH607" t="s">
        <v>52</v>
      </c>
    </row>
    <row r="608" spans="1:86" x14ac:dyDescent="0.25">
      <c r="A608" t="s">
        <v>47</v>
      </c>
      <c r="B608">
        <v>8</v>
      </c>
      <c r="C608" t="s">
        <v>153</v>
      </c>
      <c r="D608">
        <v>49</v>
      </c>
      <c r="E608" t="s">
        <v>70</v>
      </c>
      <c r="F608">
        <v>296</v>
      </c>
      <c r="G608" t="s">
        <v>71</v>
      </c>
      <c r="H608" t="s">
        <v>50</v>
      </c>
      <c r="K608" t="s">
        <v>51</v>
      </c>
      <c r="L608">
        <v>1</v>
      </c>
      <c r="M608" t="s">
        <v>53</v>
      </c>
      <c r="N608">
        <v>296</v>
      </c>
      <c r="O608">
        <v>1</v>
      </c>
      <c r="P608" t="s">
        <v>52</v>
      </c>
      <c r="Q608">
        <v>0</v>
      </c>
      <c r="R608">
        <v>0.75</v>
      </c>
      <c r="S608">
        <v>228</v>
      </c>
      <c r="T608" t="s">
        <v>284</v>
      </c>
      <c r="U608">
        <v>190</v>
      </c>
      <c r="V608" t="s">
        <v>285</v>
      </c>
      <c r="W608">
        <v>194</v>
      </c>
      <c r="X608" t="s">
        <v>285</v>
      </c>
      <c r="Y608">
        <v>225</v>
      </c>
      <c r="Z608" t="s">
        <v>285</v>
      </c>
      <c r="AA608">
        <v>247</v>
      </c>
      <c r="AB608" t="s">
        <v>285</v>
      </c>
      <c r="AC608">
        <v>241</v>
      </c>
      <c r="AD608" t="s">
        <v>285</v>
      </c>
      <c r="AE608">
        <v>219</v>
      </c>
      <c r="AF608" t="s">
        <v>285</v>
      </c>
      <c r="AG608">
        <v>219</v>
      </c>
      <c r="AH608" t="s">
        <v>286</v>
      </c>
      <c r="AI608" t="s">
        <v>287</v>
      </c>
      <c r="AX608">
        <v>263</v>
      </c>
      <c r="AY608" t="s">
        <v>286</v>
      </c>
      <c r="AZ608" t="s">
        <v>287</v>
      </c>
      <c r="BQ608" t="s">
        <v>52</v>
      </c>
      <c r="CH608" t="s">
        <v>52</v>
      </c>
    </row>
    <row r="609" spans="1:86" x14ac:dyDescent="0.25">
      <c r="A609" t="s">
        <v>47</v>
      </c>
      <c r="B609">
        <v>8</v>
      </c>
      <c r="C609" t="s">
        <v>153</v>
      </c>
      <c r="D609">
        <v>49</v>
      </c>
      <c r="E609" t="s">
        <v>70</v>
      </c>
      <c r="F609">
        <v>296</v>
      </c>
      <c r="G609" t="s">
        <v>71</v>
      </c>
      <c r="H609" t="s">
        <v>50</v>
      </c>
      <c r="K609" t="s">
        <v>52</v>
      </c>
      <c r="L609">
        <v>1</v>
      </c>
      <c r="M609" t="s">
        <v>53</v>
      </c>
      <c r="N609">
        <v>296</v>
      </c>
      <c r="O609">
        <v>1</v>
      </c>
      <c r="P609" t="s">
        <v>52</v>
      </c>
      <c r="Q609">
        <v>0</v>
      </c>
      <c r="R609">
        <v>0.75</v>
      </c>
      <c r="S609">
        <v>228</v>
      </c>
      <c r="T609" t="s">
        <v>284</v>
      </c>
      <c r="U609">
        <v>190</v>
      </c>
      <c r="V609" t="s">
        <v>285</v>
      </c>
      <c r="W609">
        <v>194</v>
      </c>
      <c r="X609" t="s">
        <v>285</v>
      </c>
      <c r="Y609">
        <v>225</v>
      </c>
      <c r="Z609" t="s">
        <v>285</v>
      </c>
      <c r="AA609">
        <v>247</v>
      </c>
      <c r="AB609" t="s">
        <v>285</v>
      </c>
      <c r="AC609">
        <v>241</v>
      </c>
      <c r="AD609" t="s">
        <v>285</v>
      </c>
      <c r="AE609">
        <v>219</v>
      </c>
      <c r="AF609" t="s">
        <v>285</v>
      </c>
      <c r="AG609">
        <v>219</v>
      </c>
      <c r="AH609" t="s">
        <v>286</v>
      </c>
      <c r="AI609" t="s">
        <v>287</v>
      </c>
      <c r="AX609">
        <v>263</v>
      </c>
      <c r="AY609" t="s">
        <v>286</v>
      </c>
      <c r="AZ609" t="s">
        <v>287</v>
      </c>
      <c r="BQ609" t="s">
        <v>52</v>
      </c>
      <c r="CH609" t="s">
        <v>52</v>
      </c>
    </row>
    <row r="610" spans="1:86" x14ac:dyDescent="0.25">
      <c r="A610" t="s">
        <v>47</v>
      </c>
      <c r="B610">
        <v>8</v>
      </c>
      <c r="C610" t="s">
        <v>153</v>
      </c>
      <c r="D610">
        <v>49</v>
      </c>
      <c r="E610" t="s">
        <v>70</v>
      </c>
      <c r="F610">
        <v>296</v>
      </c>
      <c r="G610" t="s">
        <v>73</v>
      </c>
      <c r="H610" t="s">
        <v>50</v>
      </c>
      <c r="K610" t="s">
        <v>51</v>
      </c>
      <c r="L610">
        <v>1</v>
      </c>
      <c r="M610" t="s">
        <v>53</v>
      </c>
      <c r="N610">
        <v>296</v>
      </c>
      <c r="O610">
        <v>1</v>
      </c>
      <c r="P610" t="s">
        <v>52</v>
      </c>
      <c r="Q610">
        <v>0</v>
      </c>
      <c r="R610">
        <v>0.75</v>
      </c>
      <c r="S610">
        <v>228</v>
      </c>
      <c r="T610" t="s">
        <v>284</v>
      </c>
      <c r="U610">
        <v>221</v>
      </c>
      <c r="V610" t="s">
        <v>284</v>
      </c>
      <c r="W610">
        <v>236</v>
      </c>
      <c r="X610" t="s">
        <v>284</v>
      </c>
      <c r="Y610">
        <v>244</v>
      </c>
      <c r="Z610" t="s">
        <v>284</v>
      </c>
      <c r="AA610">
        <v>225</v>
      </c>
      <c r="AB610" t="s">
        <v>285</v>
      </c>
      <c r="AG610">
        <v>229.66669999999999</v>
      </c>
      <c r="AH610" t="s">
        <v>54</v>
      </c>
      <c r="AI610" t="s">
        <v>52</v>
      </c>
      <c r="AZ610" t="s">
        <v>52</v>
      </c>
      <c r="BQ610" t="s">
        <v>52</v>
      </c>
      <c r="CH610" t="s">
        <v>52</v>
      </c>
    </row>
    <row r="611" spans="1:86" x14ac:dyDescent="0.25">
      <c r="A611" t="s">
        <v>47</v>
      </c>
      <c r="B611">
        <v>8</v>
      </c>
      <c r="C611" t="s">
        <v>153</v>
      </c>
      <c r="D611">
        <v>49</v>
      </c>
      <c r="E611" t="s">
        <v>70</v>
      </c>
      <c r="F611">
        <v>296</v>
      </c>
      <c r="G611" t="s">
        <v>73</v>
      </c>
      <c r="H611" t="s">
        <v>50</v>
      </c>
      <c r="K611" t="s">
        <v>52</v>
      </c>
      <c r="L611">
        <v>1</v>
      </c>
      <c r="M611" t="s">
        <v>53</v>
      </c>
      <c r="N611">
        <v>296</v>
      </c>
      <c r="O611">
        <v>1</v>
      </c>
      <c r="P611" t="s">
        <v>52</v>
      </c>
      <c r="Q611">
        <v>0</v>
      </c>
      <c r="R611">
        <v>0.75</v>
      </c>
      <c r="S611">
        <v>228</v>
      </c>
      <c r="T611" t="s">
        <v>284</v>
      </c>
      <c r="U611">
        <v>221</v>
      </c>
      <c r="V611" t="s">
        <v>284</v>
      </c>
      <c r="W611">
        <v>236</v>
      </c>
      <c r="X611" t="s">
        <v>284</v>
      </c>
      <c r="Y611">
        <v>244</v>
      </c>
      <c r="Z611" t="s">
        <v>284</v>
      </c>
      <c r="AA611">
        <v>225</v>
      </c>
      <c r="AB611" t="s">
        <v>285</v>
      </c>
      <c r="AG611">
        <v>229.66669999999999</v>
      </c>
      <c r="AH611" t="s">
        <v>54</v>
      </c>
      <c r="AI611" t="s">
        <v>52</v>
      </c>
      <c r="AZ611" t="s">
        <v>52</v>
      </c>
      <c r="BQ611" t="s">
        <v>52</v>
      </c>
      <c r="CH611" t="s">
        <v>52</v>
      </c>
    </row>
    <row r="612" spans="1:86" x14ac:dyDescent="0.25">
      <c r="A612" t="s">
        <v>47</v>
      </c>
      <c r="B612">
        <v>8</v>
      </c>
      <c r="C612" t="s">
        <v>153</v>
      </c>
      <c r="D612">
        <v>49</v>
      </c>
      <c r="E612" t="s">
        <v>70</v>
      </c>
      <c r="F612">
        <v>296</v>
      </c>
      <c r="G612" t="s">
        <v>74</v>
      </c>
      <c r="H612" t="s">
        <v>50</v>
      </c>
      <c r="K612" t="s">
        <v>51</v>
      </c>
      <c r="L612">
        <v>1</v>
      </c>
      <c r="M612" t="s">
        <v>53</v>
      </c>
      <c r="N612">
        <v>102</v>
      </c>
      <c r="O612">
        <v>1</v>
      </c>
      <c r="P612" t="s">
        <v>52</v>
      </c>
      <c r="Q612">
        <v>0</v>
      </c>
      <c r="R612">
        <v>0.75</v>
      </c>
      <c r="S612">
        <v>135</v>
      </c>
      <c r="T612" t="s">
        <v>284</v>
      </c>
      <c r="U612">
        <v>132</v>
      </c>
      <c r="V612" t="s">
        <v>284</v>
      </c>
      <c r="W612">
        <v>147</v>
      </c>
      <c r="X612" t="s">
        <v>284</v>
      </c>
      <c r="Y612">
        <v>170</v>
      </c>
      <c r="Z612" t="s">
        <v>284</v>
      </c>
      <c r="AA612">
        <v>205</v>
      </c>
      <c r="AB612" t="s">
        <v>285</v>
      </c>
      <c r="AG612">
        <v>150.66669999999999</v>
      </c>
      <c r="AH612" t="s">
        <v>54</v>
      </c>
      <c r="AI612" t="s">
        <v>52</v>
      </c>
      <c r="AZ612" t="s">
        <v>52</v>
      </c>
      <c r="BQ612" t="s">
        <v>52</v>
      </c>
      <c r="BR612">
        <v>1.85</v>
      </c>
      <c r="BS612" t="s">
        <v>284</v>
      </c>
      <c r="BT612">
        <v>1.46</v>
      </c>
      <c r="BU612" t="s">
        <v>284</v>
      </c>
      <c r="BV612">
        <v>0.96</v>
      </c>
      <c r="BW612" t="s">
        <v>285</v>
      </c>
      <c r="BX612">
        <v>0.97</v>
      </c>
      <c r="BY612" t="s">
        <v>285</v>
      </c>
      <c r="BZ612">
        <v>0.92</v>
      </c>
      <c r="CA612" t="s">
        <v>289</v>
      </c>
      <c r="CF612">
        <v>1.1299999999999999</v>
      </c>
      <c r="CG612" t="s">
        <v>54</v>
      </c>
      <c r="CH612" t="s">
        <v>52</v>
      </c>
    </row>
    <row r="613" spans="1:86" x14ac:dyDescent="0.25">
      <c r="A613" t="s">
        <v>47</v>
      </c>
      <c r="B613">
        <v>8</v>
      </c>
      <c r="C613" t="s">
        <v>153</v>
      </c>
      <c r="D613">
        <v>49</v>
      </c>
      <c r="E613" t="s">
        <v>70</v>
      </c>
      <c r="F613">
        <v>296</v>
      </c>
      <c r="G613" t="s">
        <v>74</v>
      </c>
      <c r="H613" t="s">
        <v>50</v>
      </c>
      <c r="K613" t="s">
        <v>52</v>
      </c>
      <c r="L613">
        <v>1</v>
      </c>
      <c r="M613" t="s">
        <v>53</v>
      </c>
      <c r="N613">
        <v>102</v>
      </c>
      <c r="O613">
        <v>1</v>
      </c>
      <c r="P613" t="s">
        <v>52</v>
      </c>
      <c r="Q613">
        <v>0</v>
      </c>
      <c r="R613">
        <v>0.75</v>
      </c>
      <c r="S613">
        <v>135</v>
      </c>
      <c r="T613" t="s">
        <v>284</v>
      </c>
      <c r="U613">
        <v>132</v>
      </c>
      <c r="V613" t="s">
        <v>284</v>
      </c>
      <c r="W613">
        <v>147</v>
      </c>
      <c r="X613" t="s">
        <v>284</v>
      </c>
      <c r="Y613">
        <v>170</v>
      </c>
      <c r="Z613" t="s">
        <v>284</v>
      </c>
      <c r="AA613">
        <v>205</v>
      </c>
      <c r="AB613" t="s">
        <v>285</v>
      </c>
      <c r="AG613">
        <v>150.66669999999999</v>
      </c>
      <c r="AH613" t="s">
        <v>54</v>
      </c>
      <c r="AI613" t="s">
        <v>52</v>
      </c>
      <c r="AZ613" t="s">
        <v>52</v>
      </c>
      <c r="BQ613" t="s">
        <v>52</v>
      </c>
      <c r="CH613" t="s">
        <v>52</v>
      </c>
    </row>
    <row r="614" spans="1:86" x14ac:dyDescent="0.25">
      <c r="A614" t="s">
        <v>47</v>
      </c>
      <c r="B614">
        <v>8</v>
      </c>
      <c r="C614" t="s">
        <v>154</v>
      </c>
      <c r="D614">
        <v>51</v>
      </c>
      <c r="E614" t="s">
        <v>49</v>
      </c>
      <c r="F614">
        <v>27</v>
      </c>
      <c r="H614" t="s">
        <v>50</v>
      </c>
      <c r="K614" t="s">
        <v>51</v>
      </c>
      <c r="L614">
        <v>1</v>
      </c>
      <c r="M614" t="s">
        <v>53</v>
      </c>
      <c r="N614">
        <v>27</v>
      </c>
      <c r="O614">
        <v>1</v>
      </c>
      <c r="P614" t="s">
        <v>52</v>
      </c>
      <c r="Q614">
        <v>0</v>
      </c>
      <c r="R614">
        <v>0.75</v>
      </c>
      <c r="S614">
        <v>231</v>
      </c>
      <c r="T614" t="s">
        <v>284</v>
      </c>
      <c r="U614">
        <v>208</v>
      </c>
      <c r="V614" t="s">
        <v>284</v>
      </c>
      <c r="W614">
        <v>224</v>
      </c>
      <c r="X614" t="s">
        <v>284</v>
      </c>
      <c r="Y614">
        <v>225</v>
      </c>
      <c r="Z614" t="s">
        <v>285</v>
      </c>
      <c r="AA614">
        <v>247</v>
      </c>
      <c r="AB614" t="s">
        <v>285</v>
      </c>
      <c r="AC614">
        <v>241</v>
      </c>
      <c r="AD614" t="s">
        <v>285</v>
      </c>
      <c r="AE614">
        <v>219</v>
      </c>
      <c r="AF614" t="s">
        <v>285</v>
      </c>
      <c r="AG614">
        <v>219</v>
      </c>
      <c r="AH614" t="s">
        <v>286</v>
      </c>
      <c r="AI614" t="s">
        <v>287</v>
      </c>
      <c r="AX614">
        <v>263</v>
      </c>
      <c r="AY614" t="s">
        <v>286</v>
      </c>
      <c r="AZ614" t="s">
        <v>287</v>
      </c>
      <c r="BQ614" t="s">
        <v>52</v>
      </c>
      <c r="CH614" t="s">
        <v>52</v>
      </c>
    </row>
    <row r="615" spans="1:86" x14ac:dyDescent="0.25">
      <c r="A615" t="s">
        <v>47</v>
      </c>
      <c r="B615">
        <v>8</v>
      </c>
      <c r="C615" t="s">
        <v>154</v>
      </c>
      <c r="D615">
        <v>51</v>
      </c>
      <c r="E615" t="s">
        <v>49</v>
      </c>
      <c r="F615">
        <v>27</v>
      </c>
      <c r="H615" t="s">
        <v>50</v>
      </c>
      <c r="K615" t="s">
        <v>52</v>
      </c>
      <c r="L615">
        <v>1</v>
      </c>
      <c r="M615" t="s">
        <v>53</v>
      </c>
      <c r="N615">
        <v>27</v>
      </c>
      <c r="O615">
        <v>1</v>
      </c>
      <c r="P615" t="s">
        <v>52</v>
      </c>
      <c r="Q615">
        <v>0</v>
      </c>
      <c r="R615">
        <v>0.75</v>
      </c>
      <c r="S615">
        <v>231</v>
      </c>
      <c r="T615" t="s">
        <v>284</v>
      </c>
      <c r="U615">
        <v>208</v>
      </c>
      <c r="V615" t="s">
        <v>284</v>
      </c>
      <c r="W615">
        <v>224</v>
      </c>
      <c r="X615" t="s">
        <v>284</v>
      </c>
      <c r="Y615">
        <v>225</v>
      </c>
      <c r="Z615" t="s">
        <v>285</v>
      </c>
      <c r="AA615">
        <v>247</v>
      </c>
      <c r="AB615" t="s">
        <v>285</v>
      </c>
      <c r="AC615">
        <v>241</v>
      </c>
      <c r="AD615" t="s">
        <v>285</v>
      </c>
      <c r="AE615">
        <v>219</v>
      </c>
      <c r="AF615" t="s">
        <v>285</v>
      </c>
      <c r="AG615">
        <v>219</v>
      </c>
      <c r="AH615" t="s">
        <v>286</v>
      </c>
      <c r="AI615" t="s">
        <v>287</v>
      </c>
      <c r="AX615">
        <v>263</v>
      </c>
      <c r="AY615" t="s">
        <v>286</v>
      </c>
      <c r="AZ615" t="s">
        <v>287</v>
      </c>
      <c r="BQ615" t="s">
        <v>52</v>
      </c>
      <c r="CH615" t="s">
        <v>52</v>
      </c>
    </row>
    <row r="616" spans="1:86" x14ac:dyDescent="0.25">
      <c r="A616" t="s">
        <v>47</v>
      </c>
      <c r="B616">
        <v>8</v>
      </c>
      <c r="C616" t="s">
        <v>154</v>
      </c>
      <c r="D616">
        <v>51</v>
      </c>
      <c r="E616" t="s">
        <v>58</v>
      </c>
      <c r="F616">
        <v>102</v>
      </c>
      <c r="G616" t="s">
        <v>62</v>
      </c>
      <c r="H616" t="s">
        <v>50</v>
      </c>
      <c r="K616" t="s">
        <v>51</v>
      </c>
      <c r="L616">
        <v>1</v>
      </c>
      <c r="M616" t="s">
        <v>53</v>
      </c>
      <c r="N616">
        <v>102</v>
      </c>
      <c r="O616">
        <v>1</v>
      </c>
      <c r="P616" t="s">
        <v>52</v>
      </c>
      <c r="Q616">
        <v>0</v>
      </c>
      <c r="R616">
        <v>0.92</v>
      </c>
      <c r="S616">
        <v>131.69999999999999</v>
      </c>
      <c r="T616" t="s">
        <v>284</v>
      </c>
      <c r="U616">
        <v>170</v>
      </c>
      <c r="V616" t="s">
        <v>284</v>
      </c>
      <c r="W616">
        <v>191</v>
      </c>
      <c r="X616" t="s">
        <v>284</v>
      </c>
      <c r="Y616">
        <v>207</v>
      </c>
      <c r="Z616" t="s">
        <v>284</v>
      </c>
      <c r="AA616">
        <v>205</v>
      </c>
      <c r="AB616" t="s">
        <v>285</v>
      </c>
      <c r="AG616">
        <v>188.66669999999999</v>
      </c>
      <c r="AH616" t="s">
        <v>54</v>
      </c>
      <c r="AI616" t="s">
        <v>52</v>
      </c>
      <c r="AX616">
        <v>271.60000000000002</v>
      </c>
      <c r="AY616" t="s">
        <v>285</v>
      </c>
      <c r="AZ616" t="s">
        <v>287</v>
      </c>
      <c r="BQ616" t="s">
        <v>52</v>
      </c>
      <c r="BR616">
        <v>1.85</v>
      </c>
      <c r="BS616" t="s">
        <v>284</v>
      </c>
      <c r="BT616">
        <v>1.24</v>
      </c>
      <c r="BU616" t="s">
        <v>284</v>
      </c>
      <c r="BV616">
        <v>0.37</v>
      </c>
      <c r="BW616" t="s">
        <v>285</v>
      </c>
      <c r="BX616">
        <v>0.82</v>
      </c>
      <c r="BY616" t="s">
        <v>285</v>
      </c>
      <c r="BZ616">
        <v>1.01</v>
      </c>
      <c r="CA616" t="s">
        <v>288</v>
      </c>
      <c r="CF616">
        <v>1.02</v>
      </c>
      <c r="CG616" t="s">
        <v>54</v>
      </c>
      <c r="CH616" t="s">
        <v>52</v>
      </c>
    </row>
    <row r="617" spans="1:86" x14ac:dyDescent="0.25">
      <c r="A617" t="s">
        <v>47</v>
      </c>
      <c r="B617">
        <v>8</v>
      </c>
      <c r="C617" t="s">
        <v>154</v>
      </c>
      <c r="D617">
        <v>51</v>
      </c>
      <c r="E617" t="s">
        <v>58</v>
      </c>
      <c r="F617">
        <v>102</v>
      </c>
      <c r="G617" t="s">
        <v>62</v>
      </c>
      <c r="H617" t="s">
        <v>50</v>
      </c>
      <c r="K617" t="s">
        <v>52</v>
      </c>
      <c r="L617">
        <v>1</v>
      </c>
      <c r="M617" t="s">
        <v>53</v>
      </c>
      <c r="N617">
        <v>102</v>
      </c>
      <c r="O617">
        <v>1</v>
      </c>
      <c r="P617" t="s">
        <v>52</v>
      </c>
      <c r="Q617">
        <v>0</v>
      </c>
      <c r="R617">
        <v>0.92</v>
      </c>
      <c r="S617">
        <v>131.69999999999999</v>
      </c>
      <c r="T617" t="s">
        <v>284</v>
      </c>
      <c r="U617">
        <v>170</v>
      </c>
      <c r="V617" t="s">
        <v>284</v>
      </c>
      <c r="W617">
        <v>191</v>
      </c>
      <c r="X617" t="s">
        <v>284</v>
      </c>
      <c r="Y617">
        <v>207</v>
      </c>
      <c r="Z617" t="s">
        <v>284</v>
      </c>
      <c r="AA617">
        <v>205</v>
      </c>
      <c r="AB617" t="s">
        <v>285</v>
      </c>
      <c r="AG617">
        <v>188.66669999999999</v>
      </c>
      <c r="AH617" t="s">
        <v>54</v>
      </c>
      <c r="AI617" t="s">
        <v>52</v>
      </c>
      <c r="AX617">
        <v>271.60000000000002</v>
      </c>
      <c r="AY617" t="s">
        <v>285</v>
      </c>
      <c r="AZ617" t="s">
        <v>287</v>
      </c>
      <c r="BQ617" t="s">
        <v>52</v>
      </c>
      <c r="BR617">
        <v>0.83</v>
      </c>
      <c r="BS617" t="s">
        <v>285</v>
      </c>
      <c r="BT617">
        <v>0.76</v>
      </c>
      <c r="BU617" t="s">
        <v>284</v>
      </c>
      <c r="BV617">
        <v>0.22</v>
      </c>
      <c r="BW617" t="s">
        <v>285</v>
      </c>
      <c r="BX617">
        <v>0.41</v>
      </c>
      <c r="BY617" t="s">
        <v>285</v>
      </c>
      <c r="BZ617">
        <v>0.35</v>
      </c>
      <c r="CA617" t="s">
        <v>284</v>
      </c>
      <c r="CF617">
        <v>0.51</v>
      </c>
      <c r="CG617" t="s">
        <v>54</v>
      </c>
      <c r="CH617" t="s">
        <v>52</v>
      </c>
    </row>
    <row r="618" spans="1:86" x14ac:dyDescent="0.25">
      <c r="A618" t="s">
        <v>47</v>
      </c>
      <c r="B618">
        <v>8</v>
      </c>
      <c r="C618" t="s">
        <v>155</v>
      </c>
      <c r="D618">
        <v>53</v>
      </c>
      <c r="E618" t="s">
        <v>58</v>
      </c>
      <c r="F618">
        <v>102</v>
      </c>
      <c r="G618" t="s">
        <v>62</v>
      </c>
      <c r="H618" t="s">
        <v>50</v>
      </c>
      <c r="K618" t="s">
        <v>51</v>
      </c>
      <c r="L618">
        <v>1</v>
      </c>
      <c r="M618" t="s">
        <v>53</v>
      </c>
      <c r="N618">
        <v>102</v>
      </c>
      <c r="O618">
        <v>1</v>
      </c>
      <c r="P618" t="s">
        <v>52</v>
      </c>
      <c r="Q618">
        <v>0</v>
      </c>
      <c r="R618">
        <v>0.92</v>
      </c>
      <c r="S618">
        <v>131.69999999999999</v>
      </c>
      <c r="T618" t="s">
        <v>284</v>
      </c>
      <c r="U618">
        <v>170</v>
      </c>
      <c r="V618" t="s">
        <v>284</v>
      </c>
      <c r="W618">
        <v>191</v>
      </c>
      <c r="X618" t="s">
        <v>284</v>
      </c>
      <c r="Y618">
        <v>207</v>
      </c>
      <c r="Z618" t="s">
        <v>284</v>
      </c>
      <c r="AA618">
        <v>205</v>
      </c>
      <c r="AB618" t="s">
        <v>285</v>
      </c>
      <c r="AG618">
        <v>188.66669999999999</v>
      </c>
      <c r="AH618" t="s">
        <v>54</v>
      </c>
      <c r="AI618" t="s">
        <v>52</v>
      </c>
      <c r="AX618">
        <v>271.60000000000002</v>
      </c>
      <c r="AY618" t="s">
        <v>285</v>
      </c>
      <c r="AZ618" t="s">
        <v>287</v>
      </c>
      <c r="BQ618" t="s">
        <v>52</v>
      </c>
      <c r="BR618">
        <v>1.85</v>
      </c>
      <c r="BS618" t="s">
        <v>284</v>
      </c>
      <c r="BT618">
        <v>1.35</v>
      </c>
      <c r="BU618" t="s">
        <v>284</v>
      </c>
      <c r="BV618">
        <v>0.53</v>
      </c>
      <c r="BW618" t="s">
        <v>285</v>
      </c>
      <c r="BX618">
        <v>0.64</v>
      </c>
      <c r="BY618" t="s">
        <v>285</v>
      </c>
      <c r="BZ618">
        <v>0.55000000000000004</v>
      </c>
      <c r="CA618" t="s">
        <v>284</v>
      </c>
      <c r="CF618">
        <v>0.85</v>
      </c>
      <c r="CG618" t="s">
        <v>54</v>
      </c>
      <c r="CH618" t="s">
        <v>52</v>
      </c>
    </row>
    <row r="619" spans="1:86" x14ac:dyDescent="0.25">
      <c r="A619" t="s">
        <v>47</v>
      </c>
      <c r="B619">
        <v>8</v>
      </c>
      <c r="C619" t="s">
        <v>155</v>
      </c>
      <c r="D619">
        <v>53</v>
      </c>
      <c r="E619" t="s">
        <v>58</v>
      </c>
      <c r="F619">
        <v>102</v>
      </c>
      <c r="G619" t="s">
        <v>62</v>
      </c>
      <c r="H619" t="s">
        <v>50</v>
      </c>
      <c r="K619" t="s">
        <v>52</v>
      </c>
      <c r="L619">
        <v>1</v>
      </c>
      <c r="M619" t="s">
        <v>53</v>
      </c>
      <c r="N619">
        <v>102</v>
      </c>
      <c r="O619">
        <v>1</v>
      </c>
      <c r="P619" t="s">
        <v>52</v>
      </c>
      <c r="Q619">
        <v>0</v>
      </c>
      <c r="R619">
        <v>0.92</v>
      </c>
      <c r="S619">
        <v>131.69999999999999</v>
      </c>
      <c r="T619" t="s">
        <v>284</v>
      </c>
      <c r="U619">
        <v>170</v>
      </c>
      <c r="V619" t="s">
        <v>284</v>
      </c>
      <c r="W619">
        <v>191</v>
      </c>
      <c r="X619" t="s">
        <v>284</v>
      </c>
      <c r="Y619">
        <v>207</v>
      </c>
      <c r="Z619" t="s">
        <v>284</v>
      </c>
      <c r="AA619">
        <v>205</v>
      </c>
      <c r="AB619" t="s">
        <v>285</v>
      </c>
      <c r="AG619">
        <v>188.66669999999999</v>
      </c>
      <c r="AH619" t="s">
        <v>54</v>
      </c>
      <c r="AI619" t="s">
        <v>52</v>
      </c>
      <c r="AX619">
        <v>271.60000000000002</v>
      </c>
      <c r="AY619" t="s">
        <v>285</v>
      </c>
      <c r="AZ619" t="s">
        <v>287</v>
      </c>
      <c r="BQ619" t="s">
        <v>52</v>
      </c>
      <c r="BR619">
        <v>0.83</v>
      </c>
      <c r="BS619" t="s">
        <v>285</v>
      </c>
      <c r="BT619">
        <v>0.94</v>
      </c>
      <c r="BU619" t="s">
        <v>284</v>
      </c>
      <c r="BV619">
        <v>0.28000000000000003</v>
      </c>
      <c r="BW619" t="s">
        <v>285</v>
      </c>
      <c r="BX619">
        <v>0.5</v>
      </c>
      <c r="BY619" t="s">
        <v>285</v>
      </c>
      <c r="BZ619">
        <v>0.43</v>
      </c>
      <c r="CA619" t="s">
        <v>284</v>
      </c>
      <c r="CF619">
        <v>0.59</v>
      </c>
      <c r="CG619" t="s">
        <v>54</v>
      </c>
      <c r="CH619" t="s">
        <v>52</v>
      </c>
    </row>
    <row r="620" spans="1:86" x14ac:dyDescent="0.25">
      <c r="A620" t="s">
        <v>47</v>
      </c>
      <c r="B620">
        <v>8</v>
      </c>
      <c r="C620" t="s">
        <v>155</v>
      </c>
      <c r="D620">
        <v>53</v>
      </c>
      <c r="E620" t="s">
        <v>58</v>
      </c>
      <c r="F620">
        <v>102</v>
      </c>
      <c r="G620" t="s">
        <v>156</v>
      </c>
      <c r="H620" t="s">
        <v>50</v>
      </c>
      <c r="K620" t="s">
        <v>52</v>
      </c>
      <c r="L620">
        <v>1</v>
      </c>
      <c r="M620" t="s">
        <v>53</v>
      </c>
      <c r="N620">
        <v>102</v>
      </c>
      <c r="O620">
        <v>1</v>
      </c>
      <c r="P620" t="s">
        <v>52</v>
      </c>
      <c r="Q620">
        <v>0</v>
      </c>
      <c r="R620">
        <v>0.92</v>
      </c>
      <c r="S620">
        <v>131.69999999999999</v>
      </c>
      <c r="T620" t="s">
        <v>285</v>
      </c>
      <c r="U620">
        <v>170</v>
      </c>
      <c r="V620" t="s">
        <v>284</v>
      </c>
      <c r="AI620" t="s">
        <v>52</v>
      </c>
      <c r="AZ620" t="s">
        <v>52</v>
      </c>
      <c r="BQ620" t="s">
        <v>52</v>
      </c>
      <c r="CH620" t="s">
        <v>52</v>
      </c>
    </row>
    <row r="621" spans="1:86" x14ac:dyDescent="0.25">
      <c r="A621" t="s">
        <v>47</v>
      </c>
      <c r="B621">
        <v>8</v>
      </c>
      <c r="C621" t="s">
        <v>157</v>
      </c>
      <c r="D621">
        <v>55</v>
      </c>
      <c r="E621" t="s">
        <v>49</v>
      </c>
      <c r="F621">
        <v>27</v>
      </c>
      <c r="H621" t="s">
        <v>50</v>
      </c>
      <c r="K621" t="s">
        <v>51</v>
      </c>
      <c r="L621">
        <v>1</v>
      </c>
      <c r="M621" t="s">
        <v>53</v>
      </c>
      <c r="N621">
        <v>27</v>
      </c>
      <c r="O621">
        <v>1</v>
      </c>
      <c r="P621" t="s">
        <v>52</v>
      </c>
      <c r="Q621">
        <v>0</v>
      </c>
      <c r="R621">
        <v>0.75</v>
      </c>
      <c r="S621">
        <v>231</v>
      </c>
      <c r="T621" t="s">
        <v>284</v>
      </c>
      <c r="U621">
        <v>208</v>
      </c>
      <c r="V621" t="s">
        <v>284</v>
      </c>
      <c r="W621">
        <v>224</v>
      </c>
      <c r="X621" t="s">
        <v>284</v>
      </c>
      <c r="Y621">
        <v>225</v>
      </c>
      <c r="Z621" t="s">
        <v>285</v>
      </c>
      <c r="AA621">
        <v>247</v>
      </c>
      <c r="AB621" t="s">
        <v>285</v>
      </c>
      <c r="AC621">
        <v>241</v>
      </c>
      <c r="AD621" t="s">
        <v>285</v>
      </c>
      <c r="AE621">
        <v>219</v>
      </c>
      <c r="AF621" t="s">
        <v>285</v>
      </c>
      <c r="AG621">
        <v>219</v>
      </c>
      <c r="AH621" t="s">
        <v>286</v>
      </c>
      <c r="AI621" t="s">
        <v>287</v>
      </c>
      <c r="AX621">
        <v>263</v>
      </c>
      <c r="AY621" t="s">
        <v>286</v>
      </c>
      <c r="AZ621" t="s">
        <v>287</v>
      </c>
      <c r="BQ621" t="s">
        <v>52</v>
      </c>
      <c r="BR621">
        <v>3.7</v>
      </c>
      <c r="BS621" t="s">
        <v>284</v>
      </c>
      <c r="BT621">
        <v>3.4</v>
      </c>
      <c r="BU621" t="s">
        <v>284</v>
      </c>
      <c r="BV621">
        <v>1</v>
      </c>
      <c r="BW621" t="s">
        <v>284</v>
      </c>
      <c r="BX621">
        <v>1</v>
      </c>
      <c r="BY621" t="s">
        <v>284</v>
      </c>
      <c r="BZ621">
        <v>0.1</v>
      </c>
      <c r="CA621" t="s">
        <v>288</v>
      </c>
      <c r="CF621">
        <v>1.8</v>
      </c>
      <c r="CG621" t="s">
        <v>54</v>
      </c>
      <c r="CH621" t="s">
        <v>52</v>
      </c>
    </row>
    <row r="622" spans="1:86" x14ac:dyDescent="0.25">
      <c r="A622" t="s">
        <v>47</v>
      </c>
      <c r="B622">
        <v>8</v>
      </c>
      <c r="C622" t="s">
        <v>157</v>
      </c>
      <c r="D622">
        <v>55</v>
      </c>
      <c r="E622" t="s">
        <v>49</v>
      </c>
      <c r="F622">
        <v>27</v>
      </c>
      <c r="H622" t="s">
        <v>50</v>
      </c>
      <c r="K622" t="s">
        <v>52</v>
      </c>
      <c r="L622">
        <v>1</v>
      </c>
      <c r="M622" t="s">
        <v>53</v>
      </c>
      <c r="N622">
        <v>27</v>
      </c>
      <c r="O622">
        <v>1</v>
      </c>
      <c r="P622" t="s">
        <v>52</v>
      </c>
      <c r="Q622">
        <v>0</v>
      </c>
      <c r="R622">
        <v>0.75</v>
      </c>
      <c r="S622">
        <v>231</v>
      </c>
      <c r="T622" t="s">
        <v>284</v>
      </c>
      <c r="U622">
        <v>208</v>
      </c>
      <c r="V622" t="s">
        <v>284</v>
      </c>
      <c r="W622">
        <v>224</v>
      </c>
      <c r="X622" t="s">
        <v>284</v>
      </c>
      <c r="Y622">
        <v>225</v>
      </c>
      <c r="Z622" t="s">
        <v>285</v>
      </c>
      <c r="AA622">
        <v>247</v>
      </c>
      <c r="AB622" t="s">
        <v>285</v>
      </c>
      <c r="AC622">
        <v>241</v>
      </c>
      <c r="AD622" t="s">
        <v>285</v>
      </c>
      <c r="AE622">
        <v>219</v>
      </c>
      <c r="AF622" t="s">
        <v>285</v>
      </c>
      <c r="AG622">
        <v>219</v>
      </c>
      <c r="AH622" t="s">
        <v>286</v>
      </c>
      <c r="AI622" t="s">
        <v>287</v>
      </c>
      <c r="AX622">
        <v>263</v>
      </c>
      <c r="AY622" t="s">
        <v>286</v>
      </c>
      <c r="AZ622" t="s">
        <v>287</v>
      </c>
      <c r="BQ622" t="s">
        <v>52</v>
      </c>
      <c r="BR622">
        <v>1.3</v>
      </c>
      <c r="BS622" t="s">
        <v>284</v>
      </c>
      <c r="BT622">
        <v>1.2</v>
      </c>
      <c r="BU622" t="s">
        <v>284</v>
      </c>
      <c r="BV622">
        <v>0.75</v>
      </c>
      <c r="BW622" t="s">
        <v>284</v>
      </c>
      <c r="BX622">
        <v>0.12</v>
      </c>
      <c r="BY622" t="s">
        <v>284</v>
      </c>
      <c r="BZ622">
        <v>0.14000000000000001</v>
      </c>
      <c r="CA622" t="s">
        <v>289</v>
      </c>
      <c r="CF622">
        <v>0.7</v>
      </c>
      <c r="CG622" t="s">
        <v>54</v>
      </c>
      <c r="CH622" t="s">
        <v>52</v>
      </c>
    </row>
    <row r="623" spans="1:86" x14ac:dyDescent="0.25">
      <c r="A623" t="s">
        <v>47</v>
      </c>
      <c r="B623">
        <v>8</v>
      </c>
      <c r="C623" t="s">
        <v>157</v>
      </c>
      <c r="D623">
        <v>55</v>
      </c>
      <c r="E623" t="s">
        <v>58</v>
      </c>
      <c r="F623">
        <v>102</v>
      </c>
      <c r="G623" t="s">
        <v>62</v>
      </c>
      <c r="H623" t="s">
        <v>50</v>
      </c>
      <c r="K623" t="s">
        <v>51</v>
      </c>
      <c r="L623">
        <v>1</v>
      </c>
      <c r="M623" t="s">
        <v>53</v>
      </c>
      <c r="N623">
        <v>102</v>
      </c>
      <c r="O623">
        <v>1</v>
      </c>
      <c r="P623" t="s">
        <v>52</v>
      </c>
      <c r="Q623">
        <v>0</v>
      </c>
      <c r="R623">
        <v>0.92</v>
      </c>
      <c r="S623">
        <v>131.69999999999999</v>
      </c>
      <c r="T623" t="s">
        <v>284</v>
      </c>
      <c r="U623">
        <v>170</v>
      </c>
      <c r="V623" t="s">
        <v>284</v>
      </c>
      <c r="W623">
        <v>191</v>
      </c>
      <c r="X623" t="s">
        <v>284</v>
      </c>
      <c r="Y623">
        <v>207</v>
      </c>
      <c r="Z623" t="s">
        <v>284</v>
      </c>
      <c r="AA623">
        <v>205</v>
      </c>
      <c r="AB623" t="s">
        <v>285</v>
      </c>
      <c r="AG623">
        <v>188.66669999999999</v>
      </c>
      <c r="AH623" t="s">
        <v>54</v>
      </c>
      <c r="AI623" t="s">
        <v>52</v>
      </c>
      <c r="AX623">
        <v>271.60000000000002</v>
      </c>
      <c r="AY623" t="s">
        <v>285</v>
      </c>
      <c r="AZ623" t="s">
        <v>287</v>
      </c>
      <c r="BQ623" t="s">
        <v>52</v>
      </c>
      <c r="BR623">
        <v>1.85</v>
      </c>
      <c r="BS623" t="s">
        <v>284</v>
      </c>
      <c r="BT623">
        <v>1.19</v>
      </c>
      <c r="BU623" t="s">
        <v>284</v>
      </c>
      <c r="BV623">
        <v>0.53</v>
      </c>
      <c r="BW623" t="s">
        <v>285</v>
      </c>
      <c r="BX623">
        <v>0.83</v>
      </c>
      <c r="BY623" t="s">
        <v>285</v>
      </c>
      <c r="BZ623">
        <v>0.73</v>
      </c>
      <c r="CA623" t="s">
        <v>288</v>
      </c>
      <c r="CF623">
        <v>0.92</v>
      </c>
      <c r="CG623" t="s">
        <v>54</v>
      </c>
      <c r="CH623" t="s">
        <v>52</v>
      </c>
    </row>
    <row r="624" spans="1:86" x14ac:dyDescent="0.25">
      <c r="A624" t="s">
        <v>47</v>
      </c>
      <c r="B624">
        <v>8</v>
      </c>
      <c r="C624" t="s">
        <v>157</v>
      </c>
      <c r="D624">
        <v>55</v>
      </c>
      <c r="E624" t="s">
        <v>58</v>
      </c>
      <c r="F624">
        <v>102</v>
      </c>
      <c r="G624" t="s">
        <v>62</v>
      </c>
      <c r="H624" t="s">
        <v>50</v>
      </c>
      <c r="K624" t="s">
        <v>52</v>
      </c>
      <c r="L624">
        <v>1</v>
      </c>
      <c r="M624" t="s">
        <v>53</v>
      </c>
      <c r="N624">
        <v>102</v>
      </c>
      <c r="O624">
        <v>1</v>
      </c>
      <c r="P624" t="s">
        <v>52</v>
      </c>
      <c r="Q624">
        <v>0</v>
      </c>
      <c r="R624">
        <v>0.92</v>
      </c>
      <c r="S624">
        <v>131.69999999999999</v>
      </c>
      <c r="T624" t="s">
        <v>284</v>
      </c>
      <c r="U624">
        <v>170</v>
      </c>
      <c r="V624" t="s">
        <v>284</v>
      </c>
      <c r="W624">
        <v>191</v>
      </c>
      <c r="X624" t="s">
        <v>284</v>
      </c>
      <c r="Y624">
        <v>207</v>
      </c>
      <c r="Z624" t="s">
        <v>284</v>
      </c>
      <c r="AA624">
        <v>205</v>
      </c>
      <c r="AB624" t="s">
        <v>285</v>
      </c>
      <c r="AG624">
        <v>188.66669999999999</v>
      </c>
      <c r="AH624" t="s">
        <v>54</v>
      </c>
      <c r="AI624" t="s">
        <v>52</v>
      </c>
      <c r="AX624">
        <v>271.60000000000002</v>
      </c>
      <c r="AY624" t="s">
        <v>285</v>
      </c>
      <c r="AZ624" t="s">
        <v>287</v>
      </c>
      <c r="BQ624" t="s">
        <v>52</v>
      </c>
      <c r="BR624">
        <v>0.56000000000000005</v>
      </c>
      <c r="BS624" t="s">
        <v>285</v>
      </c>
      <c r="BT624">
        <v>0.51</v>
      </c>
      <c r="BU624" t="s">
        <v>285</v>
      </c>
      <c r="BV624">
        <v>0.23</v>
      </c>
      <c r="BW624" t="s">
        <v>285</v>
      </c>
      <c r="BX624">
        <v>0.41</v>
      </c>
      <c r="BY624" t="s">
        <v>285</v>
      </c>
      <c r="BZ624">
        <v>0.35</v>
      </c>
      <c r="CA624" t="s">
        <v>284</v>
      </c>
      <c r="CF624">
        <v>0.42</v>
      </c>
      <c r="CG624" t="s">
        <v>54</v>
      </c>
      <c r="CH624" t="s">
        <v>52</v>
      </c>
    </row>
    <row r="625" spans="1:86" x14ac:dyDescent="0.25">
      <c r="A625" t="s">
        <v>47</v>
      </c>
      <c r="B625">
        <v>8</v>
      </c>
      <c r="C625" t="s">
        <v>157</v>
      </c>
      <c r="D625">
        <v>55</v>
      </c>
      <c r="E625" t="s">
        <v>70</v>
      </c>
      <c r="F625">
        <v>296</v>
      </c>
      <c r="G625" t="s">
        <v>71</v>
      </c>
      <c r="H625" t="s">
        <v>50</v>
      </c>
      <c r="K625" t="s">
        <v>51</v>
      </c>
      <c r="L625">
        <v>1</v>
      </c>
      <c r="M625" t="s">
        <v>53</v>
      </c>
      <c r="N625">
        <v>296</v>
      </c>
      <c r="O625">
        <v>1</v>
      </c>
      <c r="P625" t="s">
        <v>52</v>
      </c>
      <c r="Q625">
        <v>0</v>
      </c>
      <c r="R625">
        <v>0.75</v>
      </c>
      <c r="S625">
        <v>228</v>
      </c>
      <c r="T625" t="s">
        <v>284</v>
      </c>
      <c r="U625">
        <v>190</v>
      </c>
      <c r="V625" t="s">
        <v>285</v>
      </c>
      <c r="W625">
        <v>194</v>
      </c>
      <c r="X625" t="s">
        <v>285</v>
      </c>
      <c r="Y625">
        <v>225</v>
      </c>
      <c r="Z625" t="s">
        <v>285</v>
      </c>
      <c r="AA625">
        <v>247</v>
      </c>
      <c r="AB625" t="s">
        <v>285</v>
      </c>
      <c r="AC625">
        <v>241</v>
      </c>
      <c r="AD625" t="s">
        <v>285</v>
      </c>
      <c r="AE625">
        <v>219</v>
      </c>
      <c r="AF625" t="s">
        <v>285</v>
      </c>
      <c r="AG625">
        <v>219</v>
      </c>
      <c r="AH625" t="s">
        <v>286</v>
      </c>
      <c r="AI625" t="s">
        <v>287</v>
      </c>
      <c r="AX625">
        <v>263</v>
      </c>
      <c r="AY625" t="s">
        <v>286</v>
      </c>
      <c r="AZ625" t="s">
        <v>287</v>
      </c>
      <c r="BQ625" t="s">
        <v>52</v>
      </c>
      <c r="BR625">
        <v>1.85</v>
      </c>
      <c r="BS625" t="s">
        <v>284</v>
      </c>
      <c r="BT625">
        <v>1.48</v>
      </c>
      <c r="BU625" t="s">
        <v>284</v>
      </c>
      <c r="BV625">
        <v>0.66</v>
      </c>
      <c r="BW625" t="s">
        <v>285</v>
      </c>
      <c r="BX625">
        <v>1.1000000000000001</v>
      </c>
      <c r="BY625" t="s">
        <v>285</v>
      </c>
      <c r="BZ625">
        <v>1.1000000000000001</v>
      </c>
      <c r="CA625" t="s">
        <v>284</v>
      </c>
      <c r="CF625">
        <v>1.23</v>
      </c>
      <c r="CG625" t="s">
        <v>54</v>
      </c>
      <c r="CH625" t="s">
        <v>52</v>
      </c>
    </row>
    <row r="626" spans="1:86" x14ac:dyDescent="0.25">
      <c r="A626" t="s">
        <v>47</v>
      </c>
      <c r="B626">
        <v>8</v>
      </c>
      <c r="C626" t="s">
        <v>157</v>
      </c>
      <c r="D626">
        <v>55</v>
      </c>
      <c r="E626" t="s">
        <v>70</v>
      </c>
      <c r="F626">
        <v>296</v>
      </c>
      <c r="G626" t="s">
        <v>71</v>
      </c>
      <c r="H626" t="s">
        <v>50</v>
      </c>
      <c r="K626" t="s">
        <v>52</v>
      </c>
      <c r="L626">
        <v>1</v>
      </c>
      <c r="M626" t="s">
        <v>53</v>
      </c>
      <c r="N626">
        <v>296</v>
      </c>
      <c r="O626">
        <v>1</v>
      </c>
      <c r="P626" t="s">
        <v>52</v>
      </c>
      <c r="Q626">
        <v>0</v>
      </c>
      <c r="R626">
        <v>0.75</v>
      </c>
      <c r="S626">
        <v>228</v>
      </c>
      <c r="T626" t="s">
        <v>284</v>
      </c>
      <c r="U626">
        <v>190</v>
      </c>
      <c r="V626" t="s">
        <v>285</v>
      </c>
      <c r="W626">
        <v>194</v>
      </c>
      <c r="X626" t="s">
        <v>285</v>
      </c>
      <c r="Y626">
        <v>225</v>
      </c>
      <c r="Z626" t="s">
        <v>285</v>
      </c>
      <c r="AA626">
        <v>247</v>
      </c>
      <c r="AB626" t="s">
        <v>285</v>
      </c>
      <c r="AC626">
        <v>241</v>
      </c>
      <c r="AD626" t="s">
        <v>285</v>
      </c>
      <c r="AE626">
        <v>219</v>
      </c>
      <c r="AF626" t="s">
        <v>285</v>
      </c>
      <c r="AG626">
        <v>219</v>
      </c>
      <c r="AH626" t="s">
        <v>286</v>
      </c>
      <c r="AI626" t="s">
        <v>287</v>
      </c>
      <c r="AX626">
        <v>263</v>
      </c>
      <c r="AY626" t="s">
        <v>286</v>
      </c>
      <c r="AZ626" t="s">
        <v>287</v>
      </c>
      <c r="BQ626" t="s">
        <v>52</v>
      </c>
      <c r="BR626">
        <v>0.65</v>
      </c>
      <c r="BS626" t="s">
        <v>284</v>
      </c>
      <c r="BT626">
        <v>0.74</v>
      </c>
      <c r="BU626" t="s">
        <v>285</v>
      </c>
      <c r="BV626">
        <v>0.22</v>
      </c>
      <c r="BW626" t="s">
        <v>285</v>
      </c>
      <c r="BX626">
        <v>0.22</v>
      </c>
      <c r="BY626" t="s">
        <v>284</v>
      </c>
      <c r="BZ626">
        <v>0.22</v>
      </c>
      <c r="CA626" t="s">
        <v>284</v>
      </c>
      <c r="CF626">
        <v>0.36</v>
      </c>
      <c r="CG626" t="s">
        <v>54</v>
      </c>
      <c r="CH626" t="s">
        <v>52</v>
      </c>
    </row>
    <row r="627" spans="1:86" x14ac:dyDescent="0.25">
      <c r="A627" t="s">
        <v>47</v>
      </c>
      <c r="B627">
        <v>8</v>
      </c>
      <c r="C627" t="s">
        <v>157</v>
      </c>
      <c r="D627">
        <v>55</v>
      </c>
      <c r="E627" t="s">
        <v>70</v>
      </c>
      <c r="F627">
        <v>296</v>
      </c>
      <c r="G627" t="s">
        <v>72</v>
      </c>
      <c r="H627" t="s">
        <v>50</v>
      </c>
      <c r="K627" t="s">
        <v>51</v>
      </c>
      <c r="L627">
        <v>1</v>
      </c>
      <c r="M627" t="s">
        <v>53</v>
      </c>
      <c r="N627">
        <v>296</v>
      </c>
      <c r="O627">
        <v>1</v>
      </c>
      <c r="P627" t="s">
        <v>52</v>
      </c>
      <c r="Q627">
        <v>0.5</v>
      </c>
      <c r="R627">
        <v>0.75</v>
      </c>
      <c r="S627">
        <v>228</v>
      </c>
      <c r="T627" t="s">
        <v>284</v>
      </c>
      <c r="U627">
        <v>221</v>
      </c>
      <c r="V627" t="s">
        <v>284</v>
      </c>
      <c r="W627">
        <v>236</v>
      </c>
      <c r="X627" t="s">
        <v>284</v>
      </c>
      <c r="Y627">
        <v>244</v>
      </c>
      <c r="Z627" t="s">
        <v>284</v>
      </c>
      <c r="AA627">
        <v>215</v>
      </c>
      <c r="AB627" t="s">
        <v>285</v>
      </c>
      <c r="AG627">
        <v>228.33330000000001</v>
      </c>
      <c r="AH627" t="s">
        <v>54</v>
      </c>
      <c r="AI627" t="s">
        <v>52</v>
      </c>
      <c r="AZ627" t="s">
        <v>52</v>
      </c>
      <c r="BQ627" t="s">
        <v>52</v>
      </c>
      <c r="BR627">
        <v>1.85</v>
      </c>
      <c r="BS627" t="s">
        <v>284</v>
      </c>
      <c r="BT627">
        <v>1.4</v>
      </c>
      <c r="BU627" t="s">
        <v>284</v>
      </c>
      <c r="BV627">
        <v>1.32</v>
      </c>
      <c r="BW627" t="s">
        <v>284</v>
      </c>
      <c r="BX627">
        <v>1.06</v>
      </c>
      <c r="BY627" t="s">
        <v>284</v>
      </c>
      <c r="BZ627">
        <v>1.06</v>
      </c>
      <c r="CA627" t="s">
        <v>284</v>
      </c>
      <c r="CF627">
        <v>1.26</v>
      </c>
      <c r="CG627" t="s">
        <v>54</v>
      </c>
      <c r="CH627" t="s">
        <v>52</v>
      </c>
    </row>
    <row r="628" spans="1:86" x14ac:dyDescent="0.25">
      <c r="A628" t="s">
        <v>47</v>
      </c>
      <c r="B628">
        <v>8</v>
      </c>
      <c r="C628" t="s">
        <v>157</v>
      </c>
      <c r="D628">
        <v>55</v>
      </c>
      <c r="E628" t="s">
        <v>70</v>
      </c>
      <c r="F628">
        <v>296</v>
      </c>
      <c r="G628" t="s">
        <v>72</v>
      </c>
      <c r="H628" t="s">
        <v>50</v>
      </c>
      <c r="K628" t="s">
        <v>52</v>
      </c>
      <c r="L628">
        <v>1</v>
      </c>
      <c r="M628" t="s">
        <v>53</v>
      </c>
      <c r="N628">
        <v>296</v>
      </c>
      <c r="O628">
        <v>1</v>
      </c>
      <c r="P628" t="s">
        <v>52</v>
      </c>
      <c r="Q628">
        <v>0.5</v>
      </c>
      <c r="R628">
        <v>0.75</v>
      </c>
      <c r="S628">
        <v>228</v>
      </c>
      <c r="T628" t="s">
        <v>284</v>
      </c>
      <c r="U628">
        <v>221</v>
      </c>
      <c r="V628" t="s">
        <v>284</v>
      </c>
      <c r="W628">
        <v>236</v>
      </c>
      <c r="X628" t="s">
        <v>284</v>
      </c>
      <c r="Y628">
        <v>244</v>
      </c>
      <c r="Z628" t="s">
        <v>284</v>
      </c>
      <c r="AA628">
        <v>215</v>
      </c>
      <c r="AB628" t="s">
        <v>285</v>
      </c>
      <c r="AG628">
        <v>228.33330000000001</v>
      </c>
      <c r="AH628" t="s">
        <v>54</v>
      </c>
      <c r="AI628" t="s">
        <v>52</v>
      </c>
      <c r="AZ628" t="s">
        <v>52</v>
      </c>
      <c r="BQ628" t="s">
        <v>52</v>
      </c>
      <c r="BR628">
        <v>0.65</v>
      </c>
      <c r="BS628" t="s">
        <v>284</v>
      </c>
      <c r="BT628">
        <v>0.73</v>
      </c>
      <c r="BU628" t="s">
        <v>284</v>
      </c>
      <c r="BV628">
        <v>0.22</v>
      </c>
      <c r="BW628" t="s">
        <v>284</v>
      </c>
      <c r="BX628">
        <v>0.25</v>
      </c>
      <c r="BY628" t="s">
        <v>285</v>
      </c>
      <c r="BZ628">
        <v>0.25</v>
      </c>
      <c r="CA628" t="s">
        <v>284</v>
      </c>
      <c r="CF628">
        <v>0.38</v>
      </c>
      <c r="CG628" t="s">
        <v>54</v>
      </c>
      <c r="CH628" t="s">
        <v>52</v>
      </c>
    </row>
    <row r="629" spans="1:86" x14ac:dyDescent="0.25">
      <c r="A629" t="s">
        <v>47</v>
      </c>
      <c r="B629">
        <v>8</v>
      </c>
      <c r="C629" t="s">
        <v>157</v>
      </c>
      <c r="D629">
        <v>55</v>
      </c>
      <c r="E629" t="s">
        <v>70</v>
      </c>
      <c r="F629">
        <v>296</v>
      </c>
      <c r="G629" t="s">
        <v>74</v>
      </c>
      <c r="H629" t="s">
        <v>50</v>
      </c>
      <c r="K629" t="s">
        <v>51</v>
      </c>
      <c r="L629">
        <v>1</v>
      </c>
      <c r="M629" t="s">
        <v>53</v>
      </c>
      <c r="N629">
        <v>102</v>
      </c>
      <c r="O629">
        <v>1</v>
      </c>
      <c r="P629" t="s">
        <v>52</v>
      </c>
      <c r="Q629">
        <v>0</v>
      </c>
      <c r="R629">
        <v>0.75</v>
      </c>
      <c r="S629">
        <v>135</v>
      </c>
      <c r="T629" t="s">
        <v>284</v>
      </c>
      <c r="U629">
        <v>132</v>
      </c>
      <c r="V629" t="s">
        <v>284</v>
      </c>
      <c r="W629">
        <v>147</v>
      </c>
      <c r="X629" t="s">
        <v>284</v>
      </c>
      <c r="Y629">
        <v>170</v>
      </c>
      <c r="Z629" t="s">
        <v>284</v>
      </c>
      <c r="AA629">
        <v>205</v>
      </c>
      <c r="AB629" t="s">
        <v>285</v>
      </c>
      <c r="AG629">
        <v>150.66669999999999</v>
      </c>
      <c r="AH629" t="s">
        <v>54</v>
      </c>
      <c r="AI629" t="s">
        <v>52</v>
      </c>
      <c r="AZ629" t="s">
        <v>52</v>
      </c>
      <c r="BQ629" t="s">
        <v>52</v>
      </c>
      <c r="CH629" t="s">
        <v>52</v>
      </c>
    </row>
    <row r="630" spans="1:86" x14ac:dyDescent="0.25">
      <c r="A630" t="s">
        <v>47</v>
      </c>
      <c r="B630">
        <v>8</v>
      </c>
      <c r="C630" t="s">
        <v>157</v>
      </c>
      <c r="D630">
        <v>55</v>
      </c>
      <c r="E630" t="s">
        <v>70</v>
      </c>
      <c r="F630">
        <v>296</v>
      </c>
      <c r="G630" t="s">
        <v>74</v>
      </c>
      <c r="H630" t="s">
        <v>50</v>
      </c>
      <c r="K630" t="s">
        <v>52</v>
      </c>
      <c r="L630">
        <v>1</v>
      </c>
      <c r="M630" t="s">
        <v>53</v>
      </c>
      <c r="N630">
        <v>102</v>
      </c>
      <c r="O630">
        <v>1</v>
      </c>
      <c r="P630" t="s">
        <v>52</v>
      </c>
      <c r="Q630">
        <v>0</v>
      </c>
      <c r="R630">
        <v>0.75</v>
      </c>
      <c r="S630">
        <v>135</v>
      </c>
      <c r="T630" t="s">
        <v>284</v>
      </c>
      <c r="U630">
        <v>132</v>
      </c>
      <c r="V630" t="s">
        <v>284</v>
      </c>
      <c r="W630">
        <v>147</v>
      </c>
      <c r="X630" t="s">
        <v>284</v>
      </c>
      <c r="Y630">
        <v>170</v>
      </c>
      <c r="Z630" t="s">
        <v>284</v>
      </c>
      <c r="AA630">
        <v>205</v>
      </c>
      <c r="AB630" t="s">
        <v>285</v>
      </c>
      <c r="AG630">
        <v>150.66669999999999</v>
      </c>
      <c r="AH630" t="s">
        <v>54</v>
      </c>
      <c r="AI630" t="s">
        <v>52</v>
      </c>
      <c r="AZ630" t="s">
        <v>52</v>
      </c>
      <c r="BQ630" t="s">
        <v>52</v>
      </c>
      <c r="CH630" t="s">
        <v>52</v>
      </c>
    </row>
    <row r="631" spans="1:86" x14ac:dyDescent="0.25">
      <c r="A631" t="s">
        <v>47</v>
      </c>
      <c r="B631">
        <v>8</v>
      </c>
      <c r="C631" t="s">
        <v>157</v>
      </c>
      <c r="D631">
        <v>55</v>
      </c>
      <c r="E631" t="s">
        <v>70</v>
      </c>
      <c r="F631">
        <v>296</v>
      </c>
      <c r="G631" t="s">
        <v>122</v>
      </c>
      <c r="H631" t="s">
        <v>50</v>
      </c>
      <c r="K631" t="s">
        <v>51</v>
      </c>
      <c r="L631">
        <v>1</v>
      </c>
      <c r="M631" t="s">
        <v>53</v>
      </c>
      <c r="N631">
        <v>102</v>
      </c>
      <c r="O631">
        <v>1</v>
      </c>
      <c r="P631" t="s">
        <v>52</v>
      </c>
      <c r="Q631">
        <v>0</v>
      </c>
      <c r="R631">
        <v>0.75</v>
      </c>
      <c r="S631">
        <v>228</v>
      </c>
      <c r="T631" t="s">
        <v>284</v>
      </c>
      <c r="U631">
        <v>190</v>
      </c>
      <c r="V631" t="s">
        <v>285</v>
      </c>
      <c r="W631">
        <v>194</v>
      </c>
      <c r="X631" t="s">
        <v>285</v>
      </c>
      <c r="Y631">
        <v>213</v>
      </c>
      <c r="Z631" t="s">
        <v>284</v>
      </c>
      <c r="AA631">
        <v>225</v>
      </c>
      <c r="AB631" t="s">
        <v>285</v>
      </c>
      <c r="AG631">
        <v>210.66669999999999</v>
      </c>
      <c r="AH631" t="s">
        <v>54</v>
      </c>
      <c r="AI631" t="s">
        <v>52</v>
      </c>
      <c r="AZ631" t="s">
        <v>52</v>
      </c>
      <c r="BQ631" t="s">
        <v>52</v>
      </c>
      <c r="BR631">
        <v>1.85</v>
      </c>
      <c r="BS631" t="s">
        <v>284</v>
      </c>
      <c r="BT631">
        <v>1.48</v>
      </c>
      <c r="BU631" t="s">
        <v>284</v>
      </c>
      <c r="BV631">
        <v>0.66</v>
      </c>
      <c r="BW631" t="s">
        <v>285</v>
      </c>
      <c r="BX631">
        <v>1.1000000000000001</v>
      </c>
      <c r="BY631" t="s">
        <v>285</v>
      </c>
      <c r="BZ631">
        <v>1.1000000000000001</v>
      </c>
      <c r="CA631" t="s">
        <v>284</v>
      </c>
      <c r="CF631">
        <v>1.23</v>
      </c>
      <c r="CG631" t="s">
        <v>54</v>
      </c>
      <c r="CH631" t="s">
        <v>52</v>
      </c>
    </row>
    <row r="632" spans="1:86" x14ac:dyDescent="0.25">
      <c r="A632" t="s">
        <v>47</v>
      </c>
      <c r="B632">
        <v>8</v>
      </c>
      <c r="C632" t="s">
        <v>157</v>
      </c>
      <c r="D632">
        <v>55</v>
      </c>
      <c r="E632" t="s">
        <v>75</v>
      </c>
      <c r="F632">
        <v>16</v>
      </c>
      <c r="G632" t="s">
        <v>76</v>
      </c>
      <c r="H632" t="s">
        <v>50</v>
      </c>
      <c r="K632" t="s">
        <v>51</v>
      </c>
      <c r="L632">
        <v>1</v>
      </c>
      <c r="M632" t="s">
        <v>53</v>
      </c>
      <c r="N632">
        <v>16</v>
      </c>
      <c r="O632">
        <v>2</v>
      </c>
      <c r="P632" t="s">
        <v>52</v>
      </c>
      <c r="Q632">
        <v>0.5</v>
      </c>
      <c r="R632">
        <v>0.75</v>
      </c>
      <c r="S632">
        <v>83.35</v>
      </c>
      <c r="T632" t="s">
        <v>285</v>
      </c>
      <c r="U632">
        <v>96.14</v>
      </c>
      <c r="V632" t="s">
        <v>284</v>
      </c>
      <c r="W632">
        <v>103.37</v>
      </c>
      <c r="X632" t="s">
        <v>284</v>
      </c>
      <c r="Y632">
        <v>106.14</v>
      </c>
      <c r="Z632" t="s">
        <v>284</v>
      </c>
      <c r="AA632">
        <v>128</v>
      </c>
      <c r="AB632" t="s">
        <v>285</v>
      </c>
      <c r="AG632">
        <v>101.88330000000001</v>
      </c>
      <c r="AH632" t="s">
        <v>54</v>
      </c>
      <c r="AI632" t="s">
        <v>52</v>
      </c>
      <c r="AX632">
        <v>146.69999999999999</v>
      </c>
      <c r="AY632" t="s">
        <v>285</v>
      </c>
      <c r="AZ632" t="s">
        <v>287</v>
      </c>
      <c r="BQ632" t="s">
        <v>52</v>
      </c>
      <c r="BR632">
        <v>1.85</v>
      </c>
      <c r="BS632" t="s">
        <v>284</v>
      </c>
      <c r="BT632">
        <v>1.48</v>
      </c>
      <c r="BU632" t="s">
        <v>284</v>
      </c>
      <c r="BV632">
        <v>1.24</v>
      </c>
      <c r="BW632" t="s">
        <v>284</v>
      </c>
      <c r="BX632">
        <v>2.0299999999999998</v>
      </c>
      <c r="BY632" t="s">
        <v>284</v>
      </c>
      <c r="BZ632">
        <v>2.38</v>
      </c>
      <c r="CA632" t="s">
        <v>289</v>
      </c>
      <c r="CF632">
        <v>1.79</v>
      </c>
      <c r="CG632" t="s">
        <v>54</v>
      </c>
      <c r="CH632" t="s">
        <v>52</v>
      </c>
    </row>
    <row r="633" spans="1:86" x14ac:dyDescent="0.25">
      <c r="A633" t="s">
        <v>47</v>
      </c>
      <c r="B633">
        <v>8</v>
      </c>
      <c r="C633" t="s">
        <v>157</v>
      </c>
      <c r="D633">
        <v>55</v>
      </c>
      <c r="E633" t="s">
        <v>93</v>
      </c>
      <c r="F633">
        <v>94</v>
      </c>
      <c r="H633" t="s">
        <v>50</v>
      </c>
      <c r="K633" t="s">
        <v>51</v>
      </c>
      <c r="L633">
        <v>1</v>
      </c>
      <c r="M633" t="s">
        <v>53</v>
      </c>
      <c r="N633">
        <v>94</v>
      </c>
      <c r="O633">
        <v>2</v>
      </c>
      <c r="P633" t="s">
        <v>52</v>
      </c>
      <c r="Q633">
        <v>0.77</v>
      </c>
      <c r="R633">
        <v>0.93</v>
      </c>
      <c r="S633">
        <v>205</v>
      </c>
      <c r="T633" t="s">
        <v>284</v>
      </c>
      <c r="U633">
        <v>175</v>
      </c>
      <c r="V633" t="s">
        <v>284</v>
      </c>
      <c r="W633">
        <v>188</v>
      </c>
      <c r="X633" t="s">
        <v>284</v>
      </c>
      <c r="Y633">
        <v>202.32</v>
      </c>
      <c r="Z633" t="s">
        <v>284</v>
      </c>
      <c r="AA633">
        <v>209.16</v>
      </c>
      <c r="AB633" t="s">
        <v>284</v>
      </c>
      <c r="AG633">
        <v>198.44</v>
      </c>
      <c r="AH633" t="s">
        <v>54</v>
      </c>
      <c r="AI633" t="s">
        <v>52</v>
      </c>
      <c r="AZ633" t="s">
        <v>52</v>
      </c>
      <c r="BQ633" t="s">
        <v>52</v>
      </c>
      <c r="BR633">
        <v>1.1100000000000001</v>
      </c>
      <c r="BS633" t="s">
        <v>285</v>
      </c>
      <c r="BT633">
        <v>1.04</v>
      </c>
      <c r="BU633" t="s">
        <v>284</v>
      </c>
      <c r="BV633">
        <v>1.32</v>
      </c>
      <c r="BW633" t="s">
        <v>284</v>
      </c>
      <c r="BX633">
        <v>1.26</v>
      </c>
      <c r="BY633" t="s">
        <v>284</v>
      </c>
      <c r="BZ633">
        <v>1.0900000000000001</v>
      </c>
      <c r="CA633" t="s">
        <v>284</v>
      </c>
      <c r="CF633">
        <v>1.1499999999999999</v>
      </c>
      <c r="CG633" t="s">
        <v>54</v>
      </c>
      <c r="CH633" t="s">
        <v>52</v>
      </c>
    </row>
    <row r="634" spans="1:86" x14ac:dyDescent="0.25">
      <c r="A634" t="s">
        <v>47</v>
      </c>
      <c r="B634">
        <v>8</v>
      </c>
      <c r="C634" t="s">
        <v>157</v>
      </c>
      <c r="D634">
        <v>55</v>
      </c>
      <c r="E634" t="s">
        <v>79</v>
      </c>
      <c r="F634">
        <v>50</v>
      </c>
      <c r="G634" t="s">
        <v>100</v>
      </c>
      <c r="H634" t="s">
        <v>50</v>
      </c>
      <c r="K634" t="s">
        <v>51</v>
      </c>
      <c r="L634">
        <v>1</v>
      </c>
      <c r="M634" t="s">
        <v>53</v>
      </c>
      <c r="N634">
        <v>50</v>
      </c>
      <c r="O634">
        <v>1</v>
      </c>
      <c r="P634" t="s">
        <v>52</v>
      </c>
      <c r="Q634">
        <v>0.5</v>
      </c>
      <c r="R634">
        <v>0.75</v>
      </c>
      <c r="S634">
        <v>85</v>
      </c>
      <c r="T634" t="s">
        <v>285</v>
      </c>
      <c r="U634">
        <v>93</v>
      </c>
      <c r="V634" t="s">
        <v>284</v>
      </c>
      <c r="W634">
        <v>89.7</v>
      </c>
      <c r="X634" t="s">
        <v>284</v>
      </c>
      <c r="Y634">
        <v>92.72</v>
      </c>
      <c r="Z634" t="s">
        <v>284</v>
      </c>
      <c r="AA634">
        <v>109</v>
      </c>
      <c r="AB634" t="s">
        <v>285</v>
      </c>
      <c r="AG634">
        <v>91.806700000000006</v>
      </c>
      <c r="AH634" t="s">
        <v>54</v>
      </c>
      <c r="AI634" t="s">
        <v>52</v>
      </c>
      <c r="AZ634" t="s">
        <v>52</v>
      </c>
      <c r="BQ634" t="s">
        <v>52</v>
      </c>
      <c r="BR634">
        <v>3.12</v>
      </c>
      <c r="BS634" t="s">
        <v>289</v>
      </c>
      <c r="BT634">
        <v>1.59</v>
      </c>
      <c r="BU634" t="s">
        <v>284</v>
      </c>
      <c r="BV634">
        <v>2.29</v>
      </c>
      <c r="BW634" t="s">
        <v>284</v>
      </c>
      <c r="BX634">
        <v>2.1800000000000002</v>
      </c>
      <c r="BY634" t="s">
        <v>284</v>
      </c>
      <c r="BZ634">
        <v>2.86</v>
      </c>
      <c r="CA634" t="s">
        <v>289</v>
      </c>
      <c r="CF634">
        <v>2.44</v>
      </c>
      <c r="CG634" t="s">
        <v>54</v>
      </c>
      <c r="CH634" t="s">
        <v>52</v>
      </c>
    </row>
    <row r="635" spans="1:86" x14ac:dyDescent="0.25">
      <c r="A635" t="s">
        <v>47</v>
      </c>
      <c r="B635">
        <v>8</v>
      </c>
      <c r="C635" t="s">
        <v>157</v>
      </c>
      <c r="D635">
        <v>55</v>
      </c>
      <c r="E635" t="s">
        <v>79</v>
      </c>
      <c r="F635">
        <v>50</v>
      </c>
      <c r="G635" t="s">
        <v>100</v>
      </c>
      <c r="H635" t="s">
        <v>50</v>
      </c>
      <c r="K635" t="s">
        <v>52</v>
      </c>
      <c r="L635">
        <v>1</v>
      </c>
      <c r="M635" t="s">
        <v>53</v>
      </c>
      <c r="N635">
        <v>50</v>
      </c>
      <c r="O635">
        <v>1</v>
      </c>
      <c r="P635" t="s">
        <v>52</v>
      </c>
      <c r="Q635">
        <v>0.5</v>
      </c>
      <c r="R635">
        <v>0.75</v>
      </c>
      <c r="S635">
        <v>85</v>
      </c>
      <c r="T635" t="s">
        <v>285</v>
      </c>
      <c r="U635">
        <v>93</v>
      </c>
      <c r="V635" t="s">
        <v>284</v>
      </c>
      <c r="W635">
        <v>89.7</v>
      </c>
      <c r="X635" t="s">
        <v>284</v>
      </c>
      <c r="Y635">
        <v>92.72</v>
      </c>
      <c r="Z635" t="s">
        <v>284</v>
      </c>
      <c r="AA635">
        <v>109</v>
      </c>
      <c r="AB635" t="s">
        <v>285</v>
      </c>
      <c r="AG635">
        <v>91.806700000000006</v>
      </c>
      <c r="AH635" t="s">
        <v>54</v>
      </c>
      <c r="AI635" t="s">
        <v>52</v>
      </c>
      <c r="AZ635" t="s">
        <v>52</v>
      </c>
      <c r="BQ635" t="s">
        <v>52</v>
      </c>
      <c r="BR635">
        <v>1.06</v>
      </c>
      <c r="BS635" t="s">
        <v>289</v>
      </c>
      <c r="BT635">
        <v>0.72</v>
      </c>
      <c r="BU635" t="s">
        <v>284</v>
      </c>
      <c r="BV635">
        <v>1.04</v>
      </c>
      <c r="BW635" t="s">
        <v>284</v>
      </c>
      <c r="BX635">
        <v>0.99</v>
      </c>
      <c r="BY635" t="s">
        <v>284</v>
      </c>
      <c r="BZ635">
        <v>0.54</v>
      </c>
      <c r="CA635" t="s">
        <v>289</v>
      </c>
      <c r="CF635">
        <v>0.92</v>
      </c>
      <c r="CG635" t="s">
        <v>54</v>
      </c>
      <c r="CH635" t="s">
        <v>52</v>
      </c>
    </row>
    <row r="636" spans="1:86" x14ac:dyDescent="0.25">
      <c r="A636" t="s">
        <v>47</v>
      </c>
      <c r="B636">
        <v>8</v>
      </c>
      <c r="C636" t="s">
        <v>157</v>
      </c>
      <c r="D636">
        <v>55</v>
      </c>
      <c r="E636" t="s">
        <v>79</v>
      </c>
      <c r="F636">
        <v>50</v>
      </c>
      <c r="G636" t="s">
        <v>80</v>
      </c>
      <c r="H636" t="s">
        <v>50</v>
      </c>
      <c r="K636" t="s">
        <v>51</v>
      </c>
      <c r="L636">
        <v>1</v>
      </c>
      <c r="M636" t="s">
        <v>53</v>
      </c>
      <c r="N636">
        <v>50</v>
      </c>
      <c r="O636">
        <v>1</v>
      </c>
      <c r="P636" t="s">
        <v>52</v>
      </c>
      <c r="Q636">
        <v>0.5</v>
      </c>
      <c r="R636">
        <v>0.75</v>
      </c>
      <c r="S636">
        <v>85</v>
      </c>
      <c r="T636" t="s">
        <v>285</v>
      </c>
      <c r="U636">
        <v>93</v>
      </c>
      <c r="V636" t="s">
        <v>284</v>
      </c>
      <c r="W636">
        <v>89.7</v>
      </c>
      <c r="X636" t="s">
        <v>284</v>
      </c>
      <c r="Y636">
        <v>92.72</v>
      </c>
      <c r="Z636" t="s">
        <v>284</v>
      </c>
      <c r="AA636">
        <v>109</v>
      </c>
      <c r="AB636" t="s">
        <v>285</v>
      </c>
      <c r="AG636">
        <v>91.806700000000006</v>
      </c>
      <c r="AH636" t="s">
        <v>54</v>
      </c>
      <c r="AI636" t="s">
        <v>52</v>
      </c>
      <c r="AZ636" t="s">
        <v>52</v>
      </c>
      <c r="BQ636" t="s">
        <v>52</v>
      </c>
      <c r="BR636">
        <v>4.4800000000000004</v>
      </c>
      <c r="BS636" t="s">
        <v>289</v>
      </c>
      <c r="BT636">
        <v>1.98</v>
      </c>
      <c r="BU636" t="s">
        <v>284</v>
      </c>
      <c r="BV636">
        <v>2.85</v>
      </c>
      <c r="BW636" t="s">
        <v>284</v>
      </c>
      <c r="BX636">
        <v>2.7</v>
      </c>
      <c r="BY636" t="s">
        <v>284</v>
      </c>
      <c r="BZ636">
        <v>3.54</v>
      </c>
      <c r="CA636" t="s">
        <v>289</v>
      </c>
      <c r="CF636">
        <v>3.03</v>
      </c>
      <c r="CG636" t="s">
        <v>54</v>
      </c>
      <c r="CH636" t="s">
        <v>52</v>
      </c>
    </row>
    <row r="637" spans="1:86" x14ac:dyDescent="0.25">
      <c r="A637" t="s">
        <v>47</v>
      </c>
      <c r="B637">
        <v>8</v>
      </c>
      <c r="C637" t="s">
        <v>157</v>
      </c>
      <c r="D637">
        <v>55</v>
      </c>
      <c r="E637" t="s">
        <v>79</v>
      </c>
      <c r="F637">
        <v>50</v>
      </c>
      <c r="G637" t="s">
        <v>80</v>
      </c>
      <c r="H637" t="s">
        <v>50</v>
      </c>
      <c r="K637" t="s">
        <v>52</v>
      </c>
      <c r="L637">
        <v>1</v>
      </c>
      <c r="M637" t="s">
        <v>53</v>
      </c>
      <c r="N637">
        <v>50</v>
      </c>
      <c r="O637">
        <v>1</v>
      </c>
      <c r="P637" t="s">
        <v>52</v>
      </c>
      <c r="Q637">
        <v>0.5</v>
      </c>
      <c r="R637">
        <v>0.75</v>
      </c>
      <c r="S637">
        <v>85</v>
      </c>
      <c r="T637" t="s">
        <v>285</v>
      </c>
      <c r="U637">
        <v>93</v>
      </c>
      <c r="V637" t="s">
        <v>284</v>
      </c>
      <c r="W637">
        <v>89.7</v>
      </c>
      <c r="X637" t="s">
        <v>284</v>
      </c>
      <c r="Y637">
        <v>92.72</v>
      </c>
      <c r="Z637" t="s">
        <v>284</v>
      </c>
      <c r="AA637">
        <v>109</v>
      </c>
      <c r="AB637" t="s">
        <v>285</v>
      </c>
      <c r="AG637">
        <v>91.806700000000006</v>
      </c>
      <c r="AH637" t="s">
        <v>54</v>
      </c>
      <c r="AI637" t="s">
        <v>52</v>
      </c>
      <c r="AZ637" t="s">
        <v>52</v>
      </c>
      <c r="BQ637" t="s">
        <v>52</v>
      </c>
      <c r="BR637">
        <v>0.75</v>
      </c>
      <c r="BS637" t="s">
        <v>289</v>
      </c>
      <c r="BT637">
        <v>0.81</v>
      </c>
      <c r="BU637" t="s">
        <v>284</v>
      </c>
      <c r="BV637">
        <v>1.1599999999999999</v>
      </c>
      <c r="BW637" t="s">
        <v>284</v>
      </c>
      <c r="BX637">
        <v>1.1000000000000001</v>
      </c>
      <c r="BY637" t="s">
        <v>284</v>
      </c>
      <c r="BZ637">
        <v>0.61</v>
      </c>
      <c r="CA637" t="s">
        <v>289</v>
      </c>
      <c r="CF637">
        <v>0.89</v>
      </c>
      <c r="CG637" t="s">
        <v>54</v>
      </c>
      <c r="CH637" t="s">
        <v>52</v>
      </c>
    </row>
    <row r="638" spans="1:86" x14ac:dyDescent="0.25">
      <c r="A638" t="s">
        <v>47</v>
      </c>
      <c r="B638">
        <v>8</v>
      </c>
      <c r="C638" t="s">
        <v>157</v>
      </c>
      <c r="D638">
        <v>55</v>
      </c>
      <c r="E638" t="s">
        <v>79</v>
      </c>
      <c r="F638">
        <v>50</v>
      </c>
      <c r="G638" t="s">
        <v>65</v>
      </c>
      <c r="H638" t="s">
        <v>50</v>
      </c>
      <c r="K638" t="s">
        <v>51</v>
      </c>
      <c r="L638">
        <v>1</v>
      </c>
      <c r="M638" t="s">
        <v>53</v>
      </c>
      <c r="N638">
        <v>50</v>
      </c>
      <c r="O638">
        <v>1</v>
      </c>
      <c r="P638" t="s">
        <v>52</v>
      </c>
      <c r="Q638">
        <v>0.5</v>
      </c>
      <c r="R638">
        <v>0.75</v>
      </c>
      <c r="S638">
        <v>85</v>
      </c>
      <c r="T638" t="s">
        <v>285</v>
      </c>
      <c r="U638">
        <v>93</v>
      </c>
      <c r="V638" t="s">
        <v>284</v>
      </c>
      <c r="W638">
        <v>89.7</v>
      </c>
      <c r="X638" t="s">
        <v>284</v>
      </c>
      <c r="Y638">
        <v>92.72</v>
      </c>
      <c r="Z638" t="s">
        <v>284</v>
      </c>
      <c r="AA638">
        <v>109</v>
      </c>
      <c r="AB638" t="s">
        <v>285</v>
      </c>
      <c r="AG638">
        <v>91.806700000000006</v>
      </c>
      <c r="AH638" t="s">
        <v>54</v>
      </c>
      <c r="AI638" t="s">
        <v>52</v>
      </c>
      <c r="AZ638" t="s">
        <v>52</v>
      </c>
      <c r="BQ638" t="s">
        <v>52</v>
      </c>
      <c r="BR638">
        <v>3.57</v>
      </c>
      <c r="BS638" t="s">
        <v>289</v>
      </c>
      <c r="BT638">
        <v>1.7</v>
      </c>
      <c r="BU638" t="s">
        <v>284</v>
      </c>
      <c r="BV638">
        <v>2.4500000000000002</v>
      </c>
      <c r="BW638" t="s">
        <v>284</v>
      </c>
      <c r="BX638">
        <v>2.3199999999999998</v>
      </c>
      <c r="BY638" t="s">
        <v>284</v>
      </c>
      <c r="BZ638">
        <v>3.04</v>
      </c>
      <c r="CA638" t="s">
        <v>289</v>
      </c>
      <c r="CF638">
        <v>2.6</v>
      </c>
      <c r="CG638" t="s">
        <v>54</v>
      </c>
      <c r="CH638" t="s">
        <v>52</v>
      </c>
    </row>
    <row r="639" spans="1:86" x14ac:dyDescent="0.25">
      <c r="A639" t="s">
        <v>47</v>
      </c>
      <c r="B639">
        <v>8</v>
      </c>
      <c r="C639" t="s">
        <v>157</v>
      </c>
      <c r="D639">
        <v>55</v>
      </c>
      <c r="E639" t="s">
        <v>79</v>
      </c>
      <c r="F639">
        <v>50</v>
      </c>
      <c r="G639" t="s">
        <v>65</v>
      </c>
      <c r="H639" t="s">
        <v>50</v>
      </c>
      <c r="K639" t="s">
        <v>52</v>
      </c>
      <c r="L639">
        <v>1</v>
      </c>
      <c r="M639" t="s">
        <v>53</v>
      </c>
      <c r="N639">
        <v>50</v>
      </c>
      <c r="O639">
        <v>1</v>
      </c>
      <c r="P639" t="s">
        <v>52</v>
      </c>
      <c r="Q639">
        <v>0.5</v>
      </c>
      <c r="R639">
        <v>0.75</v>
      </c>
      <c r="S639">
        <v>85</v>
      </c>
      <c r="T639" t="s">
        <v>285</v>
      </c>
      <c r="U639">
        <v>93</v>
      </c>
      <c r="V639" t="s">
        <v>284</v>
      </c>
      <c r="W639">
        <v>89.7</v>
      </c>
      <c r="X639" t="s">
        <v>284</v>
      </c>
      <c r="Y639">
        <v>92.72</v>
      </c>
      <c r="Z639" t="s">
        <v>284</v>
      </c>
      <c r="AA639">
        <v>109</v>
      </c>
      <c r="AB639" t="s">
        <v>285</v>
      </c>
      <c r="AG639">
        <v>91.806700000000006</v>
      </c>
      <c r="AH639" t="s">
        <v>54</v>
      </c>
      <c r="AI639" t="s">
        <v>52</v>
      </c>
      <c r="AZ639" t="s">
        <v>52</v>
      </c>
      <c r="BQ639" t="s">
        <v>52</v>
      </c>
      <c r="BR639">
        <v>0.43</v>
      </c>
      <c r="BS639" t="s">
        <v>289</v>
      </c>
      <c r="BT639">
        <v>0.59</v>
      </c>
      <c r="BU639" t="s">
        <v>284</v>
      </c>
      <c r="BV639">
        <v>0.84</v>
      </c>
      <c r="BW639" t="s">
        <v>284</v>
      </c>
      <c r="BX639">
        <v>0.8</v>
      </c>
      <c r="BY639" t="s">
        <v>284</v>
      </c>
      <c r="BZ639">
        <v>0.44</v>
      </c>
      <c r="CA639" t="s">
        <v>289</v>
      </c>
      <c r="CF639">
        <v>0.61</v>
      </c>
      <c r="CG639" t="s">
        <v>54</v>
      </c>
      <c r="CH639" t="s">
        <v>52</v>
      </c>
    </row>
    <row r="640" spans="1:86" x14ac:dyDescent="0.25">
      <c r="A640" t="s">
        <v>47</v>
      </c>
      <c r="B640">
        <v>8</v>
      </c>
      <c r="C640" t="s">
        <v>157</v>
      </c>
      <c r="D640">
        <v>55</v>
      </c>
      <c r="E640" t="s">
        <v>79</v>
      </c>
      <c r="F640">
        <v>50</v>
      </c>
      <c r="G640" t="s">
        <v>81</v>
      </c>
      <c r="H640" t="s">
        <v>50</v>
      </c>
      <c r="K640" t="s">
        <v>51</v>
      </c>
      <c r="L640">
        <v>1</v>
      </c>
      <c r="M640" t="s">
        <v>53</v>
      </c>
      <c r="N640">
        <v>50</v>
      </c>
      <c r="O640">
        <v>1</v>
      </c>
      <c r="P640" t="s">
        <v>52</v>
      </c>
      <c r="Q640">
        <v>0.5</v>
      </c>
      <c r="R640">
        <v>0.75</v>
      </c>
      <c r="S640">
        <v>85</v>
      </c>
      <c r="T640" t="s">
        <v>285</v>
      </c>
      <c r="U640">
        <v>93</v>
      </c>
      <c r="V640" t="s">
        <v>284</v>
      </c>
      <c r="W640">
        <v>89.7</v>
      </c>
      <c r="X640" t="s">
        <v>284</v>
      </c>
      <c r="Y640">
        <v>92.72</v>
      </c>
      <c r="Z640" t="s">
        <v>284</v>
      </c>
      <c r="AA640">
        <v>109</v>
      </c>
      <c r="AB640" t="s">
        <v>285</v>
      </c>
      <c r="AG640">
        <v>91.806700000000006</v>
      </c>
      <c r="AH640" t="s">
        <v>54</v>
      </c>
      <c r="AI640" t="s">
        <v>52</v>
      </c>
      <c r="AZ640" t="s">
        <v>52</v>
      </c>
      <c r="BQ640" t="s">
        <v>52</v>
      </c>
      <c r="BR640">
        <v>2.74</v>
      </c>
      <c r="BS640" t="s">
        <v>289</v>
      </c>
      <c r="BT640">
        <v>1.89</v>
      </c>
      <c r="BU640" t="s">
        <v>284</v>
      </c>
      <c r="BV640">
        <v>2.72</v>
      </c>
      <c r="BW640" t="s">
        <v>284</v>
      </c>
      <c r="BX640">
        <v>2.59</v>
      </c>
      <c r="BY640" t="s">
        <v>284</v>
      </c>
      <c r="BZ640">
        <v>3.39</v>
      </c>
      <c r="CA640" t="s">
        <v>289</v>
      </c>
      <c r="CF640">
        <v>2.68</v>
      </c>
      <c r="CG640" t="s">
        <v>54</v>
      </c>
      <c r="CH640" t="s">
        <v>52</v>
      </c>
    </row>
    <row r="641" spans="1:86" x14ac:dyDescent="0.25">
      <c r="A641" t="s">
        <v>47</v>
      </c>
      <c r="B641">
        <v>8</v>
      </c>
      <c r="C641" t="s">
        <v>157</v>
      </c>
      <c r="D641">
        <v>55</v>
      </c>
      <c r="E641" t="s">
        <v>79</v>
      </c>
      <c r="F641">
        <v>50</v>
      </c>
      <c r="G641" t="s">
        <v>81</v>
      </c>
      <c r="H641" t="s">
        <v>50</v>
      </c>
      <c r="K641" t="s">
        <v>52</v>
      </c>
      <c r="L641">
        <v>1</v>
      </c>
      <c r="M641" t="s">
        <v>53</v>
      </c>
      <c r="N641">
        <v>50</v>
      </c>
      <c r="O641">
        <v>1</v>
      </c>
      <c r="P641" t="s">
        <v>52</v>
      </c>
      <c r="Q641">
        <v>0.5</v>
      </c>
      <c r="R641">
        <v>0.75</v>
      </c>
      <c r="S641">
        <v>85</v>
      </c>
      <c r="T641" t="s">
        <v>285</v>
      </c>
      <c r="U641">
        <v>93</v>
      </c>
      <c r="V641" t="s">
        <v>284</v>
      </c>
      <c r="W641">
        <v>89.7</v>
      </c>
      <c r="X641" t="s">
        <v>284</v>
      </c>
      <c r="Y641">
        <v>92.72</v>
      </c>
      <c r="Z641" t="s">
        <v>284</v>
      </c>
      <c r="AA641">
        <v>109</v>
      </c>
      <c r="AB641" t="s">
        <v>285</v>
      </c>
      <c r="AG641">
        <v>91.806700000000006</v>
      </c>
      <c r="AH641" t="s">
        <v>54</v>
      </c>
      <c r="AI641" t="s">
        <v>52</v>
      </c>
      <c r="AZ641" t="s">
        <v>52</v>
      </c>
      <c r="BQ641" t="s">
        <v>52</v>
      </c>
      <c r="BR641">
        <v>2.74</v>
      </c>
      <c r="BS641" t="s">
        <v>289</v>
      </c>
      <c r="BT641">
        <v>0.76</v>
      </c>
      <c r="BU641" t="s">
        <v>284</v>
      </c>
      <c r="BV641">
        <v>1.1000000000000001</v>
      </c>
      <c r="BW641" t="s">
        <v>284</v>
      </c>
      <c r="BX641">
        <v>1.04</v>
      </c>
      <c r="BY641" t="s">
        <v>284</v>
      </c>
      <c r="BZ641">
        <v>0.56999999999999995</v>
      </c>
      <c r="CA641" t="s">
        <v>289</v>
      </c>
      <c r="CF641">
        <v>0.97</v>
      </c>
      <c r="CG641" t="s">
        <v>54</v>
      </c>
      <c r="CH641" t="s">
        <v>52</v>
      </c>
    </row>
    <row r="642" spans="1:86" x14ac:dyDescent="0.25">
      <c r="A642" t="s">
        <v>47</v>
      </c>
      <c r="B642">
        <v>8</v>
      </c>
      <c r="C642" t="s">
        <v>157</v>
      </c>
      <c r="D642">
        <v>55</v>
      </c>
      <c r="E642" t="s">
        <v>82</v>
      </c>
      <c r="F642">
        <v>52</v>
      </c>
      <c r="H642" t="s">
        <v>50</v>
      </c>
      <c r="K642" t="s">
        <v>51</v>
      </c>
      <c r="L642">
        <v>1</v>
      </c>
      <c r="M642" t="s">
        <v>53</v>
      </c>
      <c r="N642">
        <v>50</v>
      </c>
      <c r="O642">
        <v>1</v>
      </c>
      <c r="P642" t="s">
        <v>52</v>
      </c>
      <c r="Q642">
        <v>0.5</v>
      </c>
      <c r="R642">
        <v>0.75</v>
      </c>
      <c r="S642">
        <v>85</v>
      </c>
      <c r="T642" t="s">
        <v>285</v>
      </c>
      <c r="U642">
        <v>93</v>
      </c>
      <c r="V642" t="s">
        <v>284</v>
      </c>
      <c r="W642">
        <v>191.5</v>
      </c>
      <c r="X642" t="s">
        <v>284</v>
      </c>
      <c r="Y642">
        <v>198</v>
      </c>
      <c r="Z642" t="s">
        <v>284</v>
      </c>
      <c r="AA642">
        <v>109</v>
      </c>
      <c r="AB642" t="s">
        <v>285</v>
      </c>
      <c r="AG642">
        <v>131.16669999999999</v>
      </c>
      <c r="AH642" t="s">
        <v>54</v>
      </c>
      <c r="AI642" t="s">
        <v>52</v>
      </c>
      <c r="AZ642" t="s">
        <v>52</v>
      </c>
      <c r="BQ642" t="s">
        <v>52</v>
      </c>
      <c r="BR642">
        <v>1.57</v>
      </c>
      <c r="BS642" t="s">
        <v>285</v>
      </c>
      <c r="BT642">
        <v>1.31</v>
      </c>
      <c r="BU642" t="s">
        <v>284</v>
      </c>
      <c r="CH642" t="s">
        <v>52</v>
      </c>
    </row>
    <row r="643" spans="1:86" x14ac:dyDescent="0.25">
      <c r="A643" t="s">
        <v>47</v>
      </c>
      <c r="B643">
        <v>8</v>
      </c>
      <c r="C643" t="s">
        <v>157</v>
      </c>
      <c r="D643">
        <v>55</v>
      </c>
      <c r="E643" t="s">
        <v>82</v>
      </c>
      <c r="F643">
        <v>52</v>
      </c>
      <c r="H643" t="s">
        <v>50</v>
      </c>
      <c r="K643" t="s">
        <v>52</v>
      </c>
      <c r="L643">
        <v>1</v>
      </c>
      <c r="M643" t="s">
        <v>53</v>
      </c>
      <c r="N643">
        <v>50</v>
      </c>
      <c r="O643">
        <v>1</v>
      </c>
      <c r="P643" t="s">
        <v>52</v>
      </c>
      <c r="Q643">
        <v>0.5</v>
      </c>
      <c r="R643">
        <v>0.75</v>
      </c>
      <c r="S643">
        <v>85</v>
      </c>
      <c r="T643" t="s">
        <v>285</v>
      </c>
      <c r="U643">
        <v>93</v>
      </c>
      <c r="V643" t="s">
        <v>284</v>
      </c>
      <c r="W643">
        <v>191.5</v>
      </c>
      <c r="X643" t="s">
        <v>284</v>
      </c>
      <c r="Y643">
        <v>198</v>
      </c>
      <c r="Z643" t="s">
        <v>284</v>
      </c>
      <c r="AA643">
        <v>109</v>
      </c>
      <c r="AB643" t="s">
        <v>285</v>
      </c>
      <c r="AG643">
        <v>131.16669999999999</v>
      </c>
      <c r="AH643" t="s">
        <v>54</v>
      </c>
      <c r="AI643" t="s">
        <v>52</v>
      </c>
      <c r="AZ643" t="s">
        <v>52</v>
      </c>
      <c r="BQ643" t="s">
        <v>52</v>
      </c>
      <c r="BR643">
        <v>2.36</v>
      </c>
      <c r="BS643" t="s">
        <v>289</v>
      </c>
      <c r="BT643">
        <v>0.96</v>
      </c>
      <c r="BU643" t="s">
        <v>284</v>
      </c>
      <c r="CH643" t="s">
        <v>52</v>
      </c>
    </row>
    <row r="644" spans="1:86" x14ac:dyDescent="0.25">
      <c r="A644" t="s">
        <v>47</v>
      </c>
      <c r="B644">
        <v>8</v>
      </c>
      <c r="C644" t="s">
        <v>158</v>
      </c>
      <c r="D644">
        <v>57</v>
      </c>
      <c r="E644" t="s">
        <v>58</v>
      </c>
      <c r="F644">
        <v>102</v>
      </c>
      <c r="G644" t="s">
        <v>62</v>
      </c>
      <c r="H644" t="s">
        <v>50</v>
      </c>
      <c r="K644" t="s">
        <v>51</v>
      </c>
      <c r="L644">
        <v>1</v>
      </c>
      <c r="M644" t="s">
        <v>53</v>
      </c>
      <c r="N644">
        <v>102</v>
      </c>
      <c r="O644">
        <v>1</v>
      </c>
      <c r="P644" t="s">
        <v>52</v>
      </c>
      <c r="Q644">
        <v>0</v>
      </c>
      <c r="R644">
        <v>0.92</v>
      </c>
      <c r="S644">
        <v>131.69999999999999</v>
      </c>
      <c r="T644" t="s">
        <v>284</v>
      </c>
      <c r="U644">
        <v>170</v>
      </c>
      <c r="V644" t="s">
        <v>284</v>
      </c>
      <c r="W644">
        <v>191</v>
      </c>
      <c r="X644" t="s">
        <v>284</v>
      </c>
      <c r="Y644">
        <v>207</v>
      </c>
      <c r="Z644" t="s">
        <v>284</v>
      </c>
      <c r="AA644">
        <v>205</v>
      </c>
      <c r="AB644" t="s">
        <v>285</v>
      </c>
      <c r="AG644">
        <v>188.66669999999999</v>
      </c>
      <c r="AH644" t="s">
        <v>54</v>
      </c>
      <c r="AI644" t="s">
        <v>52</v>
      </c>
      <c r="AX644">
        <v>271.60000000000002</v>
      </c>
      <c r="AY644" t="s">
        <v>285</v>
      </c>
      <c r="AZ644" t="s">
        <v>287</v>
      </c>
      <c r="BQ644" t="s">
        <v>52</v>
      </c>
      <c r="BR644">
        <v>1.85</v>
      </c>
      <c r="BS644" t="s">
        <v>284</v>
      </c>
      <c r="BT644">
        <v>1.25</v>
      </c>
      <c r="BU644" t="s">
        <v>284</v>
      </c>
      <c r="BV644">
        <v>0.38</v>
      </c>
      <c r="BW644" t="s">
        <v>285</v>
      </c>
      <c r="BX644">
        <v>0.8</v>
      </c>
      <c r="BY644" t="s">
        <v>285</v>
      </c>
      <c r="BZ644">
        <v>1.42</v>
      </c>
      <c r="CA644" t="s">
        <v>288</v>
      </c>
      <c r="CF644">
        <v>1.1599999999999999</v>
      </c>
      <c r="CG644" t="s">
        <v>54</v>
      </c>
      <c r="CH644" t="s">
        <v>52</v>
      </c>
    </row>
    <row r="645" spans="1:86" x14ac:dyDescent="0.25">
      <c r="A645" t="s">
        <v>47</v>
      </c>
      <c r="B645">
        <v>8</v>
      </c>
      <c r="C645" t="s">
        <v>158</v>
      </c>
      <c r="D645">
        <v>57</v>
      </c>
      <c r="E645" t="s">
        <v>58</v>
      </c>
      <c r="F645">
        <v>102</v>
      </c>
      <c r="G645" t="s">
        <v>62</v>
      </c>
      <c r="H645" t="s">
        <v>50</v>
      </c>
      <c r="K645" t="s">
        <v>52</v>
      </c>
      <c r="L645">
        <v>1</v>
      </c>
      <c r="M645" t="s">
        <v>53</v>
      </c>
      <c r="N645">
        <v>102</v>
      </c>
      <c r="O645">
        <v>1</v>
      </c>
      <c r="P645" t="s">
        <v>52</v>
      </c>
      <c r="Q645">
        <v>0</v>
      </c>
      <c r="R645">
        <v>0.92</v>
      </c>
      <c r="S645">
        <v>131.69999999999999</v>
      </c>
      <c r="T645" t="s">
        <v>284</v>
      </c>
      <c r="U645">
        <v>170</v>
      </c>
      <c r="V645" t="s">
        <v>284</v>
      </c>
      <c r="W645">
        <v>191</v>
      </c>
      <c r="X645" t="s">
        <v>284</v>
      </c>
      <c r="Y645">
        <v>207</v>
      </c>
      <c r="Z645" t="s">
        <v>284</v>
      </c>
      <c r="AA645">
        <v>205</v>
      </c>
      <c r="AB645" t="s">
        <v>285</v>
      </c>
      <c r="AG645">
        <v>188.66669999999999</v>
      </c>
      <c r="AH645" t="s">
        <v>54</v>
      </c>
      <c r="AI645" t="s">
        <v>52</v>
      </c>
      <c r="AX645">
        <v>271.60000000000002</v>
      </c>
      <c r="AY645" t="s">
        <v>285</v>
      </c>
      <c r="AZ645" t="s">
        <v>287</v>
      </c>
      <c r="BQ645" t="s">
        <v>52</v>
      </c>
      <c r="BR645">
        <v>0.83</v>
      </c>
      <c r="BS645" t="s">
        <v>285</v>
      </c>
      <c r="BT645">
        <v>0.77</v>
      </c>
      <c r="BU645" t="s">
        <v>284</v>
      </c>
      <c r="BV645">
        <v>0.23</v>
      </c>
      <c r="BW645" t="s">
        <v>285</v>
      </c>
      <c r="BX645">
        <v>0.42</v>
      </c>
      <c r="BY645" t="s">
        <v>285</v>
      </c>
      <c r="BZ645">
        <v>0.36</v>
      </c>
      <c r="CA645" t="s">
        <v>284</v>
      </c>
      <c r="CF645">
        <v>0.52</v>
      </c>
      <c r="CG645" t="s">
        <v>54</v>
      </c>
      <c r="CH645" t="s">
        <v>52</v>
      </c>
    </row>
    <row r="646" spans="1:86" x14ac:dyDescent="0.25">
      <c r="A646" t="s">
        <v>47</v>
      </c>
      <c r="B646">
        <v>8</v>
      </c>
      <c r="C646" t="s">
        <v>158</v>
      </c>
      <c r="D646">
        <v>57</v>
      </c>
      <c r="E646" t="s">
        <v>70</v>
      </c>
      <c r="F646">
        <v>296</v>
      </c>
      <c r="G646" t="s">
        <v>74</v>
      </c>
      <c r="H646" t="s">
        <v>50</v>
      </c>
      <c r="K646" t="s">
        <v>51</v>
      </c>
      <c r="L646">
        <v>1</v>
      </c>
      <c r="M646" t="s">
        <v>53</v>
      </c>
      <c r="N646">
        <v>102</v>
      </c>
      <c r="O646">
        <v>1</v>
      </c>
      <c r="P646" t="s">
        <v>52</v>
      </c>
      <c r="Q646">
        <v>0</v>
      </c>
      <c r="R646">
        <v>0.75</v>
      </c>
      <c r="S646">
        <v>135</v>
      </c>
      <c r="T646" t="s">
        <v>284</v>
      </c>
      <c r="U646">
        <v>132</v>
      </c>
      <c r="V646" t="s">
        <v>284</v>
      </c>
      <c r="W646">
        <v>147</v>
      </c>
      <c r="X646" t="s">
        <v>284</v>
      </c>
      <c r="Y646">
        <v>170</v>
      </c>
      <c r="Z646" t="s">
        <v>284</v>
      </c>
      <c r="AA646">
        <v>205</v>
      </c>
      <c r="AB646" t="s">
        <v>285</v>
      </c>
      <c r="AG646">
        <v>150.66669999999999</v>
      </c>
      <c r="AH646" t="s">
        <v>54</v>
      </c>
      <c r="AI646" t="s">
        <v>52</v>
      </c>
      <c r="AZ646" t="s">
        <v>52</v>
      </c>
      <c r="BQ646" t="s">
        <v>52</v>
      </c>
      <c r="CH646" t="s">
        <v>52</v>
      </c>
    </row>
    <row r="647" spans="1:86" x14ac:dyDescent="0.25">
      <c r="A647" t="s">
        <v>47</v>
      </c>
      <c r="B647">
        <v>8</v>
      </c>
      <c r="C647" t="s">
        <v>158</v>
      </c>
      <c r="D647">
        <v>57</v>
      </c>
      <c r="E647" t="s">
        <v>70</v>
      </c>
      <c r="F647">
        <v>296</v>
      </c>
      <c r="G647" t="s">
        <v>74</v>
      </c>
      <c r="H647" t="s">
        <v>50</v>
      </c>
      <c r="K647" t="s">
        <v>52</v>
      </c>
      <c r="L647">
        <v>1</v>
      </c>
      <c r="M647" t="s">
        <v>53</v>
      </c>
      <c r="N647">
        <v>102</v>
      </c>
      <c r="O647">
        <v>1</v>
      </c>
      <c r="P647" t="s">
        <v>52</v>
      </c>
      <c r="Q647">
        <v>0</v>
      </c>
      <c r="R647">
        <v>0.75</v>
      </c>
      <c r="S647">
        <v>135</v>
      </c>
      <c r="T647" t="s">
        <v>284</v>
      </c>
      <c r="U647">
        <v>132</v>
      </c>
      <c r="V647" t="s">
        <v>284</v>
      </c>
      <c r="W647">
        <v>147</v>
      </c>
      <c r="X647" t="s">
        <v>284</v>
      </c>
      <c r="Y647">
        <v>170</v>
      </c>
      <c r="Z647" t="s">
        <v>284</v>
      </c>
      <c r="AA647">
        <v>205</v>
      </c>
      <c r="AB647" t="s">
        <v>285</v>
      </c>
      <c r="AG647">
        <v>150.66669999999999</v>
      </c>
      <c r="AH647" t="s">
        <v>54</v>
      </c>
      <c r="AI647" t="s">
        <v>52</v>
      </c>
      <c r="AZ647" t="s">
        <v>52</v>
      </c>
      <c r="BQ647" t="s">
        <v>52</v>
      </c>
      <c r="CH647" t="s">
        <v>52</v>
      </c>
    </row>
    <row r="648" spans="1:86" x14ac:dyDescent="0.25">
      <c r="A648" t="s">
        <v>47</v>
      </c>
      <c r="B648">
        <v>8</v>
      </c>
      <c r="C648" t="s">
        <v>159</v>
      </c>
      <c r="D648">
        <v>61</v>
      </c>
      <c r="E648" t="s">
        <v>49</v>
      </c>
      <c r="F648">
        <v>27</v>
      </c>
      <c r="H648" t="s">
        <v>50</v>
      </c>
      <c r="K648" t="s">
        <v>51</v>
      </c>
      <c r="L648">
        <v>1</v>
      </c>
      <c r="M648" t="s">
        <v>53</v>
      </c>
      <c r="N648">
        <v>27</v>
      </c>
      <c r="O648">
        <v>1</v>
      </c>
      <c r="P648" t="s">
        <v>52</v>
      </c>
      <c r="Q648">
        <v>0</v>
      </c>
      <c r="R648">
        <v>0.75</v>
      </c>
      <c r="S648">
        <v>231</v>
      </c>
      <c r="T648" t="s">
        <v>284</v>
      </c>
      <c r="U648">
        <v>208</v>
      </c>
      <c r="V648" t="s">
        <v>284</v>
      </c>
      <c r="W648">
        <v>224</v>
      </c>
      <c r="X648" t="s">
        <v>284</v>
      </c>
      <c r="Y648">
        <v>225</v>
      </c>
      <c r="Z648" t="s">
        <v>285</v>
      </c>
      <c r="AA648">
        <v>247</v>
      </c>
      <c r="AB648" t="s">
        <v>285</v>
      </c>
      <c r="AC648">
        <v>241</v>
      </c>
      <c r="AD648" t="s">
        <v>285</v>
      </c>
      <c r="AE648">
        <v>219</v>
      </c>
      <c r="AF648" t="s">
        <v>285</v>
      </c>
      <c r="AG648">
        <v>219</v>
      </c>
      <c r="AH648" t="s">
        <v>286</v>
      </c>
      <c r="AI648" t="s">
        <v>287</v>
      </c>
      <c r="AX648">
        <v>263</v>
      </c>
      <c r="AY648" t="s">
        <v>286</v>
      </c>
      <c r="AZ648" t="s">
        <v>287</v>
      </c>
      <c r="BQ648" t="s">
        <v>52</v>
      </c>
      <c r="BR648">
        <v>3.7</v>
      </c>
      <c r="BS648" t="s">
        <v>284</v>
      </c>
      <c r="BT648">
        <v>3.4</v>
      </c>
      <c r="BU648" t="s">
        <v>284</v>
      </c>
      <c r="BV648">
        <v>2.11</v>
      </c>
      <c r="BW648" t="s">
        <v>284</v>
      </c>
      <c r="BX648">
        <v>2.74</v>
      </c>
      <c r="BY648" t="s">
        <v>284</v>
      </c>
      <c r="BZ648">
        <v>2.2999999999999998</v>
      </c>
      <c r="CA648" t="s">
        <v>289</v>
      </c>
      <c r="CF648">
        <v>2.81</v>
      </c>
      <c r="CG648" t="s">
        <v>54</v>
      </c>
      <c r="CH648" t="s">
        <v>52</v>
      </c>
    </row>
    <row r="649" spans="1:86" x14ac:dyDescent="0.25">
      <c r="A649" t="s">
        <v>47</v>
      </c>
      <c r="B649">
        <v>8</v>
      </c>
      <c r="C649" t="s">
        <v>159</v>
      </c>
      <c r="D649">
        <v>61</v>
      </c>
      <c r="E649" t="s">
        <v>49</v>
      </c>
      <c r="F649">
        <v>27</v>
      </c>
      <c r="H649" t="s">
        <v>50</v>
      </c>
      <c r="K649" t="s">
        <v>52</v>
      </c>
      <c r="L649">
        <v>1</v>
      </c>
      <c r="M649" t="s">
        <v>53</v>
      </c>
      <c r="N649">
        <v>27</v>
      </c>
      <c r="O649">
        <v>1</v>
      </c>
      <c r="P649" t="s">
        <v>52</v>
      </c>
      <c r="Q649">
        <v>0</v>
      </c>
      <c r="R649">
        <v>0.75</v>
      </c>
      <c r="S649">
        <v>231</v>
      </c>
      <c r="T649" t="s">
        <v>284</v>
      </c>
      <c r="U649">
        <v>208</v>
      </c>
      <c r="V649" t="s">
        <v>284</v>
      </c>
      <c r="W649">
        <v>224</v>
      </c>
      <c r="X649" t="s">
        <v>284</v>
      </c>
      <c r="Y649">
        <v>225</v>
      </c>
      <c r="Z649" t="s">
        <v>285</v>
      </c>
      <c r="AA649">
        <v>247</v>
      </c>
      <c r="AB649" t="s">
        <v>285</v>
      </c>
      <c r="AC649">
        <v>241</v>
      </c>
      <c r="AD649" t="s">
        <v>285</v>
      </c>
      <c r="AE649">
        <v>219</v>
      </c>
      <c r="AF649" t="s">
        <v>285</v>
      </c>
      <c r="AG649">
        <v>219</v>
      </c>
      <c r="AH649" t="s">
        <v>286</v>
      </c>
      <c r="AI649" t="s">
        <v>287</v>
      </c>
      <c r="AX649">
        <v>263</v>
      </c>
      <c r="AY649" t="s">
        <v>286</v>
      </c>
      <c r="AZ649" t="s">
        <v>287</v>
      </c>
      <c r="BQ649" t="s">
        <v>52</v>
      </c>
      <c r="BR649">
        <v>1.3</v>
      </c>
      <c r="BS649" t="s">
        <v>284</v>
      </c>
      <c r="BT649">
        <v>1.2</v>
      </c>
      <c r="BU649" t="s">
        <v>284</v>
      </c>
      <c r="BV649">
        <v>0.75</v>
      </c>
      <c r="BW649" t="s">
        <v>284</v>
      </c>
      <c r="BX649">
        <v>0.12</v>
      </c>
      <c r="BY649" t="s">
        <v>284</v>
      </c>
      <c r="BZ649">
        <v>0.14000000000000001</v>
      </c>
      <c r="CA649" t="s">
        <v>289</v>
      </c>
      <c r="CF649">
        <v>0.7</v>
      </c>
      <c r="CG649" t="s">
        <v>54</v>
      </c>
      <c r="CH649" t="s">
        <v>52</v>
      </c>
    </row>
    <row r="650" spans="1:86" x14ac:dyDescent="0.25">
      <c r="A650" t="s">
        <v>47</v>
      </c>
      <c r="B650">
        <v>8</v>
      </c>
      <c r="C650" t="s">
        <v>159</v>
      </c>
      <c r="D650">
        <v>61</v>
      </c>
      <c r="E650" t="s">
        <v>58</v>
      </c>
      <c r="F650">
        <v>102</v>
      </c>
      <c r="G650" t="s">
        <v>104</v>
      </c>
      <c r="H650" t="s">
        <v>50</v>
      </c>
      <c r="K650" t="s">
        <v>51</v>
      </c>
      <c r="L650">
        <v>1</v>
      </c>
      <c r="M650" t="s">
        <v>53</v>
      </c>
      <c r="N650">
        <v>102</v>
      </c>
      <c r="O650">
        <v>1</v>
      </c>
      <c r="P650" t="s">
        <v>52</v>
      </c>
      <c r="Q650">
        <v>0</v>
      </c>
      <c r="R650">
        <v>0.92</v>
      </c>
      <c r="S650">
        <v>131.69999999999999</v>
      </c>
      <c r="T650" t="s">
        <v>284</v>
      </c>
      <c r="U650">
        <v>170</v>
      </c>
      <c r="V650" t="s">
        <v>284</v>
      </c>
      <c r="W650">
        <v>191</v>
      </c>
      <c r="X650" t="s">
        <v>284</v>
      </c>
      <c r="Y650">
        <v>207</v>
      </c>
      <c r="Z650" t="s">
        <v>284</v>
      </c>
      <c r="AA650">
        <v>205</v>
      </c>
      <c r="AB650" t="s">
        <v>285</v>
      </c>
      <c r="AG650">
        <v>188.66669999999999</v>
      </c>
      <c r="AH650" t="s">
        <v>54</v>
      </c>
      <c r="AI650" t="s">
        <v>52</v>
      </c>
      <c r="AZ650" t="s">
        <v>52</v>
      </c>
      <c r="BQ650" t="s">
        <v>52</v>
      </c>
      <c r="BR650">
        <v>1.85</v>
      </c>
      <c r="BS650" t="s">
        <v>284</v>
      </c>
      <c r="BT650">
        <v>1.18</v>
      </c>
      <c r="BU650" t="s">
        <v>284</v>
      </c>
      <c r="BV650">
        <v>0.92</v>
      </c>
      <c r="BW650" t="s">
        <v>285</v>
      </c>
      <c r="CH650" t="s">
        <v>52</v>
      </c>
    </row>
    <row r="651" spans="1:86" x14ac:dyDescent="0.25">
      <c r="A651" t="s">
        <v>47</v>
      </c>
      <c r="B651">
        <v>8</v>
      </c>
      <c r="C651" t="s">
        <v>159</v>
      </c>
      <c r="D651">
        <v>61</v>
      </c>
      <c r="E651" t="s">
        <v>58</v>
      </c>
      <c r="F651">
        <v>102</v>
      </c>
      <c r="G651" t="s">
        <v>104</v>
      </c>
      <c r="H651" t="s">
        <v>50</v>
      </c>
      <c r="K651" t="s">
        <v>52</v>
      </c>
      <c r="L651">
        <v>1</v>
      </c>
      <c r="M651" t="s">
        <v>53</v>
      </c>
      <c r="N651">
        <v>102</v>
      </c>
      <c r="O651">
        <v>1</v>
      </c>
      <c r="P651" t="s">
        <v>52</v>
      </c>
      <c r="Q651">
        <v>0</v>
      </c>
      <c r="R651">
        <v>0.92</v>
      </c>
      <c r="S651">
        <v>131.69999999999999</v>
      </c>
      <c r="T651" t="s">
        <v>284</v>
      </c>
      <c r="U651">
        <v>170</v>
      </c>
      <c r="V651" t="s">
        <v>284</v>
      </c>
      <c r="W651">
        <v>191</v>
      </c>
      <c r="X651" t="s">
        <v>284</v>
      </c>
      <c r="Y651">
        <v>207</v>
      </c>
      <c r="Z651" t="s">
        <v>284</v>
      </c>
      <c r="AA651">
        <v>205</v>
      </c>
      <c r="AB651" t="s">
        <v>285</v>
      </c>
      <c r="AG651">
        <v>188.66669999999999</v>
      </c>
      <c r="AH651" t="s">
        <v>54</v>
      </c>
      <c r="AI651" t="s">
        <v>52</v>
      </c>
      <c r="AZ651" t="s">
        <v>52</v>
      </c>
      <c r="BQ651" t="s">
        <v>52</v>
      </c>
      <c r="BR651">
        <v>0.93</v>
      </c>
      <c r="BS651" t="s">
        <v>285</v>
      </c>
      <c r="BT651">
        <v>0.7</v>
      </c>
      <c r="BU651" t="s">
        <v>284</v>
      </c>
      <c r="BV651">
        <v>0.92</v>
      </c>
      <c r="BW651" t="s">
        <v>285</v>
      </c>
      <c r="BX651">
        <v>0.28000000000000003</v>
      </c>
      <c r="BY651" t="s">
        <v>285</v>
      </c>
      <c r="BZ651">
        <v>0.24</v>
      </c>
      <c r="CA651" t="s">
        <v>284</v>
      </c>
      <c r="CF651">
        <v>0.63</v>
      </c>
      <c r="CG651" t="s">
        <v>54</v>
      </c>
      <c r="CH651" t="s">
        <v>52</v>
      </c>
    </row>
    <row r="652" spans="1:86" x14ac:dyDescent="0.25">
      <c r="A652" t="s">
        <v>47</v>
      </c>
      <c r="B652">
        <v>8</v>
      </c>
      <c r="C652" t="s">
        <v>159</v>
      </c>
      <c r="D652">
        <v>61</v>
      </c>
      <c r="E652" t="s">
        <v>58</v>
      </c>
      <c r="F652">
        <v>102</v>
      </c>
      <c r="G652" t="s">
        <v>62</v>
      </c>
      <c r="H652" t="s">
        <v>50</v>
      </c>
      <c r="K652" t="s">
        <v>52</v>
      </c>
      <c r="L652">
        <v>1</v>
      </c>
      <c r="M652" t="s">
        <v>53</v>
      </c>
      <c r="N652">
        <v>102</v>
      </c>
      <c r="O652">
        <v>1</v>
      </c>
      <c r="P652" t="s">
        <v>52</v>
      </c>
      <c r="Q652">
        <v>0</v>
      </c>
      <c r="R652">
        <v>0.92</v>
      </c>
      <c r="S652">
        <v>131.69999999999999</v>
      </c>
      <c r="T652" t="s">
        <v>284</v>
      </c>
      <c r="U652">
        <v>170</v>
      </c>
      <c r="V652" t="s">
        <v>284</v>
      </c>
      <c r="W652">
        <v>191</v>
      </c>
      <c r="X652" t="s">
        <v>284</v>
      </c>
      <c r="Y652">
        <v>207</v>
      </c>
      <c r="Z652" t="s">
        <v>284</v>
      </c>
      <c r="AA652">
        <v>205</v>
      </c>
      <c r="AB652" t="s">
        <v>285</v>
      </c>
      <c r="AG652">
        <v>188.66669999999999</v>
      </c>
      <c r="AH652" t="s">
        <v>54</v>
      </c>
      <c r="AI652" t="s">
        <v>52</v>
      </c>
      <c r="AX652">
        <v>271.60000000000002</v>
      </c>
      <c r="AY652" t="s">
        <v>285</v>
      </c>
      <c r="AZ652" t="s">
        <v>287</v>
      </c>
      <c r="BQ652" t="s">
        <v>52</v>
      </c>
      <c r="BR652">
        <v>0.83</v>
      </c>
      <c r="BS652" t="s">
        <v>285</v>
      </c>
      <c r="BT652">
        <v>0.94</v>
      </c>
      <c r="BU652" t="s">
        <v>284</v>
      </c>
      <c r="BV652">
        <v>0.28000000000000003</v>
      </c>
      <c r="BW652" t="s">
        <v>285</v>
      </c>
      <c r="BX652">
        <v>0.5</v>
      </c>
      <c r="BY652" t="s">
        <v>285</v>
      </c>
      <c r="BZ652">
        <v>0.43</v>
      </c>
      <c r="CA652" t="s">
        <v>284</v>
      </c>
      <c r="CF652">
        <v>0.59</v>
      </c>
      <c r="CG652" t="s">
        <v>54</v>
      </c>
      <c r="CH652" t="s">
        <v>52</v>
      </c>
    </row>
    <row r="653" spans="1:86" x14ac:dyDescent="0.25">
      <c r="A653" t="s">
        <v>47</v>
      </c>
      <c r="B653">
        <v>8</v>
      </c>
      <c r="C653" t="s">
        <v>159</v>
      </c>
      <c r="D653">
        <v>61</v>
      </c>
      <c r="E653" t="s">
        <v>68</v>
      </c>
      <c r="F653">
        <v>80</v>
      </c>
      <c r="G653" t="s">
        <v>69</v>
      </c>
      <c r="H653" t="s">
        <v>50</v>
      </c>
      <c r="K653" t="s">
        <v>51</v>
      </c>
      <c r="L653">
        <v>1</v>
      </c>
      <c r="M653" t="s">
        <v>53</v>
      </c>
      <c r="N653">
        <v>80</v>
      </c>
      <c r="O653">
        <v>1</v>
      </c>
      <c r="P653" t="s">
        <v>52</v>
      </c>
      <c r="Q653">
        <v>0.5</v>
      </c>
      <c r="R653">
        <v>0.75</v>
      </c>
      <c r="S653">
        <v>202.92</v>
      </c>
      <c r="T653" t="s">
        <v>284</v>
      </c>
      <c r="U653">
        <v>198.9</v>
      </c>
      <c r="V653" t="s">
        <v>284</v>
      </c>
      <c r="W653">
        <v>212.4</v>
      </c>
      <c r="X653" t="s">
        <v>284</v>
      </c>
      <c r="Y653">
        <v>219.6</v>
      </c>
      <c r="Z653" t="s">
        <v>284</v>
      </c>
      <c r="AA653">
        <v>178</v>
      </c>
      <c r="AB653" t="s">
        <v>284</v>
      </c>
      <c r="AG653">
        <v>204.74</v>
      </c>
      <c r="AH653" t="s">
        <v>54</v>
      </c>
      <c r="AI653" t="s">
        <v>52</v>
      </c>
      <c r="AZ653" t="s">
        <v>52</v>
      </c>
      <c r="BQ653" t="s">
        <v>52</v>
      </c>
      <c r="BR653">
        <v>1.85</v>
      </c>
      <c r="BS653" t="s">
        <v>284</v>
      </c>
      <c r="BT653">
        <v>1.65</v>
      </c>
      <c r="BU653" t="s">
        <v>284</v>
      </c>
      <c r="BV653">
        <v>1.83</v>
      </c>
      <c r="BW653" t="s">
        <v>284</v>
      </c>
      <c r="BX653">
        <v>2.2999999999999998</v>
      </c>
      <c r="BY653" t="s">
        <v>284</v>
      </c>
      <c r="BZ653">
        <v>2</v>
      </c>
      <c r="CA653" t="s">
        <v>285</v>
      </c>
      <c r="CF653">
        <v>1.89</v>
      </c>
      <c r="CG653" t="s">
        <v>54</v>
      </c>
      <c r="CH653" t="s">
        <v>52</v>
      </c>
    </row>
    <row r="654" spans="1:86" x14ac:dyDescent="0.25">
      <c r="A654" t="s">
        <v>47</v>
      </c>
      <c r="B654">
        <v>8</v>
      </c>
      <c r="C654" t="s">
        <v>159</v>
      </c>
      <c r="D654">
        <v>61</v>
      </c>
      <c r="E654" t="s">
        <v>68</v>
      </c>
      <c r="F654">
        <v>80</v>
      </c>
      <c r="G654" t="s">
        <v>69</v>
      </c>
      <c r="H654" t="s">
        <v>50</v>
      </c>
      <c r="K654" t="s">
        <v>52</v>
      </c>
      <c r="L654">
        <v>1</v>
      </c>
      <c r="M654" t="s">
        <v>53</v>
      </c>
      <c r="N654">
        <v>80</v>
      </c>
      <c r="O654">
        <v>1</v>
      </c>
      <c r="P654" t="s">
        <v>52</v>
      </c>
      <c r="Q654">
        <v>0.5</v>
      </c>
      <c r="R654">
        <v>0.75</v>
      </c>
      <c r="S654">
        <v>202.92</v>
      </c>
      <c r="T654" t="s">
        <v>284</v>
      </c>
      <c r="U654">
        <v>198.9</v>
      </c>
      <c r="V654" t="s">
        <v>284</v>
      </c>
      <c r="W654">
        <v>212.4</v>
      </c>
      <c r="X654" t="s">
        <v>284</v>
      </c>
      <c r="Y654">
        <v>219.6</v>
      </c>
      <c r="Z654" t="s">
        <v>284</v>
      </c>
      <c r="AA654">
        <v>178</v>
      </c>
      <c r="AB654" t="s">
        <v>284</v>
      </c>
      <c r="AG654">
        <v>204.74</v>
      </c>
      <c r="AH654" t="s">
        <v>54</v>
      </c>
      <c r="AI654" t="s">
        <v>52</v>
      </c>
      <c r="AZ654" t="s">
        <v>52</v>
      </c>
      <c r="BQ654" t="s">
        <v>52</v>
      </c>
      <c r="BR654">
        <v>0.65</v>
      </c>
      <c r="BS654" t="s">
        <v>285</v>
      </c>
      <c r="BT654">
        <v>0.79</v>
      </c>
      <c r="BU654" t="s">
        <v>284</v>
      </c>
      <c r="BV654">
        <v>1.35</v>
      </c>
      <c r="BW654" t="s">
        <v>284</v>
      </c>
      <c r="BX654">
        <v>1.07</v>
      </c>
      <c r="BY654" t="s">
        <v>284</v>
      </c>
      <c r="BZ654">
        <v>0.93</v>
      </c>
      <c r="CA654" t="s">
        <v>285</v>
      </c>
      <c r="CF654">
        <v>0.93</v>
      </c>
      <c r="CG654" t="s">
        <v>54</v>
      </c>
      <c r="CH654" t="s">
        <v>52</v>
      </c>
    </row>
    <row r="655" spans="1:86" x14ac:dyDescent="0.25">
      <c r="A655" t="s">
        <v>47</v>
      </c>
      <c r="B655">
        <v>8</v>
      </c>
      <c r="C655" t="s">
        <v>159</v>
      </c>
      <c r="D655">
        <v>61</v>
      </c>
      <c r="E655" t="s">
        <v>70</v>
      </c>
      <c r="F655">
        <v>296</v>
      </c>
      <c r="G655" t="s">
        <v>71</v>
      </c>
      <c r="H655" t="s">
        <v>50</v>
      </c>
      <c r="K655" t="s">
        <v>52</v>
      </c>
      <c r="L655">
        <v>1</v>
      </c>
      <c r="M655" t="s">
        <v>53</v>
      </c>
      <c r="N655">
        <v>296</v>
      </c>
      <c r="O655">
        <v>1</v>
      </c>
      <c r="P655" t="s">
        <v>52</v>
      </c>
      <c r="Q655">
        <v>0</v>
      </c>
      <c r="R655">
        <v>0.75</v>
      </c>
      <c r="S655">
        <v>228</v>
      </c>
      <c r="T655" t="s">
        <v>284</v>
      </c>
      <c r="U655">
        <v>190</v>
      </c>
      <c r="V655" t="s">
        <v>285</v>
      </c>
      <c r="W655">
        <v>194</v>
      </c>
      <c r="X655" t="s">
        <v>285</v>
      </c>
      <c r="Y655">
        <v>225</v>
      </c>
      <c r="Z655" t="s">
        <v>285</v>
      </c>
      <c r="AA655">
        <v>247</v>
      </c>
      <c r="AB655" t="s">
        <v>285</v>
      </c>
      <c r="AC655">
        <v>241</v>
      </c>
      <c r="AD655" t="s">
        <v>285</v>
      </c>
      <c r="AE655">
        <v>219</v>
      </c>
      <c r="AF655" t="s">
        <v>285</v>
      </c>
      <c r="AG655">
        <v>219</v>
      </c>
      <c r="AH655" t="s">
        <v>286</v>
      </c>
      <c r="AI655" t="s">
        <v>287</v>
      </c>
      <c r="AX655">
        <v>263</v>
      </c>
      <c r="AY655" t="s">
        <v>286</v>
      </c>
      <c r="AZ655" t="s">
        <v>287</v>
      </c>
      <c r="BQ655" t="s">
        <v>52</v>
      </c>
      <c r="CH655" t="s">
        <v>52</v>
      </c>
    </row>
    <row r="656" spans="1:86" x14ac:dyDescent="0.25">
      <c r="A656" t="s">
        <v>47</v>
      </c>
      <c r="B656">
        <v>8</v>
      </c>
      <c r="C656" t="s">
        <v>159</v>
      </c>
      <c r="D656">
        <v>61</v>
      </c>
      <c r="E656" t="s">
        <v>70</v>
      </c>
      <c r="F656">
        <v>296</v>
      </c>
      <c r="G656" t="s">
        <v>91</v>
      </c>
      <c r="H656" t="s">
        <v>50</v>
      </c>
      <c r="K656" t="s">
        <v>52</v>
      </c>
      <c r="L656">
        <v>1</v>
      </c>
      <c r="M656" t="s">
        <v>53</v>
      </c>
      <c r="N656">
        <v>102</v>
      </c>
      <c r="O656">
        <v>1</v>
      </c>
      <c r="P656" t="s">
        <v>52</v>
      </c>
      <c r="Q656">
        <v>0.5</v>
      </c>
      <c r="R656">
        <v>0.75</v>
      </c>
      <c r="S656">
        <v>228</v>
      </c>
      <c r="T656" t="s">
        <v>284</v>
      </c>
      <c r="U656">
        <v>190</v>
      </c>
      <c r="V656" t="s">
        <v>285</v>
      </c>
      <c r="W656">
        <v>236</v>
      </c>
      <c r="X656" t="s">
        <v>284</v>
      </c>
      <c r="Y656">
        <v>244</v>
      </c>
      <c r="Z656" t="s">
        <v>284</v>
      </c>
      <c r="AA656">
        <v>215</v>
      </c>
      <c r="AB656" t="s">
        <v>285</v>
      </c>
      <c r="AG656">
        <v>226.33330000000001</v>
      </c>
      <c r="AH656" t="s">
        <v>54</v>
      </c>
      <c r="AI656" t="s">
        <v>52</v>
      </c>
      <c r="AZ656" t="s">
        <v>52</v>
      </c>
      <c r="BQ656" t="s">
        <v>52</v>
      </c>
      <c r="BR656">
        <v>0.65</v>
      </c>
      <c r="BS656" t="s">
        <v>285</v>
      </c>
      <c r="BT656">
        <v>0.9</v>
      </c>
      <c r="BU656" t="s">
        <v>285</v>
      </c>
      <c r="BV656">
        <v>0.27</v>
      </c>
      <c r="BW656" t="s">
        <v>284</v>
      </c>
      <c r="BX656">
        <v>0.25</v>
      </c>
      <c r="BY656" t="s">
        <v>285</v>
      </c>
      <c r="BZ656">
        <v>0.25</v>
      </c>
      <c r="CA656" t="s">
        <v>284</v>
      </c>
      <c r="CF656">
        <v>0.39</v>
      </c>
      <c r="CG656" t="s">
        <v>54</v>
      </c>
      <c r="CH656" t="s">
        <v>52</v>
      </c>
    </row>
    <row r="657" spans="1:86" x14ac:dyDescent="0.25">
      <c r="A657" t="s">
        <v>47</v>
      </c>
      <c r="B657">
        <v>8</v>
      </c>
      <c r="C657" t="s">
        <v>159</v>
      </c>
      <c r="D657">
        <v>61</v>
      </c>
      <c r="E657" t="s">
        <v>75</v>
      </c>
      <c r="F657">
        <v>16</v>
      </c>
      <c r="G657" t="s">
        <v>76</v>
      </c>
      <c r="H657" t="s">
        <v>50</v>
      </c>
      <c r="K657" t="s">
        <v>51</v>
      </c>
      <c r="L657">
        <v>1</v>
      </c>
      <c r="M657" t="s">
        <v>53</v>
      </c>
      <c r="N657">
        <v>16</v>
      </c>
      <c r="O657">
        <v>2</v>
      </c>
      <c r="P657" t="s">
        <v>52</v>
      </c>
      <c r="Q657">
        <v>0.5</v>
      </c>
      <c r="R657">
        <v>0.75</v>
      </c>
      <c r="S657">
        <v>83.35</v>
      </c>
      <c r="T657" t="s">
        <v>285</v>
      </c>
      <c r="U657">
        <v>96.14</v>
      </c>
      <c r="V657" t="s">
        <v>284</v>
      </c>
      <c r="W657">
        <v>103.37</v>
      </c>
      <c r="X657" t="s">
        <v>284</v>
      </c>
      <c r="Y657">
        <v>106.14</v>
      </c>
      <c r="Z657" t="s">
        <v>284</v>
      </c>
      <c r="AA657">
        <v>128</v>
      </c>
      <c r="AB657" t="s">
        <v>285</v>
      </c>
      <c r="AG657">
        <v>101.88330000000001</v>
      </c>
      <c r="AH657" t="s">
        <v>54</v>
      </c>
      <c r="AI657" t="s">
        <v>52</v>
      </c>
      <c r="AX657">
        <v>146.69999999999999</v>
      </c>
      <c r="AY657" t="s">
        <v>285</v>
      </c>
      <c r="AZ657" t="s">
        <v>287</v>
      </c>
      <c r="BQ657" t="s">
        <v>52</v>
      </c>
      <c r="BR657">
        <v>1.85</v>
      </c>
      <c r="BS657" t="s">
        <v>284</v>
      </c>
      <c r="BT657">
        <v>1.41</v>
      </c>
      <c r="BU657" t="s">
        <v>284</v>
      </c>
      <c r="BV657">
        <v>1.18</v>
      </c>
      <c r="BW657" t="s">
        <v>284</v>
      </c>
      <c r="BX657">
        <v>1.94</v>
      </c>
      <c r="BY657" t="s">
        <v>284</v>
      </c>
      <c r="BZ657">
        <v>2.27</v>
      </c>
      <c r="CA657" t="s">
        <v>289</v>
      </c>
      <c r="CF657">
        <v>1.73</v>
      </c>
      <c r="CG657" t="s">
        <v>54</v>
      </c>
      <c r="CH657" t="s">
        <v>52</v>
      </c>
    </row>
    <row r="658" spans="1:86" x14ac:dyDescent="0.25">
      <c r="A658" t="s">
        <v>47</v>
      </c>
      <c r="B658">
        <v>8</v>
      </c>
      <c r="C658" t="s">
        <v>159</v>
      </c>
      <c r="D658">
        <v>61</v>
      </c>
      <c r="E658" t="s">
        <v>75</v>
      </c>
      <c r="F658">
        <v>16</v>
      </c>
      <c r="G658" t="s">
        <v>76</v>
      </c>
      <c r="H658" t="s">
        <v>50</v>
      </c>
      <c r="K658" t="s">
        <v>52</v>
      </c>
      <c r="L658">
        <v>1</v>
      </c>
      <c r="M658" t="s">
        <v>53</v>
      </c>
      <c r="N658">
        <v>16</v>
      </c>
      <c r="O658">
        <v>2</v>
      </c>
      <c r="P658" t="s">
        <v>52</v>
      </c>
      <c r="Q658">
        <v>0.5</v>
      </c>
      <c r="R658">
        <v>0.75</v>
      </c>
      <c r="S658">
        <v>83.35</v>
      </c>
      <c r="T658" t="s">
        <v>285</v>
      </c>
      <c r="U658">
        <v>96.14</v>
      </c>
      <c r="V658" t="s">
        <v>284</v>
      </c>
      <c r="W658">
        <v>103.37</v>
      </c>
      <c r="X658" t="s">
        <v>284</v>
      </c>
      <c r="Y658">
        <v>106.14</v>
      </c>
      <c r="Z658" t="s">
        <v>284</v>
      </c>
      <c r="AA658">
        <v>128</v>
      </c>
      <c r="AB658" t="s">
        <v>285</v>
      </c>
      <c r="AG658">
        <v>101.88330000000001</v>
      </c>
      <c r="AH658" t="s">
        <v>54</v>
      </c>
      <c r="AI658" t="s">
        <v>52</v>
      </c>
      <c r="AX658">
        <v>146.69999999999999</v>
      </c>
      <c r="AY658" t="s">
        <v>285</v>
      </c>
      <c r="AZ658" t="s">
        <v>287</v>
      </c>
      <c r="BQ658" t="s">
        <v>52</v>
      </c>
      <c r="BR658">
        <v>0.65</v>
      </c>
      <c r="BS658" t="s">
        <v>284</v>
      </c>
      <c r="BT658">
        <v>0.81</v>
      </c>
      <c r="BU658" t="s">
        <v>284</v>
      </c>
      <c r="BV658">
        <v>1.45</v>
      </c>
      <c r="BW658" t="s">
        <v>284</v>
      </c>
      <c r="BX658">
        <v>1.5</v>
      </c>
      <c r="BY658" t="s">
        <v>284</v>
      </c>
      <c r="BZ658">
        <v>0.17</v>
      </c>
      <c r="CA658" t="s">
        <v>289</v>
      </c>
      <c r="CF658">
        <v>0.97</v>
      </c>
      <c r="CG658" t="s">
        <v>54</v>
      </c>
      <c r="CH658" t="s">
        <v>52</v>
      </c>
    </row>
    <row r="659" spans="1:86" x14ac:dyDescent="0.25">
      <c r="A659" t="s">
        <v>47</v>
      </c>
      <c r="B659">
        <v>8</v>
      </c>
      <c r="C659" t="s">
        <v>159</v>
      </c>
      <c r="D659">
        <v>61</v>
      </c>
      <c r="E659" t="s">
        <v>125</v>
      </c>
      <c r="F659">
        <v>67</v>
      </c>
      <c r="G659" t="s">
        <v>160</v>
      </c>
      <c r="H659" t="s">
        <v>50</v>
      </c>
      <c r="K659" t="s">
        <v>52</v>
      </c>
      <c r="L659">
        <v>1</v>
      </c>
      <c r="M659" t="s">
        <v>53</v>
      </c>
      <c r="N659">
        <v>67</v>
      </c>
      <c r="O659">
        <v>1</v>
      </c>
      <c r="P659" t="s">
        <v>52</v>
      </c>
      <c r="Q659">
        <v>0.3</v>
      </c>
      <c r="R659">
        <v>0.87</v>
      </c>
      <c r="S659">
        <v>228</v>
      </c>
      <c r="T659" t="s">
        <v>284</v>
      </c>
      <c r="AI659" t="s">
        <v>52</v>
      </c>
      <c r="AZ659" t="s">
        <v>52</v>
      </c>
      <c r="BQ659" t="s">
        <v>52</v>
      </c>
      <c r="BR659">
        <v>0.93</v>
      </c>
      <c r="BS659" t="s">
        <v>285</v>
      </c>
      <c r="CH659" t="s">
        <v>52</v>
      </c>
    </row>
    <row r="660" spans="1:86" x14ac:dyDescent="0.25">
      <c r="A660" t="s">
        <v>47</v>
      </c>
      <c r="B660">
        <v>8</v>
      </c>
      <c r="C660" t="s">
        <v>159</v>
      </c>
      <c r="D660">
        <v>61</v>
      </c>
      <c r="E660" t="s">
        <v>77</v>
      </c>
      <c r="F660">
        <v>51</v>
      </c>
      <c r="G660" t="s">
        <v>78</v>
      </c>
      <c r="H660" t="s">
        <v>50</v>
      </c>
      <c r="K660" t="s">
        <v>51</v>
      </c>
      <c r="L660">
        <v>1</v>
      </c>
      <c r="M660" t="s">
        <v>53</v>
      </c>
      <c r="N660">
        <v>51</v>
      </c>
      <c r="O660">
        <v>2</v>
      </c>
      <c r="P660" t="s">
        <v>52</v>
      </c>
      <c r="Q660">
        <v>0.5</v>
      </c>
      <c r="R660">
        <v>0.73</v>
      </c>
      <c r="S660">
        <v>228</v>
      </c>
      <c r="T660" t="s">
        <v>284</v>
      </c>
      <c r="U660">
        <v>218</v>
      </c>
      <c r="V660" t="s">
        <v>284</v>
      </c>
      <c r="W660">
        <v>147</v>
      </c>
      <c r="X660" t="s">
        <v>284</v>
      </c>
      <c r="Y660">
        <v>170</v>
      </c>
      <c r="Z660" t="s">
        <v>284</v>
      </c>
      <c r="AA660">
        <v>109</v>
      </c>
      <c r="AB660" t="s">
        <v>285</v>
      </c>
      <c r="AG660">
        <v>178.33330000000001</v>
      </c>
      <c r="AH660" t="s">
        <v>54</v>
      </c>
      <c r="AI660" t="s">
        <v>52</v>
      </c>
      <c r="AZ660" t="s">
        <v>52</v>
      </c>
      <c r="BQ660" t="s">
        <v>52</v>
      </c>
      <c r="BR660">
        <v>1.1000000000000001</v>
      </c>
      <c r="BS660" t="s">
        <v>284</v>
      </c>
      <c r="BT660">
        <v>1.35</v>
      </c>
      <c r="BU660" t="s">
        <v>284</v>
      </c>
      <c r="BV660">
        <v>1.35</v>
      </c>
      <c r="BW660" t="s">
        <v>285</v>
      </c>
      <c r="BX660">
        <v>1.35</v>
      </c>
      <c r="BY660" t="s">
        <v>285</v>
      </c>
      <c r="BZ660">
        <v>0.3</v>
      </c>
      <c r="CA660" t="s">
        <v>285</v>
      </c>
      <c r="CF660">
        <v>1.27</v>
      </c>
      <c r="CG660" t="s">
        <v>54</v>
      </c>
      <c r="CH660" t="s">
        <v>52</v>
      </c>
    </row>
    <row r="661" spans="1:86" x14ac:dyDescent="0.25">
      <c r="A661" t="s">
        <v>47</v>
      </c>
      <c r="B661">
        <v>8</v>
      </c>
      <c r="C661" t="s">
        <v>159</v>
      </c>
      <c r="D661">
        <v>61</v>
      </c>
      <c r="E661" t="s">
        <v>77</v>
      </c>
      <c r="F661">
        <v>51</v>
      </c>
      <c r="G661" t="s">
        <v>78</v>
      </c>
      <c r="H661" t="s">
        <v>50</v>
      </c>
      <c r="K661" t="s">
        <v>52</v>
      </c>
      <c r="L661">
        <v>1</v>
      </c>
      <c r="M661" t="s">
        <v>53</v>
      </c>
      <c r="N661">
        <v>51</v>
      </c>
      <c r="O661">
        <v>2</v>
      </c>
      <c r="P661" t="s">
        <v>52</v>
      </c>
      <c r="Q661">
        <v>0.5</v>
      </c>
      <c r="R661">
        <v>0.73</v>
      </c>
      <c r="S661">
        <v>228</v>
      </c>
      <c r="T661" t="s">
        <v>284</v>
      </c>
      <c r="U661">
        <v>218</v>
      </c>
      <c r="V661" t="s">
        <v>284</v>
      </c>
      <c r="W661">
        <v>147</v>
      </c>
      <c r="X661" t="s">
        <v>284</v>
      </c>
      <c r="Y661">
        <v>170</v>
      </c>
      <c r="Z661" t="s">
        <v>284</v>
      </c>
      <c r="AA661">
        <v>109</v>
      </c>
      <c r="AB661" t="s">
        <v>285</v>
      </c>
      <c r="AG661">
        <v>178.33330000000001</v>
      </c>
      <c r="AH661" t="s">
        <v>54</v>
      </c>
      <c r="AI661" t="s">
        <v>52</v>
      </c>
      <c r="AZ661" t="s">
        <v>52</v>
      </c>
      <c r="BQ661" t="s">
        <v>52</v>
      </c>
      <c r="BR661">
        <v>0.8</v>
      </c>
      <c r="BS661" t="s">
        <v>284</v>
      </c>
      <c r="BT661">
        <v>0.8</v>
      </c>
      <c r="BU661" t="s">
        <v>285</v>
      </c>
      <c r="BV661">
        <v>0.8</v>
      </c>
      <c r="BW661" t="s">
        <v>285</v>
      </c>
      <c r="BX661">
        <v>0.8</v>
      </c>
      <c r="BY661" t="s">
        <v>285</v>
      </c>
      <c r="BZ661">
        <v>0.18</v>
      </c>
      <c r="CA661" t="s">
        <v>285</v>
      </c>
      <c r="CF661">
        <v>0.8</v>
      </c>
      <c r="CG661" t="s">
        <v>54</v>
      </c>
      <c r="CH661" t="s">
        <v>52</v>
      </c>
    </row>
    <row r="662" spans="1:86" x14ac:dyDescent="0.25">
      <c r="A662" t="s">
        <v>47</v>
      </c>
      <c r="B662">
        <v>8</v>
      </c>
      <c r="C662" t="s">
        <v>159</v>
      </c>
      <c r="D662">
        <v>61</v>
      </c>
      <c r="E662" t="s">
        <v>79</v>
      </c>
      <c r="F662">
        <v>50</v>
      </c>
      <c r="G662" t="s">
        <v>80</v>
      </c>
      <c r="H662" t="s">
        <v>50</v>
      </c>
      <c r="K662" t="s">
        <v>51</v>
      </c>
      <c r="L662">
        <v>1</v>
      </c>
      <c r="M662" t="s">
        <v>53</v>
      </c>
      <c r="N662">
        <v>50</v>
      </c>
      <c r="O662">
        <v>1</v>
      </c>
      <c r="P662" t="s">
        <v>52</v>
      </c>
      <c r="Q662">
        <v>0.5</v>
      </c>
      <c r="R662">
        <v>0.75</v>
      </c>
      <c r="S662">
        <v>85</v>
      </c>
      <c r="T662" t="s">
        <v>285</v>
      </c>
      <c r="U662">
        <v>93</v>
      </c>
      <c r="V662" t="s">
        <v>284</v>
      </c>
      <c r="W662">
        <v>89.7</v>
      </c>
      <c r="X662" t="s">
        <v>284</v>
      </c>
      <c r="Y662">
        <v>92.72</v>
      </c>
      <c r="Z662" t="s">
        <v>284</v>
      </c>
      <c r="AA662">
        <v>109</v>
      </c>
      <c r="AB662" t="s">
        <v>285</v>
      </c>
      <c r="AG662">
        <v>91.806700000000006</v>
      </c>
      <c r="AH662" t="s">
        <v>54</v>
      </c>
      <c r="AI662" t="s">
        <v>52</v>
      </c>
      <c r="AZ662" t="s">
        <v>52</v>
      </c>
      <c r="BQ662" t="s">
        <v>52</v>
      </c>
      <c r="BR662">
        <v>4.4800000000000004</v>
      </c>
      <c r="BS662" t="s">
        <v>289</v>
      </c>
      <c r="BT662">
        <v>2.0299999999999998</v>
      </c>
      <c r="BU662" t="s">
        <v>284</v>
      </c>
      <c r="BV662">
        <v>2.93</v>
      </c>
      <c r="BW662" t="s">
        <v>284</v>
      </c>
      <c r="BX662">
        <v>2.78</v>
      </c>
      <c r="BY662" t="s">
        <v>284</v>
      </c>
      <c r="BZ662">
        <v>3.64</v>
      </c>
      <c r="CA662" t="s">
        <v>289</v>
      </c>
      <c r="CF662">
        <v>3.12</v>
      </c>
      <c r="CG662" t="s">
        <v>54</v>
      </c>
      <c r="CH662" t="s">
        <v>52</v>
      </c>
    </row>
    <row r="663" spans="1:86" x14ac:dyDescent="0.25">
      <c r="A663" t="s">
        <v>47</v>
      </c>
      <c r="B663">
        <v>8</v>
      </c>
      <c r="C663" t="s">
        <v>159</v>
      </c>
      <c r="D663">
        <v>61</v>
      </c>
      <c r="E663" t="s">
        <v>79</v>
      </c>
      <c r="F663">
        <v>50</v>
      </c>
      <c r="G663" t="s">
        <v>80</v>
      </c>
      <c r="H663" t="s">
        <v>50</v>
      </c>
      <c r="K663" t="s">
        <v>52</v>
      </c>
      <c r="L663">
        <v>1</v>
      </c>
      <c r="M663" t="s">
        <v>53</v>
      </c>
      <c r="N663">
        <v>50</v>
      </c>
      <c r="O663">
        <v>1</v>
      </c>
      <c r="P663" t="s">
        <v>52</v>
      </c>
      <c r="Q663">
        <v>0.5</v>
      </c>
      <c r="R663">
        <v>0.75</v>
      </c>
      <c r="S663">
        <v>85</v>
      </c>
      <c r="T663" t="s">
        <v>285</v>
      </c>
      <c r="U663">
        <v>93</v>
      </c>
      <c r="V663" t="s">
        <v>284</v>
      </c>
      <c r="W663">
        <v>89.7</v>
      </c>
      <c r="X663" t="s">
        <v>284</v>
      </c>
      <c r="Y663">
        <v>92.72</v>
      </c>
      <c r="Z663" t="s">
        <v>284</v>
      </c>
      <c r="AA663">
        <v>109</v>
      </c>
      <c r="AB663" t="s">
        <v>285</v>
      </c>
      <c r="AG663">
        <v>91.806700000000006</v>
      </c>
      <c r="AH663" t="s">
        <v>54</v>
      </c>
      <c r="AI663" t="s">
        <v>52</v>
      </c>
      <c r="AZ663" t="s">
        <v>52</v>
      </c>
      <c r="BQ663" t="s">
        <v>52</v>
      </c>
      <c r="BR663">
        <v>0.75</v>
      </c>
      <c r="BS663" t="s">
        <v>289</v>
      </c>
      <c r="BT663">
        <v>1.0900000000000001</v>
      </c>
      <c r="BU663" t="s">
        <v>285</v>
      </c>
      <c r="BV663">
        <v>1.21</v>
      </c>
      <c r="BW663" t="s">
        <v>284</v>
      </c>
      <c r="BX663">
        <v>1.22</v>
      </c>
      <c r="BY663" t="s">
        <v>284</v>
      </c>
      <c r="BZ663">
        <v>0.67</v>
      </c>
      <c r="CA663" t="s">
        <v>289</v>
      </c>
      <c r="CF663">
        <v>1.02</v>
      </c>
      <c r="CG663" t="s">
        <v>54</v>
      </c>
      <c r="CH663" t="s">
        <v>52</v>
      </c>
    </row>
    <row r="664" spans="1:86" x14ac:dyDescent="0.25">
      <c r="A664" t="s">
        <v>47</v>
      </c>
      <c r="B664">
        <v>8</v>
      </c>
      <c r="C664" t="s">
        <v>159</v>
      </c>
      <c r="D664">
        <v>61</v>
      </c>
      <c r="E664" t="s">
        <v>79</v>
      </c>
      <c r="F664">
        <v>50</v>
      </c>
      <c r="G664" t="s">
        <v>81</v>
      </c>
      <c r="H664" t="s">
        <v>50</v>
      </c>
      <c r="K664" t="s">
        <v>51</v>
      </c>
      <c r="L664">
        <v>1</v>
      </c>
      <c r="M664" t="s">
        <v>53</v>
      </c>
      <c r="N664">
        <v>50</v>
      </c>
      <c r="O664">
        <v>1</v>
      </c>
      <c r="P664" t="s">
        <v>52</v>
      </c>
      <c r="Q664">
        <v>0.5</v>
      </c>
      <c r="R664">
        <v>0.75</v>
      </c>
      <c r="S664">
        <v>85</v>
      </c>
      <c r="T664" t="s">
        <v>285</v>
      </c>
      <c r="U664">
        <v>93</v>
      </c>
      <c r="V664" t="s">
        <v>284</v>
      </c>
      <c r="W664">
        <v>89.7</v>
      </c>
      <c r="X664" t="s">
        <v>284</v>
      </c>
      <c r="Y664">
        <v>92.72</v>
      </c>
      <c r="Z664" t="s">
        <v>284</v>
      </c>
      <c r="AA664">
        <v>109</v>
      </c>
      <c r="AB664" t="s">
        <v>285</v>
      </c>
      <c r="AG664">
        <v>91.806700000000006</v>
      </c>
      <c r="AH664" t="s">
        <v>54</v>
      </c>
      <c r="AI664" t="s">
        <v>52</v>
      </c>
      <c r="AZ664" t="s">
        <v>52</v>
      </c>
      <c r="BQ664" t="s">
        <v>52</v>
      </c>
      <c r="BR664">
        <v>2.74</v>
      </c>
      <c r="BS664" t="s">
        <v>289</v>
      </c>
      <c r="BT664">
        <v>1.59</v>
      </c>
      <c r="BU664" t="s">
        <v>284</v>
      </c>
      <c r="BV664">
        <v>2.29</v>
      </c>
      <c r="BW664" t="s">
        <v>284</v>
      </c>
      <c r="BX664">
        <v>2.17</v>
      </c>
      <c r="BY664" t="s">
        <v>284</v>
      </c>
      <c r="BZ664">
        <v>2.84</v>
      </c>
      <c r="CA664" t="s">
        <v>289</v>
      </c>
      <c r="CF664">
        <v>2.4</v>
      </c>
      <c r="CG664" t="s">
        <v>54</v>
      </c>
      <c r="CH664" t="s">
        <v>52</v>
      </c>
    </row>
    <row r="665" spans="1:86" x14ac:dyDescent="0.25">
      <c r="A665" t="s">
        <v>47</v>
      </c>
      <c r="B665">
        <v>8</v>
      </c>
      <c r="C665" t="s">
        <v>159</v>
      </c>
      <c r="D665">
        <v>61</v>
      </c>
      <c r="E665" t="s">
        <v>79</v>
      </c>
      <c r="F665">
        <v>50</v>
      </c>
      <c r="G665" t="s">
        <v>81</v>
      </c>
      <c r="H665" t="s">
        <v>50</v>
      </c>
      <c r="K665" t="s">
        <v>52</v>
      </c>
      <c r="L665">
        <v>1</v>
      </c>
      <c r="M665" t="s">
        <v>53</v>
      </c>
      <c r="N665">
        <v>50</v>
      </c>
      <c r="O665">
        <v>1</v>
      </c>
      <c r="P665" t="s">
        <v>52</v>
      </c>
      <c r="Q665">
        <v>0.5</v>
      </c>
      <c r="R665">
        <v>0.75</v>
      </c>
      <c r="S665">
        <v>85</v>
      </c>
      <c r="T665" t="s">
        <v>285</v>
      </c>
      <c r="U665">
        <v>93</v>
      </c>
      <c r="V665" t="s">
        <v>284</v>
      </c>
      <c r="W665">
        <v>89.7</v>
      </c>
      <c r="X665" t="s">
        <v>284</v>
      </c>
      <c r="Y665">
        <v>92.72</v>
      </c>
      <c r="Z665" t="s">
        <v>284</v>
      </c>
      <c r="AA665">
        <v>109</v>
      </c>
      <c r="AB665" t="s">
        <v>285</v>
      </c>
      <c r="AG665">
        <v>91.806700000000006</v>
      </c>
      <c r="AH665" t="s">
        <v>54</v>
      </c>
      <c r="AI665" t="s">
        <v>52</v>
      </c>
      <c r="AZ665" t="s">
        <v>52</v>
      </c>
      <c r="BQ665" t="s">
        <v>52</v>
      </c>
      <c r="BR665">
        <v>2.74</v>
      </c>
      <c r="BS665" t="s">
        <v>289</v>
      </c>
      <c r="BT665">
        <v>0.82</v>
      </c>
      <c r="BU665" t="s">
        <v>285</v>
      </c>
      <c r="BV665">
        <v>0.89</v>
      </c>
      <c r="BW665" t="s">
        <v>284</v>
      </c>
      <c r="BX665">
        <v>0.95</v>
      </c>
      <c r="BY665" t="s">
        <v>285</v>
      </c>
      <c r="BZ665">
        <v>0.52</v>
      </c>
      <c r="CA665" t="s">
        <v>289</v>
      </c>
      <c r="CF665">
        <v>0.89</v>
      </c>
      <c r="CG665" t="s">
        <v>54</v>
      </c>
      <c r="CH665" t="s">
        <v>52</v>
      </c>
    </row>
    <row r="666" spans="1:86" x14ac:dyDescent="0.25">
      <c r="A666" t="s">
        <v>47</v>
      </c>
      <c r="B666">
        <v>8</v>
      </c>
      <c r="C666" t="s">
        <v>159</v>
      </c>
      <c r="D666">
        <v>61</v>
      </c>
      <c r="E666" t="s">
        <v>82</v>
      </c>
      <c r="F666">
        <v>52</v>
      </c>
      <c r="H666" t="s">
        <v>50</v>
      </c>
      <c r="K666" t="s">
        <v>52</v>
      </c>
      <c r="L666">
        <v>1</v>
      </c>
      <c r="M666" t="s">
        <v>53</v>
      </c>
      <c r="N666">
        <v>50</v>
      </c>
      <c r="O666">
        <v>1</v>
      </c>
      <c r="P666" t="s">
        <v>52</v>
      </c>
      <c r="Q666">
        <v>0.5</v>
      </c>
      <c r="R666">
        <v>0.75</v>
      </c>
      <c r="S666">
        <v>85</v>
      </c>
      <c r="T666" t="s">
        <v>285</v>
      </c>
      <c r="U666">
        <v>93</v>
      </c>
      <c r="V666" t="s">
        <v>284</v>
      </c>
      <c r="W666">
        <v>191.5</v>
      </c>
      <c r="X666" t="s">
        <v>284</v>
      </c>
      <c r="Y666">
        <v>198</v>
      </c>
      <c r="Z666" t="s">
        <v>284</v>
      </c>
      <c r="AA666">
        <v>109</v>
      </c>
      <c r="AB666" t="s">
        <v>285</v>
      </c>
      <c r="AG666">
        <v>131.16669999999999</v>
      </c>
      <c r="AH666" t="s">
        <v>54</v>
      </c>
      <c r="AI666" t="s">
        <v>52</v>
      </c>
      <c r="AZ666" t="s">
        <v>52</v>
      </c>
      <c r="BQ666" t="s">
        <v>52</v>
      </c>
      <c r="BR666">
        <v>2.36</v>
      </c>
      <c r="BS666" t="s">
        <v>289</v>
      </c>
      <c r="BT666">
        <v>1.17</v>
      </c>
      <c r="BU666" t="s">
        <v>285</v>
      </c>
      <c r="BV666">
        <v>0.57999999999999996</v>
      </c>
      <c r="BW666" t="s">
        <v>285</v>
      </c>
      <c r="BX666">
        <v>0.7</v>
      </c>
      <c r="BY666" t="s">
        <v>285</v>
      </c>
      <c r="BZ666">
        <v>0.45</v>
      </c>
      <c r="CA666" t="s">
        <v>285</v>
      </c>
      <c r="CF666">
        <v>0.82</v>
      </c>
      <c r="CG666" t="s">
        <v>54</v>
      </c>
      <c r="CH666" t="s">
        <v>52</v>
      </c>
    </row>
    <row r="667" spans="1:86" x14ac:dyDescent="0.25">
      <c r="A667" t="s">
        <v>47</v>
      </c>
      <c r="B667">
        <v>8</v>
      </c>
      <c r="C667" t="s">
        <v>159</v>
      </c>
      <c r="D667">
        <v>61</v>
      </c>
      <c r="E667" t="s">
        <v>83</v>
      </c>
      <c r="F667">
        <v>158</v>
      </c>
      <c r="H667" t="s">
        <v>50</v>
      </c>
      <c r="K667" t="s">
        <v>51</v>
      </c>
      <c r="L667">
        <v>1</v>
      </c>
      <c r="M667" t="s">
        <v>53</v>
      </c>
      <c r="N667">
        <v>158</v>
      </c>
      <c r="O667">
        <v>2</v>
      </c>
      <c r="P667" t="s">
        <v>52</v>
      </c>
      <c r="Q667">
        <v>0.77</v>
      </c>
      <c r="R667">
        <v>0.93</v>
      </c>
      <c r="S667">
        <v>228</v>
      </c>
      <c r="T667" t="s">
        <v>284</v>
      </c>
      <c r="U667">
        <v>221</v>
      </c>
      <c r="V667" t="s">
        <v>284</v>
      </c>
      <c r="W667">
        <v>236</v>
      </c>
      <c r="X667" t="s">
        <v>284</v>
      </c>
      <c r="Y667">
        <v>244</v>
      </c>
      <c r="Z667" t="s">
        <v>284</v>
      </c>
      <c r="AA667">
        <v>252</v>
      </c>
      <c r="AB667" t="s">
        <v>284</v>
      </c>
      <c r="AG667">
        <v>236</v>
      </c>
      <c r="AH667" t="s">
        <v>54</v>
      </c>
      <c r="AI667" t="s">
        <v>52</v>
      </c>
      <c r="AX667">
        <v>339</v>
      </c>
      <c r="AY667" t="s">
        <v>285</v>
      </c>
      <c r="AZ667" t="s">
        <v>287</v>
      </c>
      <c r="BQ667" t="s">
        <v>52</v>
      </c>
      <c r="BR667">
        <v>1.85</v>
      </c>
      <c r="BS667" t="s">
        <v>284</v>
      </c>
      <c r="BT667">
        <v>1.35</v>
      </c>
      <c r="BU667" t="s">
        <v>284</v>
      </c>
      <c r="BV667">
        <v>1.03</v>
      </c>
      <c r="BW667" t="s">
        <v>288</v>
      </c>
      <c r="BX667">
        <v>1.34</v>
      </c>
      <c r="BY667" t="s">
        <v>289</v>
      </c>
      <c r="BZ667">
        <v>1.22</v>
      </c>
      <c r="CA667" t="s">
        <v>289</v>
      </c>
      <c r="CF667">
        <v>1.3</v>
      </c>
      <c r="CG667" t="s">
        <v>54</v>
      </c>
      <c r="CH667" t="s">
        <v>52</v>
      </c>
    </row>
    <row r="668" spans="1:86" x14ac:dyDescent="0.25">
      <c r="A668" t="s">
        <v>47</v>
      </c>
      <c r="B668">
        <v>8</v>
      </c>
      <c r="C668" t="s">
        <v>159</v>
      </c>
      <c r="D668">
        <v>61</v>
      </c>
      <c r="E668" t="s">
        <v>83</v>
      </c>
      <c r="F668">
        <v>158</v>
      </c>
      <c r="H668" t="s">
        <v>50</v>
      </c>
      <c r="K668" t="s">
        <v>52</v>
      </c>
      <c r="L668">
        <v>1</v>
      </c>
      <c r="M668" t="s">
        <v>53</v>
      </c>
      <c r="N668">
        <v>158</v>
      </c>
      <c r="O668">
        <v>2</v>
      </c>
      <c r="P668" t="s">
        <v>52</v>
      </c>
      <c r="Q668">
        <v>0.77</v>
      </c>
      <c r="R668">
        <v>0.93</v>
      </c>
      <c r="S668">
        <v>228</v>
      </c>
      <c r="T668" t="s">
        <v>284</v>
      </c>
      <c r="U668">
        <v>221</v>
      </c>
      <c r="V668" t="s">
        <v>284</v>
      </c>
      <c r="W668">
        <v>236</v>
      </c>
      <c r="X668" t="s">
        <v>284</v>
      </c>
      <c r="Y668">
        <v>244</v>
      </c>
      <c r="Z668" t="s">
        <v>284</v>
      </c>
      <c r="AA668">
        <v>252</v>
      </c>
      <c r="AB668" t="s">
        <v>284</v>
      </c>
      <c r="AG668">
        <v>236</v>
      </c>
      <c r="AH668" t="s">
        <v>54</v>
      </c>
      <c r="AI668" t="s">
        <v>52</v>
      </c>
      <c r="AX668">
        <v>339</v>
      </c>
      <c r="AY668" t="s">
        <v>285</v>
      </c>
      <c r="AZ668" t="s">
        <v>287</v>
      </c>
      <c r="BQ668" t="s">
        <v>52</v>
      </c>
      <c r="BR668">
        <v>1.31</v>
      </c>
      <c r="BS668" t="s">
        <v>285</v>
      </c>
      <c r="BT668">
        <v>1.01</v>
      </c>
      <c r="BU668" t="s">
        <v>284</v>
      </c>
      <c r="BV668">
        <v>0.33</v>
      </c>
      <c r="BW668" t="s">
        <v>288</v>
      </c>
      <c r="BX668">
        <v>0.56999999999999995</v>
      </c>
      <c r="BY668" t="s">
        <v>285</v>
      </c>
      <c r="BZ668">
        <v>0.1</v>
      </c>
      <c r="CA668" t="s">
        <v>289</v>
      </c>
      <c r="CF668">
        <v>0.64</v>
      </c>
      <c r="CG668" t="s">
        <v>54</v>
      </c>
      <c r="CH668" t="s">
        <v>52</v>
      </c>
    </row>
    <row r="669" spans="1:86" x14ac:dyDescent="0.25">
      <c r="A669" t="s">
        <v>47</v>
      </c>
      <c r="B669">
        <v>8</v>
      </c>
      <c r="C669" t="s">
        <v>162</v>
      </c>
      <c r="D669">
        <v>63</v>
      </c>
      <c r="E669" t="s">
        <v>49</v>
      </c>
      <c r="F669">
        <v>27</v>
      </c>
      <c r="H669" t="s">
        <v>50</v>
      </c>
      <c r="K669" t="s">
        <v>51</v>
      </c>
      <c r="L669">
        <v>1</v>
      </c>
      <c r="M669" t="s">
        <v>53</v>
      </c>
      <c r="N669">
        <v>27</v>
      </c>
      <c r="O669">
        <v>1</v>
      </c>
      <c r="P669" t="s">
        <v>52</v>
      </c>
      <c r="Q669">
        <v>0</v>
      </c>
      <c r="R669">
        <v>0.75</v>
      </c>
      <c r="S669">
        <v>231</v>
      </c>
      <c r="T669" t="s">
        <v>284</v>
      </c>
      <c r="U669">
        <v>208</v>
      </c>
      <c r="V669" t="s">
        <v>284</v>
      </c>
      <c r="W669">
        <v>224</v>
      </c>
      <c r="X669" t="s">
        <v>284</v>
      </c>
      <c r="Y669">
        <v>225</v>
      </c>
      <c r="Z669" t="s">
        <v>285</v>
      </c>
      <c r="AA669">
        <v>247</v>
      </c>
      <c r="AB669" t="s">
        <v>285</v>
      </c>
      <c r="AC669">
        <v>241</v>
      </c>
      <c r="AD669" t="s">
        <v>285</v>
      </c>
      <c r="AE669">
        <v>219</v>
      </c>
      <c r="AF669" t="s">
        <v>285</v>
      </c>
      <c r="AG669">
        <v>219</v>
      </c>
      <c r="AH669" t="s">
        <v>286</v>
      </c>
      <c r="AI669" t="s">
        <v>287</v>
      </c>
      <c r="AX669">
        <v>263</v>
      </c>
      <c r="AY669" t="s">
        <v>286</v>
      </c>
      <c r="AZ669" t="s">
        <v>287</v>
      </c>
      <c r="BQ669" t="s">
        <v>52</v>
      </c>
      <c r="BR669">
        <v>3.7</v>
      </c>
      <c r="BS669" t="s">
        <v>284</v>
      </c>
      <c r="BT669">
        <v>3.4</v>
      </c>
      <c r="BU669" t="s">
        <v>284</v>
      </c>
      <c r="CH669" t="s">
        <v>52</v>
      </c>
    </row>
    <row r="670" spans="1:86" x14ac:dyDescent="0.25">
      <c r="A670" t="s">
        <v>47</v>
      </c>
      <c r="B670">
        <v>8</v>
      </c>
      <c r="C670" t="s">
        <v>162</v>
      </c>
      <c r="D670">
        <v>63</v>
      </c>
      <c r="E670" t="s">
        <v>49</v>
      </c>
      <c r="F670">
        <v>27</v>
      </c>
      <c r="H670" t="s">
        <v>50</v>
      </c>
      <c r="K670" t="s">
        <v>52</v>
      </c>
      <c r="L670">
        <v>1</v>
      </c>
      <c r="M670" t="s">
        <v>53</v>
      </c>
      <c r="N670">
        <v>27</v>
      </c>
      <c r="O670">
        <v>1</v>
      </c>
      <c r="P670" t="s">
        <v>52</v>
      </c>
      <c r="Q670">
        <v>0</v>
      </c>
      <c r="R670">
        <v>0.75</v>
      </c>
      <c r="S670">
        <v>231</v>
      </c>
      <c r="T670" t="s">
        <v>284</v>
      </c>
      <c r="U670">
        <v>208</v>
      </c>
      <c r="V670" t="s">
        <v>284</v>
      </c>
      <c r="W670">
        <v>224</v>
      </c>
      <c r="X670" t="s">
        <v>284</v>
      </c>
      <c r="Y670">
        <v>225</v>
      </c>
      <c r="Z670" t="s">
        <v>285</v>
      </c>
      <c r="AA670">
        <v>247</v>
      </c>
      <c r="AB670" t="s">
        <v>285</v>
      </c>
      <c r="AC670">
        <v>241</v>
      </c>
      <c r="AD670" t="s">
        <v>285</v>
      </c>
      <c r="AE670">
        <v>219</v>
      </c>
      <c r="AF670" t="s">
        <v>285</v>
      </c>
      <c r="AG670">
        <v>219</v>
      </c>
      <c r="AH670" t="s">
        <v>286</v>
      </c>
      <c r="AI670" t="s">
        <v>287</v>
      </c>
      <c r="AX670">
        <v>263</v>
      </c>
      <c r="AY670" t="s">
        <v>286</v>
      </c>
      <c r="AZ670" t="s">
        <v>287</v>
      </c>
      <c r="BQ670" t="s">
        <v>52</v>
      </c>
      <c r="BR670">
        <v>1.3</v>
      </c>
      <c r="BS670" t="s">
        <v>284</v>
      </c>
      <c r="BT670">
        <v>1.2</v>
      </c>
      <c r="BU670" t="s">
        <v>284</v>
      </c>
      <c r="CH670" t="s">
        <v>52</v>
      </c>
    </row>
    <row r="671" spans="1:86" x14ac:dyDescent="0.25">
      <c r="A671" t="s">
        <v>47</v>
      </c>
      <c r="B671">
        <v>8</v>
      </c>
      <c r="C671" t="s">
        <v>162</v>
      </c>
      <c r="D671">
        <v>63</v>
      </c>
      <c r="E671" t="s">
        <v>87</v>
      </c>
      <c r="F671">
        <v>91</v>
      </c>
      <c r="G671" t="s">
        <v>76</v>
      </c>
      <c r="H671" t="s">
        <v>50</v>
      </c>
      <c r="K671" t="s">
        <v>52</v>
      </c>
      <c r="L671">
        <v>1</v>
      </c>
      <c r="M671" t="s">
        <v>53</v>
      </c>
      <c r="N671">
        <v>91</v>
      </c>
      <c r="O671">
        <v>2</v>
      </c>
      <c r="P671" t="s">
        <v>52</v>
      </c>
      <c r="Q671">
        <v>0.77</v>
      </c>
      <c r="R671">
        <v>0.93</v>
      </c>
      <c r="S671">
        <v>135</v>
      </c>
      <c r="T671" t="s">
        <v>284</v>
      </c>
      <c r="U671">
        <v>133</v>
      </c>
      <c r="V671" t="s">
        <v>284</v>
      </c>
      <c r="W671">
        <v>147</v>
      </c>
      <c r="X671" t="s">
        <v>284</v>
      </c>
      <c r="Y671">
        <v>170</v>
      </c>
      <c r="Z671" t="s">
        <v>284</v>
      </c>
      <c r="AA671">
        <v>167</v>
      </c>
      <c r="AB671" t="s">
        <v>284</v>
      </c>
      <c r="AG671">
        <v>149.66669999999999</v>
      </c>
      <c r="AH671" t="s">
        <v>54</v>
      </c>
      <c r="AI671" t="s">
        <v>52</v>
      </c>
      <c r="AZ671" t="s">
        <v>52</v>
      </c>
      <c r="BQ671" t="s">
        <v>52</v>
      </c>
      <c r="CH671" t="s">
        <v>52</v>
      </c>
    </row>
    <row r="672" spans="1:86" x14ac:dyDescent="0.25">
      <c r="A672" t="s">
        <v>47</v>
      </c>
      <c r="B672">
        <v>8</v>
      </c>
      <c r="C672" t="s">
        <v>162</v>
      </c>
      <c r="D672">
        <v>63</v>
      </c>
      <c r="E672" t="s">
        <v>58</v>
      </c>
      <c r="F672">
        <v>102</v>
      </c>
      <c r="G672" t="s">
        <v>62</v>
      </c>
      <c r="H672" t="s">
        <v>50</v>
      </c>
      <c r="K672" t="s">
        <v>52</v>
      </c>
      <c r="L672">
        <v>1</v>
      </c>
      <c r="M672" t="s">
        <v>53</v>
      </c>
      <c r="N672">
        <v>102</v>
      </c>
      <c r="O672">
        <v>1</v>
      </c>
      <c r="P672" t="s">
        <v>52</v>
      </c>
      <c r="Q672">
        <v>0</v>
      </c>
      <c r="R672">
        <v>0.92</v>
      </c>
      <c r="S672">
        <v>131.69999999999999</v>
      </c>
      <c r="T672" t="s">
        <v>284</v>
      </c>
      <c r="U672">
        <v>170</v>
      </c>
      <c r="V672" t="s">
        <v>284</v>
      </c>
      <c r="W672">
        <v>191</v>
      </c>
      <c r="X672" t="s">
        <v>284</v>
      </c>
      <c r="Y672">
        <v>207</v>
      </c>
      <c r="Z672" t="s">
        <v>284</v>
      </c>
      <c r="AA672">
        <v>205</v>
      </c>
      <c r="AB672" t="s">
        <v>285</v>
      </c>
      <c r="AG672">
        <v>188.66669999999999</v>
      </c>
      <c r="AH672" t="s">
        <v>54</v>
      </c>
      <c r="AI672" t="s">
        <v>52</v>
      </c>
      <c r="AX672">
        <v>271.60000000000002</v>
      </c>
      <c r="AY672" t="s">
        <v>285</v>
      </c>
      <c r="AZ672" t="s">
        <v>287</v>
      </c>
      <c r="BQ672" t="s">
        <v>52</v>
      </c>
      <c r="BR672">
        <v>0.83</v>
      </c>
      <c r="BS672" t="s">
        <v>285</v>
      </c>
      <c r="BT672">
        <v>0.94</v>
      </c>
      <c r="BU672" t="s">
        <v>284</v>
      </c>
      <c r="BV672">
        <v>0.28000000000000003</v>
      </c>
      <c r="BW672" t="s">
        <v>285</v>
      </c>
      <c r="BX672">
        <v>0.5</v>
      </c>
      <c r="BY672" t="s">
        <v>285</v>
      </c>
      <c r="BZ672">
        <v>0.43</v>
      </c>
      <c r="CA672" t="s">
        <v>284</v>
      </c>
      <c r="CF672">
        <v>0.59</v>
      </c>
      <c r="CG672" t="s">
        <v>54</v>
      </c>
      <c r="CH672" t="s">
        <v>52</v>
      </c>
    </row>
    <row r="673" spans="1:86" x14ac:dyDescent="0.25">
      <c r="A673" t="s">
        <v>47</v>
      </c>
      <c r="B673">
        <v>8</v>
      </c>
      <c r="C673" t="s">
        <v>162</v>
      </c>
      <c r="D673">
        <v>63</v>
      </c>
      <c r="E673" t="s">
        <v>68</v>
      </c>
      <c r="F673">
        <v>80</v>
      </c>
      <c r="G673" t="s">
        <v>69</v>
      </c>
      <c r="H673" t="s">
        <v>50</v>
      </c>
      <c r="K673" t="s">
        <v>51</v>
      </c>
      <c r="L673">
        <v>1</v>
      </c>
      <c r="M673" t="s">
        <v>53</v>
      </c>
      <c r="N673">
        <v>80</v>
      </c>
      <c r="O673">
        <v>1</v>
      </c>
      <c r="P673" t="s">
        <v>52</v>
      </c>
      <c r="Q673">
        <v>0.5</v>
      </c>
      <c r="R673">
        <v>0.75</v>
      </c>
      <c r="S673">
        <v>202.92</v>
      </c>
      <c r="T673" t="s">
        <v>284</v>
      </c>
      <c r="U673">
        <v>198.9</v>
      </c>
      <c r="V673" t="s">
        <v>284</v>
      </c>
      <c r="W673">
        <v>212.4</v>
      </c>
      <c r="X673" t="s">
        <v>284</v>
      </c>
      <c r="Y673">
        <v>219.6</v>
      </c>
      <c r="Z673" t="s">
        <v>284</v>
      </c>
      <c r="AA673">
        <v>178</v>
      </c>
      <c r="AB673" t="s">
        <v>284</v>
      </c>
      <c r="AG673">
        <v>204.74</v>
      </c>
      <c r="AH673" t="s">
        <v>54</v>
      </c>
      <c r="AI673" t="s">
        <v>52</v>
      </c>
      <c r="AZ673" t="s">
        <v>52</v>
      </c>
      <c r="BQ673" t="s">
        <v>52</v>
      </c>
      <c r="BR673">
        <v>1.85</v>
      </c>
      <c r="BS673" t="s">
        <v>284</v>
      </c>
      <c r="BT673">
        <v>1.67</v>
      </c>
      <c r="BU673" t="s">
        <v>284</v>
      </c>
      <c r="BV673">
        <v>1.83</v>
      </c>
      <c r="BW673" t="s">
        <v>284</v>
      </c>
      <c r="CH673" t="s">
        <v>52</v>
      </c>
    </row>
    <row r="674" spans="1:86" x14ac:dyDescent="0.25">
      <c r="A674" t="s">
        <v>47</v>
      </c>
      <c r="B674">
        <v>8</v>
      </c>
      <c r="C674" t="s">
        <v>162</v>
      </c>
      <c r="D674">
        <v>63</v>
      </c>
      <c r="E674" t="s">
        <v>68</v>
      </c>
      <c r="F674">
        <v>80</v>
      </c>
      <c r="G674" t="s">
        <v>69</v>
      </c>
      <c r="H674" t="s">
        <v>50</v>
      </c>
      <c r="K674" t="s">
        <v>52</v>
      </c>
      <c r="L674">
        <v>1</v>
      </c>
      <c r="M674" t="s">
        <v>53</v>
      </c>
      <c r="N674">
        <v>80</v>
      </c>
      <c r="O674">
        <v>1</v>
      </c>
      <c r="P674" t="s">
        <v>52</v>
      </c>
      <c r="Q674">
        <v>0.5</v>
      </c>
      <c r="R674">
        <v>0.75</v>
      </c>
      <c r="S674">
        <v>202.92</v>
      </c>
      <c r="T674" t="s">
        <v>284</v>
      </c>
      <c r="U674">
        <v>198.9</v>
      </c>
      <c r="V674" t="s">
        <v>284</v>
      </c>
      <c r="W674">
        <v>212.4</v>
      </c>
      <c r="X674" t="s">
        <v>284</v>
      </c>
      <c r="Y674">
        <v>219.6</v>
      </c>
      <c r="Z674" t="s">
        <v>284</v>
      </c>
      <c r="AA674">
        <v>178</v>
      </c>
      <c r="AB674" t="s">
        <v>284</v>
      </c>
      <c r="AG674">
        <v>204.74</v>
      </c>
      <c r="AH674" t="s">
        <v>54</v>
      </c>
      <c r="AI674" t="s">
        <v>52</v>
      </c>
      <c r="AZ674" t="s">
        <v>52</v>
      </c>
      <c r="BQ674" t="s">
        <v>52</v>
      </c>
      <c r="BR674">
        <v>0.65</v>
      </c>
      <c r="BS674" t="s">
        <v>285</v>
      </c>
      <c r="BT674">
        <v>0.87</v>
      </c>
      <c r="BU674" t="s">
        <v>284</v>
      </c>
      <c r="BV674">
        <v>1.26</v>
      </c>
      <c r="BW674" t="s">
        <v>284</v>
      </c>
      <c r="BX674">
        <v>1.81</v>
      </c>
      <c r="BY674" t="s">
        <v>288</v>
      </c>
      <c r="BZ674">
        <v>1.57</v>
      </c>
      <c r="CA674" t="s">
        <v>285</v>
      </c>
      <c r="CF674">
        <v>1.23</v>
      </c>
      <c r="CG674" t="s">
        <v>54</v>
      </c>
      <c r="CH674" t="s">
        <v>52</v>
      </c>
    </row>
    <row r="675" spans="1:86" x14ac:dyDescent="0.25">
      <c r="A675" t="s">
        <v>47</v>
      </c>
      <c r="B675">
        <v>8</v>
      </c>
      <c r="C675" t="s">
        <v>162</v>
      </c>
      <c r="D675">
        <v>63</v>
      </c>
      <c r="E675" t="s">
        <v>68</v>
      </c>
      <c r="F675">
        <v>80</v>
      </c>
      <c r="G675" t="s">
        <v>163</v>
      </c>
      <c r="H675" t="s">
        <v>50</v>
      </c>
      <c r="K675" t="s">
        <v>51</v>
      </c>
      <c r="L675">
        <v>1</v>
      </c>
      <c r="M675" t="s">
        <v>53</v>
      </c>
      <c r="N675">
        <v>80</v>
      </c>
      <c r="O675">
        <v>1</v>
      </c>
      <c r="P675" t="s">
        <v>52</v>
      </c>
      <c r="Q675">
        <v>0.5</v>
      </c>
      <c r="R675">
        <v>0.75</v>
      </c>
      <c r="S675">
        <v>202.92</v>
      </c>
      <c r="T675" t="s">
        <v>285</v>
      </c>
      <c r="U675">
        <v>198.9</v>
      </c>
      <c r="V675" t="s">
        <v>284</v>
      </c>
      <c r="W675">
        <v>212.4</v>
      </c>
      <c r="X675" t="s">
        <v>284</v>
      </c>
      <c r="Y675">
        <v>219.6</v>
      </c>
      <c r="Z675" t="s">
        <v>284</v>
      </c>
      <c r="AA675">
        <v>178</v>
      </c>
      <c r="AB675" t="s">
        <v>285</v>
      </c>
      <c r="AG675">
        <v>204.74</v>
      </c>
      <c r="AH675" t="s">
        <v>54</v>
      </c>
      <c r="AI675" t="s">
        <v>52</v>
      </c>
      <c r="AZ675" t="s">
        <v>52</v>
      </c>
      <c r="BQ675" t="s">
        <v>52</v>
      </c>
      <c r="BR675">
        <v>1.85</v>
      </c>
      <c r="BS675" t="s">
        <v>285</v>
      </c>
      <c r="BT675">
        <v>1.67</v>
      </c>
      <c r="BU675" t="s">
        <v>284</v>
      </c>
      <c r="BV675">
        <v>1.83</v>
      </c>
      <c r="BW675" t="s">
        <v>284</v>
      </c>
      <c r="BX675">
        <v>3</v>
      </c>
      <c r="BY675" t="s">
        <v>284</v>
      </c>
      <c r="BZ675">
        <v>2.61</v>
      </c>
      <c r="CA675" t="s">
        <v>285</v>
      </c>
      <c r="CF675">
        <v>2.1</v>
      </c>
      <c r="CG675" t="s">
        <v>54</v>
      </c>
      <c r="CH675" t="s">
        <v>52</v>
      </c>
    </row>
    <row r="676" spans="1:86" x14ac:dyDescent="0.25">
      <c r="A676" t="s">
        <v>47</v>
      </c>
      <c r="B676">
        <v>8</v>
      </c>
      <c r="C676" t="s">
        <v>162</v>
      </c>
      <c r="D676">
        <v>63</v>
      </c>
      <c r="E676" t="s">
        <v>68</v>
      </c>
      <c r="F676">
        <v>80</v>
      </c>
      <c r="G676" t="s">
        <v>163</v>
      </c>
      <c r="H676" t="s">
        <v>50</v>
      </c>
      <c r="K676" t="s">
        <v>52</v>
      </c>
      <c r="L676">
        <v>1</v>
      </c>
      <c r="M676" t="s">
        <v>53</v>
      </c>
      <c r="N676">
        <v>80</v>
      </c>
      <c r="O676">
        <v>1</v>
      </c>
      <c r="P676" t="s">
        <v>52</v>
      </c>
      <c r="Q676">
        <v>0.5</v>
      </c>
      <c r="R676">
        <v>0.75</v>
      </c>
      <c r="S676">
        <v>202.92</v>
      </c>
      <c r="T676" t="s">
        <v>285</v>
      </c>
      <c r="U676">
        <v>198.9</v>
      </c>
      <c r="V676" t="s">
        <v>284</v>
      </c>
      <c r="W676">
        <v>212.4</v>
      </c>
      <c r="X676" t="s">
        <v>284</v>
      </c>
      <c r="Y676">
        <v>219.6</v>
      </c>
      <c r="Z676" t="s">
        <v>284</v>
      </c>
      <c r="AA676">
        <v>178</v>
      </c>
      <c r="AB676" t="s">
        <v>285</v>
      </c>
      <c r="AG676">
        <v>204.74</v>
      </c>
      <c r="AH676" t="s">
        <v>54</v>
      </c>
      <c r="AI676" t="s">
        <v>52</v>
      </c>
      <c r="AZ676" t="s">
        <v>52</v>
      </c>
      <c r="BQ676" t="s">
        <v>52</v>
      </c>
      <c r="BR676">
        <v>0.65</v>
      </c>
      <c r="BS676" t="s">
        <v>285</v>
      </c>
      <c r="BT676">
        <v>0.87</v>
      </c>
      <c r="BU676" t="s">
        <v>284</v>
      </c>
      <c r="BV676">
        <v>1.26</v>
      </c>
      <c r="BW676" t="s">
        <v>284</v>
      </c>
      <c r="BX676">
        <v>1.81</v>
      </c>
      <c r="BY676" t="s">
        <v>288</v>
      </c>
      <c r="BZ676">
        <v>1.57</v>
      </c>
      <c r="CA676" t="s">
        <v>285</v>
      </c>
      <c r="CF676">
        <v>1.23</v>
      </c>
      <c r="CG676" t="s">
        <v>54</v>
      </c>
      <c r="CH676" t="s">
        <v>52</v>
      </c>
    </row>
    <row r="677" spans="1:86" x14ac:dyDescent="0.25">
      <c r="A677" t="s">
        <v>47</v>
      </c>
      <c r="B677">
        <v>8</v>
      </c>
      <c r="C677" t="s">
        <v>162</v>
      </c>
      <c r="D677">
        <v>63</v>
      </c>
      <c r="E677" t="s">
        <v>70</v>
      </c>
      <c r="F677">
        <v>296</v>
      </c>
      <c r="G677" t="s">
        <v>71</v>
      </c>
      <c r="H677" t="s">
        <v>50</v>
      </c>
      <c r="K677" t="s">
        <v>51</v>
      </c>
      <c r="L677">
        <v>1</v>
      </c>
      <c r="M677" t="s">
        <v>53</v>
      </c>
      <c r="N677">
        <v>296</v>
      </c>
      <c r="O677">
        <v>1</v>
      </c>
      <c r="P677" t="s">
        <v>52</v>
      </c>
      <c r="Q677">
        <v>0</v>
      </c>
      <c r="R677">
        <v>0.75</v>
      </c>
      <c r="S677">
        <v>228</v>
      </c>
      <c r="T677" t="s">
        <v>284</v>
      </c>
      <c r="U677">
        <v>190</v>
      </c>
      <c r="V677" t="s">
        <v>285</v>
      </c>
      <c r="W677">
        <v>194</v>
      </c>
      <c r="X677" t="s">
        <v>285</v>
      </c>
      <c r="Y677">
        <v>225</v>
      </c>
      <c r="Z677" t="s">
        <v>285</v>
      </c>
      <c r="AA677">
        <v>247</v>
      </c>
      <c r="AB677" t="s">
        <v>285</v>
      </c>
      <c r="AC677">
        <v>241</v>
      </c>
      <c r="AD677" t="s">
        <v>285</v>
      </c>
      <c r="AE677">
        <v>219</v>
      </c>
      <c r="AF677" t="s">
        <v>285</v>
      </c>
      <c r="AG677">
        <v>219</v>
      </c>
      <c r="AH677" t="s">
        <v>286</v>
      </c>
      <c r="AI677" t="s">
        <v>287</v>
      </c>
      <c r="AX677">
        <v>263</v>
      </c>
      <c r="AY677" t="s">
        <v>286</v>
      </c>
      <c r="AZ677" t="s">
        <v>287</v>
      </c>
      <c r="BQ677" t="s">
        <v>52</v>
      </c>
      <c r="BR677">
        <v>1.85</v>
      </c>
      <c r="BS677" t="s">
        <v>284</v>
      </c>
      <c r="BT677">
        <v>1.67</v>
      </c>
      <c r="BU677" t="s">
        <v>284</v>
      </c>
      <c r="BV677">
        <v>1</v>
      </c>
      <c r="BW677" t="s">
        <v>285</v>
      </c>
      <c r="BX677">
        <v>1</v>
      </c>
      <c r="BY677" t="s">
        <v>285</v>
      </c>
      <c r="BZ677">
        <v>1</v>
      </c>
      <c r="CA677" t="s">
        <v>284</v>
      </c>
      <c r="CF677">
        <v>1.22</v>
      </c>
      <c r="CG677" t="s">
        <v>54</v>
      </c>
      <c r="CH677" t="s">
        <v>52</v>
      </c>
    </row>
    <row r="678" spans="1:86" x14ac:dyDescent="0.25">
      <c r="A678" t="s">
        <v>47</v>
      </c>
      <c r="B678">
        <v>8</v>
      </c>
      <c r="C678" t="s">
        <v>162</v>
      </c>
      <c r="D678">
        <v>63</v>
      </c>
      <c r="E678" t="s">
        <v>70</v>
      </c>
      <c r="F678">
        <v>296</v>
      </c>
      <c r="G678" t="s">
        <v>71</v>
      </c>
      <c r="H678" t="s">
        <v>50</v>
      </c>
      <c r="K678" t="s">
        <v>52</v>
      </c>
      <c r="L678">
        <v>1</v>
      </c>
      <c r="M678" t="s">
        <v>53</v>
      </c>
      <c r="N678">
        <v>296</v>
      </c>
      <c r="O678">
        <v>1</v>
      </c>
      <c r="P678" t="s">
        <v>52</v>
      </c>
      <c r="Q678">
        <v>0</v>
      </c>
      <c r="R678">
        <v>0.75</v>
      </c>
      <c r="S678">
        <v>228</v>
      </c>
      <c r="T678" t="s">
        <v>284</v>
      </c>
      <c r="U678">
        <v>190</v>
      </c>
      <c r="V678" t="s">
        <v>285</v>
      </c>
      <c r="W678">
        <v>194</v>
      </c>
      <c r="X678" t="s">
        <v>285</v>
      </c>
      <c r="Y678">
        <v>225</v>
      </c>
      <c r="Z678" t="s">
        <v>285</v>
      </c>
      <c r="AA678">
        <v>247</v>
      </c>
      <c r="AB678" t="s">
        <v>285</v>
      </c>
      <c r="AC678">
        <v>241</v>
      </c>
      <c r="AD678" t="s">
        <v>285</v>
      </c>
      <c r="AE678">
        <v>219</v>
      </c>
      <c r="AF678" t="s">
        <v>285</v>
      </c>
      <c r="AG678">
        <v>219</v>
      </c>
      <c r="AH678" t="s">
        <v>286</v>
      </c>
      <c r="AI678" t="s">
        <v>287</v>
      </c>
      <c r="AX678">
        <v>263</v>
      </c>
      <c r="AY678" t="s">
        <v>286</v>
      </c>
      <c r="AZ678" t="s">
        <v>287</v>
      </c>
      <c r="BQ678" t="s">
        <v>52</v>
      </c>
      <c r="BR678">
        <v>0.65</v>
      </c>
      <c r="BS678" t="s">
        <v>284</v>
      </c>
      <c r="BT678">
        <v>0.83</v>
      </c>
      <c r="BU678" t="s">
        <v>285</v>
      </c>
      <c r="BV678">
        <v>0.25</v>
      </c>
      <c r="BW678" t="s">
        <v>285</v>
      </c>
      <c r="BX678">
        <v>0.22</v>
      </c>
      <c r="BY678" t="s">
        <v>284</v>
      </c>
      <c r="BZ678">
        <v>0.22</v>
      </c>
      <c r="CA678" t="s">
        <v>284</v>
      </c>
      <c r="CF678">
        <v>0.37</v>
      </c>
      <c r="CG678" t="s">
        <v>54</v>
      </c>
      <c r="CH678" t="s">
        <v>52</v>
      </c>
    </row>
    <row r="679" spans="1:86" x14ac:dyDescent="0.25">
      <c r="A679" t="s">
        <v>47</v>
      </c>
      <c r="B679">
        <v>8</v>
      </c>
      <c r="C679" t="s">
        <v>162</v>
      </c>
      <c r="D679">
        <v>63</v>
      </c>
      <c r="E679" t="s">
        <v>70</v>
      </c>
      <c r="F679">
        <v>296</v>
      </c>
      <c r="G679" t="s">
        <v>92</v>
      </c>
      <c r="H679" t="s">
        <v>50</v>
      </c>
      <c r="K679" t="s">
        <v>51</v>
      </c>
      <c r="L679">
        <v>1</v>
      </c>
      <c r="M679" t="s">
        <v>53</v>
      </c>
      <c r="N679">
        <v>102</v>
      </c>
      <c r="O679">
        <v>1</v>
      </c>
      <c r="P679" t="s">
        <v>52</v>
      </c>
      <c r="Q679">
        <v>0.5</v>
      </c>
      <c r="R679">
        <v>0.75</v>
      </c>
      <c r="S679">
        <v>228</v>
      </c>
      <c r="T679" t="s">
        <v>284</v>
      </c>
      <c r="U679">
        <v>189</v>
      </c>
      <c r="V679" t="s">
        <v>285</v>
      </c>
      <c r="W679">
        <v>199</v>
      </c>
      <c r="X679" t="s">
        <v>285</v>
      </c>
      <c r="Y679">
        <v>206</v>
      </c>
      <c r="Z679" t="s">
        <v>285</v>
      </c>
      <c r="AA679">
        <v>128</v>
      </c>
      <c r="AB679" t="s">
        <v>285</v>
      </c>
      <c r="AG679">
        <v>198</v>
      </c>
      <c r="AH679" t="s">
        <v>54</v>
      </c>
      <c r="AI679" t="s">
        <v>52</v>
      </c>
      <c r="AZ679" t="s">
        <v>52</v>
      </c>
      <c r="BQ679" t="s">
        <v>52</v>
      </c>
      <c r="BR679">
        <v>1.85</v>
      </c>
      <c r="BS679" t="s">
        <v>284</v>
      </c>
      <c r="BT679">
        <v>1.67</v>
      </c>
      <c r="BU679" t="s">
        <v>284</v>
      </c>
      <c r="BV679">
        <v>1.67</v>
      </c>
      <c r="BW679" t="s">
        <v>284</v>
      </c>
      <c r="BX679">
        <v>1.67</v>
      </c>
      <c r="BY679" t="s">
        <v>284</v>
      </c>
      <c r="BZ679">
        <v>1.67</v>
      </c>
      <c r="CA679" t="s">
        <v>285</v>
      </c>
      <c r="CF679">
        <v>1.67</v>
      </c>
      <c r="CG679" t="s">
        <v>54</v>
      </c>
      <c r="CH679" t="s">
        <v>52</v>
      </c>
    </row>
    <row r="680" spans="1:86" x14ac:dyDescent="0.25">
      <c r="A680" t="s">
        <v>47</v>
      </c>
      <c r="B680">
        <v>8</v>
      </c>
      <c r="C680" t="s">
        <v>162</v>
      </c>
      <c r="D680">
        <v>63</v>
      </c>
      <c r="E680" t="s">
        <v>70</v>
      </c>
      <c r="F680">
        <v>296</v>
      </c>
      <c r="G680" t="s">
        <v>92</v>
      </c>
      <c r="H680" t="s">
        <v>50</v>
      </c>
      <c r="K680" t="s">
        <v>52</v>
      </c>
      <c r="L680">
        <v>1</v>
      </c>
      <c r="M680" t="s">
        <v>53</v>
      </c>
      <c r="N680">
        <v>102</v>
      </c>
      <c r="O680">
        <v>1</v>
      </c>
      <c r="P680" t="s">
        <v>52</v>
      </c>
      <c r="Q680">
        <v>0.5</v>
      </c>
      <c r="R680">
        <v>0.75</v>
      </c>
      <c r="S680">
        <v>228</v>
      </c>
      <c r="T680" t="s">
        <v>284</v>
      </c>
      <c r="U680">
        <v>189</v>
      </c>
      <c r="V680" t="s">
        <v>285</v>
      </c>
      <c r="W680">
        <v>199</v>
      </c>
      <c r="X680" t="s">
        <v>285</v>
      </c>
      <c r="Y680">
        <v>206</v>
      </c>
      <c r="Z680" t="s">
        <v>285</v>
      </c>
      <c r="AA680">
        <v>128</v>
      </c>
      <c r="AB680" t="s">
        <v>285</v>
      </c>
      <c r="AG680">
        <v>198</v>
      </c>
      <c r="AH680" t="s">
        <v>54</v>
      </c>
      <c r="AI680" t="s">
        <v>52</v>
      </c>
      <c r="AZ680" t="s">
        <v>52</v>
      </c>
      <c r="BQ680" t="s">
        <v>52</v>
      </c>
      <c r="BR680">
        <v>1.85</v>
      </c>
      <c r="BS680" t="s">
        <v>284</v>
      </c>
      <c r="BT680">
        <v>0.87</v>
      </c>
      <c r="BU680" t="s">
        <v>284</v>
      </c>
      <c r="BV680">
        <v>0.32</v>
      </c>
      <c r="BW680" t="s">
        <v>284</v>
      </c>
      <c r="BX680">
        <v>0.44</v>
      </c>
      <c r="BY680" t="s">
        <v>284</v>
      </c>
      <c r="BZ680">
        <v>0.44</v>
      </c>
      <c r="CA680" t="s">
        <v>285</v>
      </c>
      <c r="CF680">
        <v>0.57999999999999996</v>
      </c>
      <c r="CG680" t="s">
        <v>54</v>
      </c>
      <c r="CH680" t="s">
        <v>52</v>
      </c>
    </row>
    <row r="681" spans="1:86" x14ac:dyDescent="0.25">
      <c r="A681" t="s">
        <v>47</v>
      </c>
      <c r="B681">
        <v>8</v>
      </c>
      <c r="C681" t="s">
        <v>162</v>
      </c>
      <c r="D681">
        <v>63</v>
      </c>
      <c r="E681" t="s">
        <v>75</v>
      </c>
      <c r="F681">
        <v>16</v>
      </c>
      <c r="G681" t="s">
        <v>76</v>
      </c>
      <c r="H681" t="s">
        <v>50</v>
      </c>
      <c r="K681" t="s">
        <v>51</v>
      </c>
      <c r="L681">
        <v>1</v>
      </c>
      <c r="M681" t="s">
        <v>53</v>
      </c>
      <c r="N681">
        <v>16</v>
      </c>
      <c r="O681">
        <v>2</v>
      </c>
      <c r="P681" t="s">
        <v>52</v>
      </c>
      <c r="Q681">
        <v>0.5</v>
      </c>
      <c r="R681">
        <v>0.75</v>
      </c>
      <c r="S681">
        <v>83.35</v>
      </c>
      <c r="T681" t="s">
        <v>285</v>
      </c>
      <c r="U681">
        <v>96.14</v>
      </c>
      <c r="V681" t="s">
        <v>284</v>
      </c>
      <c r="W681">
        <v>103.37</v>
      </c>
      <c r="X681" t="s">
        <v>284</v>
      </c>
      <c r="Y681">
        <v>106.14</v>
      </c>
      <c r="Z681" t="s">
        <v>284</v>
      </c>
      <c r="AA681">
        <v>128</v>
      </c>
      <c r="AB681" t="s">
        <v>285</v>
      </c>
      <c r="AG681">
        <v>101.88330000000001</v>
      </c>
      <c r="AH681" t="s">
        <v>54</v>
      </c>
      <c r="AI681" t="s">
        <v>52</v>
      </c>
      <c r="AX681">
        <v>146.69999999999999</v>
      </c>
      <c r="AY681" t="s">
        <v>285</v>
      </c>
      <c r="AZ681" t="s">
        <v>287</v>
      </c>
      <c r="BQ681" t="s">
        <v>52</v>
      </c>
      <c r="BR681">
        <v>1.85</v>
      </c>
      <c r="BS681" t="s">
        <v>284</v>
      </c>
      <c r="BT681">
        <v>1.67</v>
      </c>
      <c r="BU681" t="s">
        <v>284</v>
      </c>
      <c r="BV681">
        <v>1.4</v>
      </c>
      <c r="BW681" t="s">
        <v>284</v>
      </c>
      <c r="BX681">
        <v>2.2999999999999998</v>
      </c>
      <c r="BY681" t="s">
        <v>284</v>
      </c>
      <c r="BZ681">
        <v>2.69</v>
      </c>
      <c r="CA681" t="s">
        <v>289</v>
      </c>
      <c r="CF681">
        <v>1.94</v>
      </c>
      <c r="CG681" t="s">
        <v>54</v>
      </c>
      <c r="CH681" t="s">
        <v>52</v>
      </c>
    </row>
    <row r="682" spans="1:86" x14ac:dyDescent="0.25">
      <c r="A682" t="s">
        <v>47</v>
      </c>
      <c r="B682">
        <v>8</v>
      </c>
      <c r="C682" t="s">
        <v>162</v>
      </c>
      <c r="D682">
        <v>63</v>
      </c>
      <c r="E682" t="s">
        <v>75</v>
      </c>
      <c r="F682">
        <v>16</v>
      </c>
      <c r="G682" t="s">
        <v>76</v>
      </c>
      <c r="H682" t="s">
        <v>50</v>
      </c>
      <c r="K682" t="s">
        <v>52</v>
      </c>
      <c r="L682">
        <v>1</v>
      </c>
      <c r="M682" t="s">
        <v>53</v>
      </c>
      <c r="N682">
        <v>16</v>
      </c>
      <c r="O682">
        <v>2</v>
      </c>
      <c r="P682" t="s">
        <v>52</v>
      </c>
      <c r="Q682">
        <v>0.5</v>
      </c>
      <c r="R682">
        <v>0.75</v>
      </c>
      <c r="S682">
        <v>83.35</v>
      </c>
      <c r="T682" t="s">
        <v>285</v>
      </c>
      <c r="U682">
        <v>96.14</v>
      </c>
      <c r="V682" t="s">
        <v>284</v>
      </c>
      <c r="W682">
        <v>103.37</v>
      </c>
      <c r="X682" t="s">
        <v>284</v>
      </c>
      <c r="Y682">
        <v>106.14</v>
      </c>
      <c r="Z682" t="s">
        <v>284</v>
      </c>
      <c r="AA682">
        <v>128</v>
      </c>
      <c r="AB682" t="s">
        <v>285</v>
      </c>
      <c r="AG682">
        <v>101.88330000000001</v>
      </c>
      <c r="AH682" t="s">
        <v>54</v>
      </c>
      <c r="AI682" t="s">
        <v>52</v>
      </c>
      <c r="AX682">
        <v>146.69999999999999</v>
      </c>
      <c r="AY682" t="s">
        <v>285</v>
      </c>
      <c r="AZ682" t="s">
        <v>287</v>
      </c>
      <c r="BQ682" t="s">
        <v>52</v>
      </c>
      <c r="BR682">
        <v>0.65</v>
      </c>
      <c r="BS682" t="s">
        <v>284</v>
      </c>
      <c r="BT682">
        <v>0.87</v>
      </c>
      <c r="BU682" t="s">
        <v>284</v>
      </c>
      <c r="BV682">
        <v>1.57</v>
      </c>
      <c r="BW682" t="s">
        <v>284</v>
      </c>
      <c r="BX682">
        <v>1.6</v>
      </c>
      <c r="BY682" t="s">
        <v>284</v>
      </c>
      <c r="BZ682">
        <v>0.59</v>
      </c>
      <c r="CA682" t="s">
        <v>289</v>
      </c>
      <c r="CF682">
        <v>1.03</v>
      </c>
      <c r="CG682" t="s">
        <v>54</v>
      </c>
      <c r="CH682" t="s">
        <v>52</v>
      </c>
    </row>
    <row r="683" spans="1:86" x14ac:dyDescent="0.25">
      <c r="A683" t="s">
        <v>47</v>
      </c>
      <c r="B683">
        <v>8</v>
      </c>
      <c r="C683" t="s">
        <v>162</v>
      </c>
      <c r="D683">
        <v>63</v>
      </c>
      <c r="E683" t="s">
        <v>125</v>
      </c>
      <c r="F683">
        <v>67</v>
      </c>
      <c r="G683" t="s">
        <v>164</v>
      </c>
      <c r="H683" t="s">
        <v>50</v>
      </c>
      <c r="K683" t="s">
        <v>51</v>
      </c>
      <c r="L683">
        <v>1</v>
      </c>
      <c r="M683" t="s">
        <v>53</v>
      </c>
      <c r="N683">
        <v>67</v>
      </c>
      <c r="O683">
        <v>1</v>
      </c>
      <c r="P683" t="s">
        <v>52</v>
      </c>
      <c r="Q683">
        <v>0.5</v>
      </c>
      <c r="R683">
        <v>0.87</v>
      </c>
      <c r="S683">
        <v>228</v>
      </c>
      <c r="T683" t="s">
        <v>284</v>
      </c>
      <c r="AI683" t="s">
        <v>52</v>
      </c>
      <c r="AZ683" t="s">
        <v>52</v>
      </c>
      <c r="BQ683" t="s">
        <v>52</v>
      </c>
      <c r="BR683">
        <v>1.85</v>
      </c>
      <c r="BS683" t="s">
        <v>284</v>
      </c>
      <c r="CH683" t="s">
        <v>52</v>
      </c>
    </row>
    <row r="684" spans="1:86" x14ac:dyDescent="0.25">
      <c r="A684" t="s">
        <v>47</v>
      </c>
      <c r="B684">
        <v>8</v>
      </c>
      <c r="C684" t="s">
        <v>162</v>
      </c>
      <c r="D684">
        <v>63</v>
      </c>
      <c r="E684" t="s">
        <v>125</v>
      </c>
      <c r="F684">
        <v>67</v>
      </c>
      <c r="G684" t="s">
        <v>164</v>
      </c>
      <c r="H684" t="s">
        <v>50</v>
      </c>
      <c r="K684" t="s">
        <v>52</v>
      </c>
      <c r="L684">
        <v>1</v>
      </c>
      <c r="M684" t="s">
        <v>53</v>
      </c>
      <c r="N684">
        <v>67</v>
      </c>
      <c r="O684">
        <v>1</v>
      </c>
      <c r="P684" t="s">
        <v>52</v>
      </c>
      <c r="Q684">
        <v>0.5</v>
      </c>
      <c r="R684">
        <v>0.87</v>
      </c>
      <c r="S684">
        <v>228</v>
      </c>
      <c r="T684" t="s">
        <v>284</v>
      </c>
      <c r="AI684" t="s">
        <v>52</v>
      </c>
      <c r="AZ684" t="s">
        <v>52</v>
      </c>
      <c r="BQ684" t="s">
        <v>52</v>
      </c>
      <c r="CH684" t="s">
        <v>52</v>
      </c>
    </row>
    <row r="685" spans="1:86" x14ac:dyDescent="0.25">
      <c r="A685" t="s">
        <v>47</v>
      </c>
      <c r="B685">
        <v>8</v>
      </c>
      <c r="C685" t="s">
        <v>162</v>
      </c>
      <c r="D685">
        <v>63</v>
      </c>
      <c r="E685" t="s">
        <v>125</v>
      </c>
      <c r="F685">
        <v>67</v>
      </c>
      <c r="G685" t="s">
        <v>111</v>
      </c>
      <c r="H685" t="s">
        <v>50</v>
      </c>
      <c r="K685" t="s">
        <v>51</v>
      </c>
      <c r="L685">
        <v>1</v>
      </c>
      <c r="M685" t="s">
        <v>53</v>
      </c>
      <c r="N685">
        <v>67</v>
      </c>
      <c r="O685">
        <v>1</v>
      </c>
      <c r="P685" t="s">
        <v>52</v>
      </c>
      <c r="Q685">
        <v>0.5</v>
      </c>
      <c r="R685">
        <v>0.87</v>
      </c>
      <c r="S685">
        <v>228</v>
      </c>
      <c r="T685" t="s">
        <v>284</v>
      </c>
      <c r="AI685" t="s">
        <v>52</v>
      </c>
      <c r="AZ685" t="s">
        <v>52</v>
      </c>
      <c r="BQ685" t="s">
        <v>52</v>
      </c>
      <c r="BR685">
        <v>1.85</v>
      </c>
      <c r="BS685" t="s">
        <v>284</v>
      </c>
      <c r="CH685" t="s">
        <v>52</v>
      </c>
    </row>
    <row r="686" spans="1:86" x14ac:dyDescent="0.25">
      <c r="A686" t="s">
        <v>47</v>
      </c>
      <c r="B686">
        <v>8</v>
      </c>
      <c r="C686" t="s">
        <v>162</v>
      </c>
      <c r="D686">
        <v>63</v>
      </c>
      <c r="E686" t="s">
        <v>125</v>
      </c>
      <c r="F686">
        <v>67</v>
      </c>
      <c r="G686" t="s">
        <v>111</v>
      </c>
      <c r="H686" t="s">
        <v>50</v>
      </c>
      <c r="K686" t="s">
        <v>52</v>
      </c>
      <c r="L686">
        <v>1</v>
      </c>
      <c r="M686" t="s">
        <v>53</v>
      </c>
      <c r="N686">
        <v>67</v>
      </c>
      <c r="O686">
        <v>1</v>
      </c>
      <c r="P686" t="s">
        <v>52</v>
      </c>
      <c r="Q686">
        <v>0.5</v>
      </c>
      <c r="R686">
        <v>0.87</v>
      </c>
      <c r="S686">
        <v>228</v>
      </c>
      <c r="T686" t="s">
        <v>284</v>
      </c>
      <c r="AI686" t="s">
        <v>52</v>
      </c>
      <c r="AZ686" t="s">
        <v>52</v>
      </c>
      <c r="BQ686" t="s">
        <v>52</v>
      </c>
      <c r="BR686">
        <v>0.93</v>
      </c>
      <c r="BS686" t="s">
        <v>285</v>
      </c>
      <c r="CH686" t="s">
        <v>52</v>
      </c>
    </row>
    <row r="687" spans="1:86" x14ac:dyDescent="0.25">
      <c r="A687" t="s">
        <v>47</v>
      </c>
      <c r="B687">
        <v>8</v>
      </c>
      <c r="C687" t="s">
        <v>162</v>
      </c>
      <c r="D687">
        <v>63</v>
      </c>
      <c r="E687" t="s">
        <v>94</v>
      </c>
      <c r="F687">
        <v>26</v>
      </c>
      <c r="H687" t="s">
        <v>50</v>
      </c>
      <c r="K687" t="s">
        <v>52</v>
      </c>
      <c r="L687">
        <v>1</v>
      </c>
      <c r="M687" t="s">
        <v>53</v>
      </c>
      <c r="N687">
        <v>102</v>
      </c>
      <c r="O687">
        <v>1</v>
      </c>
      <c r="P687" t="s">
        <v>52</v>
      </c>
      <c r="Q687">
        <v>0</v>
      </c>
      <c r="R687">
        <v>0.92</v>
      </c>
      <c r="S687">
        <v>131.69999999999999</v>
      </c>
      <c r="T687" t="s">
        <v>284</v>
      </c>
      <c r="U687">
        <v>170</v>
      </c>
      <c r="V687" t="s">
        <v>284</v>
      </c>
      <c r="W687">
        <v>191</v>
      </c>
      <c r="X687" t="s">
        <v>284</v>
      </c>
      <c r="Y687">
        <v>207</v>
      </c>
      <c r="Z687" t="s">
        <v>284</v>
      </c>
      <c r="AA687">
        <v>186</v>
      </c>
      <c r="AB687" t="s">
        <v>284</v>
      </c>
      <c r="AG687">
        <v>182.33330000000001</v>
      </c>
      <c r="AH687" t="s">
        <v>54</v>
      </c>
      <c r="AI687" t="s">
        <v>52</v>
      </c>
      <c r="AZ687" t="s">
        <v>52</v>
      </c>
      <c r="BQ687" t="s">
        <v>52</v>
      </c>
      <c r="BR687">
        <v>0.93</v>
      </c>
      <c r="BS687" t="s">
        <v>285</v>
      </c>
      <c r="BT687">
        <v>0.87</v>
      </c>
      <c r="BU687" t="s">
        <v>285</v>
      </c>
      <c r="BV687">
        <v>0.68</v>
      </c>
      <c r="BW687" t="s">
        <v>284</v>
      </c>
      <c r="BX687">
        <v>0.47</v>
      </c>
      <c r="BY687" t="s">
        <v>285</v>
      </c>
      <c r="BZ687">
        <v>0.52</v>
      </c>
      <c r="CA687" t="s">
        <v>285</v>
      </c>
      <c r="CF687">
        <v>0.69</v>
      </c>
      <c r="CG687" t="s">
        <v>54</v>
      </c>
      <c r="CH687" t="s">
        <v>52</v>
      </c>
    </row>
    <row r="688" spans="1:86" x14ac:dyDescent="0.25">
      <c r="A688" t="s">
        <v>47</v>
      </c>
      <c r="B688">
        <v>8</v>
      </c>
      <c r="C688" t="s">
        <v>162</v>
      </c>
      <c r="D688">
        <v>63</v>
      </c>
      <c r="E688" t="s">
        <v>77</v>
      </c>
      <c r="F688">
        <v>51</v>
      </c>
      <c r="G688" t="s">
        <v>78</v>
      </c>
      <c r="H688" t="s">
        <v>50</v>
      </c>
      <c r="K688" t="s">
        <v>51</v>
      </c>
      <c r="L688">
        <v>1</v>
      </c>
      <c r="M688" t="s">
        <v>53</v>
      </c>
      <c r="N688">
        <v>51</v>
      </c>
      <c r="O688">
        <v>2</v>
      </c>
      <c r="P688" t="s">
        <v>52</v>
      </c>
      <c r="Q688">
        <v>0.5</v>
      </c>
      <c r="R688">
        <v>0.73</v>
      </c>
      <c r="S688">
        <v>228</v>
      </c>
      <c r="T688" t="s">
        <v>284</v>
      </c>
      <c r="U688">
        <v>218</v>
      </c>
      <c r="V688" t="s">
        <v>284</v>
      </c>
      <c r="W688">
        <v>147</v>
      </c>
      <c r="X688" t="s">
        <v>284</v>
      </c>
      <c r="Y688">
        <v>170</v>
      </c>
      <c r="Z688" t="s">
        <v>284</v>
      </c>
      <c r="AA688">
        <v>109</v>
      </c>
      <c r="AB688" t="s">
        <v>285</v>
      </c>
      <c r="AG688">
        <v>178.33330000000001</v>
      </c>
      <c r="AH688" t="s">
        <v>54</v>
      </c>
      <c r="AI688" t="s">
        <v>52</v>
      </c>
      <c r="AZ688" t="s">
        <v>52</v>
      </c>
      <c r="BQ688" t="s">
        <v>52</v>
      </c>
      <c r="CH688" t="s">
        <v>52</v>
      </c>
    </row>
    <row r="689" spans="1:86" x14ac:dyDescent="0.25">
      <c r="A689" t="s">
        <v>47</v>
      </c>
      <c r="B689">
        <v>8</v>
      </c>
      <c r="C689" t="s">
        <v>162</v>
      </c>
      <c r="D689">
        <v>63</v>
      </c>
      <c r="E689" t="s">
        <v>77</v>
      </c>
      <c r="F689">
        <v>51</v>
      </c>
      <c r="G689" t="s">
        <v>78</v>
      </c>
      <c r="H689" t="s">
        <v>50</v>
      </c>
      <c r="K689" t="s">
        <v>52</v>
      </c>
      <c r="L689">
        <v>1</v>
      </c>
      <c r="M689" t="s">
        <v>53</v>
      </c>
      <c r="N689">
        <v>51</v>
      </c>
      <c r="O689">
        <v>2</v>
      </c>
      <c r="P689" t="s">
        <v>52</v>
      </c>
      <c r="Q689">
        <v>0.5</v>
      </c>
      <c r="R689">
        <v>0.73</v>
      </c>
      <c r="S689">
        <v>228</v>
      </c>
      <c r="T689" t="s">
        <v>284</v>
      </c>
      <c r="U689">
        <v>218</v>
      </c>
      <c r="V689" t="s">
        <v>284</v>
      </c>
      <c r="W689">
        <v>147</v>
      </c>
      <c r="X689" t="s">
        <v>284</v>
      </c>
      <c r="Y689">
        <v>170</v>
      </c>
      <c r="Z689" t="s">
        <v>284</v>
      </c>
      <c r="AA689">
        <v>109</v>
      </c>
      <c r="AB689" t="s">
        <v>285</v>
      </c>
      <c r="AG689">
        <v>178.33330000000001</v>
      </c>
      <c r="AH689" t="s">
        <v>54</v>
      </c>
      <c r="AI689" t="s">
        <v>52</v>
      </c>
      <c r="AZ689" t="s">
        <v>52</v>
      </c>
      <c r="BQ689" t="s">
        <v>52</v>
      </c>
      <c r="CH689" t="s">
        <v>52</v>
      </c>
    </row>
    <row r="690" spans="1:86" x14ac:dyDescent="0.25">
      <c r="A690" t="s">
        <v>47</v>
      </c>
      <c r="B690">
        <v>8</v>
      </c>
      <c r="C690" t="s">
        <v>162</v>
      </c>
      <c r="D690">
        <v>63</v>
      </c>
      <c r="E690" t="s">
        <v>79</v>
      </c>
      <c r="F690">
        <v>50</v>
      </c>
      <c r="G690" t="s">
        <v>80</v>
      </c>
      <c r="H690" t="s">
        <v>50</v>
      </c>
      <c r="K690" t="s">
        <v>51</v>
      </c>
      <c r="L690">
        <v>1</v>
      </c>
      <c r="M690" t="s">
        <v>53</v>
      </c>
      <c r="N690">
        <v>50</v>
      </c>
      <c r="O690">
        <v>1</v>
      </c>
      <c r="P690" t="s">
        <v>52</v>
      </c>
      <c r="Q690">
        <v>0.5</v>
      </c>
      <c r="R690">
        <v>0.75</v>
      </c>
      <c r="S690">
        <v>85</v>
      </c>
      <c r="T690" t="s">
        <v>285</v>
      </c>
      <c r="U690">
        <v>93</v>
      </c>
      <c r="V690" t="s">
        <v>284</v>
      </c>
      <c r="W690">
        <v>89.7</v>
      </c>
      <c r="X690" t="s">
        <v>284</v>
      </c>
      <c r="Y690">
        <v>92.72</v>
      </c>
      <c r="Z690" t="s">
        <v>284</v>
      </c>
      <c r="AA690">
        <v>109</v>
      </c>
      <c r="AB690" t="s">
        <v>285</v>
      </c>
      <c r="AG690">
        <v>91.806700000000006</v>
      </c>
      <c r="AH690" t="s">
        <v>54</v>
      </c>
      <c r="AI690" t="s">
        <v>52</v>
      </c>
      <c r="AZ690" t="s">
        <v>52</v>
      </c>
      <c r="BQ690" t="s">
        <v>52</v>
      </c>
      <c r="BR690">
        <v>4.4800000000000004</v>
      </c>
      <c r="BS690" t="s">
        <v>289</v>
      </c>
      <c r="BT690">
        <v>2.0299999999999998</v>
      </c>
      <c r="BU690" t="s">
        <v>284</v>
      </c>
      <c r="BV690">
        <v>2.93</v>
      </c>
      <c r="BW690" t="s">
        <v>284</v>
      </c>
      <c r="BX690">
        <v>2.78</v>
      </c>
      <c r="BY690" t="s">
        <v>284</v>
      </c>
      <c r="BZ690">
        <v>3.64</v>
      </c>
      <c r="CA690" t="s">
        <v>289</v>
      </c>
      <c r="CF690">
        <v>3.12</v>
      </c>
      <c r="CG690" t="s">
        <v>54</v>
      </c>
      <c r="CH690" t="s">
        <v>52</v>
      </c>
    </row>
    <row r="691" spans="1:86" x14ac:dyDescent="0.25">
      <c r="A691" t="s">
        <v>47</v>
      </c>
      <c r="B691">
        <v>8</v>
      </c>
      <c r="C691" t="s">
        <v>162</v>
      </c>
      <c r="D691">
        <v>63</v>
      </c>
      <c r="E691" t="s">
        <v>79</v>
      </c>
      <c r="F691">
        <v>50</v>
      </c>
      <c r="G691" t="s">
        <v>80</v>
      </c>
      <c r="H691" t="s">
        <v>50</v>
      </c>
      <c r="K691" t="s">
        <v>52</v>
      </c>
      <c r="L691">
        <v>1</v>
      </c>
      <c r="M691" t="s">
        <v>53</v>
      </c>
      <c r="N691">
        <v>50</v>
      </c>
      <c r="O691">
        <v>1</v>
      </c>
      <c r="P691" t="s">
        <v>52</v>
      </c>
      <c r="Q691">
        <v>0.5</v>
      </c>
      <c r="R691">
        <v>0.75</v>
      </c>
      <c r="S691">
        <v>85</v>
      </c>
      <c r="T691" t="s">
        <v>285</v>
      </c>
      <c r="U691">
        <v>93</v>
      </c>
      <c r="V691" t="s">
        <v>284</v>
      </c>
      <c r="W691">
        <v>89.7</v>
      </c>
      <c r="X691" t="s">
        <v>284</v>
      </c>
      <c r="Y691">
        <v>92.72</v>
      </c>
      <c r="Z691" t="s">
        <v>284</v>
      </c>
      <c r="AA691">
        <v>109</v>
      </c>
      <c r="AB691" t="s">
        <v>285</v>
      </c>
      <c r="AG691">
        <v>91.806700000000006</v>
      </c>
      <c r="AH691" t="s">
        <v>54</v>
      </c>
      <c r="AI691" t="s">
        <v>52</v>
      </c>
      <c r="AZ691" t="s">
        <v>52</v>
      </c>
      <c r="BQ691" t="s">
        <v>52</v>
      </c>
      <c r="BR691">
        <v>0.75</v>
      </c>
      <c r="BS691" t="s">
        <v>289</v>
      </c>
      <c r="BT691">
        <v>0.84</v>
      </c>
      <c r="BU691" t="s">
        <v>285</v>
      </c>
      <c r="BV691">
        <v>1.21</v>
      </c>
      <c r="BW691" t="s">
        <v>284</v>
      </c>
      <c r="BX691">
        <v>1.1499999999999999</v>
      </c>
      <c r="BY691" t="s">
        <v>284</v>
      </c>
      <c r="BZ691">
        <v>0.63</v>
      </c>
      <c r="CA691" t="s">
        <v>289</v>
      </c>
      <c r="CF691">
        <v>0.91</v>
      </c>
      <c r="CG691" t="s">
        <v>54</v>
      </c>
      <c r="CH691" t="s">
        <v>52</v>
      </c>
    </row>
    <row r="692" spans="1:86" x14ac:dyDescent="0.25">
      <c r="A692" t="s">
        <v>47</v>
      </c>
      <c r="B692">
        <v>8</v>
      </c>
      <c r="C692" t="s">
        <v>162</v>
      </c>
      <c r="D692">
        <v>63</v>
      </c>
      <c r="E692" t="s">
        <v>79</v>
      </c>
      <c r="F692">
        <v>50</v>
      </c>
      <c r="G692" t="s">
        <v>65</v>
      </c>
      <c r="H692" t="s">
        <v>50</v>
      </c>
      <c r="K692" t="s">
        <v>51</v>
      </c>
      <c r="L692">
        <v>1</v>
      </c>
      <c r="M692" t="s">
        <v>53</v>
      </c>
      <c r="N692">
        <v>50</v>
      </c>
      <c r="O692">
        <v>1</v>
      </c>
      <c r="P692" t="s">
        <v>52</v>
      </c>
      <c r="Q692">
        <v>0.5</v>
      </c>
      <c r="R692">
        <v>0.75</v>
      </c>
      <c r="S692">
        <v>85</v>
      </c>
      <c r="T692" t="s">
        <v>285</v>
      </c>
      <c r="U692">
        <v>93</v>
      </c>
      <c r="V692" t="s">
        <v>284</v>
      </c>
      <c r="W692">
        <v>89.7</v>
      </c>
      <c r="X692" t="s">
        <v>284</v>
      </c>
      <c r="Y692">
        <v>92.72</v>
      </c>
      <c r="Z692" t="s">
        <v>284</v>
      </c>
      <c r="AA692">
        <v>109</v>
      </c>
      <c r="AB692" t="s">
        <v>285</v>
      </c>
      <c r="AG692">
        <v>91.806700000000006</v>
      </c>
      <c r="AH692" t="s">
        <v>54</v>
      </c>
      <c r="AI692" t="s">
        <v>52</v>
      </c>
      <c r="AZ692" t="s">
        <v>52</v>
      </c>
      <c r="BQ692" t="s">
        <v>52</v>
      </c>
      <c r="BR692">
        <v>3.57</v>
      </c>
      <c r="BS692" t="s">
        <v>289</v>
      </c>
      <c r="BT692">
        <v>1.74</v>
      </c>
      <c r="BU692" t="s">
        <v>284</v>
      </c>
      <c r="BV692">
        <v>2.5099999999999998</v>
      </c>
      <c r="BW692" t="s">
        <v>284</v>
      </c>
      <c r="BX692">
        <v>2.38</v>
      </c>
      <c r="BY692" t="s">
        <v>284</v>
      </c>
      <c r="BZ692">
        <v>3.12</v>
      </c>
      <c r="CA692" t="s">
        <v>289</v>
      </c>
      <c r="CF692">
        <v>2.67</v>
      </c>
      <c r="CG692" t="s">
        <v>54</v>
      </c>
      <c r="CH692" t="s">
        <v>52</v>
      </c>
    </row>
    <row r="693" spans="1:86" x14ac:dyDescent="0.25">
      <c r="A693" t="s">
        <v>47</v>
      </c>
      <c r="B693">
        <v>8</v>
      </c>
      <c r="C693" t="s">
        <v>162</v>
      </c>
      <c r="D693">
        <v>63</v>
      </c>
      <c r="E693" t="s">
        <v>79</v>
      </c>
      <c r="F693">
        <v>50</v>
      </c>
      <c r="G693" t="s">
        <v>65</v>
      </c>
      <c r="H693" t="s">
        <v>50</v>
      </c>
      <c r="K693" t="s">
        <v>52</v>
      </c>
      <c r="L693">
        <v>1</v>
      </c>
      <c r="M693" t="s">
        <v>53</v>
      </c>
      <c r="N693">
        <v>50</v>
      </c>
      <c r="O693">
        <v>1</v>
      </c>
      <c r="P693" t="s">
        <v>52</v>
      </c>
      <c r="Q693">
        <v>0.5</v>
      </c>
      <c r="R693">
        <v>0.75</v>
      </c>
      <c r="S693">
        <v>85</v>
      </c>
      <c r="T693" t="s">
        <v>285</v>
      </c>
      <c r="U693">
        <v>93</v>
      </c>
      <c r="V693" t="s">
        <v>284</v>
      </c>
      <c r="W693">
        <v>89.7</v>
      </c>
      <c r="X693" t="s">
        <v>284</v>
      </c>
      <c r="Y693">
        <v>92.72</v>
      </c>
      <c r="Z693" t="s">
        <v>284</v>
      </c>
      <c r="AA693">
        <v>109</v>
      </c>
      <c r="AB693" t="s">
        <v>285</v>
      </c>
      <c r="AG693">
        <v>91.806700000000006</v>
      </c>
      <c r="AH693" t="s">
        <v>54</v>
      </c>
      <c r="AI693" t="s">
        <v>52</v>
      </c>
      <c r="AZ693" t="s">
        <v>52</v>
      </c>
      <c r="BQ693" t="s">
        <v>52</v>
      </c>
      <c r="BR693">
        <v>0.43</v>
      </c>
      <c r="BS693" t="s">
        <v>289</v>
      </c>
      <c r="BT693">
        <v>0.65</v>
      </c>
      <c r="BU693" t="s">
        <v>284</v>
      </c>
      <c r="BV693">
        <v>0.93</v>
      </c>
      <c r="BW693" t="s">
        <v>284</v>
      </c>
      <c r="BX693">
        <v>0.88</v>
      </c>
      <c r="BY693" t="s">
        <v>284</v>
      </c>
      <c r="BZ693">
        <v>0.48</v>
      </c>
      <c r="CA693" t="s">
        <v>289</v>
      </c>
      <c r="CF693">
        <v>0.67</v>
      </c>
      <c r="CG693" t="s">
        <v>54</v>
      </c>
      <c r="CH693" t="s">
        <v>52</v>
      </c>
    </row>
    <row r="694" spans="1:86" x14ac:dyDescent="0.25">
      <c r="A694" t="s">
        <v>47</v>
      </c>
      <c r="B694">
        <v>8</v>
      </c>
      <c r="C694" t="s">
        <v>162</v>
      </c>
      <c r="D694">
        <v>63</v>
      </c>
      <c r="E694" t="s">
        <v>79</v>
      </c>
      <c r="F694">
        <v>50</v>
      </c>
      <c r="G694" t="s">
        <v>81</v>
      </c>
      <c r="H694" t="s">
        <v>50</v>
      </c>
      <c r="K694" t="s">
        <v>51</v>
      </c>
      <c r="L694">
        <v>1</v>
      </c>
      <c r="M694" t="s">
        <v>53</v>
      </c>
      <c r="N694">
        <v>50</v>
      </c>
      <c r="O694">
        <v>1</v>
      </c>
      <c r="P694" t="s">
        <v>52</v>
      </c>
      <c r="Q694">
        <v>0.5</v>
      </c>
      <c r="R694">
        <v>0.75</v>
      </c>
      <c r="S694">
        <v>85</v>
      </c>
      <c r="T694" t="s">
        <v>285</v>
      </c>
      <c r="U694">
        <v>93</v>
      </c>
      <c r="V694" t="s">
        <v>284</v>
      </c>
      <c r="W694">
        <v>89.7</v>
      </c>
      <c r="X694" t="s">
        <v>284</v>
      </c>
      <c r="Y694">
        <v>92.72</v>
      </c>
      <c r="Z694" t="s">
        <v>284</v>
      </c>
      <c r="AA694">
        <v>109</v>
      </c>
      <c r="AB694" t="s">
        <v>285</v>
      </c>
      <c r="AG694">
        <v>91.806700000000006</v>
      </c>
      <c r="AH694" t="s">
        <v>54</v>
      </c>
      <c r="AI694" t="s">
        <v>52</v>
      </c>
      <c r="AZ694" t="s">
        <v>52</v>
      </c>
      <c r="BQ694" t="s">
        <v>52</v>
      </c>
      <c r="BR694">
        <v>2.74</v>
      </c>
      <c r="BS694" t="s">
        <v>289</v>
      </c>
      <c r="BT694">
        <v>1.59</v>
      </c>
      <c r="BU694" t="s">
        <v>284</v>
      </c>
      <c r="BV694">
        <v>2.29</v>
      </c>
      <c r="BW694" t="s">
        <v>284</v>
      </c>
      <c r="BX694">
        <v>2.17</v>
      </c>
      <c r="BY694" t="s">
        <v>284</v>
      </c>
      <c r="BZ694">
        <v>2.84</v>
      </c>
      <c r="CA694" t="s">
        <v>289</v>
      </c>
      <c r="CF694">
        <v>2.4</v>
      </c>
      <c r="CG694" t="s">
        <v>54</v>
      </c>
      <c r="CH694" t="s">
        <v>52</v>
      </c>
    </row>
    <row r="695" spans="1:86" x14ac:dyDescent="0.25">
      <c r="A695" t="s">
        <v>47</v>
      </c>
      <c r="B695">
        <v>8</v>
      </c>
      <c r="C695" t="s">
        <v>162</v>
      </c>
      <c r="D695">
        <v>63</v>
      </c>
      <c r="E695" t="s">
        <v>79</v>
      </c>
      <c r="F695">
        <v>50</v>
      </c>
      <c r="G695" t="s">
        <v>81</v>
      </c>
      <c r="H695" t="s">
        <v>50</v>
      </c>
      <c r="K695" t="s">
        <v>52</v>
      </c>
      <c r="L695">
        <v>1</v>
      </c>
      <c r="M695" t="s">
        <v>53</v>
      </c>
      <c r="N695">
        <v>50</v>
      </c>
      <c r="O695">
        <v>1</v>
      </c>
      <c r="P695" t="s">
        <v>52</v>
      </c>
      <c r="Q695">
        <v>0.5</v>
      </c>
      <c r="R695">
        <v>0.75</v>
      </c>
      <c r="S695">
        <v>85</v>
      </c>
      <c r="T695" t="s">
        <v>285</v>
      </c>
      <c r="U695">
        <v>93</v>
      </c>
      <c r="V695" t="s">
        <v>284</v>
      </c>
      <c r="W695">
        <v>89.7</v>
      </c>
      <c r="X695" t="s">
        <v>284</v>
      </c>
      <c r="Y695">
        <v>92.72</v>
      </c>
      <c r="Z695" t="s">
        <v>284</v>
      </c>
      <c r="AA695">
        <v>109</v>
      </c>
      <c r="AB695" t="s">
        <v>285</v>
      </c>
      <c r="AG695">
        <v>91.806700000000006</v>
      </c>
      <c r="AH695" t="s">
        <v>54</v>
      </c>
      <c r="AI695" t="s">
        <v>52</v>
      </c>
      <c r="AZ695" t="s">
        <v>52</v>
      </c>
      <c r="BQ695" t="s">
        <v>52</v>
      </c>
      <c r="BR695">
        <v>2.74</v>
      </c>
      <c r="BS695" t="s">
        <v>289</v>
      </c>
      <c r="BT695">
        <v>0.68</v>
      </c>
      <c r="BU695" t="s">
        <v>284</v>
      </c>
      <c r="BV695">
        <v>0.98</v>
      </c>
      <c r="BW695" t="s">
        <v>284</v>
      </c>
      <c r="BX695">
        <v>2.54</v>
      </c>
      <c r="BY695" t="s">
        <v>288</v>
      </c>
      <c r="BZ695">
        <v>1.4</v>
      </c>
      <c r="CA695" t="s">
        <v>289</v>
      </c>
      <c r="CF695">
        <v>1.64</v>
      </c>
      <c r="CG695" t="s">
        <v>54</v>
      </c>
      <c r="CH695" t="s">
        <v>52</v>
      </c>
    </row>
    <row r="696" spans="1:86" x14ac:dyDescent="0.25">
      <c r="A696" t="s">
        <v>47</v>
      </c>
      <c r="B696">
        <v>8</v>
      </c>
      <c r="C696" t="s">
        <v>162</v>
      </c>
      <c r="D696">
        <v>63</v>
      </c>
      <c r="E696" t="s">
        <v>144</v>
      </c>
      <c r="F696">
        <v>81</v>
      </c>
      <c r="G696" t="s">
        <v>69</v>
      </c>
      <c r="H696" t="s">
        <v>50</v>
      </c>
      <c r="K696" t="s">
        <v>51</v>
      </c>
      <c r="L696">
        <v>1</v>
      </c>
      <c r="M696" t="s">
        <v>53</v>
      </c>
      <c r="N696">
        <v>81</v>
      </c>
      <c r="O696">
        <v>1</v>
      </c>
      <c r="P696" t="s">
        <v>52</v>
      </c>
      <c r="Q696">
        <v>0.67</v>
      </c>
      <c r="R696">
        <v>0.92</v>
      </c>
      <c r="S696">
        <v>228</v>
      </c>
      <c r="T696" t="s">
        <v>284</v>
      </c>
      <c r="U696">
        <v>198.9</v>
      </c>
      <c r="V696" t="s">
        <v>284</v>
      </c>
      <c r="AI696" t="s">
        <v>52</v>
      </c>
      <c r="AZ696" t="s">
        <v>52</v>
      </c>
      <c r="BQ696" t="s">
        <v>52</v>
      </c>
      <c r="BR696">
        <v>1.85</v>
      </c>
      <c r="BS696" t="s">
        <v>284</v>
      </c>
      <c r="BT696">
        <v>1.45</v>
      </c>
      <c r="BU696" t="s">
        <v>284</v>
      </c>
      <c r="CH696" t="s">
        <v>52</v>
      </c>
    </row>
    <row r="697" spans="1:86" x14ac:dyDescent="0.25">
      <c r="A697" t="s">
        <v>47</v>
      </c>
      <c r="B697">
        <v>8</v>
      </c>
      <c r="C697" t="s">
        <v>162</v>
      </c>
      <c r="D697">
        <v>63</v>
      </c>
      <c r="E697" t="s">
        <v>83</v>
      </c>
      <c r="F697">
        <v>158</v>
      </c>
      <c r="H697" t="s">
        <v>50</v>
      </c>
      <c r="K697" t="s">
        <v>51</v>
      </c>
      <c r="L697">
        <v>1</v>
      </c>
      <c r="M697" t="s">
        <v>53</v>
      </c>
      <c r="N697">
        <v>158</v>
      </c>
      <c r="O697">
        <v>2</v>
      </c>
      <c r="P697" t="s">
        <v>52</v>
      </c>
      <c r="Q697">
        <v>0.77</v>
      </c>
      <c r="R697">
        <v>0.93</v>
      </c>
      <c r="S697">
        <v>228</v>
      </c>
      <c r="T697" t="s">
        <v>284</v>
      </c>
      <c r="U697">
        <v>221</v>
      </c>
      <c r="V697" t="s">
        <v>284</v>
      </c>
      <c r="W697">
        <v>236</v>
      </c>
      <c r="X697" t="s">
        <v>284</v>
      </c>
      <c r="Y697">
        <v>244</v>
      </c>
      <c r="Z697" t="s">
        <v>284</v>
      </c>
      <c r="AA697">
        <v>252</v>
      </c>
      <c r="AB697" t="s">
        <v>284</v>
      </c>
      <c r="AG697">
        <v>236</v>
      </c>
      <c r="AH697" t="s">
        <v>54</v>
      </c>
      <c r="AI697" t="s">
        <v>52</v>
      </c>
      <c r="AX697">
        <v>339</v>
      </c>
      <c r="AY697" t="s">
        <v>285</v>
      </c>
      <c r="AZ697" t="s">
        <v>287</v>
      </c>
      <c r="BQ697" t="s">
        <v>52</v>
      </c>
      <c r="CH697" t="s">
        <v>52</v>
      </c>
    </row>
    <row r="698" spans="1:86" x14ac:dyDescent="0.25">
      <c r="A698" t="s">
        <v>47</v>
      </c>
      <c r="B698">
        <v>8</v>
      </c>
      <c r="C698" t="s">
        <v>162</v>
      </c>
      <c r="D698">
        <v>63</v>
      </c>
      <c r="E698" t="s">
        <v>83</v>
      </c>
      <c r="F698">
        <v>158</v>
      </c>
      <c r="H698" t="s">
        <v>50</v>
      </c>
      <c r="K698" t="s">
        <v>52</v>
      </c>
      <c r="L698">
        <v>1</v>
      </c>
      <c r="M698" t="s">
        <v>53</v>
      </c>
      <c r="N698">
        <v>158</v>
      </c>
      <c r="O698">
        <v>2</v>
      </c>
      <c r="P698" t="s">
        <v>52</v>
      </c>
      <c r="Q698">
        <v>0.77</v>
      </c>
      <c r="R698">
        <v>0.93</v>
      </c>
      <c r="S698">
        <v>228</v>
      </c>
      <c r="T698" t="s">
        <v>284</v>
      </c>
      <c r="U698">
        <v>221</v>
      </c>
      <c r="V698" t="s">
        <v>284</v>
      </c>
      <c r="W698">
        <v>236</v>
      </c>
      <c r="X698" t="s">
        <v>284</v>
      </c>
      <c r="Y698">
        <v>244</v>
      </c>
      <c r="Z698" t="s">
        <v>284</v>
      </c>
      <c r="AA698">
        <v>252</v>
      </c>
      <c r="AB698" t="s">
        <v>284</v>
      </c>
      <c r="AG698">
        <v>236</v>
      </c>
      <c r="AH698" t="s">
        <v>54</v>
      </c>
      <c r="AI698" t="s">
        <v>52</v>
      </c>
      <c r="AX698">
        <v>339</v>
      </c>
      <c r="AY698" t="s">
        <v>285</v>
      </c>
      <c r="AZ698" t="s">
        <v>287</v>
      </c>
      <c r="BQ698" t="s">
        <v>52</v>
      </c>
      <c r="CH698" t="s">
        <v>52</v>
      </c>
    </row>
    <row r="699" spans="1:86" x14ac:dyDescent="0.25">
      <c r="A699" t="s">
        <v>47</v>
      </c>
      <c r="B699">
        <v>8</v>
      </c>
      <c r="C699" t="s">
        <v>162</v>
      </c>
      <c r="D699">
        <v>63</v>
      </c>
      <c r="E699" t="s">
        <v>84</v>
      </c>
      <c r="F699">
        <v>11</v>
      </c>
      <c r="G699" t="s">
        <v>85</v>
      </c>
      <c r="H699" t="s">
        <v>50</v>
      </c>
      <c r="K699" t="s">
        <v>52</v>
      </c>
      <c r="L699">
        <v>1</v>
      </c>
      <c r="M699" t="s">
        <v>53</v>
      </c>
      <c r="N699">
        <v>11</v>
      </c>
      <c r="O699">
        <v>2</v>
      </c>
      <c r="P699" t="s">
        <v>52</v>
      </c>
      <c r="Q699">
        <v>0.5</v>
      </c>
      <c r="R699">
        <v>0.75</v>
      </c>
      <c r="S699">
        <v>155</v>
      </c>
      <c r="T699" t="s">
        <v>284</v>
      </c>
      <c r="U699">
        <v>110</v>
      </c>
      <c r="V699" t="s">
        <v>284</v>
      </c>
      <c r="W699">
        <v>118</v>
      </c>
      <c r="X699" t="s">
        <v>284</v>
      </c>
      <c r="Y699">
        <v>122</v>
      </c>
      <c r="Z699" t="s">
        <v>284</v>
      </c>
      <c r="AA699">
        <v>126</v>
      </c>
      <c r="AB699" t="s">
        <v>284</v>
      </c>
      <c r="AG699">
        <v>122</v>
      </c>
      <c r="AH699" t="s">
        <v>54</v>
      </c>
      <c r="AI699" t="s">
        <v>52</v>
      </c>
      <c r="AZ699" t="s">
        <v>52</v>
      </c>
      <c r="BQ699" t="s">
        <v>52</v>
      </c>
      <c r="CH699" t="s">
        <v>52</v>
      </c>
    </row>
    <row r="700" spans="1:86" x14ac:dyDescent="0.25">
      <c r="A700" t="s">
        <v>47</v>
      </c>
      <c r="B700">
        <v>8</v>
      </c>
      <c r="C700" t="s">
        <v>162</v>
      </c>
      <c r="D700">
        <v>63</v>
      </c>
      <c r="E700" t="s">
        <v>84</v>
      </c>
      <c r="F700">
        <v>11</v>
      </c>
      <c r="G700" t="s">
        <v>96</v>
      </c>
      <c r="H700" t="s">
        <v>50</v>
      </c>
      <c r="K700" t="s">
        <v>52</v>
      </c>
      <c r="L700">
        <v>1</v>
      </c>
      <c r="M700" t="s">
        <v>53</v>
      </c>
      <c r="N700">
        <v>11</v>
      </c>
      <c r="O700">
        <v>2</v>
      </c>
      <c r="P700" t="s">
        <v>52</v>
      </c>
      <c r="Q700">
        <v>0.5</v>
      </c>
      <c r="R700">
        <v>0.75</v>
      </c>
      <c r="S700">
        <v>124</v>
      </c>
      <c r="T700" t="s">
        <v>284</v>
      </c>
      <c r="U700">
        <v>110</v>
      </c>
      <c r="V700" t="s">
        <v>284</v>
      </c>
      <c r="W700">
        <v>118</v>
      </c>
      <c r="X700" t="s">
        <v>284</v>
      </c>
      <c r="Y700">
        <v>122</v>
      </c>
      <c r="Z700" t="s">
        <v>284</v>
      </c>
      <c r="AA700">
        <v>126</v>
      </c>
      <c r="AB700" t="s">
        <v>284</v>
      </c>
      <c r="AG700">
        <v>121.33329999999999</v>
      </c>
      <c r="AH700" t="s">
        <v>54</v>
      </c>
      <c r="AI700" t="s">
        <v>52</v>
      </c>
      <c r="AZ700" t="s">
        <v>52</v>
      </c>
      <c r="BQ700" t="s">
        <v>52</v>
      </c>
      <c r="CH700" t="s">
        <v>52</v>
      </c>
    </row>
    <row r="701" spans="1:86" x14ac:dyDescent="0.25">
      <c r="A701" t="s">
        <v>47</v>
      </c>
      <c r="B701">
        <v>8</v>
      </c>
      <c r="C701" t="s">
        <v>165</v>
      </c>
      <c r="D701">
        <v>65</v>
      </c>
      <c r="E701" t="s">
        <v>58</v>
      </c>
      <c r="F701">
        <v>102</v>
      </c>
      <c r="G701" t="s">
        <v>62</v>
      </c>
      <c r="H701" t="s">
        <v>50</v>
      </c>
      <c r="K701" t="s">
        <v>51</v>
      </c>
      <c r="L701">
        <v>1</v>
      </c>
      <c r="M701" t="s">
        <v>53</v>
      </c>
      <c r="N701">
        <v>102</v>
      </c>
      <c r="O701">
        <v>1</v>
      </c>
      <c r="P701" t="s">
        <v>52</v>
      </c>
      <c r="Q701">
        <v>0</v>
      </c>
      <c r="R701">
        <v>0.92</v>
      </c>
      <c r="S701">
        <v>131.69999999999999</v>
      </c>
      <c r="T701" t="s">
        <v>284</v>
      </c>
      <c r="U701">
        <v>170</v>
      </c>
      <c r="V701" t="s">
        <v>284</v>
      </c>
      <c r="W701">
        <v>191</v>
      </c>
      <c r="X701" t="s">
        <v>284</v>
      </c>
      <c r="Y701">
        <v>207</v>
      </c>
      <c r="Z701" t="s">
        <v>284</v>
      </c>
      <c r="AA701">
        <v>205</v>
      </c>
      <c r="AB701" t="s">
        <v>285</v>
      </c>
      <c r="AG701">
        <v>188.66669999999999</v>
      </c>
      <c r="AH701" t="s">
        <v>54</v>
      </c>
      <c r="AI701" t="s">
        <v>52</v>
      </c>
      <c r="AX701">
        <v>271.60000000000002</v>
      </c>
      <c r="AY701" t="s">
        <v>285</v>
      </c>
      <c r="AZ701" t="s">
        <v>287</v>
      </c>
      <c r="BQ701" t="s">
        <v>52</v>
      </c>
      <c r="CH701" t="s">
        <v>52</v>
      </c>
    </row>
    <row r="702" spans="1:86" x14ac:dyDescent="0.25">
      <c r="A702" t="s">
        <v>47</v>
      </c>
      <c r="B702">
        <v>8</v>
      </c>
      <c r="C702" t="s">
        <v>165</v>
      </c>
      <c r="D702">
        <v>65</v>
      </c>
      <c r="E702" t="s">
        <v>58</v>
      </c>
      <c r="F702">
        <v>102</v>
      </c>
      <c r="G702" t="s">
        <v>62</v>
      </c>
      <c r="H702" t="s">
        <v>50</v>
      </c>
      <c r="K702" t="s">
        <v>52</v>
      </c>
      <c r="L702">
        <v>1</v>
      </c>
      <c r="M702" t="s">
        <v>53</v>
      </c>
      <c r="N702">
        <v>102</v>
      </c>
      <c r="O702">
        <v>1</v>
      </c>
      <c r="P702" t="s">
        <v>52</v>
      </c>
      <c r="Q702">
        <v>0</v>
      </c>
      <c r="R702">
        <v>0.92</v>
      </c>
      <c r="S702">
        <v>131.69999999999999</v>
      </c>
      <c r="T702" t="s">
        <v>284</v>
      </c>
      <c r="U702">
        <v>170</v>
      </c>
      <c r="V702" t="s">
        <v>284</v>
      </c>
      <c r="W702">
        <v>191</v>
      </c>
      <c r="X702" t="s">
        <v>284</v>
      </c>
      <c r="Y702">
        <v>207</v>
      </c>
      <c r="Z702" t="s">
        <v>284</v>
      </c>
      <c r="AA702">
        <v>205</v>
      </c>
      <c r="AB702" t="s">
        <v>285</v>
      </c>
      <c r="AG702">
        <v>188.66669999999999</v>
      </c>
      <c r="AH702" t="s">
        <v>54</v>
      </c>
      <c r="AI702" t="s">
        <v>52</v>
      </c>
      <c r="AX702">
        <v>271.60000000000002</v>
      </c>
      <c r="AY702" t="s">
        <v>285</v>
      </c>
      <c r="AZ702" t="s">
        <v>287</v>
      </c>
      <c r="BQ702" t="s">
        <v>52</v>
      </c>
      <c r="CH702" t="s">
        <v>52</v>
      </c>
    </row>
    <row r="703" spans="1:86" x14ac:dyDescent="0.25">
      <c r="A703" t="s">
        <v>47</v>
      </c>
      <c r="B703">
        <v>8</v>
      </c>
      <c r="C703" t="s">
        <v>165</v>
      </c>
      <c r="D703">
        <v>65</v>
      </c>
      <c r="E703" t="s">
        <v>70</v>
      </c>
      <c r="F703">
        <v>296</v>
      </c>
      <c r="G703" t="s">
        <v>74</v>
      </c>
      <c r="H703" t="s">
        <v>50</v>
      </c>
      <c r="K703" t="s">
        <v>51</v>
      </c>
      <c r="L703">
        <v>1</v>
      </c>
      <c r="M703" t="s">
        <v>53</v>
      </c>
      <c r="N703">
        <v>102</v>
      </c>
      <c r="O703">
        <v>1</v>
      </c>
      <c r="P703" t="s">
        <v>52</v>
      </c>
      <c r="Q703">
        <v>0</v>
      </c>
      <c r="R703">
        <v>0.75</v>
      </c>
      <c r="S703">
        <v>135</v>
      </c>
      <c r="T703" t="s">
        <v>284</v>
      </c>
      <c r="U703">
        <v>132</v>
      </c>
      <c r="V703" t="s">
        <v>284</v>
      </c>
      <c r="W703">
        <v>147</v>
      </c>
      <c r="X703" t="s">
        <v>284</v>
      </c>
      <c r="Y703">
        <v>170</v>
      </c>
      <c r="Z703" t="s">
        <v>284</v>
      </c>
      <c r="AA703">
        <v>205</v>
      </c>
      <c r="AB703" t="s">
        <v>285</v>
      </c>
      <c r="AG703">
        <v>150.66669999999999</v>
      </c>
      <c r="AH703" t="s">
        <v>54</v>
      </c>
      <c r="AI703" t="s">
        <v>52</v>
      </c>
      <c r="AZ703" t="s">
        <v>52</v>
      </c>
      <c r="BQ703" t="s">
        <v>52</v>
      </c>
      <c r="CH703" t="s">
        <v>52</v>
      </c>
    </row>
    <row r="704" spans="1:86" x14ac:dyDescent="0.25">
      <c r="A704" t="s">
        <v>47</v>
      </c>
      <c r="B704">
        <v>8</v>
      </c>
      <c r="C704" t="s">
        <v>165</v>
      </c>
      <c r="D704">
        <v>65</v>
      </c>
      <c r="E704" t="s">
        <v>70</v>
      </c>
      <c r="F704">
        <v>296</v>
      </c>
      <c r="G704" t="s">
        <v>122</v>
      </c>
      <c r="H704" t="s">
        <v>50</v>
      </c>
      <c r="K704" t="s">
        <v>51</v>
      </c>
      <c r="L704">
        <v>1</v>
      </c>
      <c r="M704" t="s">
        <v>53</v>
      </c>
      <c r="N704">
        <v>102</v>
      </c>
      <c r="O704">
        <v>1</v>
      </c>
      <c r="P704" t="s">
        <v>52</v>
      </c>
      <c r="Q704">
        <v>0</v>
      </c>
      <c r="R704">
        <v>0.75</v>
      </c>
      <c r="S704">
        <v>228</v>
      </c>
      <c r="T704" t="s">
        <v>284</v>
      </c>
      <c r="U704">
        <v>190</v>
      </c>
      <c r="V704" t="s">
        <v>285</v>
      </c>
      <c r="W704">
        <v>194</v>
      </c>
      <c r="X704" t="s">
        <v>285</v>
      </c>
      <c r="Y704">
        <v>213</v>
      </c>
      <c r="Z704" t="s">
        <v>284</v>
      </c>
      <c r="AA704">
        <v>225</v>
      </c>
      <c r="AB704" t="s">
        <v>285</v>
      </c>
      <c r="AG704">
        <v>210.66669999999999</v>
      </c>
      <c r="AH704" t="s">
        <v>54</v>
      </c>
      <c r="AI704" t="s">
        <v>52</v>
      </c>
      <c r="AZ704" t="s">
        <v>52</v>
      </c>
      <c r="BQ704" t="s">
        <v>52</v>
      </c>
      <c r="CH704" t="s">
        <v>52</v>
      </c>
    </row>
    <row r="705" spans="1:86" x14ac:dyDescent="0.25">
      <c r="A705" t="s">
        <v>47</v>
      </c>
      <c r="B705">
        <v>8</v>
      </c>
      <c r="C705" t="s">
        <v>166</v>
      </c>
      <c r="D705">
        <v>67</v>
      </c>
      <c r="E705" t="s">
        <v>49</v>
      </c>
      <c r="F705">
        <v>27</v>
      </c>
      <c r="H705" t="s">
        <v>50</v>
      </c>
      <c r="K705" t="s">
        <v>51</v>
      </c>
      <c r="L705">
        <v>1</v>
      </c>
      <c r="M705" t="s">
        <v>53</v>
      </c>
      <c r="N705">
        <v>27</v>
      </c>
      <c r="O705">
        <v>1</v>
      </c>
      <c r="P705" t="s">
        <v>52</v>
      </c>
      <c r="Q705">
        <v>0</v>
      </c>
      <c r="R705">
        <v>0.75</v>
      </c>
      <c r="S705">
        <v>231</v>
      </c>
      <c r="T705" t="s">
        <v>284</v>
      </c>
      <c r="U705">
        <v>208</v>
      </c>
      <c r="V705" t="s">
        <v>284</v>
      </c>
      <c r="W705">
        <v>224</v>
      </c>
      <c r="X705" t="s">
        <v>284</v>
      </c>
      <c r="Y705">
        <v>225</v>
      </c>
      <c r="Z705" t="s">
        <v>285</v>
      </c>
      <c r="AA705">
        <v>247</v>
      </c>
      <c r="AB705" t="s">
        <v>285</v>
      </c>
      <c r="AC705">
        <v>241</v>
      </c>
      <c r="AD705" t="s">
        <v>285</v>
      </c>
      <c r="AE705">
        <v>219</v>
      </c>
      <c r="AF705" t="s">
        <v>285</v>
      </c>
      <c r="AG705">
        <v>219</v>
      </c>
      <c r="AH705" t="s">
        <v>286</v>
      </c>
      <c r="AI705" t="s">
        <v>287</v>
      </c>
      <c r="AX705">
        <v>263</v>
      </c>
      <c r="AY705" t="s">
        <v>286</v>
      </c>
      <c r="AZ705" t="s">
        <v>287</v>
      </c>
      <c r="BQ705" t="s">
        <v>52</v>
      </c>
      <c r="BR705">
        <v>3.7</v>
      </c>
      <c r="BS705" t="s">
        <v>284</v>
      </c>
      <c r="BT705">
        <v>3.4</v>
      </c>
      <c r="BU705" t="s">
        <v>284</v>
      </c>
      <c r="BV705">
        <v>1.49</v>
      </c>
      <c r="BW705" t="s">
        <v>284</v>
      </c>
      <c r="BX705">
        <v>1.03</v>
      </c>
      <c r="BY705" t="s">
        <v>284</v>
      </c>
      <c r="BZ705">
        <v>1.1399999999999999</v>
      </c>
      <c r="CA705" t="s">
        <v>288</v>
      </c>
      <c r="CF705">
        <v>2.0099999999999998</v>
      </c>
      <c r="CG705" t="s">
        <v>54</v>
      </c>
      <c r="CH705" t="s">
        <v>52</v>
      </c>
    </row>
    <row r="706" spans="1:86" x14ac:dyDescent="0.25">
      <c r="A706" t="s">
        <v>47</v>
      </c>
      <c r="B706">
        <v>8</v>
      </c>
      <c r="C706" t="s">
        <v>166</v>
      </c>
      <c r="D706">
        <v>67</v>
      </c>
      <c r="E706" t="s">
        <v>49</v>
      </c>
      <c r="F706">
        <v>27</v>
      </c>
      <c r="H706" t="s">
        <v>50</v>
      </c>
      <c r="K706" t="s">
        <v>52</v>
      </c>
      <c r="L706">
        <v>1</v>
      </c>
      <c r="M706" t="s">
        <v>53</v>
      </c>
      <c r="N706">
        <v>27</v>
      </c>
      <c r="O706">
        <v>1</v>
      </c>
      <c r="P706" t="s">
        <v>52</v>
      </c>
      <c r="Q706">
        <v>0</v>
      </c>
      <c r="R706">
        <v>0.75</v>
      </c>
      <c r="S706">
        <v>231</v>
      </c>
      <c r="T706" t="s">
        <v>284</v>
      </c>
      <c r="U706">
        <v>208</v>
      </c>
      <c r="V706" t="s">
        <v>284</v>
      </c>
      <c r="W706">
        <v>224</v>
      </c>
      <c r="X706" t="s">
        <v>284</v>
      </c>
      <c r="Y706">
        <v>225</v>
      </c>
      <c r="Z706" t="s">
        <v>285</v>
      </c>
      <c r="AA706">
        <v>247</v>
      </c>
      <c r="AB706" t="s">
        <v>285</v>
      </c>
      <c r="AC706">
        <v>241</v>
      </c>
      <c r="AD706" t="s">
        <v>285</v>
      </c>
      <c r="AE706">
        <v>219</v>
      </c>
      <c r="AF706" t="s">
        <v>285</v>
      </c>
      <c r="AG706">
        <v>219</v>
      </c>
      <c r="AH706" t="s">
        <v>286</v>
      </c>
      <c r="AI706" t="s">
        <v>287</v>
      </c>
      <c r="AX706">
        <v>263</v>
      </c>
      <c r="AY706" t="s">
        <v>286</v>
      </c>
      <c r="AZ706" t="s">
        <v>287</v>
      </c>
      <c r="BQ706" t="s">
        <v>52</v>
      </c>
      <c r="BR706">
        <v>1.3</v>
      </c>
      <c r="BS706" t="s">
        <v>284</v>
      </c>
      <c r="BT706">
        <v>1.2</v>
      </c>
      <c r="BU706" t="s">
        <v>284</v>
      </c>
      <c r="BV706">
        <v>0.75</v>
      </c>
      <c r="BW706" t="s">
        <v>284</v>
      </c>
      <c r="BX706">
        <v>0.12</v>
      </c>
      <c r="BY706" t="s">
        <v>284</v>
      </c>
      <c r="BZ706">
        <v>0.14000000000000001</v>
      </c>
      <c r="CA706" t="s">
        <v>289</v>
      </c>
      <c r="CF706">
        <v>0.7</v>
      </c>
      <c r="CG706" t="s">
        <v>54</v>
      </c>
      <c r="CH706" t="s">
        <v>52</v>
      </c>
    </row>
    <row r="707" spans="1:86" x14ac:dyDescent="0.25">
      <c r="A707" t="s">
        <v>47</v>
      </c>
      <c r="B707">
        <v>8</v>
      </c>
      <c r="C707" t="s">
        <v>166</v>
      </c>
      <c r="D707">
        <v>67</v>
      </c>
      <c r="E707" t="s">
        <v>87</v>
      </c>
      <c r="F707">
        <v>91</v>
      </c>
      <c r="G707" t="s">
        <v>103</v>
      </c>
      <c r="H707" t="s">
        <v>50</v>
      </c>
      <c r="K707" t="s">
        <v>51</v>
      </c>
      <c r="L707">
        <v>1</v>
      </c>
      <c r="M707" t="s">
        <v>53</v>
      </c>
      <c r="N707">
        <v>91</v>
      </c>
      <c r="O707">
        <v>2</v>
      </c>
      <c r="P707" t="s">
        <v>52</v>
      </c>
      <c r="Q707">
        <v>0.77</v>
      </c>
      <c r="R707">
        <v>0.93</v>
      </c>
      <c r="S707">
        <v>135</v>
      </c>
      <c r="T707" t="s">
        <v>284</v>
      </c>
      <c r="U707">
        <v>133</v>
      </c>
      <c r="V707" t="s">
        <v>284</v>
      </c>
      <c r="W707">
        <v>147</v>
      </c>
      <c r="X707" t="s">
        <v>284</v>
      </c>
      <c r="Y707">
        <v>170</v>
      </c>
      <c r="Z707" t="s">
        <v>284</v>
      </c>
      <c r="AA707">
        <v>167</v>
      </c>
      <c r="AB707" t="s">
        <v>284</v>
      </c>
      <c r="AG707">
        <v>149.66669999999999</v>
      </c>
      <c r="AH707" t="s">
        <v>54</v>
      </c>
      <c r="AI707" t="s">
        <v>52</v>
      </c>
      <c r="AZ707" t="s">
        <v>52</v>
      </c>
      <c r="BQ707" t="s">
        <v>52</v>
      </c>
      <c r="CH707" t="s">
        <v>52</v>
      </c>
    </row>
    <row r="708" spans="1:86" x14ac:dyDescent="0.25">
      <c r="A708" t="s">
        <v>47</v>
      </c>
      <c r="B708">
        <v>8</v>
      </c>
      <c r="C708" t="s">
        <v>166</v>
      </c>
      <c r="D708">
        <v>67</v>
      </c>
      <c r="E708" t="s">
        <v>87</v>
      </c>
      <c r="F708">
        <v>91</v>
      </c>
      <c r="G708" t="s">
        <v>103</v>
      </c>
      <c r="H708" t="s">
        <v>50</v>
      </c>
      <c r="K708" t="s">
        <v>52</v>
      </c>
      <c r="L708">
        <v>1</v>
      </c>
      <c r="M708" t="s">
        <v>53</v>
      </c>
      <c r="N708">
        <v>91</v>
      </c>
      <c r="O708">
        <v>2</v>
      </c>
      <c r="P708" t="s">
        <v>52</v>
      </c>
      <c r="Q708">
        <v>0.77</v>
      </c>
      <c r="R708">
        <v>0.93</v>
      </c>
      <c r="S708">
        <v>135</v>
      </c>
      <c r="T708" t="s">
        <v>284</v>
      </c>
      <c r="U708">
        <v>133</v>
      </c>
      <c r="V708" t="s">
        <v>284</v>
      </c>
      <c r="W708">
        <v>147</v>
      </c>
      <c r="X708" t="s">
        <v>284</v>
      </c>
      <c r="Y708">
        <v>170</v>
      </c>
      <c r="Z708" t="s">
        <v>284</v>
      </c>
      <c r="AA708">
        <v>167</v>
      </c>
      <c r="AB708" t="s">
        <v>284</v>
      </c>
      <c r="AG708">
        <v>149.66669999999999</v>
      </c>
      <c r="AH708" t="s">
        <v>54</v>
      </c>
      <c r="AI708" t="s">
        <v>52</v>
      </c>
      <c r="AZ708" t="s">
        <v>52</v>
      </c>
      <c r="BQ708" t="s">
        <v>52</v>
      </c>
      <c r="BR708">
        <v>0.57999999999999996</v>
      </c>
      <c r="BS708" t="s">
        <v>285</v>
      </c>
      <c r="BT708">
        <v>0.38</v>
      </c>
      <c r="BU708" t="s">
        <v>284</v>
      </c>
      <c r="BV708">
        <v>0.54</v>
      </c>
      <c r="BW708" t="s">
        <v>284</v>
      </c>
      <c r="BX708">
        <v>0.52</v>
      </c>
      <c r="BY708" t="s">
        <v>284</v>
      </c>
      <c r="BZ708">
        <v>0.45</v>
      </c>
      <c r="CA708" t="s">
        <v>284</v>
      </c>
      <c r="CF708">
        <v>0.5</v>
      </c>
      <c r="CG708" t="s">
        <v>54</v>
      </c>
      <c r="CH708" t="s">
        <v>52</v>
      </c>
    </row>
    <row r="709" spans="1:86" x14ac:dyDescent="0.25">
      <c r="A709" t="s">
        <v>47</v>
      </c>
      <c r="B709">
        <v>8</v>
      </c>
      <c r="C709" t="s">
        <v>166</v>
      </c>
      <c r="D709">
        <v>67</v>
      </c>
      <c r="E709" t="s">
        <v>58</v>
      </c>
      <c r="F709">
        <v>102</v>
      </c>
      <c r="G709" t="s">
        <v>61</v>
      </c>
      <c r="H709" t="s">
        <v>50</v>
      </c>
      <c r="K709" t="s">
        <v>51</v>
      </c>
      <c r="L709">
        <v>1</v>
      </c>
      <c r="M709" t="s">
        <v>53</v>
      </c>
      <c r="N709">
        <v>102</v>
      </c>
      <c r="O709">
        <v>1</v>
      </c>
      <c r="P709" t="s">
        <v>52</v>
      </c>
      <c r="Q709">
        <v>0</v>
      </c>
      <c r="R709">
        <v>0.92</v>
      </c>
      <c r="S709">
        <v>131.69999999999999</v>
      </c>
      <c r="T709" t="s">
        <v>284</v>
      </c>
      <c r="U709">
        <v>170</v>
      </c>
      <c r="V709" t="s">
        <v>284</v>
      </c>
      <c r="W709">
        <v>191</v>
      </c>
      <c r="X709" t="s">
        <v>284</v>
      </c>
      <c r="Y709">
        <v>207</v>
      </c>
      <c r="Z709" t="s">
        <v>284</v>
      </c>
      <c r="AA709">
        <v>315</v>
      </c>
      <c r="AB709" t="s">
        <v>285</v>
      </c>
      <c r="AG709">
        <v>189.33330000000001</v>
      </c>
      <c r="AH709" t="s">
        <v>54</v>
      </c>
      <c r="AI709" t="s">
        <v>52</v>
      </c>
      <c r="AZ709" t="s">
        <v>52</v>
      </c>
      <c r="BQ709" t="s">
        <v>52</v>
      </c>
      <c r="BR709">
        <v>1.85</v>
      </c>
      <c r="BS709" t="s">
        <v>284</v>
      </c>
      <c r="BT709">
        <v>1.66</v>
      </c>
      <c r="BU709" t="s">
        <v>285</v>
      </c>
      <c r="BV709">
        <v>1.1399999999999999</v>
      </c>
      <c r="BW709" t="s">
        <v>285</v>
      </c>
      <c r="BX709">
        <v>0.51</v>
      </c>
      <c r="BY709" t="s">
        <v>285</v>
      </c>
      <c r="BZ709">
        <v>0.42</v>
      </c>
      <c r="CA709" t="s">
        <v>289</v>
      </c>
      <c r="CF709">
        <v>1.1000000000000001</v>
      </c>
      <c r="CG709" t="s">
        <v>54</v>
      </c>
      <c r="CH709" t="s">
        <v>52</v>
      </c>
    </row>
    <row r="710" spans="1:86" x14ac:dyDescent="0.25">
      <c r="A710" t="s">
        <v>47</v>
      </c>
      <c r="B710">
        <v>8</v>
      </c>
      <c r="C710" t="s">
        <v>166</v>
      </c>
      <c r="D710">
        <v>67</v>
      </c>
      <c r="E710" t="s">
        <v>58</v>
      </c>
      <c r="F710">
        <v>102</v>
      </c>
      <c r="G710" t="s">
        <v>61</v>
      </c>
      <c r="H710" t="s">
        <v>50</v>
      </c>
      <c r="K710" t="s">
        <v>52</v>
      </c>
      <c r="L710">
        <v>1</v>
      </c>
      <c r="M710" t="s">
        <v>53</v>
      </c>
      <c r="N710">
        <v>102</v>
      </c>
      <c r="O710">
        <v>1</v>
      </c>
      <c r="P710" t="s">
        <v>52</v>
      </c>
      <c r="Q710">
        <v>0</v>
      </c>
      <c r="R710">
        <v>0.92</v>
      </c>
      <c r="S710">
        <v>131.69999999999999</v>
      </c>
      <c r="T710" t="s">
        <v>284</v>
      </c>
      <c r="U710">
        <v>170</v>
      </c>
      <c r="V710" t="s">
        <v>284</v>
      </c>
      <c r="W710">
        <v>191</v>
      </c>
      <c r="X710" t="s">
        <v>284</v>
      </c>
      <c r="Y710">
        <v>207</v>
      </c>
      <c r="Z710" t="s">
        <v>284</v>
      </c>
      <c r="AA710">
        <v>315</v>
      </c>
      <c r="AB710" t="s">
        <v>285</v>
      </c>
      <c r="AG710">
        <v>189.33330000000001</v>
      </c>
      <c r="AH710" t="s">
        <v>54</v>
      </c>
      <c r="AI710" t="s">
        <v>52</v>
      </c>
      <c r="AZ710" t="s">
        <v>52</v>
      </c>
      <c r="BQ710" t="s">
        <v>52</v>
      </c>
      <c r="BR710">
        <v>0.93</v>
      </c>
      <c r="BS710" t="s">
        <v>285</v>
      </c>
      <c r="BT710">
        <v>1.1000000000000001</v>
      </c>
      <c r="BU710" t="s">
        <v>285</v>
      </c>
      <c r="BV710">
        <v>0.85</v>
      </c>
      <c r="BW710" t="s">
        <v>285</v>
      </c>
      <c r="BX710">
        <v>0.51</v>
      </c>
      <c r="BY710" t="s">
        <v>285</v>
      </c>
      <c r="BZ710">
        <v>0.44</v>
      </c>
      <c r="CA710" t="s">
        <v>284</v>
      </c>
      <c r="CF710">
        <v>0.76</v>
      </c>
      <c r="CG710" t="s">
        <v>54</v>
      </c>
      <c r="CH710" t="s">
        <v>52</v>
      </c>
    </row>
    <row r="711" spans="1:86" x14ac:dyDescent="0.25">
      <c r="A711" t="s">
        <v>47</v>
      </c>
      <c r="B711">
        <v>8</v>
      </c>
      <c r="C711" t="s">
        <v>166</v>
      </c>
      <c r="D711">
        <v>67</v>
      </c>
      <c r="E711" t="s">
        <v>58</v>
      </c>
      <c r="F711">
        <v>102</v>
      </c>
      <c r="G711" t="s">
        <v>62</v>
      </c>
      <c r="H711" t="s">
        <v>50</v>
      </c>
      <c r="K711" t="s">
        <v>51</v>
      </c>
      <c r="L711">
        <v>1</v>
      </c>
      <c r="M711" t="s">
        <v>53</v>
      </c>
      <c r="N711">
        <v>102</v>
      </c>
      <c r="O711">
        <v>1</v>
      </c>
      <c r="P711" t="s">
        <v>52</v>
      </c>
      <c r="Q711">
        <v>0</v>
      </c>
      <c r="R711">
        <v>0.92</v>
      </c>
      <c r="S711">
        <v>131.69999999999999</v>
      </c>
      <c r="T711" t="s">
        <v>284</v>
      </c>
      <c r="U711">
        <v>170</v>
      </c>
      <c r="V711" t="s">
        <v>284</v>
      </c>
      <c r="W711">
        <v>191</v>
      </c>
      <c r="X711" t="s">
        <v>284</v>
      </c>
      <c r="Y711">
        <v>207</v>
      </c>
      <c r="Z711" t="s">
        <v>284</v>
      </c>
      <c r="AA711">
        <v>205</v>
      </c>
      <c r="AB711" t="s">
        <v>285</v>
      </c>
      <c r="AG711">
        <v>188.66669999999999</v>
      </c>
      <c r="AH711" t="s">
        <v>54</v>
      </c>
      <c r="AI711" t="s">
        <v>52</v>
      </c>
      <c r="AX711">
        <v>271.60000000000002</v>
      </c>
      <c r="AY711" t="s">
        <v>285</v>
      </c>
      <c r="AZ711" t="s">
        <v>287</v>
      </c>
      <c r="BQ711" t="s">
        <v>52</v>
      </c>
      <c r="BR711">
        <v>1.85</v>
      </c>
      <c r="BS711" t="s">
        <v>284</v>
      </c>
      <c r="BT711">
        <v>1.52</v>
      </c>
      <c r="BU711" t="s">
        <v>284</v>
      </c>
      <c r="BV711">
        <v>0.53</v>
      </c>
      <c r="BW711" t="s">
        <v>285</v>
      </c>
      <c r="BX711">
        <v>0.7</v>
      </c>
      <c r="BY711" t="s">
        <v>285</v>
      </c>
      <c r="BZ711">
        <v>0.6</v>
      </c>
      <c r="CA711" t="s">
        <v>284</v>
      </c>
      <c r="CF711">
        <v>0.94</v>
      </c>
      <c r="CG711" t="s">
        <v>54</v>
      </c>
      <c r="CH711" t="s">
        <v>52</v>
      </c>
    </row>
    <row r="712" spans="1:86" x14ac:dyDescent="0.25">
      <c r="A712" t="s">
        <v>47</v>
      </c>
      <c r="B712">
        <v>8</v>
      </c>
      <c r="C712" t="s">
        <v>166</v>
      </c>
      <c r="D712">
        <v>67</v>
      </c>
      <c r="E712" t="s">
        <v>58</v>
      </c>
      <c r="F712">
        <v>102</v>
      </c>
      <c r="G712" t="s">
        <v>62</v>
      </c>
      <c r="H712" t="s">
        <v>50</v>
      </c>
      <c r="K712" t="s">
        <v>52</v>
      </c>
      <c r="L712">
        <v>1</v>
      </c>
      <c r="M712" t="s">
        <v>53</v>
      </c>
      <c r="N712">
        <v>102</v>
      </c>
      <c r="O712">
        <v>1</v>
      </c>
      <c r="P712" t="s">
        <v>52</v>
      </c>
      <c r="Q712">
        <v>0</v>
      </c>
      <c r="R712">
        <v>0.92</v>
      </c>
      <c r="S712">
        <v>131.69999999999999</v>
      </c>
      <c r="T712" t="s">
        <v>284</v>
      </c>
      <c r="U712">
        <v>170</v>
      </c>
      <c r="V712" t="s">
        <v>284</v>
      </c>
      <c r="W712">
        <v>191</v>
      </c>
      <c r="X712" t="s">
        <v>284</v>
      </c>
      <c r="Y712">
        <v>207</v>
      </c>
      <c r="Z712" t="s">
        <v>284</v>
      </c>
      <c r="AA712">
        <v>205</v>
      </c>
      <c r="AB712" t="s">
        <v>285</v>
      </c>
      <c r="AG712">
        <v>188.66669999999999</v>
      </c>
      <c r="AH712" t="s">
        <v>54</v>
      </c>
      <c r="AI712" t="s">
        <v>52</v>
      </c>
      <c r="AX712">
        <v>271.60000000000002</v>
      </c>
      <c r="AY712" t="s">
        <v>285</v>
      </c>
      <c r="AZ712" t="s">
        <v>287</v>
      </c>
      <c r="BQ712" t="s">
        <v>52</v>
      </c>
      <c r="BR712">
        <v>0.83</v>
      </c>
      <c r="BS712" t="s">
        <v>285</v>
      </c>
      <c r="BT712">
        <v>1.02</v>
      </c>
      <c r="BU712" t="s">
        <v>284</v>
      </c>
      <c r="BV712">
        <v>0.3</v>
      </c>
      <c r="BW712" t="s">
        <v>285</v>
      </c>
      <c r="BX712">
        <v>0.55000000000000004</v>
      </c>
      <c r="BY712" t="s">
        <v>285</v>
      </c>
      <c r="BZ712">
        <v>0.47</v>
      </c>
      <c r="CA712" t="s">
        <v>284</v>
      </c>
      <c r="CF712">
        <v>0.62</v>
      </c>
      <c r="CG712" t="s">
        <v>54</v>
      </c>
      <c r="CH712" t="s">
        <v>52</v>
      </c>
    </row>
    <row r="713" spans="1:86" x14ac:dyDescent="0.25">
      <c r="A713" t="s">
        <v>47</v>
      </c>
      <c r="B713">
        <v>8</v>
      </c>
      <c r="C713" t="s">
        <v>166</v>
      </c>
      <c r="D713">
        <v>67</v>
      </c>
      <c r="E713" t="s">
        <v>58</v>
      </c>
      <c r="F713">
        <v>102</v>
      </c>
      <c r="G713" t="s">
        <v>63</v>
      </c>
      <c r="H713" t="s">
        <v>50</v>
      </c>
      <c r="K713" t="s">
        <v>51</v>
      </c>
      <c r="L713">
        <v>1</v>
      </c>
      <c r="M713" t="s">
        <v>53</v>
      </c>
      <c r="N713">
        <v>102</v>
      </c>
      <c r="O713">
        <v>1</v>
      </c>
      <c r="P713" t="s">
        <v>52</v>
      </c>
      <c r="Q713">
        <v>0</v>
      </c>
      <c r="R713">
        <v>0.92</v>
      </c>
      <c r="S713">
        <v>131.69999999999999</v>
      </c>
      <c r="T713" t="s">
        <v>284</v>
      </c>
      <c r="U713">
        <v>170</v>
      </c>
      <c r="V713" t="s">
        <v>284</v>
      </c>
      <c r="W713">
        <v>191</v>
      </c>
      <c r="X713" t="s">
        <v>285</v>
      </c>
      <c r="Y713">
        <v>207</v>
      </c>
      <c r="Z713" t="s">
        <v>285</v>
      </c>
      <c r="AA713">
        <v>265</v>
      </c>
      <c r="AB713" t="s">
        <v>285</v>
      </c>
      <c r="AG713">
        <v>189.33330000000001</v>
      </c>
      <c r="AH713" t="s">
        <v>54</v>
      </c>
      <c r="AI713" t="s">
        <v>52</v>
      </c>
      <c r="AZ713" t="s">
        <v>52</v>
      </c>
      <c r="BQ713" t="s">
        <v>52</v>
      </c>
      <c r="BR713">
        <v>2.1</v>
      </c>
      <c r="BS713" t="s">
        <v>285</v>
      </c>
      <c r="BT713">
        <v>1.91</v>
      </c>
      <c r="BU713" t="s">
        <v>284</v>
      </c>
      <c r="BV713">
        <v>2.2000000000000002</v>
      </c>
      <c r="BW713" t="s">
        <v>285</v>
      </c>
      <c r="BX713">
        <v>1.28</v>
      </c>
      <c r="BY713" t="s">
        <v>285</v>
      </c>
      <c r="BZ713">
        <v>3.2</v>
      </c>
      <c r="CA713" t="s">
        <v>288</v>
      </c>
      <c r="CF713">
        <v>2.0699999999999998</v>
      </c>
      <c r="CG713" t="s">
        <v>54</v>
      </c>
      <c r="CH713" t="s">
        <v>52</v>
      </c>
    </row>
    <row r="714" spans="1:86" x14ac:dyDescent="0.25">
      <c r="A714" t="s">
        <v>47</v>
      </c>
      <c r="B714">
        <v>8</v>
      </c>
      <c r="C714" t="s">
        <v>166</v>
      </c>
      <c r="D714">
        <v>67</v>
      </c>
      <c r="E714" t="s">
        <v>58</v>
      </c>
      <c r="F714">
        <v>102</v>
      </c>
      <c r="G714" t="s">
        <v>63</v>
      </c>
      <c r="H714" t="s">
        <v>50</v>
      </c>
      <c r="K714" t="s">
        <v>52</v>
      </c>
      <c r="L714">
        <v>1</v>
      </c>
      <c r="M714" t="s">
        <v>53</v>
      </c>
      <c r="N714">
        <v>102</v>
      </c>
      <c r="O714">
        <v>1</v>
      </c>
      <c r="P714" t="s">
        <v>52</v>
      </c>
      <c r="Q714">
        <v>0</v>
      </c>
      <c r="R714">
        <v>0.92</v>
      </c>
      <c r="S714">
        <v>131.69999999999999</v>
      </c>
      <c r="T714" t="s">
        <v>284</v>
      </c>
      <c r="U714">
        <v>170</v>
      </c>
      <c r="V714" t="s">
        <v>284</v>
      </c>
      <c r="W714">
        <v>191</v>
      </c>
      <c r="X714" t="s">
        <v>285</v>
      </c>
      <c r="Y714">
        <v>207</v>
      </c>
      <c r="Z714" t="s">
        <v>285</v>
      </c>
      <c r="AA714">
        <v>265</v>
      </c>
      <c r="AB714" t="s">
        <v>285</v>
      </c>
      <c r="AG714">
        <v>189.33330000000001</v>
      </c>
      <c r="AH714" t="s">
        <v>54</v>
      </c>
      <c r="AI714" t="s">
        <v>52</v>
      </c>
      <c r="AZ714" t="s">
        <v>52</v>
      </c>
      <c r="BQ714" t="s">
        <v>52</v>
      </c>
      <c r="BR714">
        <v>0.93</v>
      </c>
      <c r="BS714" t="s">
        <v>285</v>
      </c>
      <c r="BT714">
        <v>0.99</v>
      </c>
      <c r="BU714" t="s">
        <v>284</v>
      </c>
      <c r="BV714">
        <v>0.77</v>
      </c>
      <c r="BW714" t="s">
        <v>285</v>
      </c>
      <c r="BX714">
        <v>0.54</v>
      </c>
      <c r="BY714" t="s">
        <v>285</v>
      </c>
      <c r="BZ714">
        <v>0.46</v>
      </c>
      <c r="CA714" t="s">
        <v>284</v>
      </c>
      <c r="CF714">
        <v>0.75</v>
      </c>
      <c r="CG714" t="s">
        <v>54</v>
      </c>
      <c r="CH714" t="s">
        <v>52</v>
      </c>
    </row>
    <row r="715" spans="1:86" x14ac:dyDescent="0.25">
      <c r="A715" t="s">
        <v>47</v>
      </c>
      <c r="B715">
        <v>8</v>
      </c>
      <c r="C715" t="s">
        <v>166</v>
      </c>
      <c r="D715">
        <v>67</v>
      </c>
      <c r="E715" t="s">
        <v>58</v>
      </c>
      <c r="F715">
        <v>102</v>
      </c>
      <c r="G715" t="s">
        <v>64</v>
      </c>
      <c r="H715" t="s">
        <v>50</v>
      </c>
      <c r="K715" t="s">
        <v>51</v>
      </c>
      <c r="L715">
        <v>1</v>
      </c>
      <c r="M715" t="s">
        <v>53</v>
      </c>
      <c r="N715">
        <v>102</v>
      </c>
      <c r="O715">
        <v>1</v>
      </c>
      <c r="P715" t="s">
        <v>52</v>
      </c>
      <c r="Q715">
        <v>0</v>
      </c>
      <c r="R715">
        <v>0.92</v>
      </c>
      <c r="S715">
        <v>131.69999999999999</v>
      </c>
      <c r="T715" t="s">
        <v>284</v>
      </c>
      <c r="U715">
        <v>170</v>
      </c>
      <c r="V715" t="s">
        <v>284</v>
      </c>
      <c r="W715">
        <v>191</v>
      </c>
      <c r="X715" t="s">
        <v>284</v>
      </c>
      <c r="Y715">
        <v>207</v>
      </c>
      <c r="Z715" t="s">
        <v>284</v>
      </c>
      <c r="AA715">
        <v>205</v>
      </c>
      <c r="AB715" t="s">
        <v>285</v>
      </c>
      <c r="AG715">
        <v>188.66669999999999</v>
      </c>
      <c r="AH715" t="s">
        <v>54</v>
      </c>
      <c r="AI715" t="s">
        <v>52</v>
      </c>
      <c r="AZ715" t="s">
        <v>52</v>
      </c>
      <c r="BQ715" t="s">
        <v>52</v>
      </c>
      <c r="CH715" t="s">
        <v>52</v>
      </c>
    </row>
    <row r="716" spans="1:86" x14ac:dyDescent="0.25">
      <c r="A716" t="s">
        <v>47</v>
      </c>
      <c r="B716">
        <v>8</v>
      </c>
      <c r="C716" t="s">
        <v>166</v>
      </c>
      <c r="D716">
        <v>67</v>
      </c>
      <c r="E716" t="s">
        <v>58</v>
      </c>
      <c r="F716">
        <v>102</v>
      </c>
      <c r="G716" t="s">
        <v>64</v>
      </c>
      <c r="H716" t="s">
        <v>50</v>
      </c>
      <c r="K716" t="s">
        <v>52</v>
      </c>
      <c r="L716">
        <v>1</v>
      </c>
      <c r="M716" t="s">
        <v>53</v>
      </c>
      <c r="N716">
        <v>102</v>
      </c>
      <c r="O716">
        <v>1</v>
      </c>
      <c r="P716" t="s">
        <v>52</v>
      </c>
      <c r="Q716">
        <v>0</v>
      </c>
      <c r="R716">
        <v>0.92</v>
      </c>
      <c r="S716">
        <v>131.69999999999999</v>
      </c>
      <c r="T716" t="s">
        <v>284</v>
      </c>
      <c r="U716">
        <v>170</v>
      </c>
      <c r="V716" t="s">
        <v>284</v>
      </c>
      <c r="W716">
        <v>191</v>
      </c>
      <c r="X716" t="s">
        <v>284</v>
      </c>
      <c r="Y716">
        <v>207</v>
      </c>
      <c r="Z716" t="s">
        <v>284</v>
      </c>
      <c r="AA716">
        <v>205</v>
      </c>
      <c r="AB716" t="s">
        <v>285</v>
      </c>
      <c r="AG716">
        <v>188.66669999999999</v>
      </c>
      <c r="AH716" t="s">
        <v>54</v>
      </c>
      <c r="AI716" t="s">
        <v>52</v>
      </c>
      <c r="AZ716" t="s">
        <v>52</v>
      </c>
      <c r="BQ716" t="s">
        <v>52</v>
      </c>
      <c r="CH716" t="s">
        <v>52</v>
      </c>
    </row>
    <row r="717" spans="1:86" x14ac:dyDescent="0.25">
      <c r="A717" t="s">
        <v>47</v>
      </c>
      <c r="B717">
        <v>8</v>
      </c>
      <c r="C717" t="s">
        <v>166</v>
      </c>
      <c r="D717">
        <v>67</v>
      </c>
      <c r="E717" t="s">
        <v>58</v>
      </c>
      <c r="F717">
        <v>102</v>
      </c>
      <c r="G717" t="s">
        <v>167</v>
      </c>
      <c r="H717" t="s">
        <v>50</v>
      </c>
      <c r="K717" t="s">
        <v>51</v>
      </c>
      <c r="L717">
        <v>1</v>
      </c>
      <c r="M717" t="s">
        <v>53</v>
      </c>
      <c r="N717">
        <v>102</v>
      </c>
      <c r="O717">
        <v>1</v>
      </c>
      <c r="P717" t="s">
        <v>52</v>
      </c>
      <c r="Q717">
        <v>0</v>
      </c>
      <c r="R717">
        <v>0.92</v>
      </c>
      <c r="S717">
        <v>131.69999999999999</v>
      </c>
      <c r="T717" t="s">
        <v>284</v>
      </c>
      <c r="U717">
        <v>170</v>
      </c>
      <c r="V717" t="s">
        <v>284</v>
      </c>
      <c r="AI717" t="s">
        <v>52</v>
      </c>
      <c r="AZ717" t="s">
        <v>52</v>
      </c>
      <c r="BQ717" t="s">
        <v>52</v>
      </c>
      <c r="CH717" t="s">
        <v>52</v>
      </c>
    </row>
    <row r="718" spans="1:86" x14ac:dyDescent="0.25">
      <c r="A718" t="s">
        <v>47</v>
      </c>
      <c r="B718">
        <v>8</v>
      </c>
      <c r="C718" t="s">
        <v>166</v>
      </c>
      <c r="D718">
        <v>67</v>
      </c>
      <c r="E718" t="s">
        <v>58</v>
      </c>
      <c r="F718">
        <v>102</v>
      </c>
      <c r="G718" t="s">
        <v>167</v>
      </c>
      <c r="H718" t="s">
        <v>50</v>
      </c>
      <c r="K718" t="s">
        <v>52</v>
      </c>
      <c r="L718">
        <v>1</v>
      </c>
      <c r="M718" t="s">
        <v>53</v>
      </c>
      <c r="N718">
        <v>102</v>
      </c>
      <c r="O718">
        <v>1</v>
      </c>
      <c r="P718" t="s">
        <v>52</v>
      </c>
      <c r="Q718">
        <v>0</v>
      </c>
      <c r="R718">
        <v>0.92</v>
      </c>
      <c r="S718">
        <v>131.69999999999999</v>
      </c>
      <c r="T718" t="s">
        <v>284</v>
      </c>
      <c r="U718">
        <v>170</v>
      </c>
      <c r="V718" t="s">
        <v>284</v>
      </c>
      <c r="AI718" t="s">
        <v>52</v>
      </c>
      <c r="AZ718" t="s">
        <v>52</v>
      </c>
      <c r="BQ718" t="s">
        <v>52</v>
      </c>
      <c r="CH718" t="s">
        <v>52</v>
      </c>
    </row>
    <row r="719" spans="1:86" x14ac:dyDescent="0.25">
      <c r="A719" t="s">
        <v>47</v>
      </c>
      <c r="B719">
        <v>8</v>
      </c>
      <c r="C719" t="s">
        <v>166</v>
      </c>
      <c r="D719">
        <v>67</v>
      </c>
      <c r="E719" t="s">
        <v>58</v>
      </c>
      <c r="F719">
        <v>102</v>
      </c>
      <c r="G719" t="s">
        <v>136</v>
      </c>
      <c r="H719" t="s">
        <v>50</v>
      </c>
      <c r="K719" t="s">
        <v>51</v>
      </c>
      <c r="L719">
        <v>1</v>
      </c>
      <c r="M719" t="s">
        <v>53</v>
      </c>
      <c r="N719">
        <v>102</v>
      </c>
      <c r="O719">
        <v>1</v>
      </c>
      <c r="P719" t="s">
        <v>52</v>
      </c>
      <c r="Q719">
        <v>0</v>
      </c>
      <c r="R719">
        <v>0.92</v>
      </c>
      <c r="S719">
        <v>131.69999999999999</v>
      </c>
      <c r="T719" t="s">
        <v>284</v>
      </c>
      <c r="U719">
        <v>170</v>
      </c>
      <c r="V719" t="s">
        <v>284</v>
      </c>
      <c r="W719">
        <v>191</v>
      </c>
      <c r="X719" t="s">
        <v>285</v>
      </c>
      <c r="Y719">
        <v>207</v>
      </c>
      <c r="Z719" t="s">
        <v>284</v>
      </c>
      <c r="AA719">
        <v>275</v>
      </c>
      <c r="AB719" t="s">
        <v>285</v>
      </c>
      <c r="AG719">
        <v>189.33330000000001</v>
      </c>
      <c r="AH719" t="s">
        <v>54</v>
      </c>
      <c r="AI719" t="s">
        <v>52</v>
      </c>
      <c r="AZ719" t="s">
        <v>52</v>
      </c>
      <c r="BQ719" t="s">
        <v>52</v>
      </c>
      <c r="BR719">
        <v>1.37</v>
      </c>
      <c r="BS719" t="s">
        <v>285</v>
      </c>
      <c r="BT719">
        <v>1.91</v>
      </c>
      <c r="BU719" t="s">
        <v>284</v>
      </c>
      <c r="BV719">
        <v>2.33</v>
      </c>
      <c r="BW719" t="s">
        <v>285</v>
      </c>
      <c r="BX719">
        <v>1.64</v>
      </c>
      <c r="BY719" t="s">
        <v>285</v>
      </c>
      <c r="BZ719">
        <v>2.41</v>
      </c>
      <c r="CA719" t="s">
        <v>288</v>
      </c>
      <c r="CF719">
        <v>1.96</v>
      </c>
      <c r="CG719" t="s">
        <v>54</v>
      </c>
      <c r="CH719" t="s">
        <v>52</v>
      </c>
    </row>
    <row r="720" spans="1:86" x14ac:dyDescent="0.25">
      <c r="A720" t="s">
        <v>47</v>
      </c>
      <c r="B720">
        <v>8</v>
      </c>
      <c r="C720" t="s">
        <v>166</v>
      </c>
      <c r="D720">
        <v>67</v>
      </c>
      <c r="E720" t="s">
        <v>58</v>
      </c>
      <c r="F720">
        <v>102</v>
      </c>
      <c r="G720" t="s">
        <v>66</v>
      </c>
      <c r="H720" t="s">
        <v>50</v>
      </c>
      <c r="K720" t="s">
        <v>51</v>
      </c>
      <c r="L720">
        <v>1</v>
      </c>
      <c r="M720" t="s">
        <v>53</v>
      </c>
      <c r="N720">
        <v>102</v>
      </c>
      <c r="O720">
        <v>1</v>
      </c>
      <c r="P720" t="s">
        <v>52</v>
      </c>
      <c r="Q720">
        <v>0</v>
      </c>
      <c r="R720">
        <v>0.92</v>
      </c>
      <c r="S720">
        <v>131.69999999999999</v>
      </c>
      <c r="T720" t="s">
        <v>284</v>
      </c>
      <c r="U720">
        <v>170</v>
      </c>
      <c r="V720" t="s">
        <v>284</v>
      </c>
      <c r="W720">
        <v>191</v>
      </c>
      <c r="X720" t="s">
        <v>284</v>
      </c>
      <c r="Y720">
        <v>207</v>
      </c>
      <c r="Z720" t="s">
        <v>284</v>
      </c>
      <c r="AA720">
        <v>205</v>
      </c>
      <c r="AB720" t="s">
        <v>285</v>
      </c>
      <c r="AG720">
        <v>188.66669999999999</v>
      </c>
      <c r="AH720" t="s">
        <v>54</v>
      </c>
      <c r="AI720" t="s">
        <v>52</v>
      </c>
      <c r="AZ720" t="s">
        <v>52</v>
      </c>
      <c r="BQ720" t="s">
        <v>52</v>
      </c>
      <c r="BR720">
        <v>1.32</v>
      </c>
      <c r="BS720" t="s">
        <v>285</v>
      </c>
      <c r="BT720">
        <v>1.91</v>
      </c>
      <c r="BU720" t="s">
        <v>284</v>
      </c>
      <c r="BV720">
        <v>1.48</v>
      </c>
      <c r="BW720" t="s">
        <v>285</v>
      </c>
      <c r="BX720">
        <v>1.02</v>
      </c>
      <c r="BY720" t="s">
        <v>285</v>
      </c>
      <c r="BZ720">
        <v>1.02</v>
      </c>
      <c r="CA720" t="s">
        <v>285</v>
      </c>
      <c r="CF720">
        <v>1.27</v>
      </c>
      <c r="CG720" t="s">
        <v>54</v>
      </c>
      <c r="CH720" t="s">
        <v>52</v>
      </c>
    </row>
    <row r="721" spans="1:86" x14ac:dyDescent="0.25">
      <c r="A721" t="s">
        <v>47</v>
      </c>
      <c r="B721">
        <v>8</v>
      </c>
      <c r="C721" t="s">
        <v>166</v>
      </c>
      <c r="D721">
        <v>67</v>
      </c>
      <c r="E721" t="s">
        <v>58</v>
      </c>
      <c r="F721">
        <v>102</v>
      </c>
      <c r="G721" t="s">
        <v>66</v>
      </c>
      <c r="H721" t="s">
        <v>50</v>
      </c>
      <c r="K721" t="s">
        <v>52</v>
      </c>
      <c r="L721">
        <v>1</v>
      </c>
      <c r="M721" t="s">
        <v>53</v>
      </c>
      <c r="N721">
        <v>102</v>
      </c>
      <c r="O721">
        <v>1</v>
      </c>
      <c r="P721" t="s">
        <v>52</v>
      </c>
      <c r="Q721">
        <v>0</v>
      </c>
      <c r="R721">
        <v>0.92</v>
      </c>
      <c r="S721">
        <v>131.69999999999999</v>
      </c>
      <c r="T721" t="s">
        <v>284</v>
      </c>
      <c r="U721">
        <v>170</v>
      </c>
      <c r="V721" t="s">
        <v>284</v>
      </c>
      <c r="W721">
        <v>191</v>
      </c>
      <c r="X721" t="s">
        <v>284</v>
      </c>
      <c r="Y721">
        <v>207</v>
      </c>
      <c r="Z721" t="s">
        <v>284</v>
      </c>
      <c r="AA721">
        <v>205</v>
      </c>
      <c r="AB721" t="s">
        <v>285</v>
      </c>
      <c r="AG721">
        <v>188.66669999999999</v>
      </c>
      <c r="AH721" t="s">
        <v>54</v>
      </c>
      <c r="AI721" t="s">
        <v>52</v>
      </c>
      <c r="AZ721" t="s">
        <v>52</v>
      </c>
      <c r="BQ721" t="s">
        <v>52</v>
      </c>
      <c r="BR721">
        <v>0.93</v>
      </c>
      <c r="BS721" t="s">
        <v>285</v>
      </c>
      <c r="BT721">
        <v>0.99</v>
      </c>
      <c r="BU721" t="s">
        <v>284</v>
      </c>
      <c r="BV721">
        <v>0.77</v>
      </c>
      <c r="BW721" t="s">
        <v>285</v>
      </c>
      <c r="BX721">
        <v>0.54</v>
      </c>
      <c r="BY721" t="s">
        <v>285</v>
      </c>
      <c r="BZ721">
        <v>0.46</v>
      </c>
      <c r="CA721" t="s">
        <v>284</v>
      </c>
      <c r="CF721">
        <v>0.75</v>
      </c>
      <c r="CG721" t="s">
        <v>54</v>
      </c>
      <c r="CH721" t="s">
        <v>52</v>
      </c>
    </row>
    <row r="722" spans="1:86" x14ac:dyDescent="0.25">
      <c r="A722" t="s">
        <v>47</v>
      </c>
      <c r="B722">
        <v>8</v>
      </c>
      <c r="C722" t="s">
        <v>166</v>
      </c>
      <c r="D722">
        <v>67</v>
      </c>
      <c r="E722" t="s">
        <v>58</v>
      </c>
      <c r="F722">
        <v>102</v>
      </c>
      <c r="G722" t="s">
        <v>118</v>
      </c>
      <c r="H722" t="s">
        <v>50</v>
      </c>
      <c r="K722" t="s">
        <v>52</v>
      </c>
      <c r="L722">
        <v>1</v>
      </c>
      <c r="M722" t="s">
        <v>53</v>
      </c>
      <c r="N722">
        <v>102</v>
      </c>
      <c r="O722">
        <v>1</v>
      </c>
      <c r="P722" t="s">
        <v>52</v>
      </c>
      <c r="Q722">
        <v>0</v>
      </c>
      <c r="R722">
        <v>0.92</v>
      </c>
      <c r="S722">
        <v>131.69999999999999</v>
      </c>
      <c r="T722" t="s">
        <v>284</v>
      </c>
      <c r="U722">
        <v>170</v>
      </c>
      <c r="V722" t="s">
        <v>284</v>
      </c>
      <c r="W722">
        <v>191</v>
      </c>
      <c r="X722" t="s">
        <v>284</v>
      </c>
      <c r="Y722">
        <v>207</v>
      </c>
      <c r="Z722" t="s">
        <v>284</v>
      </c>
      <c r="AA722">
        <v>205</v>
      </c>
      <c r="AB722" t="s">
        <v>285</v>
      </c>
      <c r="AG722">
        <v>188.66669999999999</v>
      </c>
      <c r="AH722" t="s">
        <v>54</v>
      </c>
      <c r="AI722" t="s">
        <v>52</v>
      </c>
      <c r="AZ722" t="s">
        <v>52</v>
      </c>
      <c r="BQ722" t="s">
        <v>52</v>
      </c>
      <c r="BR722">
        <v>0.93</v>
      </c>
      <c r="BS722" t="s">
        <v>285</v>
      </c>
      <c r="BT722">
        <v>0.99</v>
      </c>
      <c r="BU722" t="s">
        <v>284</v>
      </c>
      <c r="BV722">
        <v>0.77</v>
      </c>
      <c r="BW722" t="s">
        <v>285</v>
      </c>
      <c r="BX722">
        <v>0.54</v>
      </c>
      <c r="BY722" t="s">
        <v>285</v>
      </c>
      <c r="BZ722">
        <v>0.46</v>
      </c>
      <c r="CA722" t="s">
        <v>284</v>
      </c>
      <c r="CF722">
        <v>0.75</v>
      </c>
      <c r="CG722" t="s">
        <v>54</v>
      </c>
      <c r="CH722" t="s">
        <v>52</v>
      </c>
    </row>
    <row r="723" spans="1:86" x14ac:dyDescent="0.25">
      <c r="A723" t="s">
        <v>47</v>
      </c>
      <c r="B723">
        <v>8</v>
      </c>
      <c r="C723" t="s">
        <v>166</v>
      </c>
      <c r="D723">
        <v>67</v>
      </c>
      <c r="E723" t="s">
        <v>58</v>
      </c>
      <c r="F723">
        <v>102</v>
      </c>
      <c r="G723" t="s">
        <v>114</v>
      </c>
      <c r="H723" t="s">
        <v>50</v>
      </c>
      <c r="K723" t="s">
        <v>52</v>
      </c>
      <c r="L723">
        <v>1</v>
      </c>
      <c r="M723" t="s">
        <v>53</v>
      </c>
      <c r="N723">
        <v>102</v>
      </c>
      <c r="O723">
        <v>1</v>
      </c>
      <c r="P723" t="s">
        <v>52</v>
      </c>
      <c r="Q723">
        <v>0</v>
      </c>
      <c r="R723">
        <v>0.92</v>
      </c>
      <c r="S723">
        <v>131.69999999999999</v>
      </c>
      <c r="T723" t="s">
        <v>284</v>
      </c>
      <c r="U723">
        <v>170</v>
      </c>
      <c r="V723" t="s">
        <v>284</v>
      </c>
      <c r="W723">
        <v>191</v>
      </c>
      <c r="X723" t="s">
        <v>285</v>
      </c>
      <c r="Y723">
        <v>207</v>
      </c>
      <c r="Z723" t="s">
        <v>285</v>
      </c>
      <c r="AA723">
        <v>205</v>
      </c>
      <c r="AB723" t="s">
        <v>285</v>
      </c>
      <c r="AG723">
        <v>188.66669999999999</v>
      </c>
      <c r="AH723" t="s">
        <v>54</v>
      </c>
      <c r="AI723" t="s">
        <v>52</v>
      </c>
      <c r="AZ723" t="s">
        <v>52</v>
      </c>
      <c r="BQ723" t="s">
        <v>52</v>
      </c>
      <c r="BR723">
        <v>0.93</v>
      </c>
      <c r="BS723" t="s">
        <v>285</v>
      </c>
      <c r="BT723">
        <v>0.99</v>
      </c>
      <c r="BU723" t="s">
        <v>284</v>
      </c>
      <c r="BV723">
        <v>0.28999999999999998</v>
      </c>
      <c r="BW723" t="s">
        <v>285</v>
      </c>
      <c r="BX723">
        <v>0.54</v>
      </c>
      <c r="BY723" t="s">
        <v>285</v>
      </c>
      <c r="BZ723">
        <v>0.46</v>
      </c>
      <c r="CA723" t="s">
        <v>284</v>
      </c>
      <c r="CF723">
        <v>0.64</v>
      </c>
      <c r="CG723" t="s">
        <v>54</v>
      </c>
      <c r="CH723" t="s">
        <v>52</v>
      </c>
    </row>
    <row r="724" spans="1:86" x14ac:dyDescent="0.25">
      <c r="A724" t="s">
        <v>47</v>
      </c>
      <c r="B724">
        <v>8</v>
      </c>
      <c r="C724" t="s">
        <v>166</v>
      </c>
      <c r="D724">
        <v>67</v>
      </c>
      <c r="E724" t="s">
        <v>68</v>
      </c>
      <c r="F724">
        <v>80</v>
      </c>
      <c r="G724" t="s">
        <v>69</v>
      </c>
      <c r="H724" t="s">
        <v>50</v>
      </c>
      <c r="K724" t="s">
        <v>51</v>
      </c>
      <c r="L724">
        <v>1</v>
      </c>
      <c r="M724" t="s">
        <v>53</v>
      </c>
      <c r="N724">
        <v>80</v>
      </c>
      <c r="O724">
        <v>1</v>
      </c>
      <c r="P724" t="s">
        <v>52</v>
      </c>
      <c r="Q724">
        <v>0.5</v>
      </c>
      <c r="R724">
        <v>0.75</v>
      </c>
      <c r="S724">
        <v>202.92</v>
      </c>
      <c r="T724" t="s">
        <v>284</v>
      </c>
      <c r="U724">
        <v>198.9</v>
      </c>
      <c r="V724" t="s">
        <v>284</v>
      </c>
      <c r="W724">
        <v>212.4</v>
      </c>
      <c r="X724" t="s">
        <v>284</v>
      </c>
      <c r="Y724">
        <v>219.6</v>
      </c>
      <c r="Z724" t="s">
        <v>284</v>
      </c>
      <c r="AA724">
        <v>178</v>
      </c>
      <c r="AB724" t="s">
        <v>284</v>
      </c>
      <c r="AG724">
        <v>204.74</v>
      </c>
      <c r="AH724" t="s">
        <v>54</v>
      </c>
      <c r="AI724" t="s">
        <v>52</v>
      </c>
      <c r="AZ724" t="s">
        <v>52</v>
      </c>
      <c r="BQ724" t="s">
        <v>52</v>
      </c>
      <c r="CH724" t="s">
        <v>52</v>
      </c>
    </row>
    <row r="725" spans="1:86" x14ac:dyDescent="0.25">
      <c r="A725" t="s">
        <v>47</v>
      </c>
      <c r="B725">
        <v>8</v>
      </c>
      <c r="C725" t="s">
        <v>166</v>
      </c>
      <c r="D725">
        <v>67</v>
      </c>
      <c r="E725" t="s">
        <v>68</v>
      </c>
      <c r="F725">
        <v>80</v>
      </c>
      <c r="G725" t="s">
        <v>69</v>
      </c>
      <c r="H725" t="s">
        <v>50</v>
      </c>
      <c r="K725" t="s">
        <v>52</v>
      </c>
      <c r="L725">
        <v>1</v>
      </c>
      <c r="M725" t="s">
        <v>53</v>
      </c>
      <c r="N725">
        <v>80</v>
      </c>
      <c r="O725">
        <v>1</v>
      </c>
      <c r="P725" t="s">
        <v>52</v>
      </c>
      <c r="Q725">
        <v>0.5</v>
      </c>
      <c r="R725">
        <v>0.75</v>
      </c>
      <c r="S725">
        <v>202.92</v>
      </c>
      <c r="T725" t="s">
        <v>284</v>
      </c>
      <c r="U725">
        <v>198.9</v>
      </c>
      <c r="V725" t="s">
        <v>284</v>
      </c>
      <c r="W725">
        <v>212.4</v>
      </c>
      <c r="X725" t="s">
        <v>284</v>
      </c>
      <c r="Y725">
        <v>219.6</v>
      </c>
      <c r="Z725" t="s">
        <v>284</v>
      </c>
      <c r="AA725">
        <v>178</v>
      </c>
      <c r="AB725" t="s">
        <v>284</v>
      </c>
      <c r="AG725">
        <v>204.74</v>
      </c>
      <c r="AH725" t="s">
        <v>54</v>
      </c>
      <c r="AI725" t="s">
        <v>52</v>
      </c>
      <c r="AZ725" t="s">
        <v>52</v>
      </c>
      <c r="BQ725" t="s">
        <v>52</v>
      </c>
      <c r="CH725" t="s">
        <v>52</v>
      </c>
    </row>
    <row r="726" spans="1:86" x14ac:dyDescent="0.25">
      <c r="A726" t="s">
        <v>47</v>
      </c>
      <c r="B726">
        <v>8</v>
      </c>
      <c r="C726" t="s">
        <v>166</v>
      </c>
      <c r="D726">
        <v>67</v>
      </c>
      <c r="E726" t="s">
        <v>70</v>
      </c>
      <c r="F726">
        <v>296</v>
      </c>
      <c r="G726" t="s">
        <v>71</v>
      </c>
      <c r="H726" t="s">
        <v>50</v>
      </c>
      <c r="K726" t="s">
        <v>51</v>
      </c>
      <c r="L726">
        <v>1</v>
      </c>
      <c r="M726" t="s">
        <v>53</v>
      </c>
      <c r="N726">
        <v>296</v>
      </c>
      <c r="O726">
        <v>1</v>
      </c>
      <c r="P726" t="s">
        <v>52</v>
      </c>
      <c r="Q726">
        <v>0</v>
      </c>
      <c r="R726">
        <v>0.75</v>
      </c>
      <c r="S726">
        <v>228</v>
      </c>
      <c r="T726" t="s">
        <v>284</v>
      </c>
      <c r="U726">
        <v>190</v>
      </c>
      <c r="V726" t="s">
        <v>285</v>
      </c>
      <c r="W726">
        <v>194</v>
      </c>
      <c r="X726" t="s">
        <v>285</v>
      </c>
      <c r="Y726">
        <v>225</v>
      </c>
      <c r="Z726" t="s">
        <v>285</v>
      </c>
      <c r="AA726">
        <v>247</v>
      </c>
      <c r="AB726" t="s">
        <v>285</v>
      </c>
      <c r="AC726">
        <v>241</v>
      </c>
      <c r="AD726" t="s">
        <v>285</v>
      </c>
      <c r="AE726">
        <v>219</v>
      </c>
      <c r="AF726" t="s">
        <v>285</v>
      </c>
      <c r="AG726">
        <v>219</v>
      </c>
      <c r="AH726" t="s">
        <v>286</v>
      </c>
      <c r="AI726" t="s">
        <v>287</v>
      </c>
      <c r="AX726">
        <v>263</v>
      </c>
      <c r="AY726" t="s">
        <v>286</v>
      </c>
      <c r="AZ726" t="s">
        <v>287</v>
      </c>
      <c r="BQ726" t="s">
        <v>52</v>
      </c>
      <c r="BR726">
        <v>1.85</v>
      </c>
      <c r="BS726" t="s">
        <v>284</v>
      </c>
      <c r="BT726">
        <v>2.4900000000000002</v>
      </c>
      <c r="BU726" t="s">
        <v>285</v>
      </c>
      <c r="BV726">
        <v>2.2200000000000002</v>
      </c>
      <c r="BW726" t="s">
        <v>285</v>
      </c>
      <c r="BX726">
        <v>1.67</v>
      </c>
      <c r="BY726" t="s">
        <v>285</v>
      </c>
      <c r="BZ726">
        <v>1.65</v>
      </c>
      <c r="CA726" t="s">
        <v>288</v>
      </c>
      <c r="CF726">
        <v>1.91</v>
      </c>
      <c r="CG726" t="s">
        <v>54</v>
      </c>
      <c r="CH726" t="s">
        <v>52</v>
      </c>
    </row>
    <row r="727" spans="1:86" x14ac:dyDescent="0.25">
      <c r="A727" t="s">
        <v>47</v>
      </c>
      <c r="B727">
        <v>8</v>
      </c>
      <c r="C727" t="s">
        <v>166</v>
      </c>
      <c r="D727">
        <v>67</v>
      </c>
      <c r="E727" t="s">
        <v>70</v>
      </c>
      <c r="F727">
        <v>296</v>
      </c>
      <c r="G727" t="s">
        <v>71</v>
      </c>
      <c r="H727" t="s">
        <v>50</v>
      </c>
      <c r="K727" t="s">
        <v>52</v>
      </c>
      <c r="L727">
        <v>1</v>
      </c>
      <c r="M727" t="s">
        <v>53</v>
      </c>
      <c r="N727">
        <v>296</v>
      </c>
      <c r="O727">
        <v>1</v>
      </c>
      <c r="P727" t="s">
        <v>52</v>
      </c>
      <c r="Q727">
        <v>0</v>
      </c>
      <c r="R727">
        <v>0.75</v>
      </c>
      <c r="S727">
        <v>228</v>
      </c>
      <c r="T727" t="s">
        <v>284</v>
      </c>
      <c r="U727">
        <v>190</v>
      </c>
      <c r="V727" t="s">
        <v>285</v>
      </c>
      <c r="W727">
        <v>194</v>
      </c>
      <c r="X727" t="s">
        <v>285</v>
      </c>
      <c r="Y727">
        <v>225</v>
      </c>
      <c r="Z727" t="s">
        <v>285</v>
      </c>
      <c r="AA727">
        <v>247</v>
      </c>
      <c r="AB727" t="s">
        <v>285</v>
      </c>
      <c r="AC727">
        <v>241</v>
      </c>
      <c r="AD727" t="s">
        <v>285</v>
      </c>
      <c r="AE727">
        <v>219</v>
      </c>
      <c r="AF727" t="s">
        <v>285</v>
      </c>
      <c r="AG727">
        <v>219</v>
      </c>
      <c r="AH727" t="s">
        <v>286</v>
      </c>
      <c r="AI727" t="s">
        <v>287</v>
      </c>
      <c r="AX727">
        <v>263</v>
      </c>
      <c r="AY727" t="s">
        <v>286</v>
      </c>
      <c r="AZ727" t="s">
        <v>287</v>
      </c>
      <c r="BQ727" t="s">
        <v>52</v>
      </c>
      <c r="BR727">
        <v>0.65</v>
      </c>
      <c r="BS727" t="s">
        <v>284</v>
      </c>
      <c r="BT727">
        <v>0.97</v>
      </c>
      <c r="BU727" t="s">
        <v>285</v>
      </c>
      <c r="BV727">
        <v>0.28999999999999998</v>
      </c>
      <c r="BW727" t="s">
        <v>285</v>
      </c>
      <c r="BX727">
        <v>0.22</v>
      </c>
      <c r="BY727" t="s">
        <v>284</v>
      </c>
      <c r="BZ727">
        <v>0.05</v>
      </c>
      <c r="CA727" t="s">
        <v>289</v>
      </c>
      <c r="CF727">
        <v>0.39</v>
      </c>
      <c r="CG727" t="s">
        <v>54</v>
      </c>
      <c r="CH727" t="s">
        <v>52</v>
      </c>
    </row>
    <row r="728" spans="1:86" x14ac:dyDescent="0.25">
      <c r="A728" t="s">
        <v>47</v>
      </c>
      <c r="B728">
        <v>8</v>
      </c>
      <c r="C728" t="s">
        <v>166</v>
      </c>
      <c r="D728">
        <v>67</v>
      </c>
      <c r="E728" t="s">
        <v>70</v>
      </c>
      <c r="F728">
        <v>296</v>
      </c>
      <c r="G728" t="s">
        <v>72</v>
      </c>
      <c r="H728" t="s">
        <v>50</v>
      </c>
      <c r="K728" t="s">
        <v>51</v>
      </c>
      <c r="L728">
        <v>1</v>
      </c>
      <c r="M728" t="s">
        <v>53</v>
      </c>
      <c r="N728">
        <v>296</v>
      </c>
      <c r="O728">
        <v>1</v>
      </c>
      <c r="P728" t="s">
        <v>52</v>
      </c>
      <c r="Q728">
        <v>0.5</v>
      </c>
      <c r="R728">
        <v>0.75</v>
      </c>
      <c r="S728">
        <v>228</v>
      </c>
      <c r="T728" t="s">
        <v>284</v>
      </c>
      <c r="U728">
        <v>221</v>
      </c>
      <c r="V728" t="s">
        <v>284</v>
      </c>
      <c r="W728">
        <v>236</v>
      </c>
      <c r="X728" t="s">
        <v>284</v>
      </c>
      <c r="Y728">
        <v>244</v>
      </c>
      <c r="Z728" t="s">
        <v>284</v>
      </c>
      <c r="AA728">
        <v>215</v>
      </c>
      <c r="AB728" t="s">
        <v>285</v>
      </c>
      <c r="AG728">
        <v>228.33330000000001</v>
      </c>
      <c r="AH728" t="s">
        <v>54</v>
      </c>
      <c r="AI728" t="s">
        <v>52</v>
      </c>
      <c r="AZ728" t="s">
        <v>52</v>
      </c>
      <c r="BQ728" t="s">
        <v>52</v>
      </c>
      <c r="BR728">
        <v>1.85</v>
      </c>
      <c r="BS728" t="s">
        <v>284</v>
      </c>
      <c r="BT728">
        <v>1.7</v>
      </c>
      <c r="BU728" t="s">
        <v>284</v>
      </c>
      <c r="BV728">
        <v>1.61</v>
      </c>
      <c r="BW728" t="s">
        <v>284</v>
      </c>
      <c r="BX728">
        <v>1.28</v>
      </c>
      <c r="BY728" t="s">
        <v>284</v>
      </c>
      <c r="BZ728">
        <v>1.28</v>
      </c>
      <c r="CA728" t="s">
        <v>284</v>
      </c>
      <c r="CF728">
        <v>1.53</v>
      </c>
      <c r="CG728" t="s">
        <v>54</v>
      </c>
      <c r="CH728" t="s">
        <v>52</v>
      </c>
    </row>
    <row r="729" spans="1:86" x14ac:dyDescent="0.25">
      <c r="A729" t="s">
        <v>47</v>
      </c>
      <c r="B729">
        <v>8</v>
      </c>
      <c r="C729" t="s">
        <v>166</v>
      </c>
      <c r="D729">
        <v>67</v>
      </c>
      <c r="E729" t="s">
        <v>70</v>
      </c>
      <c r="F729">
        <v>296</v>
      </c>
      <c r="G729" t="s">
        <v>72</v>
      </c>
      <c r="H729" t="s">
        <v>50</v>
      </c>
      <c r="K729" t="s">
        <v>52</v>
      </c>
      <c r="L729">
        <v>1</v>
      </c>
      <c r="M729" t="s">
        <v>53</v>
      </c>
      <c r="N729">
        <v>296</v>
      </c>
      <c r="O729">
        <v>1</v>
      </c>
      <c r="P729" t="s">
        <v>52</v>
      </c>
      <c r="Q729">
        <v>0.5</v>
      </c>
      <c r="R729">
        <v>0.75</v>
      </c>
      <c r="S729">
        <v>228</v>
      </c>
      <c r="T729" t="s">
        <v>284</v>
      </c>
      <c r="U729">
        <v>221</v>
      </c>
      <c r="V729" t="s">
        <v>284</v>
      </c>
      <c r="W729">
        <v>236</v>
      </c>
      <c r="X729" t="s">
        <v>284</v>
      </c>
      <c r="Y729">
        <v>244</v>
      </c>
      <c r="Z729" t="s">
        <v>284</v>
      </c>
      <c r="AA729">
        <v>215</v>
      </c>
      <c r="AB729" t="s">
        <v>285</v>
      </c>
      <c r="AG729">
        <v>228.33330000000001</v>
      </c>
      <c r="AH729" t="s">
        <v>54</v>
      </c>
      <c r="AI729" t="s">
        <v>52</v>
      </c>
      <c r="AZ729" t="s">
        <v>52</v>
      </c>
      <c r="BQ729" t="s">
        <v>52</v>
      </c>
      <c r="BR729">
        <v>0.65</v>
      </c>
      <c r="BS729" t="s">
        <v>284</v>
      </c>
      <c r="BT729">
        <v>0.88</v>
      </c>
      <c r="BU729" t="s">
        <v>284</v>
      </c>
      <c r="BV729">
        <v>0.27</v>
      </c>
      <c r="BW729" t="s">
        <v>284</v>
      </c>
      <c r="BX729">
        <v>0.25</v>
      </c>
      <c r="BY729" t="s">
        <v>285</v>
      </c>
      <c r="BZ729">
        <v>0.25</v>
      </c>
      <c r="CA729" t="s">
        <v>284</v>
      </c>
      <c r="CF729">
        <v>0.39</v>
      </c>
      <c r="CG729" t="s">
        <v>54</v>
      </c>
      <c r="CH729" t="s">
        <v>52</v>
      </c>
    </row>
    <row r="730" spans="1:86" x14ac:dyDescent="0.25">
      <c r="A730" t="s">
        <v>47</v>
      </c>
      <c r="B730">
        <v>8</v>
      </c>
      <c r="C730" t="s">
        <v>166</v>
      </c>
      <c r="D730">
        <v>67</v>
      </c>
      <c r="E730" t="s">
        <v>70</v>
      </c>
      <c r="F730">
        <v>296</v>
      </c>
      <c r="G730" t="s">
        <v>73</v>
      </c>
      <c r="H730" t="s">
        <v>50</v>
      </c>
      <c r="K730" t="s">
        <v>51</v>
      </c>
      <c r="L730">
        <v>1</v>
      </c>
      <c r="M730" t="s">
        <v>53</v>
      </c>
      <c r="N730">
        <v>296</v>
      </c>
      <c r="O730">
        <v>1</v>
      </c>
      <c r="P730" t="s">
        <v>52</v>
      </c>
      <c r="Q730">
        <v>0</v>
      </c>
      <c r="R730">
        <v>0.75</v>
      </c>
      <c r="S730">
        <v>228</v>
      </c>
      <c r="T730" t="s">
        <v>284</v>
      </c>
      <c r="U730">
        <v>221</v>
      </c>
      <c r="V730" t="s">
        <v>284</v>
      </c>
      <c r="W730">
        <v>236</v>
      </c>
      <c r="X730" t="s">
        <v>284</v>
      </c>
      <c r="Y730">
        <v>244</v>
      </c>
      <c r="Z730" t="s">
        <v>284</v>
      </c>
      <c r="AA730">
        <v>225</v>
      </c>
      <c r="AB730" t="s">
        <v>285</v>
      </c>
      <c r="AG730">
        <v>229.66669999999999</v>
      </c>
      <c r="AH730" t="s">
        <v>54</v>
      </c>
      <c r="AI730" t="s">
        <v>52</v>
      </c>
      <c r="AZ730" t="s">
        <v>52</v>
      </c>
      <c r="BQ730" t="s">
        <v>52</v>
      </c>
      <c r="BR730">
        <v>1.85</v>
      </c>
      <c r="BS730" t="s">
        <v>284</v>
      </c>
      <c r="BT730">
        <v>2.2599999999999998</v>
      </c>
      <c r="BU730" t="s">
        <v>285</v>
      </c>
      <c r="BV730">
        <v>1.35</v>
      </c>
      <c r="BW730" t="s">
        <v>285</v>
      </c>
      <c r="BX730">
        <v>1.63</v>
      </c>
      <c r="BY730" t="s">
        <v>285</v>
      </c>
      <c r="BZ730">
        <v>0.32</v>
      </c>
      <c r="CA730" t="s">
        <v>288</v>
      </c>
      <c r="CF730">
        <v>1.61</v>
      </c>
      <c r="CG730" t="s">
        <v>54</v>
      </c>
      <c r="CH730" t="s">
        <v>52</v>
      </c>
    </row>
    <row r="731" spans="1:86" x14ac:dyDescent="0.25">
      <c r="A731" t="s">
        <v>47</v>
      </c>
      <c r="B731">
        <v>8</v>
      </c>
      <c r="C731" t="s">
        <v>166</v>
      </c>
      <c r="D731">
        <v>67</v>
      </c>
      <c r="E731" t="s">
        <v>70</v>
      </c>
      <c r="F731">
        <v>296</v>
      </c>
      <c r="G731" t="s">
        <v>73</v>
      </c>
      <c r="H731" t="s">
        <v>50</v>
      </c>
      <c r="K731" t="s">
        <v>52</v>
      </c>
      <c r="L731">
        <v>1</v>
      </c>
      <c r="M731" t="s">
        <v>53</v>
      </c>
      <c r="N731">
        <v>296</v>
      </c>
      <c r="O731">
        <v>1</v>
      </c>
      <c r="P731" t="s">
        <v>52</v>
      </c>
      <c r="Q731">
        <v>0</v>
      </c>
      <c r="R731">
        <v>0.75</v>
      </c>
      <c r="S731">
        <v>228</v>
      </c>
      <c r="T731" t="s">
        <v>284</v>
      </c>
      <c r="U731">
        <v>221</v>
      </c>
      <c r="V731" t="s">
        <v>284</v>
      </c>
      <c r="W731">
        <v>236</v>
      </c>
      <c r="X731" t="s">
        <v>284</v>
      </c>
      <c r="Y731">
        <v>244</v>
      </c>
      <c r="Z731" t="s">
        <v>284</v>
      </c>
      <c r="AA731">
        <v>225</v>
      </c>
      <c r="AB731" t="s">
        <v>285</v>
      </c>
      <c r="AG731">
        <v>229.66669999999999</v>
      </c>
      <c r="AH731" t="s">
        <v>54</v>
      </c>
      <c r="AI731" t="s">
        <v>52</v>
      </c>
      <c r="AZ731" t="s">
        <v>52</v>
      </c>
      <c r="BQ731" t="s">
        <v>52</v>
      </c>
      <c r="BR731">
        <v>0.65</v>
      </c>
      <c r="BS731" t="s">
        <v>284</v>
      </c>
      <c r="BT731">
        <v>1.18</v>
      </c>
      <c r="BU731" t="s">
        <v>284</v>
      </c>
      <c r="BV731">
        <v>0.36</v>
      </c>
      <c r="BW731" t="s">
        <v>284</v>
      </c>
      <c r="BX731">
        <v>0.23</v>
      </c>
      <c r="BY731" t="s">
        <v>284</v>
      </c>
      <c r="BZ731">
        <v>0.22</v>
      </c>
      <c r="CA731" t="s">
        <v>284</v>
      </c>
      <c r="CF731">
        <v>0.41</v>
      </c>
      <c r="CG731" t="s">
        <v>54</v>
      </c>
      <c r="CH731" t="s">
        <v>52</v>
      </c>
    </row>
    <row r="732" spans="1:86" x14ac:dyDescent="0.25">
      <c r="A732" t="s">
        <v>47</v>
      </c>
      <c r="B732">
        <v>8</v>
      </c>
      <c r="C732" t="s">
        <v>166</v>
      </c>
      <c r="D732">
        <v>67</v>
      </c>
      <c r="E732" t="s">
        <v>70</v>
      </c>
      <c r="F732">
        <v>296</v>
      </c>
      <c r="G732" t="s">
        <v>74</v>
      </c>
      <c r="H732" t="s">
        <v>50</v>
      </c>
      <c r="K732" t="s">
        <v>51</v>
      </c>
      <c r="L732">
        <v>1</v>
      </c>
      <c r="M732" t="s">
        <v>53</v>
      </c>
      <c r="N732">
        <v>102</v>
      </c>
      <c r="O732">
        <v>1</v>
      </c>
      <c r="P732" t="s">
        <v>52</v>
      </c>
      <c r="Q732">
        <v>0</v>
      </c>
      <c r="R732">
        <v>0.75</v>
      </c>
      <c r="S732">
        <v>135</v>
      </c>
      <c r="T732" t="s">
        <v>284</v>
      </c>
      <c r="U732">
        <v>132</v>
      </c>
      <c r="V732" t="s">
        <v>284</v>
      </c>
      <c r="W732">
        <v>147</v>
      </c>
      <c r="X732" t="s">
        <v>284</v>
      </c>
      <c r="Y732">
        <v>170</v>
      </c>
      <c r="Z732" t="s">
        <v>284</v>
      </c>
      <c r="AA732">
        <v>205</v>
      </c>
      <c r="AB732" t="s">
        <v>285</v>
      </c>
      <c r="AG732">
        <v>150.66669999999999</v>
      </c>
      <c r="AH732" t="s">
        <v>54</v>
      </c>
      <c r="AI732" t="s">
        <v>52</v>
      </c>
      <c r="AZ732" t="s">
        <v>52</v>
      </c>
      <c r="BQ732" t="s">
        <v>52</v>
      </c>
      <c r="BR732">
        <v>1.85</v>
      </c>
      <c r="BS732" t="s">
        <v>284</v>
      </c>
      <c r="BT732">
        <v>2.21</v>
      </c>
      <c r="BU732" t="s">
        <v>284</v>
      </c>
      <c r="BV732">
        <v>1.54</v>
      </c>
      <c r="BW732" t="s">
        <v>285</v>
      </c>
      <c r="BX732">
        <v>1.24</v>
      </c>
      <c r="BY732" t="s">
        <v>285</v>
      </c>
      <c r="BZ732">
        <v>1.28</v>
      </c>
      <c r="CA732" t="s">
        <v>288</v>
      </c>
      <c r="CF732">
        <v>1.56</v>
      </c>
      <c r="CG732" t="s">
        <v>54</v>
      </c>
      <c r="CH732" t="s">
        <v>52</v>
      </c>
    </row>
    <row r="733" spans="1:86" x14ac:dyDescent="0.25">
      <c r="A733" t="s">
        <v>47</v>
      </c>
      <c r="B733">
        <v>8</v>
      </c>
      <c r="C733" t="s">
        <v>166</v>
      </c>
      <c r="D733">
        <v>67</v>
      </c>
      <c r="E733" t="s">
        <v>70</v>
      </c>
      <c r="F733">
        <v>296</v>
      </c>
      <c r="G733" t="s">
        <v>74</v>
      </c>
      <c r="H733" t="s">
        <v>50</v>
      </c>
      <c r="K733" t="s">
        <v>52</v>
      </c>
      <c r="L733">
        <v>1</v>
      </c>
      <c r="M733" t="s">
        <v>53</v>
      </c>
      <c r="N733">
        <v>102</v>
      </c>
      <c r="O733">
        <v>1</v>
      </c>
      <c r="P733" t="s">
        <v>52</v>
      </c>
      <c r="Q733">
        <v>0</v>
      </c>
      <c r="R733">
        <v>0.75</v>
      </c>
      <c r="S733">
        <v>135</v>
      </c>
      <c r="T733" t="s">
        <v>284</v>
      </c>
      <c r="U733">
        <v>132</v>
      </c>
      <c r="V733" t="s">
        <v>284</v>
      </c>
      <c r="W733">
        <v>147</v>
      </c>
      <c r="X733" t="s">
        <v>284</v>
      </c>
      <c r="Y733">
        <v>170</v>
      </c>
      <c r="Z733" t="s">
        <v>284</v>
      </c>
      <c r="AA733">
        <v>205</v>
      </c>
      <c r="AB733" t="s">
        <v>285</v>
      </c>
      <c r="AG733">
        <v>150.66669999999999</v>
      </c>
      <c r="AH733" t="s">
        <v>54</v>
      </c>
      <c r="AI733" t="s">
        <v>52</v>
      </c>
      <c r="AZ733" t="s">
        <v>52</v>
      </c>
      <c r="BQ733" t="s">
        <v>52</v>
      </c>
      <c r="BR733">
        <v>0.65</v>
      </c>
      <c r="BS733" t="s">
        <v>284</v>
      </c>
      <c r="BT733">
        <v>0.52</v>
      </c>
      <c r="BU733" t="s">
        <v>284</v>
      </c>
      <c r="BV733">
        <v>0.11</v>
      </c>
      <c r="BW733" t="s">
        <v>284</v>
      </c>
      <c r="BX733">
        <v>0.25</v>
      </c>
      <c r="BY733" t="s">
        <v>285</v>
      </c>
      <c r="BZ733">
        <v>0.22</v>
      </c>
      <c r="CA733" t="s">
        <v>289</v>
      </c>
      <c r="CF733">
        <v>0.33</v>
      </c>
      <c r="CG733" t="s">
        <v>54</v>
      </c>
      <c r="CH733" t="s">
        <v>52</v>
      </c>
    </row>
    <row r="734" spans="1:86" x14ac:dyDescent="0.25">
      <c r="A734" t="s">
        <v>47</v>
      </c>
      <c r="B734">
        <v>8</v>
      </c>
      <c r="C734" t="s">
        <v>166</v>
      </c>
      <c r="D734">
        <v>67</v>
      </c>
      <c r="E734" t="s">
        <v>70</v>
      </c>
      <c r="F734">
        <v>296</v>
      </c>
      <c r="G734" t="s">
        <v>89</v>
      </c>
      <c r="H734" t="s">
        <v>50</v>
      </c>
      <c r="K734" t="s">
        <v>51</v>
      </c>
      <c r="L734">
        <v>1</v>
      </c>
      <c r="M734" t="s">
        <v>53</v>
      </c>
      <c r="N734">
        <v>102</v>
      </c>
      <c r="O734">
        <v>1</v>
      </c>
      <c r="P734" t="s">
        <v>52</v>
      </c>
      <c r="Q734">
        <v>0.25</v>
      </c>
      <c r="R734">
        <v>0.75</v>
      </c>
      <c r="S734">
        <v>228</v>
      </c>
      <c r="T734" t="s">
        <v>284</v>
      </c>
      <c r="U734">
        <v>168</v>
      </c>
      <c r="V734" t="s">
        <v>285</v>
      </c>
      <c r="W734">
        <v>202</v>
      </c>
      <c r="X734" t="s">
        <v>285</v>
      </c>
      <c r="Y734">
        <v>206</v>
      </c>
      <c r="Z734" t="s">
        <v>285</v>
      </c>
      <c r="AA734">
        <v>215</v>
      </c>
      <c r="AB734" t="s">
        <v>285</v>
      </c>
      <c r="AG734">
        <v>207.66669999999999</v>
      </c>
      <c r="AH734" t="s">
        <v>54</v>
      </c>
      <c r="AI734" t="s">
        <v>52</v>
      </c>
      <c r="AZ734" t="s">
        <v>52</v>
      </c>
      <c r="BQ734" t="s">
        <v>52</v>
      </c>
      <c r="BR734">
        <v>1.85</v>
      </c>
      <c r="BS734" t="s">
        <v>284</v>
      </c>
      <c r="BT734">
        <v>1.7</v>
      </c>
      <c r="BU734" t="s">
        <v>284</v>
      </c>
      <c r="BV734">
        <v>1.01</v>
      </c>
      <c r="BW734" t="s">
        <v>284</v>
      </c>
      <c r="BX734">
        <v>1.39</v>
      </c>
      <c r="BY734" t="s">
        <v>284</v>
      </c>
      <c r="BZ734">
        <v>1.39</v>
      </c>
      <c r="CA734" t="s">
        <v>284</v>
      </c>
      <c r="CF734">
        <v>1.49</v>
      </c>
      <c r="CG734" t="s">
        <v>54</v>
      </c>
      <c r="CH734" t="s">
        <v>52</v>
      </c>
    </row>
    <row r="735" spans="1:86" x14ac:dyDescent="0.25">
      <c r="A735" t="s">
        <v>47</v>
      </c>
      <c r="B735">
        <v>8</v>
      </c>
      <c r="C735" t="s">
        <v>166</v>
      </c>
      <c r="D735">
        <v>67</v>
      </c>
      <c r="E735" t="s">
        <v>70</v>
      </c>
      <c r="F735">
        <v>296</v>
      </c>
      <c r="G735" t="s">
        <v>89</v>
      </c>
      <c r="H735" t="s">
        <v>50</v>
      </c>
      <c r="K735" t="s">
        <v>52</v>
      </c>
      <c r="L735">
        <v>1</v>
      </c>
      <c r="M735" t="s">
        <v>53</v>
      </c>
      <c r="N735">
        <v>102</v>
      </c>
      <c r="O735">
        <v>1</v>
      </c>
      <c r="P735" t="s">
        <v>52</v>
      </c>
      <c r="Q735">
        <v>0.25</v>
      </c>
      <c r="R735">
        <v>0.75</v>
      </c>
      <c r="S735">
        <v>228</v>
      </c>
      <c r="T735" t="s">
        <v>284</v>
      </c>
      <c r="U735">
        <v>168</v>
      </c>
      <c r="V735" t="s">
        <v>285</v>
      </c>
      <c r="W735">
        <v>202</v>
      </c>
      <c r="X735" t="s">
        <v>285</v>
      </c>
      <c r="Y735">
        <v>206</v>
      </c>
      <c r="Z735" t="s">
        <v>285</v>
      </c>
      <c r="AA735">
        <v>215</v>
      </c>
      <c r="AB735" t="s">
        <v>285</v>
      </c>
      <c r="AG735">
        <v>207.66669999999999</v>
      </c>
      <c r="AH735" t="s">
        <v>54</v>
      </c>
      <c r="AI735" t="s">
        <v>52</v>
      </c>
      <c r="AZ735" t="s">
        <v>52</v>
      </c>
      <c r="BQ735" t="s">
        <v>52</v>
      </c>
      <c r="BR735">
        <v>0.65</v>
      </c>
      <c r="BS735" t="s">
        <v>284</v>
      </c>
      <c r="BT735">
        <v>0.88</v>
      </c>
      <c r="BU735" t="s">
        <v>284</v>
      </c>
      <c r="BV735">
        <v>0.32</v>
      </c>
      <c r="BW735" t="s">
        <v>284</v>
      </c>
      <c r="BX735">
        <v>0.22</v>
      </c>
      <c r="BY735" t="s">
        <v>284</v>
      </c>
      <c r="BZ735">
        <v>0.22</v>
      </c>
      <c r="CA735" t="s">
        <v>284</v>
      </c>
      <c r="CF735">
        <v>0.4</v>
      </c>
      <c r="CG735" t="s">
        <v>54</v>
      </c>
      <c r="CH735" t="s">
        <v>52</v>
      </c>
    </row>
    <row r="736" spans="1:86" x14ac:dyDescent="0.25">
      <c r="A736" t="s">
        <v>47</v>
      </c>
      <c r="B736">
        <v>8</v>
      </c>
      <c r="C736" t="s">
        <v>166</v>
      </c>
      <c r="D736">
        <v>67</v>
      </c>
      <c r="E736" t="s">
        <v>70</v>
      </c>
      <c r="F736">
        <v>296</v>
      </c>
      <c r="G736" t="s">
        <v>90</v>
      </c>
      <c r="H736" t="s">
        <v>50</v>
      </c>
      <c r="K736" t="s">
        <v>51</v>
      </c>
      <c r="L736">
        <v>1</v>
      </c>
      <c r="M736" t="s">
        <v>53</v>
      </c>
      <c r="N736">
        <v>102</v>
      </c>
      <c r="O736">
        <v>1</v>
      </c>
      <c r="P736" t="s">
        <v>52</v>
      </c>
      <c r="Q736">
        <v>0.5</v>
      </c>
      <c r="R736">
        <v>0.75</v>
      </c>
      <c r="S736">
        <v>228</v>
      </c>
      <c r="T736" t="s">
        <v>284</v>
      </c>
      <c r="U736">
        <v>190</v>
      </c>
      <c r="V736" t="s">
        <v>285</v>
      </c>
      <c r="W736">
        <v>236</v>
      </c>
      <c r="X736" t="s">
        <v>284</v>
      </c>
      <c r="Y736">
        <v>244</v>
      </c>
      <c r="Z736" t="s">
        <v>284</v>
      </c>
      <c r="AA736">
        <v>215</v>
      </c>
      <c r="AB736" t="s">
        <v>285</v>
      </c>
      <c r="AG736">
        <v>226.33330000000001</v>
      </c>
      <c r="AH736" t="s">
        <v>54</v>
      </c>
      <c r="AI736" t="s">
        <v>52</v>
      </c>
      <c r="AZ736" t="s">
        <v>52</v>
      </c>
      <c r="BQ736" t="s">
        <v>52</v>
      </c>
      <c r="BR736">
        <v>0.65</v>
      </c>
      <c r="BS736" t="s">
        <v>284</v>
      </c>
      <c r="BT736">
        <v>1.7</v>
      </c>
      <c r="BU736" t="s">
        <v>284</v>
      </c>
      <c r="BV736">
        <v>1.61</v>
      </c>
      <c r="BW736" t="s">
        <v>284</v>
      </c>
      <c r="BX736">
        <v>1.29</v>
      </c>
      <c r="BY736" t="s">
        <v>284</v>
      </c>
      <c r="BZ736">
        <v>1.29</v>
      </c>
      <c r="CA736" t="s">
        <v>284</v>
      </c>
      <c r="CF736">
        <v>1.4</v>
      </c>
      <c r="CG736" t="s">
        <v>54</v>
      </c>
      <c r="CH736" t="s">
        <v>52</v>
      </c>
    </row>
    <row r="737" spans="1:86" x14ac:dyDescent="0.25">
      <c r="A737" t="s">
        <v>47</v>
      </c>
      <c r="B737">
        <v>8</v>
      </c>
      <c r="C737" t="s">
        <v>166</v>
      </c>
      <c r="D737">
        <v>67</v>
      </c>
      <c r="E737" t="s">
        <v>75</v>
      </c>
      <c r="F737">
        <v>16</v>
      </c>
      <c r="G737" t="s">
        <v>76</v>
      </c>
      <c r="H737" t="s">
        <v>50</v>
      </c>
      <c r="K737" t="s">
        <v>51</v>
      </c>
      <c r="L737">
        <v>1</v>
      </c>
      <c r="M737" t="s">
        <v>53</v>
      </c>
      <c r="N737">
        <v>16</v>
      </c>
      <c r="O737">
        <v>2</v>
      </c>
      <c r="P737" t="s">
        <v>52</v>
      </c>
      <c r="Q737">
        <v>0.5</v>
      </c>
      <c r="R737">
        <v>0.75</v>
      </c>
      <c r="S737">
        <v>83.35</v>
      </c>
      <c r="T737" t="s">
        <v>285</v>
      </c>
      <c r="U737">
        <v>96.14</v>
      </c>
      <c r="V737" t="s">
        <v>284</v>
      </c>
      <c r="W737">
        <v>103.37</v>
      </c>
      <c r="X737" t="s">
        <v>284</v>
      </c>
      <c r="Y737">
        <v>106.14</v>
      </c>
      <c r="Z737" t="s">
        <v>284</v>
      </c>
      <c r="AA737">
        <v>128</v>
      </c>
      <c r="AB737" t="s">
        <v>285</v>
      </c>
      <c r="AG737">
        <v>101.88330000000001</v>
      </c>
      <c r="AH737" t="s">
        <v>54</v>
      </c>
      <c r="AI737" t="s">
        <v>52</v>
      </c>
      <c r="AX737">
        <v>146.69999999999999</v>
      </c>
      <c r="AY737" t="s">
        <v>285</v>
      </c>
      <c r="AZ737" t="s">
        <v>287</v>
      </c>
      <c r="BQ737" t="s">
        <v>52</v>
      </c>
      <c r="BR737">
        <v>1.85</v>
      </c>
      <c r="BS737" t="s">
        <v>284</v>
      </c>
      <c r="BT737">
        <v>2.08</v>
      </c>
      <c r="BU737" t="s">
        <v>285</v>
      </c>
      <c r="BV737">
        <v>1.62</v>
      </c>
      <c r="BW737" t="s">
        <v>284</v>
      </c>
      <c r="BX737">
        <v>2.65</v>
      </c>
      <c r="BY737" t="s">
        <v>284</v>
      </c>
      <c r="BZ737">
        <v>3.1</v>
      </c>
      <c r="CA737" t="s">
        <v>289</v>
      </c>
      <c r="CF737">
        <v>2.19</v>
      </c>
      <c r="CG737" t="s">
        <v>54</v>
      </c>
      <c r="CH737" t="s">
        <v>52</v>
      </c>
    </row>
    <row r="738" spans="1:86" x14ac:dyDescent="0.25">
      <c r="A738" t="s">
        <v>47</v>
      </c>
      <c r="B738">
        <v>8</v>
      </c>
      <c r="C738" t="s">
        <v>166</v>
      </c>
      <c r="D738">
        <v>67</v>
      </c>
      <c r="E738" t="s">
        <v>75</v>
      </c>
      <c r="F738">
        <v>16</v>
      </c>
      <c r="G738" t="s">
        <v>76</v>
      </c>
      <c r="H738" t="s">
        <v>50</v>
      </c>
      <c r="K738" t="s">
        <v>52</v>
      </c>
      <c r="L738">
        <v>1</v>
      </c>
      <c r="M738" t="s">
        <v>53</v>
      </c>
      <c r="N738">
        <v>16</v>
      </c>
      <c r="O738">
        <v>2</v>
      </c>
      <c r="P738" t="s">
        <v>52</v>
      </c>
      <c r="Q738">
        <v>0.5</v>
      </c>
      <c r="R738">
        <v>0.75</v>
      </c>
      <c r="S738">
        <v>83.35</v>
      </c>
      <c r="T738" t="s">
        <v>285</v>
      </c>
      <c r="U738">
        <v>96.14</v>
      </c>
      <c r="V738" t="s">
        <v>284</v>
      </c>
      <c r="W738">
        <v>103.37</v>
      </c>
      <c r="X738" t="s">
        <v>284</v>
      </c>
      <c r="Y738">
        <v>106.14</v>
      </c>
      <c r="Z738" t="s">
        <v>284</v>
      </c>
      <c r="AA738">
        <v>128</v>
      </c>
      <c r="AB738" t="s">
        <v>285</v>
      </c>
      <c r="AG738">
        <v>101.88330000000001</v>
      </c>
      <c r="AH738" t="s">
        <v>54</v>
      </c>
      <c r="AI738" t="s">
        <v>52</v>
      </c>
      <c r="AX738">
        <v>146.69999999999999</v>
      </c>
      <c r="AY738" t="s">
        <v>285</v>
      </c>
      <c r="AZ738" t="s">
        <v>287</v>
      </c>
      <c r="BQ738" t="s">
        <v>52</v>
      </c>
      <c r="BR738">
        <v>0.65</v>
      </c>
      <c r="BS738" t="s">
        <v>284</v>
      </c>
      <c r="BT738">
        <v>0.94</v>
      </c>
      <c r="BU738" t="s">
        <v>284</v>
      </c>
      <c r="BV738">
        <v>1.7</v>
      </c>
      <c r="BW738" t="s">
        <v>284</v>
      </c>
      <c r="BX738">
        <v>1.75</v>
      </c>
      <c r="BY738" t="s">
        <v>284</v>
      </c>
      <c r="BZ738">
        <v>0.19</v>
      </c>
      <c r="CA738" t="s">
        <v>289</v>
      </c>
      <c r="CF738">
        <v>1.1000000000000001</v>
      </c>
      <c r="CG738" t="s">
        <v>54</v>
      </c>
      <c r="CH738" t="s">
        <v>52</v>
      </c>
    </row>
    <row r="739" spans="1:86" x14ac:dyDescent="0.25">
      <c r="A739" t="s">
        <v>47</v>
      </c>
      <c r="B739">
        <v>8</v>
      </c>
      <c r="C739" t="s">
        <v>166</v>
      </c>
      <c r="D739">
        <v>67</v>
      </c>
      <c r="E739" t="s">
        <v>93</v>
      </c>
      <c r="F739">
        <v>94</v>
      </c>
      <c r="H739" t="s">
        <v>50</v>
      </c>
      <c r="K739" t="s">
        <v>51</v>
      </c>
      <c r="L739">
        <v>1</v>
      </c>
      <c r="M739" t="s">
        <v>53</v>
      </c>
      <c r="N739">
        <v>94</v>
      </c>
      <c r="O739">
        <v>2</v>
      </c>
      <c r="P739" t="s">
        <v>52</v>
      </c>
      <c r="Q739">
        <v>0.77</v>
      </c>
      <c r="R739">
        <v>0.93</v>
      </c>
      <c r="S739">
        <v>205</v>
      </c>
      <c r="T739" t="s">
        <v>284</v>
      </c>
      <c r="U739">
        <v>175</v>
      </c>
      <c r="V739" t="s">
        <v>284</v>
      </c>
      <c r="W739">
        <v>188</v>
      </c>
      <c r="X739" t="s">
        <v>284</v>
      </c>
      <c r="Y739">
        <v>202.32</v>
      </c>
      <c r="Z739" t="s">
        <v>284</v>
      </c>
      <c r="AA739">
        <v>209.16</v>
      </c>
      <c r="AB739" t="s">
        <v>284</v>
      </c>
      <c r="AG739">
        <v>198.44</v>
      </c>
      <c r="AH739" t="s">
        <v>54</v>
      </c>
      <c r="AI739" t="s">
        <v>52</v>
      </c>
      <c r="AZ739" t="s">
        <v>52</v>
      </c>
      <c r="BQ739" t="s">
        <v>52</v>
      </c>
      <c r="CH739" t="s">
        <v>52</v>
      </c>
    </row>
    <row r="740" spans="1:86" x14ac:dyDescent="0.25">
      <c r="A740" t="s">
        <v>47</v>
      </c>
      <c r="B740">
        <v>8</v>
      </c>
      <c r="C740" t="s">
        <v>166</v>
      </c>
      <c r="D740">
        <v>67</v>
      </c>
      <c r="E740" t="s">
        <v>93</v>
      </c>
      <c r="F740">
        <v>94</v>
      </c>
      <c r="H740" t="s">
        <v>50</v>
      </c>
      <c r="K740" t="s">
        <v>52</v>
      </c>
      <c r="L740">
        <v>1</v>
      </c>
      <c r="M740" t="s">
        <v>53</v>
      </c>
      <c r="N740">
        <v>94</v>
      </c>
      <c r="O740">
        <v>2</v>
      </c>
      <c r="P740" t="s">
        <v>52</v>
      </c>
      <c r="Q740">
        <v>0.77</v>
      </c>
      <c r="R740">
        <v>0.93</v>
      </c>
      <c r="S740">
        <v>205</v>
      </c>
      <c r="T740" t="s">
        <v>284</v>
      </c>
      <c r="U740">
        <v>175</v>
      </c>
      <c r="V740" t="s">
        <v>284</v>
      </c>
      <c r="W740">
        <v>188</v>
      </c>
      <c r="X740" t="s">
        <v>284</v>
      </c>
      <c r="Y740">
        <v>202.32</v>
      </c>
      <c r="Z740" t="s">
        <v>284</v>
      </c>
      <c r="AA740">
        <v>209.16</v>
      </c>
      <c r="AB740" t="s">
        <v>284</v>
      </c>
      <c r="AG740">
        <v>198.44</v>
      </c>
      <c r="AH740" t="s">
        <v>54</v>
      </c>
      <c r="AI740" t="s">
        <v>52</v>
      </c>
      <c r="AZ740" t="s">
        <v>52</v>
      </c>
      <c r="BQ740" t="s">
        <v>52</v>
      </c>
      <c r="CH740" t="s">
        <v>52</v>
      </c>
    </row>
    <row r="741" spans="1:86" x14ac:dyDescent="0.25">
      <c r="A741" t="s">
        <v>47</v>
      </c>
      <c r="B741">
        <v>8</v>
      </c>
      <c r="C741" t="s">
        <v>166</v>
      </c>
      <c r="D741">
        <v>67</v>
      </c>
      <c r="E741" t="s">
        <v>77</v>
      </c>
      <c r="F741">
        <v>51</v>
      </c>
      <c r="G741" t="s">
        <v>78</v>
      </c>
      <c r="H741" t="s">
        <v>50</v>
      </c>
      <c r="K741" t="s">
        <v>51</v>
      </c>
      <c r="L741">
        <v>1</v>
      </c>
      <c r="M741" t="s">
        <v>53</v>
      </c>
      <c r="N741">
        <v>51</v>
      </c>
      <c r="O741">
        <v>2</v>
      </c>
      <c r="P741" t="s">
        <v>52</v>
      </c>
      <c r="Q741">
        <v>0.5</v>
      </c>
      <c r="R741">
        <v>0.73</v>
      </c>
      <c r="S741">
        <v>228</v>
      </c>
      <c r="T741" t="s">
        <v>284</v>
      </c>
      <c r="U741">
        <v>218</v>
      </c>
      <c r="V741" t="s">
        <v>284</v>
      </c>
      <c r="W741">
        <v>147</v>
      </c>
      <c r="X741" t="s">
        <v>284</v>
      </c>
      <c r="Y741">
        <v>170</v>
      </c>
      <c r="Z741" t="s">
        <v>284</v>
      </c>
      <c r="AA741">
        <v>109</v>
      </c>
      <c r="AB741" t="s">
        <v>285</v>
      </c>
      <c r="AG741">
        <v>178.33330000000001</v>
      </c>
      <c r="AH741" t="s">
        <v>54</v>
      </c>
      <c r="AI741" t="s">
        <v>52</v>
      </c>
      <c r="AZ741" t="s">
        <v>52</v>
      </c>
      <c r="BQ741" t="s">
        <v>52</v>
      </c>
      <c r="BR741">
        <v>1</v>
      </c>
      <c r="BS741" t="s">
        <v>284</v>
      </c>
      <c r="BT741">
        <v>1.35</v>
      </c>
      <c r="BU741" t="s">
        <v>284</v>
      </c>
      <c r="BV741">
        <v>1.35</v>
      </c>
      <c r="BW741" t="s">
        <v>285</v>
      </c>
      <c r="BX741">
        <v>1.35</v>
      </c>
      <c r="BY741" t="s">
        <v>285</v>
      </c>
      <c r="BZ741">
        <v>0.3</v>
      </c>
      <c r="CA741" t="s">
        <v>285</v>
      </c>
      <c r="CF741">
        <v>1.23</v>
      </c>
      <c r="CG741" t="s">
        <v>54</v>
      </c>
      <c r="CH741" t="s">
        <v>52</v>
      </c>
    </row>
    <row r="742" spans="1:86" x14ac:dyDescent="0.25">
      <c r="A742" t="s">
        <v>47</v>
      </c>
      <c r="B742">
        <v>8</v>
      </c>
      <c r="C742" t="s">
        <v>166</v>
      </c>
      <c r="D742">
        <v>67</v>
      </c>
      <c r="E742" t="s">
        <v>77</v>
      </c>
      <c r="F742">
        <v>51</v>
      </c>
      <c r="G742" t="s">
        <v>78</v>
      </c>
      <c r="H742" t="s">
        <v>50</v>
      </c>
      <c r="K742" t="s">
        <v>52</v>
      </c>
      <c r="L742">
        <v>1</v>
      </c>
      <c r="M742" t="s">
        <v>53</v>
      </c>
      <c r="N742">
        <v>51</v>
      </c>
      <c r="O742">
        <v>2</v>
      </c>
      <c r="P742" t="s">
        <v>52</v>
      </c>
      <c r="Q742">
        <v>0.5</v>
      </c>
      <c r="R742">
        <v>0.73</v>
      </c>
      <c r="S742">
        <v>228</v>
      </c>
      <c r="T742" t="s">
        <v>284</v>
      </c>
      <c r="U742">
        <v>218</v>
      </c>
      <c r="V742" t="s">
        <v>284</v>
      </c>
      <c r="W742">
        <v>147</v>
      </c>
      <c r="X742" t="s">
        <v>284</v>
      </c>
      <c r="Y742">
        <v>170</v>
      </c>
      <c r="Z742" t="s">
        <v>284</v>
      </c>
      <c r="AA742">
        <v>109</v>
      </c>
      <c r="AB742" t="s">
        <v>285</v>
      </c>
      <c r="AG742">
        <v>178.33330000000001</v>
      </c>
      <c r="AH742" t="s">
        <v>54</v>
      </c>
      <c r="AI742" t="s">
        <v>52</v>
      </c>
      <c r="AZ742" t="s">
        <v>52</v>
      </c>
      <c r="BQ742" t="s">
        <v>52</v>
      </c>
      <c r="BR742">
        <v>0.7</v>
      </c>
      <c r="BS742" t="s">
        <v>284</v>
      </c>
      <c r="BT742">
        <v>0.7</v>
      </c>
      <c r="BU742" t="s">
        <v>285</v>
      </c>
      <c r="BV742">
        <v>0.7</v>
      </c>
      <c r="BW742" t="s">
        <v>285</v>
      </c>
      <c r="BX742">
        <v>0.8</v>
      </c>
      <c r="BY742" t="s">
        <v>285</v>
      </c>
      <c r="BZ742">
        <v>0.18</v>
      </c>
      <c r="CA742" t="s">
        <v>285</v>
      </c>
      <c r="CF742">
        <v>0.7</v>
      </c>
      <c r="CG742" t="s">
        <v>54</v>
      </c>
      <c r="CH742" t="s">
        <v>52</v>
      </c>
    </row>
    <row r="743" spans="1:86" x14ac:dyDescent="0.25">
      <c r="A743" t="s">
        <v>47</v>
      </c>
      <c r="B743">
        <v>8</v>
      </c>
      <c r="C743" t="s">
        <v>166</v>
      </c>
      <c r="D743">
        <v>67</v>
      </c>
      <c r="E743" t="s">
        <v>79</v>
      </c>
      <c r="F743">
        <v>50</v>
      </c>
      <c r="G743" t="s">
        <v>80</v>
      </c>
      <c r="H743" t="s">
        <v>50</v>
      </c>
      <c r="K743" t="s">
        <v>51</v>
      </c>
      <c r="L743">
        <v>1</v>
      </c>
      <c r="M743" t="s">
        <v>53</v>
      </c>
      <c r="N743">
        <v>50</v>
      </c>
      <c r="O743">
        <v>1</v>
      </c>
      <c r="P743" t="s">
        <v>52</v>
      </c>
      <c r="Q743">
        <v>0.5</v>
      </c>
      <c r="R743">
        <v>0.75</v>
      </c>
      <c r="S743">
        <v>85</v>
      </c>
      <c r="T743" t="s">
        <v>285</v>
      </c>
      <c r="U743">
        <v>93</v>
      </c>
      <c r="V743" t="s">
        <v>284</v>
      </c>
      <c r="W743">
        <v>89.7</v>
      </c>
      <c r="X743" t="s">
        <v>284</v>
      </c>
      <c r="Y743">
        <v>92.72</v>
      </c>
      <c r="Z743" t="s">
        <v>284</v>
      </c>
      <c r="AA743">
        <v>109</v>
      </c>
      <c r="AB743" t="s">
        <v>285</v>
      </c>
      <c r="AG743">
        <v>91.806700000000006</v>
      </c>
      <c r="AH743" t="s">
        <v>54</v>
      </c>
      <c r="AI743" t="s">
        <v>52</v>
      </c>
      <c r="AZ743" t="s">
        <v>52</v>
      </c>
      <c r="BQ743" t="s">
        <v>52</v>
      </c>
      <c r="BR743">
        <v>4.4800000000000004</v>
      </c>
      <c r="BS743" t="s">
        <v>289</v>
      </c>
      <c r="BT743">
        <v>2.2799999999999998</v>
      </c>
      <c r="BU743" t="s">
        <v>284</v>
      </c>
      <c r="BV743">
        <v>3.28</v>
      </c>
      <c r="BW743" t="s">
        <v>284</v>
      </c>
      <c r="BX743">
        <v>3.11</v>
      </c>
      <c r="BY743" t="s">
        <v>284</v>
      </c>
      <c r="BZ743">
        <v>0.05</v>
      </c>
      <c r="CA743" t="s">
        <v>289</v>
      </c>
      <c r="CF743">
        <v>2.89</v>
      </c>
      <c r="CG743" t="s">
        <v>54</v>
      </c>
      <c r="CH743" t="s">
        <v>52</v>
      </c>
    </row>
    <row r="744" spans="1:86" x14ac:dyDescent="0.25">
      <c r="A744" t="s">
        <v>47</v>
      </c>
      <c r="B744">
        <v>8</v>
      </c>
      <c r="C744" t="s">
        <v>166</v>
      </c>
      <c r="D744">
        <v>67</v>
      </c>
      <c r="E744" t="s">
        <v>79</v>
      </c>
      <c r="F744">
        <v>50</v>
      </c>
      <c r="G744" t="s">
        <v>65</v>
      </c>
      <c r="H744" t="s">
        <v>50</v>
      </c>
      <c r="K744" t="s">
        <v>51</v>
      </c>
      <c r="L744">
        <v>1</v>
      </c>
      <c r="M744" t="s">
        <v>53</v>
      </c>
      <c r="N744">
        <v>50</v>
      </c>
      <c r="O744">
        <v>1</v>
      </c>
      <c r="P744" t="s">
        <v>52</v>
      </c>
      <c r="Q744">
        <v>0.5</v>
      </c>
      <c r="R744">
        <v>0.75</v>
      </c>
      <c r="S744">
        <v>85</v>
      </c>
      <c r="T744" t="s">
        <v>285</v>
      </c>
      <c r="U744">
        <v>93</v>
      </c>
      <c r="V744" t="s">
        <v>284</v>
      </c>
      <c r="W744">
        <v>89.7</v>
      </c>
      <c r="X744" t="s">
        <v>284</v>
      </c>
      <c r="Y744">
        <v>92.72</v>
      </c>
      <c r="Z744" t="s">
        <v>284</v>
      </c>
      <c r="AA744">
        <v>109</v>
      </c>
      <c r="AB744" t="s">
        <v>285</v>
      </c>
      <c r="AG744">
        <v>91.806700000000006</v>
      </c>
      <c r="AH744" t="s">
        <v>54</v>
      </c>
      <c r="AI744" t="s">
        <v>52</v>
      </c>
      <c r="AZ744" t="s">
        <v>52</v>
      </c>
      <c r="BQ744" t="s">
        <v>52</v>
      </c>
      <c r="BR744">
        <v>3.57</v>
      </c>
      <c r="BS744" t="s">
        <v>289</v>
      </c>
      <c r="BT744">
        <v>2.11</v>
      </c>
      <c r="BU744" t="s">
        <v>284</v>
      </c>
      <c r="BV744">
        <v>3.05</v>
      </c>
      <c r="BW744" t="s">
        <v>284</v>
      </c>
      <c r="BX744">
        <v>2.89</v>
      </c>
      <c r="BY744" t="s">
        <v>284</v>
      </c>
      <c r="BZ744">
        <v>0.05</v>
      </c>
      <c r="CA744" t="s">
        <v>289</v>
      </c>
      <c r="CF744">
        <v>2.68</v>
      </c>
      <c r="CG744" t="s">
        <v>54</v>
      </c>
      <c r="CH744" t="s">
        <v>52</v>
      </c>
    </row>
    <row r="745" spans="1:86" x14ac:dyDescent="0.25">
      <c r="A745" t="s">
        <v>47</v>
      </c>
      <c r="B745">
        <v>8</v>
      </c>
      <c r="C745" t="s">
        <v>166</v>
      </c>
      <c r="D745">
        <v>67</v>
      </c>
      <c r="E745" t="s">
        <v>79</v>
      </c>
      <c r="F745">
        <v>50</v>
      </c>
      <c r="G745" t="s">
        <v>81</v>
      </c>
      <c r="H745" t="s">
        <v>50</v>
      </c>
      <c r="K745" t="s">
        <v>51</v>
      </c>
      <c r="L745">
        <v>1</v>
      </c>
      <c r="M745" t="s">
        <v>53</v>
      </c>
      <c r="N745">
        <v>50</v>
      </c>
      <c r="O745">
        <v>1</v>
      </c>
      <c r="P745" t="s">
        <v>52</v>
      </c>
      <c r="Q745">
        <v>0.5</v>
      </c>
      <c r="R745">
        <v>0.75</v>
      </c>
      <c r="S745">
        <v>85</v>
      </c>
      <c r="T745" t="s">
        <v>285</v>
      </c>
      <c r="U745">
        <v>93</v>
      </c>
      <c r="V745" t="s">
        <v>284</v>
      </c>
      <c r="W745">
        <v>89.7</v>
      </c>
      <c r="X745" t="s">
        <v>284</v>
      </c>
      <c r="Y745">
        <v>92.72</v>
      </c>
      <c r="Z745" t="s">
        <v>284</v>
      </c>
      <c r="AA745">
        <v>109</v>
      </c>
      <c r="AB745" t="s">
        <v>285</v>
      </c>
      <c r="AG745">
        <v>91.806700000000006</v>
      </c>
      <c r="AH745" t="s">
        <v>54</v>
      </c>
      <c r="AI745" t="s">
        <v>52</v>
      </c>
      <c r="AZ745" t="s">
        <v>52</v>
      </c>
      <c r="BQ745" t="s">
        <v>52</v>
      </c>
      <c r="BR745">
        <v>2.74</v>
      </c>
      <c r="BS745" t="s">
        <v>289</v>
      </c>
      <c r="BT745">
        <v>1.96</v>
      </c>
      <c r="BU745" t="s">
        <v>284</v>
      </c>
      <c r="BV745">
        <v>2.83</v>
      </c>
      <c r="BW745" t="s">
        <v>284</v>
      </c>
      <c r="BX745">
        <v>2.69</v>
      </c>
      <c r="BY745" t="s">
        <v>284</v>
      </c>
      <c r="BZ745">
        <v>0.05</v>
      </c>
      <c r="CA745" t="s">
        <v>288</v>
      </c>
      <c r="CF745">
        <v>2.46</v>
      </c>
      <c r="CG745" t="s">
        <v>54</v>
      </c>
      <c r="CH745" t="s">
        <v>52</v>
      </c>
    </row>
    <row r="746" spans="1:86" x14ac:dyDescent="0.25">
      <c r="A746" t="s">
        <v>47</v>
      </c>
      <c r="B746">
        <v>8</v>
      </c>
      <c r="C746" t="s">
        <v>166</v>
      </c>
      <c r="D746">
        <v>67</v>
      </c>
      <c r="E746" t="s">
        <v>79</v>
      </c>
      <c r="F746">
        <v>50</v>
      </c>
      <c r="G746" t="s">
        <v>81</v>
      </c>
      <c r="H746" t="s">
        <v>50</v>
      </c>
      <c r="K746" t="s">
        <v>52</v>
      </c>
      <c r="L746">
        <v>1</v>
      </c>
      <c r="M746" t="s">
        <v>53</v>
      </c>
      <c r="N746">
        <v>50</v>
      </c>
      <c r="O746">
        <v>1</v>
      </c>
      <c r="P746" t="s">
        <v>52</v>
      </c>
      <c r="Q746">
        <v>0.5</v>
      </c>
      <c r="R746">
        <v>0.75</v>
      </c>
      <c r="S746">
        <v>85</v>
      </c>
      <c r="T746" t="s">
        <v>285</v>
      </c>
      <c r="U746">
        <v>93</v>
      </c>
      <c r="V746" t="s">
        <v>284</v>
      </c>
      <c r="W746">
        <v>89.7</v>
      </c>
      <c r="X746" t="s">
        <v>284</v>
      </c>
      <c r="Y746">
        <v>92.72</v>
      </c>
      <c r="Z746" t="s">
        <v>284</v>
      </c>
      <c r="AA746">
        <v>109</v>
      </c>
      <c r="AB746" t="s">
        <v>285</v>
      </c>
      <c r="AG746">
        <v>91.806700000000006</v>
      </c>
      <c r="AH746" t="s">
        <v>54</v>
      </c>
      <c r="AI746" t="s">
        <v>52</v>
      </c>
      <c r="AZ746" t="s">
        <v>52</v>
      </c>
      <c r="BQ746" t="s">
        <v>52</v>
      </c>
      <c r="BR746">
        <v>0.03</v>
      </c>
      <c r="BS746" t="s">
        <v>289</v>
      </c>
      <c r="BT746">
        <v>0.61</v>
      </c>
      <c r="BU746" t="s">
        <v>289</v>
      </c>
      <c r="BV746">
        <v>0.03</v>
      </c>
      <c r="BW746" t="s">
        <v>289</v>
      </c>
      <c r="BX746">
        <v>1.33</v>
      </c>
      <c r="BY746" t="s">
        <v>289</v>
      </c>
      <c r="BZ746">
        <v>0.73</v>
      </c>
      <c r="CA746" t="s">
        <v>289</v>
      </c>
      <c r="CF746">
        <v>0.46</v>
      </c>
      <c r="CG746" t="s">
        <v>54</v>
      </c>
      <c r="CH746" t="s">
        <v>52</v>
      </c>
    </row>
    <row r="747" spans="1:86" x14ac:dyDescent="0.25">
      <c r="A747" t="s">
        <v>47</v>
      </c>
      <c r="B747">
        <v>8</v>
      </c>
      <c r="C747" t="s">
        <v>166</v>
      </c>
      <c r="D747">
        <v>67</v>
      </c>
      <c r="E747" t="s">
        <v>82</v>
      </c>
      <c r="F747">
        <v>52</v>
      </c>
      <c r="H747" t="s">
        <v>50</v>
      </c>
      <c r="K747" t="s">
        <v>51</v>
      </c>
      <c r="L747">
        <v>1</v>
      </c>
      <c r="M747" t="s">
        <v>53</v>
      </c>
      <c r="N747">
        <v>50</v>
      </c>
      <c r="O747">
        <v>1</v>
      </c>
      <c r="P747" t="s">
        <v>52</v>
      </c>
      <c r="Q747">
        <v>0.5</v>
      </c>
      <c r="R747">
        <v>0.75</v>
      </c>
      <c r="S747">
        <v>85</v>
      </c>
      <c r="T747" t="s">
        <v>285</v>
      </c>
      <c r="U747">
        <v>93</v>
      </c>
      <c r="V747" t="s">
        <v>284</v>
      </c>
      <c r="W747">
        <v>191.5</v>
      </c>
      <c r="X747" t="s">
        <v>284</v>
      </c>
      <c r="Y747">
        <v>198</v>
      </c>
      <c r="Z747" t="s">
        <v>284</v>
      </c>
      <c r="AA747">
        <v>109</v>
      </c>
      <c r="AB747" t="s">
        <v>285</v>
      </c>
      <c r="AG747">
        <v>131.16669999999999</v>
      </c>
      <c r="AH747" t="s">
        <v>54</v>
      </c>
      <c r="AI747" t="s">
        <v>52</v>
      </c>
      <c r="AZ747" t="s">
        <v>52</v>
      </c>
      <c r="BQ747" t="s">
        <v>52</v>
      </c>
      <c r="BR747">
        <v>3.58</v>
      </c>
      <c r="BS747" t="s">
        <v>289</v>
      </c>
      <c r="BT747">
        <v>2.12</v>
      </c>
      <c r="BU747" t="s">
        <v>284</v>
      </c>
      <c r="CH747" t="s">
        <v>52</v>
      </c>
    </row>
    <row r="748" spans="1:86" x14ac:dyDescent="0.25">
      <c r="A748" t="s">
        <v>47</v>
      </c>
      <c r="B748">
        <v>8</v>
      </c>
      <c r="C748" t="s">
        <v>166</v>
      </c>
      <c r="D748">
        <v>67</v>
      </c>
      <c r="E748" t="s">
        <v>82</v>
      </c>
      <c r="F748">
        <v>52</v>
      </c>
      <c r="H748" t="s">
        <v>50</v>
      </c>
      <c r="K748" t="s">
        <v>52</v>
      </c>
      <c r="L748">
        <v>1</v>
      </c>
      <c r="M748" t="s">
        <v>53</v>
      </c>
      <c r="N748">
        <v>50</v>
      </c>
      <c r="O748">
        <v>1</v>
      </c>
      <c r="P748" t="s">
        <v>52</v>
      </c>
      <c r="Q748">
        <v>0.5</v>
      </c>
      <c r="R748">
        <v>0.75</v>
      </c>
      <c r="S748">
        <v>85</v>
      </c>
      <c r="T748" t="s">
        <v>285</v>
      </c>
      <c r="U748">
        <v>93</v>
      </c>
      <c r="V748" t="s">
        <v>284</v>
      </c>
      <c r="W748">
        <v>191.5</v>
      </c>
      <c r="X748" t="s">
        <v>284</v>
      </c>
      <c r="Y748">
        <v>198</v>
      </c>
      <c r="Z748" t="s">
        <v>284</v>
      </c>
      <c r="AA748">
        <v>109</v>
      </c>
      <c r="AB748" t="s">
        <v>285</v>
      </c>
      <c r="AG748">
        <v>131.16669999999999</v>
      </c>
      <c r="AH748" t="s">
        <v>54</v>
      </c>
      <c r="AI748" t="s">
        <v>52</v>
      </c>
      <c r="AZ748" t="s">
        <v>52</v>
      </c>
      <c r="BQ748" t="s">
        <v>52</v>
      </c>
      <c r="BR748">
        <v>2.36</v>
      </c>
      <c r="BS748" t="s">
        <v>289</v>
      </c>
      <c r="BT748">
        <v>1.19</v>
      </c>
      <c r="BU748" t="s">
        <v>285</v>
      </c>
      <c r="CH748" t="s">
        <v>52</v>
      </c>
    </row>
    <row r="749" spans="1:86" x14ac:dyDescent="0.25">
      <c r="A749" t="s">
        <v>47</v>
      </c>
      <c r="B749">
        <v>8</v>
      </c>
      <c r="C749" t="s">
        <v>166</v>
      </c>
      <c r="D749">
        <v>67</v>
      </c>
      <c r="E749" t="s">
        <v>83</v>
      </c>
      <c r="F749">
        <v>158</v>
      </c>
      <c r="H749" t="s">
        <v>50</v>
      </c>
      <c r="K749" t="s">
        <v>51</v>
      </c>
      <c r="L749">
        <v>1</v>
      </c>
      <c r="M749" t="s">
        <v>53</v>
      </c>
      <c r="N749">
        <v>158</v>
      </c>
      <c r="O749">
        <v>2</v>
      </c>
      <c r="P749" t="s">
        <v>52</v>
      </c>
      <c r="Q749">
        <v>0.77</v>
      </c>
      <c r="R749">
        <v>0.93</v>
      </c>
      <c r="S749">
        <v>228</v>
      </c>
      <c r="T749" t="s">
        <v>284</v>
      </c>
      <c r="U749">
        <v>221</v>
      </c>
      <c r="V749" t="s">
        <v>284</v>
      </c>
      <c r="W749">
        <v>236</v>
      </c>
      <c r="X749" t="s">
        <v>284</v>
      </c>
      <c r="Y749">
        <v>244</v>
      </c>
      <c r="Z749" t="s">
        <v>284</v>
      </c>
      <c r="AA749">
        <v>252</v>
      </c>
      <c r="AB749" t="s">
        <v>284</v>
      </c>
      <c r="AG749">
        <v>236</v>
      </c>
      <c r="AH749" t="s">
        <v>54</v>
      </c>
      <c r="AI749" t="s">
        <v>52</v>
      </c>
      <c r="AX749">
        <v>339</v>
      </c>
      <c r="AY749" t="s">
        <v>285</v>
      </c>
      <c r="AZ749" t="s">
        <v>287</v>
      </c>
      <c r="BQ749" t="s">
        <v>52</v>
      </c>
      <c r="BR749">
        <v>1.85</v>
      </c>
      <c r="BS749" t="s">
        <v>284</v>
      </c>
      <c r="BT749">
        <v>1.35</v>
      </c>
      <c r="BU749" t="s">
        <v>284</v>
      </c>
      <c r="BV749">
        <v>1.03</v>
      </c>
      <c r="BW749" t="s">
        <v>288</v>
      </c>
      <c r="BX749">
        <v>1.34</v>
      </c>
      <c r="BY749" t="s">
        <v>289</v>
      </c>
      <c r="BZ749">
        <v>1.22</v>
      </c>
      <c r="CA749" t="s">
        <v>289</v>
      </c>
      <c r="CF749">
        <v>1.3</v>
      </c>
      <c r="CG749" t="s">
        <v>54</v>
      </c>
      <c r="CH749" t="s">
        <v>52</v>
      </c>
    </row>
    <row r="750" spans="1:86" x14ac:dyDescent="0.25">
      <c r="A750" t="s">
        <v>47</v>
      </c>
      <c r="B750">
        <v>8</v>
      </c>
      <c r="C750" t="s">
        <v>166</v>
      </c>
      <c r="D750">
        <v>67</v>
      </c>
      <c r="E750" t="s">
        <v>83</v>
      </c>
      <c r="F750">
        <v>158</v>
      </c>
      <c r="H750" t="s">
        <v>50</v>
      </c>
      <c r="K750" t="s">
        <v>52</v>
      </c>
      <c r="L750">
        <v>1</v>
      </c>
      <c r="M750" t="s">
        <v>53</v>
      </c>
      <c r="N750">
        <v>158</v>
      </c>
      <c r="O750">
        <v>2</v>
      </c>
      <c r="P750" t="s">
        <v>52</v>
      </c>
      <c r="Q750">
        <v>0.77</v>
      </c>
      <c r="R750">
        <v>0.93</v>
      </c>
      <c r="S750">
        <v>228</v>
      </c>
      <c r="T750" t="s">
        <v>284</v>
      </c>
      <c r="U750">
        <v>221</v>
      </c>
      <c r="V750" t="s">
        <v>284</v>
      </c>
      <c r="W750">
        <v>236</v>
      </c>
      <c r="X750" t="s">
        <v>284</v>
      </c>
      <c r="Y750">
        <v>244</v>
      </c>
      <c r="Z750" t="s">
        <v>284</v>
      </c>
      <c r="AA750">
        <v>252</v>
      </c>
      <c r="AB750" t="s">
        <v>284</v>
      </c>
      <c r="AG750">
        <v>236</v>
      </c>
      <c r="AH750" t="s">
        <v>54</v>
      </c>
      <c r="AI750" t="s">
        <v>52</v>
      </c>
      <c r="AX750">
        <v>339</v>
      </c>
      <c r="AY750" t="s">
        <v>285</v>
      </c>
      <c r="AZ750" t="s">
        <v>287</v>
      </c>
      <c r="BQ750" t="s">
        <v>52</v>
      </c>
      <c r="BR750">
        <v>1.31</v>
      </c>
      <c r="BS750" t="s">
        <v>285</v>
      </c>
      <c r="BT750">
        <v>1.01</v>
      </c>
      <c r="BU750" t="s">
        <v>284</v>
      </c>
      <c r="BV750">
        <v>0.33</v>
      </c>
      <c r="BW750" t="s">
        <v>288</v>
      </c>
      <c r="BX750">
        <v>0.02</v>
      </c>
      <c r="BY750" t="s">
        <v>288</v>
      </c>
      <c r="BZ750">
        <v>0.1</v>
      </c>
      <c r="CA750" t="s">
        <v>289</v>
      </c>
      <c r="CF750">
        <v>0.48</v>
      </c>
      <c r="CG750" t="s">
        <v>54</v>
      </c>
      <c r="CH750" t="s">
        <v>52</v>
      </c>
    </row>
    <row r="751" spans="1:86" x14ac:dyDescent="0.25">
      <c r="A751" t="s">
        <v>47</v>
      </c>
      <c r="B751">
        <v>8</v>
      </c>
      <c r="C751" t="s">
        <v>168</v>
      </c>
      <c r="D751">
        <v>69</v>
      </c>
      <c r="E751" t="s">
        <v>49</v>
      </c>
      <c r="F751">
        <v>27</v>
      </c>
      <c r="H751" t="s">
        <v>50</v>
      </c>
      <c r="K751" t="s">
        <v>51</v>
      </c>
      <c r="L751">
        <v>1</v>
      </c>
      <c r="M751" t="s">
        <v>53</v>
      </c>
      <c r="N751">
        <v>27</v>
      </c>
      <c r="O751">
        <v>1</v>
      </c>
      <c r="P751" t="s">
        <v>52</v>
      </c>
      <c r="Q751">
        <v>0</v>
      </c>
      <c r="R751">
        <v>0.75</v>
      </c>
      <c r="S751">
        <v>231</v>
      </c>
      <c r="T751" t="s">
        <v>284</v>
      </c>
      <c r="U751">
        <v>208</v>
      </c>
      <c r="V751" t="s">
        <v>284</v>
      </c>
      <c r="W751">
        <v>224</v>
      </c>
      <c r="X751" t="s">
        <v>284</v>
      </c>
      <c r="Y751">
        <v>225</v>
      </c>
      <c r="Z751" t="s">
        <v>285</v>
      </c>
      <c r="AA751">
        <v>247</v>
      </c>
      <c r="AB751" t="s">
        <v>285</v>
      </c>
      <c r="AC751">
        <v>241</v>
      </c>
      <c r="AD751" t="s">
        <v>285</v>
      </c>
      <c r="AE751">
        <v>219</v>
      </c>
      <c r="AF751" t="s">
        <v>285</v>
      </c>
      <c r="AG751">
        <v>219</v>
      </c>
      <c r="AH751" t="s">
        <v>286</v>
      </c>
      <c r="AI751" t="s">
        <v>287</v>
      </c>
      <c r="AX751">
        <v>263</v>
      </c>
      <c r="AY751" t="s">
        <v>286</v>
      </c>
      <c r="AZ751" t="s">
        <v>287</v>
      </c>
      <c r="BQ751" t="s">
        <v>52</v>
      </c>
      <c r="BR751">
        <v>3.7</v>
      </c>
      <c r="BS751" t="s">
        <v>284</v>
      </c>
      <c r="BT751">
        <v>3.4</v>
      </c>
      <c r="BU751" t="s">
        <v>284</v>
      </c>
      <c r="BV751">
        <v>3.38</v>
      </c>
      <c r="BW751" t="s">
        <v>284</v>
      </c>
      <c r="BX751">
        <v>3.38</v>
      </c>
      <c r="BY751" t="s">
        <v>289</v>
      </c>
      <c r="BZ751">
        <v>3.9</v>
      </c>
      <c r="CA751" t="s">
        <v>289</v>
      </c>
      <c r="CF751">
        <v>3.49</v>
      </c>
      <c r="CG751" t="s">
        <v>54</v>
      </c>
      <c r="CH751" t="s">
        <v>52</v>
      </c>
    </row>
    <row r="752" spans="1:86" x14ac:dyDescent="0.25">
      <c r="A752" t="s">
        <v>47</v>
      </c>
      <c r="B752">
        <v>8</v>
      </c>
      <c r="C752" t="s">
        <v>168</v>
      </c>
      <c r="D752">
        <v>69</v>
      </c>
      <c r="E752" t="s">
        <v>49</v>
      </c>
      <c r="F752">
        <v>27</v>
      </c>
      <c r="H752" t="s">
        <v>50</v>
      </c>
      <c r="K752" t="s">
        <v>52</v>
      </c>
      <c r="L752">
        <v>1</v>
      </c>
      <c r="M752" t="s">
        <v>53</v>
      </c>
      <c r="N752">
        <v>27</v>
      </c>
      <c r="O752">
        <v>1</v>
      </c>
      <c r="P752" t="s">
        <v>52</v>
      </c>
      <c r="Q752">
        <v>0</v>
      </c>
      <c r="R752">
        <v>0.75</v>
      </c>
      <c r="S752">
        <v>231</v>
      </c>
      <c r="T752" t="s">
        <v>284</v>
      </c>
      <c r="U752">
        <v>208</v>
      </c>
      <c r="V752" t="s">
        <v>284</v>
      </c>
      <c r="W752">
        <v>224</v>
      </c>
      <c r="X752" t="s">
        <v>284</v>
      </c>
      <c r="Y752">
        <v>225</v>
      </c>
      <c r="Z752" t="s">
        <v>285</v>
      </c>
      <c r="AA752">
        <v>247</v>
      </c>
      <c r="AB752" t="s">
        <v>285</v>
      </c>
      <c r="AC752">
        <v>241</v>
      </c>
      <c r="AD752" t="s">
        <v>285</v>
      </c>
      <c r="AE752">
        <v>219</v>
      </c>
      <c r="AF752" t="s">
        <v>285</v>
      </c>
      <c r="AG752">
        <v>219</v>
      </c>
      <c r="AH752" t="s">
        <v>286</v>
      </c>
      <c r="AI752" t="s">
        <v>287</v>
      </c>
      <c r="AX752">
        <v>263</v>
      </c>
      <c r="AY752" t="s">
        <v>286</v>
      </c>
      <c r="AZ752" t="s">
        <v>287</v>
      </c>
      <c r="BQ752" t="s">
        <v>52</v>
      </c>
      <c r="BR752">
        <v>1.3</v>
      </c>
      <c r="BS752" t="s">
        <v>284</v>
      </c>
      <c r="BT752">
        <v>1.2</v>
      </c>
      <c r="BU752" t="s">
        <v>284</v>
      </c>
      <c r="BV752">
        <v>0.75</v>
      </c>
      <c r="BW752" t="s">
        <v>285</v>
      </c>
      <c r="BX752">
        <v>0.12</v>
      </c>
      <c r="BY752" t="s">
        <v>289</v>
      </c>
      <c r="BZ752">
        <v>0.14000000000000001</v>
      </c>
      <c r="CA752" t="s">
        <v>289</v>
      </c>
      <c r="CF752">
        <v>0.7</v>
      </c>
      <c r="CG752" t="s">
        <v>54</v>
      </c>
      <c r="CH752" t="s">
        <v>52</v>
      </c>
    </row>
    <row r="753" spans="1:86" x14ac:dyDescent="0.25">
      <c r="A753" t="s">
        <v>47</v>
      </c>
      <c r="B753">
        <v>8</v>
      </c>
      <c r="C753" t="s">
        <v>168</v>
      </c>
      <c r="D753">
        <v>69</v>
      </c>
      <c r="E753" t="s">
        <v>58</v>
      </c>
      <c r="F753">
        <v>102</v>
      </c>
      <c r="G753" t="s">
        <v>61</v>
      </c>
      <c r="H753" t="s">
        <v>50</v>
      </c>
      <c r="K753" t="s">
        <v>51</v>
      </c>
      <c r="L753">
        <v>1</v>
      </c>
      <c r="M753" t="s">
        <v>53</v>
      </c>
      <c r="N753">
        <v>102</v>
      </c>
      <c r="O753">
        <v>1</v>
      </c>
      <c r="P753" t="s">
        <v>52</v>
      </c>
      <c r="Q753">
        <v>0</v>
      </c>
      <c r="R753">
        <v>0.92</v>
      </c>
      <c r="S753">
        <v>131.69999999999999</v>
      </c>
      <c r="T753" t="s">
        <v>284</v>
      </c>
      <c r="U753">
        <v>170</v>
      </c>
      <c r="V753" t="s">
        <v>284</v>
      </c>
      <c r="W753">
        <v>191</v>
      </c>
      <c r="X753" t="s">
        <v>284</v>
      </c>
      <c r="Y753">
        <v>207</v>
      </c>
      <c r="Z753" t="s">
        <v>284</v>
      </c>
      <c r="AA753">
        <v>315</v>
      </c>
      <c r="AB753" t="s">
        <v>285</v>
      </c>
      <c r="AG753">
        <v>189.33330000000001</v>
      </c>
      <c r="AH753" t="s">
        <v>54</v>
      </c>
      <c r="AI753" t="s">
        <v>52</v>
      </c>
      <c r="AZ753" t="s">
        <v>52</v>
      </c>
      <c r="BQ753" t="s">
        <v>52</v>
      </c>
      <c r="BR753">
        <v>1.85</v>
      </c>
      <c r="BS753" t="s">
        <v>284</v>
      </c>
      <c r="BT753">
        <v>1.71</v>
      </c>
      <c r="BU753" t="s">
        <v>284</v>
      </c>
      <c r="BV753">
        <v>1.33</v>
      </c>
      <c r="BW753" t="s">
        <v>285</v>
      </c>
      <c r="BX753">
        <v>0.92</v>
      </c>
      <c r="BY753" t="s">
        <v>285</v>
      </c>
      <c r="BZ753">
        <v>0.79</v>
      </c>
      <c r="CA753" t="s">
        <v>284</v>
      </c>
      <c r="CF753">
        <v>1.32</v>
      </c>
      <c r="CG753" t="s">
        <v>54</v>
      </c>
      <c r="CH753" t="s">
        <v>52</v>
      </c>
    </row>
    <row r="754" spans="1:86" x14ac:dyDescent="0.25">
      <c r="A754" t="s">
        <v>47</v>
      </c>
      <c r="B754">
        <v>8</v>
      </c>
      <c r="C754" t="s">
        <v>168</v>
      </c>
      <c r="D754">
        <v>69</v>
      </c>
      <c r="E754" t="s">
        <v>58</v>
      </c>
      <c r="F754">
        <v>102</v>
      </c>
      <c r="G754" t="s">
        <v>61</v>
      </c>
      <c r="H754" t="s">
        <v>50</v>
      </c>
      <c r="K754" t="s">
        <v>52</v>
      </c>
      <c r="L754">
        <v>1</v>
      </c>
      <c r="M754" t="s">
        <v>53</v>
      </c>
      <c r="N754">
        <v>102</v>
      </c>
      <c r="O754">
        <v>1</v>
      </c>
      <c r="P754" t="s">
        <v>52</v>
      </c>
      <c r="Q754">
        <v>0</v>
      </c>
      <c r="R754">
        <v>0.92</v>
      </c>
      <c r="S754">
        <v>131.69999999999999</v>
      </c>
      <c r="T754" t="s">
        <v>284</v>
      </c>
      <c r="U754">
        <v>170</v>
      </c>
      <c r="V754" t="s">
        <v>284</v>
      </c>
      <c r="W754">
        <v>191</v>
      </c>
      <c r="X754" t="s">
        <v>284</v>
      </c>
      <c r="Y754">
        <v>207</v>
      </c>
      <c r="Z754" t="s">
        <v>284</v>
      </c>
      <c r="AA754">
        <v>315</v>
      </c>
      <c r="AB754" t="s">
        <v>285</v>
      </c>
      <c r="AG754">
        <v>189.33330000000001</v>
      </c>
      <c r="AH754" t="s">
        <v>54</v>
      </c>
      <c r="AI754" t="s">
        <v>52</v>
      </c>
      <c r="AZ754" t="s">
        <v>52</v>
      </c>
      <c r="BQ754" t="s">
        <v>52</v>
      </c>
      <c r="BR754">
        <v>0.93</v>
      </c>
      <c r="BS754" t="s">
        <v>285</v>
      </c>
      <c r="BT754">
        <v>0.89</v>
      </c>
      <c r="BU754" t="s">
        <v>284</v>
      </c>
      <c r="BV754">
        <v>0.69</v>
      </c>
      <c r="BW754" t="s">
        <v>285</v>
      </c>
      <c r="BX754">
        <v>0.48</v>
      </c>
      <c r="BY754" t="s">
        <v>285</v>
      </c>
      <c r="BZ754">
        <v>0.41</v>
      </c>
      <c r="CA754" t="s">
        <v>284</v>
      </c>
      <c r="CF754">
        <v>0.69</v>
      </c>
      <c r="CG754" t="s">
        <v>54</v>
      </c>
      <c r="CH754" t="s">
        <v>52</v>
      </c>
    </row>
    <row r="755" spans="1:86" x14ac:dyDescent="0.25">
      <c r="A755" t="s">
        <v>47</v>
      </c>
      <c r="B755">
        <v>8</v>
      </c>
      <c r="C755" t="s">
        <v>168</v>
      </c>
      <c r="D755">
        <v>69</v>
      </c>
      <c r="E755" t="s">
        <v>58</v>
      </c>
      <c r="F755">
        <v>102</v>
      </c>
      <c r="G755" t="s">
        <v>62</v>
      </c>
      <c r="H755" t="s">
        <v>50</v>
      </c>
      <c r="K755" t="s">
        <v>51</v>
      </c>
      <c r="L755">
        <v>1</v>
      </c>
      <c r="M755" t="s">
        <v>53</v>
      </c>
      <c r="N755">
        <v>102</v>
      </c>
      <c r="O755">
        <v>1</v>
      </c>
      <c r="P755" t="s">
        <v>52</v>
      </c>
      <c r="Q755">
        <v>0</v>
      </c>
      <c r="R755">
        <v>0.92</v>
      </c>
      <c r="S755">
        <v>131.69999999999999</v>
      </c>
      <c r="T755" t="s">
        <v>284</v>
      </c>
      <c r="U755">
        <v>170</v>
      </c>
      <c r="V755" t="s">
        <v>284</v>
      </c>
      <c r="W755">
        <v>191</v>
      </c>
      <c r="X755" t="s">
        <v>284</v>
      </c>
      <c r="Y755">
        <v>207</v>
      </c>
      <c r="Z755" t="s">
        <v>284</v>
      </c>
      <c r="AA755">
        <v>205</v>
      </c>
      <c r="AB755" t="s">
        <v>285</v>
      </c>
      <c r="AG755">
        <v>188.66669999999999</v>
      </c>
      <c r="AH755" t="s">
        <v>54</v>
      </c>
      <c r="AI755" t="s">
        <v>52</v>
      </c>
      <c r="AX755">
        <v>271.60000000000002</v>
      </c>
      <c r="AY755" t="s">
        <v>285</v>
      </c>
      <c r="AZ755" t="s">
        <v>287</v>
      </c>
      <c r="BQ755" t="s">
        <v>52</v>
      </c>
      <c r="BR755">
        <v>1.85</v>
      </c>
      <c r="BS755" t="s">
        <v>284</v>
      </c>
      <c r="BT755">
        <v>1.71</v>
      </c>
      <c r="BU755" t="s">
        <v>284</v>
      </c>
      <c r="BV755">
        <v>0.53</v>
      </c>
      <c r="BW755" t="s">
        <v>285</v>
      </c>
      <c r="BX755">
        <v>0.65</v>
      </c>
      <c r="BY755" t="s">
        <v>285</v>
      </c>
      <c r="BZ755">
        <v>0.56000000000000005</v>
      </c>
      <c r="CA755" t="s">
        <v>284</v>
      </c>
      <c r="CF755">
        <v>0.97</v>
      </c>
      <c r="CG755" t="s">
        <v>54</v>
      </c>
      <c r="CH755" t="s">
        <v>52</v>
      </c>
    </row>
    <row r="756" spans="1:86" x14ac:dyDescent="0.25">
      <c r="A756" t="s">
        <v>47</v>
      </c>
      <c r="B756">
        <v>8</v>
      </c>
      <c r="C756" t="s">
        <v>168</v>
      </c>
      <c r="D756">
        <v>69</v>
      </c>
      <c r="E756" t="s">
        <v>58</v>
      </c>
      <c r="F756">
        <v>102</v>
      </c>
      <c r="G756" t="s">
        <v>62</v>
      </c>
      <c r="H756" t="s">
        <v>50</v>
      </c>
      <c r="K756" t="s">
        <v>52</v>
      </c>
      <c r="L756">
        <v>1</v>
      </c>
      <c r="M756" t="s">
        <v>53</v>
      </c>
      <c r="N756">
        <v>102</v>
      </c>
      <c r="O756">
        <v>1</v>
      </c>
      <c r="P756" t="s">
        <v>52</v>
      </c>
      <c r="Q756">
        <v>0</v>
      </c>
      <c r="R756">
        <v>0.92</v>
      </c>
      <c r="S756">
        <v>131.69999999999999</v>
      </c>
      <c r="T756" t="s">
        <v>284</v>
      </c>
      <c r="U756">
        <v>170</v>
      </c>
      <c r="V756" t="s">
        <v>284</v>
      </c>
      <c r="W756">
        <v>191</v>
      </c>
      <c r="X756" t="s">
        <v>284</v>
      </c>
      <c r="Y756">
        <v>207</v>
      </c>
      <c r="Z756" t="s">
        <v>284</v>
      </c>
      <c r="AA756">
        <v>205</v>
      </c>
      <c r="AB756" t="s">
        <v>285</v>
      </c>
      <c r="AG756">
        <v>188.66669999999999</v>
      </c>
      <c r="AH756" t="s">
        <v>54</v>
      </c>
      <c r="AI756" t="s">
        <v>52</v>
      </c>
      <c r="AX756">
        <v>271.60000000000002</v>
      </c>
      <c r="AY756" t="s">
        <v>285</v>
      </c>
      <c r="AZ756" t="s">
        <v>287</v>
      </c>
      <c r="BQ756" t="s">
        <v>52</v>
      </c>
      <c r="BR756">
        <v>0.83</v>
      </c>
      <c r="BS756" t="s">
        <v>285</v>
      </c>
      <c r="BT756">
        <v>0.95</v>
      </c>
      <c r="BU756" t="s">
        <v>284</v>
      </c>
      <c r="BV756">
        <v>0.28000000000000003</v>
      </c>
      <c r="BW756" t="s">
        <v>285</v>
      </c>
      <c r="BX756">
        <v>0.51</v>
      </c>
      <c r="BY756" t="s">
        <v>285</v>
      </c>
      <c r="BZ756">
        <v>0.44</v>
      </c>
      <c r="CA756" t="s">
        <v>284</v>
      </c>
      <c r="CF756">
        <v>0.59</v>
      </c>
      <c r="CG756" t="s">
        <v>54</v>
      </c>
      <c r="CH756" t="s">
        <v>52</v>
      </c>
    </row>
    <row r="757" spans="1:86" x14ac:dyDescent="0.25">
      <c r="A757" t="s">
        <v>47</v>
      </c>
      <c r="B757">
        <v>8</v>
      </c>
      <c r="C757" t="s">
        <v>168</v>
      </c>
      <c r="D757">
        <v>69</v>
      </c>
      <c r="E757" t="s">
        <v>58</v>
      </c>
      <c r="F757">
        <v>102</v>
      </c>
      <c r="G757" t="s">
        <v>63</v>
      </c>
      <c r="H757" t="s">
        <v>50</v>
      </c>
      <c r="K757" t="s">
        <v>51</v>
      </c>
      <c r="L757">
        <v>1</v>
      </c>
      <c r="M757" t="s">
        <v>53</v>
      </c>
      <c r="N757">
        <v>102</v>
      </c>
      <c r="O757">
        <v>1</v>
      </c>
      <c r="P757" t="s">
        <v>52</v>
      </c>
      <c r="Q757">
        <v>0</v>
      </c>
      <c r="R757">
        <v>0.92</v>
      </c>
      <c r="S757">
        <v>131.69999999999999</v>
      </c>
      <c r="T757" t="s">
        <v>284</v>
      </c>
      <c r="U757">
        <v>170</v>
      </c>
      <c r="V757" t="s">
        <v>284</v>
      </c>
      <c r="W757">
        <v>191</v>
      </c>
      <c r="X757" t="s">
        <v>285</v>
      </c>
      <c r="Y757">
        <v>207</v>
      </c>
      <c r="Z757" t="s">
        <v>285</v>
      </c>
      <c r="AA757">
        <v>265</v>
      </c>
      <c r="AB757" t="s">
        <v>285</v>
      </c>
      <c r="AG757">
        <v>189.33330000000001</v>
      </c>
      <c r="AH757" t="s">
        <v>54</v>
      </c>
      <c r="AI757" t="s">
        <v>52</v>
      </c>
      <c r="AZ757" t="s">
        <v>52</v>
      </c>
      <c r="BQ757" t="s">
        <v>52</v>
      </c>
      <c r="BR757">
        <v>2.1</v>
      </c>
      <c r="BS757" t="s">
        <v>285</v>
      </c>
      <c r="BT757">
        <v>1.71</v>
      </c>
      <c r="BU757" t="s">
        <v>284</v>
      </c>
      <c r="BV757">
        <v>1.33</v>
      </c>
      <c r="BW757" t="s">
        <v>285</v>
      </c>
      <c r="BX757">
        <v>0.92</v>
      </c>
      <c r="BY757" t="s">
        <v>285</v>
      </c>
      <c r="BZ757">
        <v>0.79</v>
      </c>
      <c r="CA757" t="s">
        <v>284</v>
      </c>
      <c r="CF757">
        <v>1.32</v>
      </c>
      <c r="CG757" t="s">
        <v>54</v>
      </c>
      <c r="CH757" t="s">
        <v>52</v>
      </c>
    </row>
    <row r="758" spans="1:86" x14ac:dyDescent="0.25">
      <c r="A758" t="s">
        <v>47</v>
      </c>
      <c r="B758">
        <v>8</v>
      </c>
      <c r="C758" t="s">
        <v>168</v>
      </c>
      <c r="D758">
        <v>69</v>
      </c>
      <c r="E758" t="s">
        <v>58</v>
      </c>
      <c r="F758">
        <v>102</v>
      </c>
      <c r="G758" t="s">
        <v>63</v>
      </c>
      <c r="H758" t="s">
        <v>50</v>
      </c>
      <c r="K758" t="s">
        <v>52</v>
      </c>
      <c r="L758">
        <v>1</v>
      </c>
      <c r="M758" t="s">
        <v>53</v>
      </c>
      <c r="N758">
        <v>102</v>
      </c>
      <c r="O758">
        <v>1</v>
      </c>
      <c r="P758" t="s">
        <v>52</v>
      </c>
      <c r="Q758">
        <v>0</v>
      </c>
      <c r="R758">
        <v>0.92</v>
      </c>
      <c r="S758">
        <v>131.69999999999999</v>
      </c>
      <c r="T758" t="s">
        <v>284</v>
      </c>
      <c r="U758">
        <v>170</v>
      </c>
      <c r="V758" t="s">
        <v>284</v>
      </c>
      <c r="W758">
        <v>191</v>
      </c>
      <c r="X758" t="s">
        <v>285</v>
      </c>
      <c r="Y758">
        <v>207</v>
      </c>
      <c r="Z758" t="s">
        <v>285</v>
      </c>
      <c r="AA758">
        <v>265</v>
      </c>
      <c r="AB758" t="s">
        <v>285</v>
      </c>
      <c r="AG758">
        <v>189.33330000000001</v>
      </c>
      <c r="AH758" t="s">
        <v>54</v>
      </c>
      <c r="AI758" t="s">
        <v>52</v>
      </c>
      <c r="AZ758" t="s">
        <v>52</v>
      </c>
      <c r="BQ758" t="s">
        <v>52</v>
      </c>
      <c r="BR758">
        <v>0.93</v>
      </c>
      <c r="BS758" t="s">
        <v>285</v>
      </c>
      <c r="BT758">
        <v>0.89</v>
      </c>
      <c r="BU758" t="s">
        <v>284</v>
      </c>
      <c r="BV758">
        <v>0.69</v>
      </c>
      <c r="BW758" t="s">
        <v>285</v>
      </c>
      <c r="BX758">
        <v>0.48</v>
      </c>
      <c r="BY758" t="s">
        <v>285</v>
      </c>
      <c r="BZ758">
        <v>0.41</v>
      </c>
      <c r="CA758" t="s">
        <v>284</v>
      </c>
      <c r="CF758">
        <v>0.69</v>
      </c>
      <c r="CG758" t="s">
        <v>54</v>
      </c>
      <c r="CH758" t="s">
        <v>52</v>
      </c>
    </row>
    <row r="759" spans="1:86" x14ac:dyDescent="0.25">
      <c r="A759" t="s">
        <v>47</v>
      </c>
      <c r="B759">
        <v>8</v>
      </c>
      <c r="C759" t="s">
        <v>168</v>
      </c>
      <c r="D759">
        <v>69</v>
      </c>
      <c r="E759" t="s">
        <v>58</v>
      </c>
      <c r="F759">
        <v>102</v>
      </c>
      <c r="G759" t="s">
        <v>128</v>
      </c>
      <c r="H759" t="s">
        <v>50</v>
      </c>
      <c r="K759" t="s">
        <v>51</v>
      </c>
      <c r="L759">
        <v>1</v>
      </c>
      <c r="M759" t="s">
        <v>53</v>
      </c>
      <c r="N759">
        <v>102</v>
      </c>
      <c r="O759">
        <v>1</v>
      </c>
      <c r="P759" t="s">
        <v>52</v>
      </c>
      <c r="Q759">
        <v>0</v>
      </c>
      <c r="R759">
        <v>0.92</v>
      </c>
      <c r="S759">
        <v>131.69999999999999</v>
      </c>
      <c r="T759" t="s">
        <v>284</v>
      </c>
      <c r="U759">
        <v>170</v>
      </c>
      <c r="V759" t="s">
        <v>284</v>
      </c>
      <c r="W759">
        <v>191</v>
      </c>
      <c r="X759" t="s">
        <v>284</v>
      </c>
      <c r="Y759">
        <v>207</v>
      </c>
      <c r="Z759" t="s">
        <v>284</v>
      </c>
      <c r="AA759">
        <v>315</v>
      </c>
      <c r="AB759" t="s">
        <v>285</v>
      </c>
      <c r="AG759">
        <v>189.33330000000001</v>
      </c>
      <c r="AH759" t="s">
        <v>54</v>
      </c>
      <c r="AI759" t="s">
        <v>52</v>
      </c>
      <c r="AZ759" t="s">
        <v>52</v>
      </c>
      <c r="BQ759" t="s">
        <v>52</v>
      </c>
      <c r="BR759">
        <v>1.3</v>
      </c>
      <c r="BS759" t="s">
        <v>285</v>
      </c>
      <c r="CH759" t="s">
        <v>52</v>
      </c>
    </row>
    <row r="760" spans="1:86" x14ac:dyDescent="0.25">
      <c r="A760" t="s">
        <v>47</v>
      </c>
      <c r="B760">
        <v>8</v>
      </c>
      <c r="C760" t="s">
        <v>168</v>
      </c>
      <c r="D760">
        <v>69</v>
      </c>
      <c r="E760" t="s">
        <v>58</v>
      </c>
      <c r="F760">
        <v>102</v>
      </c>
      <c r="G760" t="s">
        <v>118</v>
      </c>
      <c r="H760" t="s">
        <v>50</v>
      </c>
      <c r="K760" t="s">
        <v>51</v>
      </c>
      <c r="L760">
        <v>1</v>
      </c>
      <c r="M760" t="s">
        <v>53</v>
      </c>
      <c r="N760">
        <v>102</v>
      </c>
      <c r="O760">
        <v>1</v>
      </c>
      <c r="P760" t="s">
        <v>52</v>
      </c>
      <c r="Q760">
        <v>0</v>
      </c>
      <c r="R760">
        <v>0.92</v>
      </c>
      <c r="S760">
        <v>131.69999999999999</v>
      </c>
      <c r="T760" t="s">
        <v>284</v>
      </c>
      <c r="U760">
        <v>170</v>
      </c>
      <c r="V760" t="s">
        <v>284</v>
      </c>
      <c r="W760">
        <v>191</v>
      </c>
      <c r="X760" t="s">
        <v>284</v>
      </c>
      <c r="Y760">
        <v>207</v>
      </c>
      <c r="Z760" t="s">
        <v>284</v>
      </c>
      <c r="AA760">
        <v>205</v>
      </c>
      <c r="AB760" t="s">
        <v>285</v>
      </c>
      <c r="AG760">
        <v>188.66669999999999</v>
      </c>
      <c r="AH760" t="s">
        <v>54</v>
      </c>
      <c r="AI760" t="s">
        <v>52</v>
      </c>
      <c r="AZ760" t="s">
        <v>52</v>
      </c>
      <c r="BQ760" t="s">
        <v>52</v>
      </c>
      <c r="CH760" t="s">
        <v>52</v>
      </c>
    </row>
    <row r="761" spans="1:86" x14ac:dyDescent="0.25">
      <c r="A761" t="s">
        <v>47</v>
      </c>
      <c r="B761">
        <v>8</v>
      </c>
      <c r="C761" t="s">
        <v>168</v>
      </c>
      <c r="D761">
        <v>69</v>
      </c>
      <c r="E761" t="s">
        <v>58</v>
      </c>
      <c r="F761">
        <v>102</v>
      </c>
      <c r="G761" t="s">
        <v>118</v>
      </c>
      <c r="H761" t="s">
        <v>50</v>
      </c>
      <c r="K761" t="s">
        <v>52</v>
      </c>
      <c r="L761">
        <v>1</v>
      </c>
      <c r="M761" t="s">
        <v>53</v>
      </c>
      <c r="N761">
        <v>102</v>
      </c>
      <c r="O761">
        <v>1</v>
      </c>
      <c r="P761" t="s">
        <v>52</v>
      </c>
      <c r="Q761">
        <v>0</v>
      </c>
      <c r="R761">
        <v>0.92</v>
      </c>
      <c r="S761">
        <v>131.69999999999999</v>
      </c>
      <c r="T761" t="s">
        <v>284</v>
      </c>
      <c r="U761">
        <v>170</v>
      </c>
      <c r="V761" t="s">
        <v>284</v>
      </c>
      <c r="W761">
        <v>191</v>
      </c>
      <c r="X761" t="s">
        <v>284</v>
      </c>
      <c r="Y761">
        <v>207</v>
      </c>
      <c r="Z761" t="s">
        <v>284</v>
      </c>
      <c r="AA761">
        <v>205</v>
      </c>
      <c r="AB761" t="s">
        <v>285</v>
      </c>
      <c r="AG761">
        <v>188.66669999999999</v>
      </c>
      <c r="AH761" t="s">
        <v>54</v>
      </c>
      <c r="AI761" t="s">
        <v>52</v>
      </c>
      <c r="AZ761" t="s">
        <v>52</v>
      </c>
      <c r="BQ761" t="s">
        <v>52</v>
      </c>
      <c r="CH761" t="s">
        <v>52</v>
      </c>
    </row>
    <row r="762" spans="1:86" x14ac:dyDescent="0.25">
      <c r="A762" t="s">
        <v>47</v>
      </c>
      <c r="B762">
        <v>8</v>
      </c>
      <c r="C762" t="s">
        <v>168</v>
      </c>
      <c r="D762">
        <v>69</v>
      </c>
      <c r="E762" t="s">
        <v>68</v>
      </c>
      <c r="F762">
        <v>80</v>
      </c>
      <c r="G762" t="s">
        <v>69</v>
      </c>
      <c r="H762" t="s">
        <v>50</v>
      </c>
      <c r="K762" t="s">
        <v>51</v>
      </c>
      <c r="L762">
        <v>1</v>
      </c>
      <c r="M762" t="s">
        <v>53</v>
      </c>
      <c r="N762">
        <v>80</v>
      </c>
      <c r="O762">
        <v>1</v>
      </c>
      <c r="P762" t="s">
        <v>52</v>
      </c>
      <c r="Q762">
        <v>0.5</v>
      </c>
      <c r="R762">
        <v>0.75</v>
      </c>
      <c r="S762">
        <v>202.92</v>
      </c>
      <c r="T762" t="s">
        <v>284</v>
      </c>
      <c r="U762">
        <v>198.9</v>
      </c>
      <c r="V762" t="s">
        <v>284</v>
      </c>
      <c r="W762">
        <v>212.4</v>
      </c>
      <c r="X762" t="s">
        <v>284</v>
      </c>
      <c r="Y762">
        <v>219.6</v>
      </c>
      <c r="Z762" t="s">
        <v>284</v>
      </c>
      <c r="AA762">
        <v>178</v>
      </c>
      <c r="AB762" t="s">
        <v>284</v>
      </c>
      <c r="AG762">
        <v>204.74</v>
      </c>
      <c r="AH762" t="s">
        <v>54</v>
      </c>
      <c r="AI762" t="s">
        <v>52</v>
      </c>
      <c r="AZ762" t="s">
        <v>52</v>
      </c>
      <c r="BQ762" t="s">
        <v>52</v>
      </c>
      <c r="CH762" t="s">
        <v>52</v>
      </c>
    </row>
    <row r="763" spans="1:86" x14ac:dyDescent="0.25">
      <c r="A763" t="s">
        <v>47</v>
      </c>
      <c r="B763">
        <v>8</v>
      </c>
      <c r="C763" t="s">
        <v>168</v>
      </c>
      <c r="D763">
        <v>69</v>
      </c>
      <c r="E763" t="s">
        <v>68</v>
      </c>
      <c r="F763">
        <v>80</v>
      </c>
      <c r="G763" t="s">
        <v>69</v>
      </c>
      <c r="H763" t="s">
        <v>50</v>
      </c>
      <c r="K763" t="s">
        <v>52</v>
      </c>
      <c r="L763">
        <v>1</v>
      </c>
      <c r="M763" t="s">
        <v>53</v>
      </c>
      <c r="N763">
        <v>80</v>
      </c>
      <c r="O763">
        <v>1</v>
      </c>
      <c r="P763" t="s">
        <v>52</v>
      </c>
      <c r="Q763">
        <v>0.5</v>
      </c>
      <c r="R763">
        <v>0.75</v>
      </c>
      <c r="S763">
        <v>202.92</v>
      </c>
      <c r="T763" t="s">
        <v>284</v>
      </c>
      <c r="U763">
        <v>198.9</v>
      </c>
      <c r="V763" t="s">
        <v>284</v>
      </c>
      <c r="W763">
        <v>212.4</v>
      </c>
      <c r="X763" t="s">
        <v>284</v>
      </c>
      <c r="Y763">
        <v>219.6</v>
      </c>
      <c r="Z763" t="s">
        <v>284</v>
      </c>
      <c r="AA763">
        <v>178</v>
      </c>
      <c r="AB763" t="s">
        <v>284</v>
      </c>
      <c r="AG763">
        <v>204.74</v>
      </c>
      <c r="AH763" t="s">
        <v>54</v>
      </c>
      <c r="AI763" t="s">
        <v>52</v>
      </c>
      <c r="AZ763" t="s">
        <v>52</v>
      </c>
      <c r="BQ763" t="s">
        <v>52</v>
      </c>
      <c r="CH763" t="s">
        <v>52</v>
      </c>
    </row>
    <row r="764" spans="1:86" x14ac:dyDescent="0.25">
      <c r="A764" t="s">
        <v>47</v>
      </c>
      <c r="B764">
        <v>8</v>
      </c>
      <c r="C764" t="s">
        <v>168</v>
      </c>
      <c r="D764">
        <v>69</v>
      </c>
      <c r="E764" t="s">
        <v>70</v>
      </c>
      <c r="F764">
        <v>296</v>
      </c>
      <c r="G764" t="s">
        <v>71</v>
      </c>
      <c r="H764" t="s">
        <v>50</v>
      </c>
      <c r="K764" t="s">
        <v>51</v>
      </c>
      <c r="L764">
        <v>1</v>
      </c>
      <c r="M764" t="s">
        <v>53</v>
      </c>
      <c r="N764">
        <v>296</v>
      </c>
      <c r="O764">
        <v>1</v>
      </c>
      <c r="P764" t="s">
        <v>52</v>
      </c>
      <c r="Q764">
        <v>0</v>
      </c>
      <c r="R764">
        <v>0.75</v>
      </c>
      <c r="S764">
        <v>228</v>
      </c>
      <c r="T764" t="s">
        <v>284</v>
      </c>
      <c r="U764">
        <v>190</v>
      </c>
      <c r="V764" t="s">
        <v>285</v>
      </c>
      <c r="W764">
        <v>194</v>
      </c>
      <c r="X764" t="s">
        <v>285</v>
      </c>
      <c r="Y764">
        <v>225</v>
      </c>
      <c r="Z764" t="s">
        <v>285</v>
      </c>
      <c r="AA764">
        <v>247</v>
      </c>
      <c r="AB764" t="s">
        <v>285</v>
      </c>
      <c r="AC764">
        <v>241</v>
      </c>
      <c r="AD764" t="s">
        <v>285</v>
      </c>
      <c r="AE764">
        <v>219</v>
      </c>
      <c r="AF764" t="s">
        <v>285</v>
      </c>
      <c r="AG764">
        <v>219</v>
      </c>
      <c r="AH764" t="s">
        <v>286</v>
      </c>
      <c r="AI764" t="s">
        <v>287</v>
      </c>
      <c r="AX764">
        <v>263</v>
      </c>
      <c r="AY764" t="s">
        <v>286</v>
      </c>
      <c r="AZ764" t="s">
        <v>287</v>
      </c>
      <c r="BQ764" t="s">
        <v>52</v>
      </c>
      <c r="BR764">
        <v>1.85</v>
      </c>
      <c r="BS764" t="s">
        <v>284</v>
      </c>
      <c r="BT764">
        <v>2.29</v>
      </c>
      <c r="BU764" t="s">
        <v>285</v>
      </c>
      <c r="BV764">
        <v>1.37</v>
      </c>
      <c r="BW764" t="s">
        <v>285</v>
      </c>
      <c r="BX764">
        <v>2.5</v>
      </c>
      <c r="BY764" t="s">
        <v>285</v>
      </c>
      <c r="BZ764">
        <v>0.08</v>
      </c>
      <c r="CA764" t="s">
        <v>288</v>
      </c>
      <c r="CF764">
        <v>1.84</v>
      </c>
      <c r="CG764" t="s">
        <v>54</v>
      </c>
      <c r="CH764" t="s">
        <v>52</v>
      </c>
    </row>
    <row r="765" spans="1:86" x14ac:dyDescent="0.25">
      <c r="A765" t="s">
        <v>47</v>
      </c>
      <c r="B765">
        <v>8</v>
      </c>
      <c r="C765" t="s">
        <v>168</v>
      </c>
      <c r="D765">
        <v>69</v>
      </c>
      <c r="E765" t="s">
        <v>70</v>
      </c>
      <c r="F765">
        <v>296</v>
      </c>
      <c r="G765" t="s">
        <v>71</v>
      </c>
      <c r="H765" t="s">
        <v>50</v>
      </c>
      <c r="K765" t="s">
        <v>52</v>
      </c>
      <c r="L765">
        <v>1</v>
      </c>
      <c r="M765" t="s">
        <v>53</v>
      </c>
      <c r="N765">
        <v>296</v>
      </c>
      <c r="O765">
        <v>1</v>
      </c>
      <c r="P765" t="s">
        <v>52</v>
      </c>
      <c r="Q765">
        <v>0</v>
      </c>
      <c r="R765">
        <v>0.75</v>
      </c>
      <c r="S765">
        <v>228</v>
      </c>
      <c r="T765" t="s">
        <v>284</v>
      </c>
      <c r="U765">
        <v>190</v>
      </c>
      <c r="V765" t="s">
        <v>285</v>
      </c>
      <c r="W765">
        <v>194</v>
      </c>
      <c r="X765" t="s">
        <v>285</v>
      </c>
      <c r="Y765">
        <v>225</v>
      </c>
      <c r="Z765" t="s">
        <v>285</v>
      </c>
      <c r="AA765">
        <v>247</v>
      </c>
      <c r="AB765" t="s">
        <v>285</v>
      </c>
      <c r="AC765">
        <v>241</v>
      </c>
      <c r="AD765" t="s">
        <v>285</v>
      </c>
      <c r="AE765">
        <v>219</v>
      </c>
      <c r="AF765" t="s">
        <v>285</v>
      </c>
      <c r="AG765">
        <v>219</v>
      </c>
      <c r="AH765" t="s">
        <v>286</v>
      </c>
      <c r="AI765" t="s">
        <v>287</v>
      </c>
      <c r="AX765">
        <v>263</v>
      </c>
      <c r="AY765" t="s">
        <v>286</v>
      </c>
      <c r="AZ765" t="s">
        <v>287</v>
      </c>
      <c r="BQ765" t="s">
        <v>52</v>
      </c>
      <c r="BR765">
        <v>0.65</v>
      </c>
      <c r="BS765" t="s">
        <v>284</v>
      </c>
      <c r="BT765">
        <v>0.85</v>
      </c>
      <c r="BU765" t="s">
        <v>285</v>
      </c>
      <c r="BV765">
        <v>0.26</v>
      </c>
      <c r="BW765" t="s">
        <v>285</v>
      </c>
      <c r="BX765">
        <v>0.22</v>
      </c>
      <c r="BY765" t="s">
        <v>284</v>
      </c>
      <c r="BZ765">
        <v>0.22</v>
      </c>
      <c r="CA765" t="s">
        <v>284</v>
      </c>
      <c r="CF765">
        <v>0.38</v>
      </c>
      <c r="CG765" t="s">
        <v>54</v>
      </c>
      <c r="CH765" t="s">
        <v>52</v>
      </c>
    </row>
    <row r="766" spans="1:86" x14ac:dyDescent="0.25">
      <c r="A766" t="s">
        <v>47</v>
      </c>
      <c r="B766">
        <v>8</v>
      </c>
      <c r="C766" t="s">
        <v>168</v>
      </c>
      <c r="D766">
        <v>69</v>
      </c>
      <c r="E766" t="s">
        <v>70</v>
      </c>
      <c r="F766">
        <v>296</v>
      </c>
      <c r="G766" t="s">
        <v>73</v>
      </c>
      <c r="H766" t="s">
        <v>50</v>
      </c>
      <c r="K766" t="s">
        <v>51</v>
      </c>
      <c r="L766">
        <v>1</v>
      </c>
      <c r="M766" t="s">
        <v>53</v>
      </c>
      <c r="N766">
        <v>296</v>
      </c>
      <c r="O766">
        <v>1</v>
      </c>
      <c r="P766" t="s">
        <v>52</v>
      </c>
      <c r="Q766">
        <v>0</v>
      </c>
      <c r="R766">
        <v>0.75</v>
      </c>
      <c r="S766">
        <v>228</v>
      </c>
      <c r="T766" t="s">
        <v>284</v>
      </c>
      <c r="U766">
        <v>221</v>
      </c>
      <c r="V766" t="s">
        <v>284</v>
      </c>
      <c r="W766">
        <v>236</v>
      </c>
      <c r="X766" t="s">
        <v>284</v>
      </c>
      <c r="Y766">
        <v>244</v>
      </c>
      <c r="Z766" t="s">
        <v>284</v>
      </c>
      <c r="AA766">
        <v>225</v>
      </c>
      <c r="AB766" t="s">
        <v>285</v>
      </c>
      <c r="AG766">
        <v>229.66669999999999</v>
      </c>
      <c r="AH766" t="s">
        <v>54</v>
      </c>
      <c r="AI766" t="s">
        <v>52</v>
      </c>
      <c r="AZ766" t="s">
        <v>52</v>
      </c>
      <c r="BQ766" t="s">
        <v>52</v>
      </c>
      <c r="BR766">
        <v>1.85</v>
      </c>
      <c r="BS766" t="s">
        <v>284</v>
      </c>
      <c r="BT766">
        <v>2.1</v>
      </c>
      <c r="BU766" t="s">
        <v>285</v>
      </c>
      <c r="BV766">
        <v>1.25</v>
      </c>
      <c r="BW766" t="s">
        <v>285</v>
      </c>
      <c r="BX766">
        <v>2.39</v>
      </c>
      <c r="BY766" t="s">
        <v>285</v>
      </c>
      <c r="BZ766">
        <v>7.0000000000000007E-2</v>
      </c>
      <c r="CA766" t="s">
        <v>288</v>
      </c>
      <c r="CF766">
        <v>1.73</v>
      </c>
      <c r="CG766" t="s">
        <v>54</v>
      </c>
      <c r="CH766" t="s">
        <v>52</v>
      </c>
    </row>
    <row r="767" spans="1:86" x14ac:dyDescent="0.25">
      <c r="A767" t="s">
        <v>47</v>
      </c>
      <c r="B767">
        <v>8</v>
      </c>
      <c r="C767" t="s">
        <v>168</v>
      </c>
      <c r="D767">
        <v>69</v>
      </c>
      <c r="E767" t="s">
        <v>70</v>
      </c>
      <c r="F767">
        <v>296</v>
      </c>
      <c r="G767" t="s">
        <v>73</v>
      </c>
      <c r="H767" t="s">
        <v>50</v>
      </c>
      <c r="K767" t="s">
        <v>52</v>
      </c>
      <c r="L767">
        <v>1</v>
      </c>
      <c r="M767" t="s">
        <v>53</v>
      </c>
      <c r="N767">
        <v>296</v>
      </c>
      <c r="O767">
        <v>1</v>
      </c>
      <c r="P767" t="s">
        <v>52</v>
      </c>
      <c r="Q767">
        <v>0</v>
      </c>
      <c r="R767">
        <v>0.75</v>
      </c>
      <c r="S767">
        <v>228</v>
      </c>
      <c r="T767" t="s">
        <v>284</v>
      </c>
      <c r="U767">
        <v>221</v>
      </c>
      <c r="V767" t="s">
        <v>284</v>
      </c>
      <c r="W767">
        <v>236</v>
      </c>
      <c r="X767" t="s">
        <v>284</v>
      </c>
      <c r="Y767">
        <v>244</v>
      </c>
      <c r="Z767" t="s">
        <v>284</v>
      </c>
      <c r="AA767">
        <v>225</v>
      </c>
      <c r="AB767" t="s">
        <v>285</v>
      </c>
      <c r="AG767">
        <v>229.66669999999999</v>
      </c>
      <c r="AH767" t="s">
        <v>54</v>
      </c>
      <c r="AI767" t="s">
        <v>52</v>
      </c>
      <c r="AZ767" t="s">
        <v>52</v>
      </c>
      <c r="BQ767" t="s">
        <v>52</v>
      </c>
      <c r="BR767">
        <v>0.65</v>
      </c>
      <c r="BS767" t="s">
        <v>284</v>
      </c>
      <c r="BT767">
        <v>1.0900000000000001</v>
      </c>
      <c r="BU767" t="s">
        <v>284</v>
      </c>
      <c r="BV767">
        <v>0.33</v>
      </c>
      <c r="BW767" t="s">
        <v>284</v>
      </c>
      <c r="BX767">
        <v>0.22</v>
      </c>
      <c r="BY767" t="s">
        <v>284</v>
      </c>
      <c r="BZ767">
        <v>0.22</v>
      </c>
      <c r="CA767" t="s">
        <v>284</v>
      </c>
      <c r="CF767">
        <v>0.4</v>
      </c>
      <c r="CG767" t="s">
        <v>54</v>
      </c>
      <c r="CH767" t="s">
        <v>52</v>
      </c>
    </row>
    <row r="768" spans="1:86" x14ac:dyDescent="0.25">
      <c r="A768" t="s">
        <v>47</v>
      </c>
      <c r="B768">
        <v>8</v>
      </c>
      <c r="C768" t="s">
        <v>168</v>
      </c>
      <c r="D768">
        <v>69</v>
      </c>
      <c r="E768" t="s">
        <v>70</v>
      </c>
      <c r="F768">
        <v>296</v>
      </c>
      <c r="G768" t="s">
        <v>74</v>
      </c>
      <c r="H768" t="s">
        <v>50</v>
      </c>
      <c r="K768" t="s">
        <v>51</v>
      </c>
      <c r="L768">
        <v>1</v>
      </c>
      <c r="M768" t="s">
        <v>53</v>
      </c>
      <c r="N768">
        <v>102</v>
      </c>
      <c r="O768">
        <v>1</v>
      </c>
      <c r="P768" t="s">
        <v>52</v>
      </c>
      <c r="Q768">
        <v>0</v>
      </c>
      <c r="R768">
        <v>0.75</v>
      </c>
      <c r="S768">
        <v>135</v>
      </c>
      <c r="T768" t="s">
        <v>284</v>
      </c>
      <c r="U768">
        <v>132</v>
      </c>
      <c r="V768" t="s">
        <v>284</v>
      </c>
      <c r="W768">
        <v>147</v>
      </c>
      <c r="X768" t="s">
        <v>284</v>
      </c>
      <c r="Y768">
        <v>170</v>
      </c>
      <c r="Z768" t="s">
        <v>284</v>
      </c>
      <c r="AA768">
        <v>205</v>
      </c>
      <c r="AB768" t="s">
        <v>285</v>
      </c>
      <c r="AG768">
        <v>150.66669999999999</v>
      </c>
      <c r="AH768" t="s">
        <v>54</v>
      </c>
      <c r="AI768" t="s">
        <v>52</v>
      </c>
      <c r="AZ768" t="s">
        <v>52</v>
      </c>
      <c r="BQ768" t="s">
        <v>52</v>
      </c>
      <c r="BR768">
        <v>1.85</v>
      </c>
      <c r="BS768" t="s">
        <v>284</v>
      </c>
      <c r="BT768">
        <v>1.83</v>
      </c>
      <c r="BU768" t="s">
        <v>284</v>
      </c>
      <c r="BV768">
        <v>1.1200000000000001</v>
      </c>
      <c r="BW768" t="s">
        <v>285</v>
      </c>
      <c r="BX768">
        <v>1.56</v>
      </c>
      <c r="BY768" t="s">
        <v>285</v>
      </c>
      <c r="BZ768">
        <v>1.45</v>
      </c>
      <c r="CA768" t="s">
        <v>288</v>
      </c>
      <c r="CF768">
        <v>1.61</v>
      </c>
      <c r="CG768" t="s">
        <v>54</v>
      </c>
      <c r="CH768" t="s">
        <v>52</v>
      </c>
    </row>
    <row r="769" spans="1:86" x14ac:dyDescent="0.25">
      <c r="A769" t="s">
        <v>47</v>
      </c>
      <c r="B769">
        <v>8</v>
      </c>
      <c r="C769" t="s">
        <v>168</v>
      </c>
      <c r="D769">
        <v>69</v>
      </c>
      <c r="E769" t="s">
        <v>70</v>
      </c>
      <c r="F769">
        <v>296</v>
      </c>
      <c r="G769" t="s">
        <v>74</v>
      </c>
      <c r="H769" t="s">
        <v>50</v>
      </c>
      <c r="K769" t="s">
        <v>52</v>
      </c>
      <c r="L769">
        <v>1</v>
      </c>
      <c r="M769" t="s">
        <v>53</v>
      </c>
      <c r="N769">
        <v>102</v>
      </c>
      <c r="O769">
        <v>1</v>
      </c>
      <c r="P769" t="s">
        <v>52</v>
      </c>
      <c r="Q769">
        <v>0</v>
      </c>
      <c r="R769">
        <v>0.75</v>
      </c>
      <c r="S769">
        <v>135</v>
      </c>
      <c r="T769" t="s">
        <v>284</v>
      </c>
      <c r="U769">
        <v>132</v>
      </c>
      <c r="V769" t="s">
        <v>284</v>
      </c>
      <c r="W769">
        <v>147</v>
      </c>
      <c r="X769" t="s">
        <v>284</v>
      </c>
      <c r="Y769">
        <v>170</v>
      </c>
      <c r="Z769" t="s">
        <v>284</v>
      </c>
      <c r="AA769">
        <v>205</v>
      </c>
      <c r="AB769" t="s">
        <v>285</v>
      </c>
      <c r="AG769">
        <v>150.66669999999999</v>
      </c>
      <c r="AH769" t="s">
        <v>54</v>
      </c>
      <c r="AI769" t="s">
        <v>52</v>
      </c>
      <c r="AZ769" t="s">
        <v>52</v>
      </c>
      <c r="BQ769" t="s">
        <v>52</v>
      </c>
      <c r="BR769">
        <v>0.65</v>
      </c>
      <c r="BS769" t="s">
        <v>284</v>
      </c>
      <c r="BT769">
        <v>0.52</v>
      </c>
      <c r="BU769" t="s">
        <v>284</v>
      </c>
      <c r="BV769">
        <v>0.11</v>
      </c>
      <c r="BW769" t="s">
        <v>284</v>
      </c>
      <c r="BX769">
        <v>0.25</v>
      </c>
      <c r="BY769" t="s">
        <v>285</v>
      </c>
      <c r="BZ769">
        <v>0.22</v>
      </c>
      <c r="CA769" t="s">
        <v>289</v>
      </c>
      <c r="CF769">
        <v>0.33</v>
      </c>
      <c r="CG769" t="s">
        <v>54</v>
      </c>
      <c r="CH769" t="s">
        <v>52</v>
      </c>
    </row>
    <row r="770" spans="1:86" x14ac:dyDescent="0.25">
      <c r="A770" t="s">
        <v>47</v>
      </c>
      <c r="B770">
        <v>8</v>
      </c>
      <c r="C770" t="s">
        <v>168</v>
      </c>
      <c r="D770">
        <v>69</v>
      </c>
      <c r="E770" t="s">
        <v>70</v>
      </c>
      <c r="F770">
        <v>296</v>
      </c>
      <c r="G770" t="s">
        <v>91</v>
      </c>
      <c r="H770" t="s">
        <v>50</v>
      </c>
      <c r="K770" t="s">
        <v>51</v>
      </c>
      <c r="L770">
        <v>1</v>
      </c>
      <c r="M770" t="s">
        <v>53</v>
      </c>
      <c r="N770">
        <v>102</v>
      </c>
      <c r="O770">
        <v>1</v>
      </c>
      <c r="P770" t="s">
        <v>52</v>
      </c>
      <c r="Q770">
        <v>0.5</v>
      </c>
      <c r="R770">
        <v>0.75</v>
      </c>
      <c r="S770">
        <v>228</v>
      </c>
      <c r="T770" t="s">
        <v>284</v>
      </c>
      <c r="U770">
        <v>190</v>
      </c>
      <c r="V770" t="s">
        <v>285</v>
      </c>
      <c r="W770">
        <v>236</v>
      </c>
      <c r="X770" t="s">
        <v>284</v>
      </c>
      <c r="Y770">
        <v>244</v>
      </c>
      <c r="Z770" t="s">
        <v>284</v>
      </c>
      <c r="AA770">
        <v>215</v>
      </c>
      <c r="AB770" t="s">
        <v>285</v>
      </c>
      <c r="AG770">
        <v>226.33330000000001</v>
      </c>
      <c r="AH770" t="s">
        <v>54</v>
      </c>
      <c r="AI770" t="s">
        <v>52</v>
      </c>
      <c r="AZ770" t="s">
        <v>52</v>
      </c>
      <c r="BQ770" t="s">
        <v>52</v>
      </c>
      <c r="CH770" t="s">
        <v>52</v>
      </c>
    </row>
    <row r="771" spans="1:86" x14ac:dyDescent="0.25">
      <c r="A771" t="s">
        <v>47</v>
      </c>
      <c r="B771">
        <v>8</v>
      </c>
      <c r="C771" t="s">
        <v>168</v>
      </c>
      <c r="D771">
        <v>69</v>
      </c>
      <c r="E771" t="s">
        <v>75</v>
      </c>
      <c r="F771">
        <v>16</v>
      </c>
      <c r="G771" t="s">
        <v>76</v>
      </c>
      <c r="H771" t="s">
        <v>50</v>
      </c>
      <c r="K771" t="s">
        <v>51</v>
      </c>
      <c r="L771">
        <v>1</v>
      </c>
      <c r="M771" t="s">
        <v>53</v>
      </c>
      <c r="N771">
        <v>16</v>
      </c>
      <c r="O771">
        <v>2</v>
      </c>
      <c r="P771" t="s">
        <v>52</v>
      </c>
      <c r="Q771">
        <v>0.5</v>
      </c>
      <c r="R771">
        <v>0.75</v>
      </c>
      <c r="S771">
        <v>83.35</v>
      </c>
      <c r="T771" t="s">
        <v>285</v>
      </c>
      <c r="U771">
        <v>96.14</v>
      </c>
      <c r="V771" t="s">
        <v>284</v>
      </c>
      <c r="W771">
        <v>103.37</v>
      </c>
      <c r="X771" t="s">
        <v>284</v>
      </c>
      <c r="Y771">
        <v>106.14</v>
      </c>
      <c r="Z771" t="s">
        <v>284</v>
      </c>
      <c r="AA771">
        <v>128</v>
      </c>
      <c r="AB771" t="s">
        <v>285</v>
      </c>
      <c r="AG771">
        <v>101.88330000000001</v>
      </c>
      <c r="AH771" t="s">
        <v>54</v>
      </c>
      <c r="AI771" t="s">
        <v>52</v>
      </c>
      <c r="AX771">
        <v>146.69999999999999</v>
      </c>
      <c r="AY771" t="s">
        <v>285</v>
      </c>
      <c r="AZ771" t="s">
        <v>287</v>
      </c>
      <c r="BQ771" t="s">
        <v>52</v>
      </c>
      <c r="BR771">
        <v>1.85</v>
      </c>
      <c r="BS771" t="s">
        <v>284</v>
      </c>
      <c r="BT771">
        <v>1.48</v>
      </c>
      <c r="BU771" t="s">
        <v>284</v>
      </c>
      <c r="BV771">
        <v>1.24</v>
      </c>
      <c r="BW771" t="s">
        <v>284</v>
      </c>
      <c r="BX771">
        <v>2.0299999999999998</v>
      </c>
      <c r="BY771" t="s">
        <v>284</v>
      </c>
      <c r="BZ771">
        <v>2.38</v>
      </c>
      <c r="CA771" t="s">
        <v>289</v>
      </c>
      <c r="CF771">
        <v>1.79</v>
      </c>
      <c r="CG771" t="s">
        <v>54</v>
      </c>
      <c r="CH771" t="s">
        <v>52</v>
      </c>
    </row>
    <row r="772" spans="1:86" x14ac:dyDescent="0.25">
      <c r="A772" t="s">
        <v>47</v>
      </c>
      <c r="B772">
        <v>8</v>
      </c>
      <c r="C772" t="s">
        <v>168</v>
      </c>
      <c r="D772">
        <v>69</v>
      </c>
      <c r="E772" t="s">
        <v>75</v>
      </c>
      <c r="F772">
        <v>16</v>
      </c>
      <c r="G772" t="s">
        <v>76</v>
      </c>
      <c r="H772" t="s">
        <v>50</v>
      </c>
      <c r="K772" t="s">
        <v>52</v>
      </c>
      <c r="L772">
        <v>1</v>
      </c>
      <c r="M772" t="s">
        <v>53</v>
      </c>
      <c r="N772">
        <v>16</v>
      </c>
      <c r="O772">
        <v>2</v>
      </c>
      <c r="P772" t="s">
        <v>52</v>
      </c>
      <c r="Q772">
        <v>0.5</v>
      </c>
      <c r="R772">
        <v>0.75</v>
      </c>
      <c r="S772">
        <v>83.35</v>
      </c>
      <c r="T772" t="s">
        <v>285</v>
      </c>
      <c r="U772">
        <v>96.14</v>
      </c>
      <c r="V772" t="s">
        <v>284</v>
      </c>
      <c r="W772">
        <v>103.37</v>
      </c>
      <c r="X772" t="s">
        <v>284</v>
      </c>
      <c r="Y772">
        <v>106.14</v>
      </c>
      <c r="Z772" t="s">
        <v>284</v>
      </c>
      <c r="AA772">
        <v>128</v>
      </c>
      <c r="AB772" t="s">
        <v>285</v>
      </c>
      <c r="AG772">
        <v>101.88330000000001</v>
      </c>
      <c r="AH772" t="s">
        <v>54</v>
      </c>
      <c r="AI772" t="s">
        <v>52</v>
      </c>
      <c r="AX772">
        <v>146.69999999999999</v>
      </c>
      <c r="AY772" t="s">
        <v>285</v>
      </c>
      <c r="AZ772" t="s">
        <v>287</v>
      </c>
      <c r="BQ772" t="s">
        <v>52</v>
      </c>
      <c r="BR772">
        <v>0.65</v>
      </c>
      <c r="BS772" t="s">
        <v>284</v>
      </c>
      <c r="BT772">
        <v>0.89</v>
      </c>
      <c r="BU772" t="s">
        <v>284</v>
      </c>
      <c r="BV772">
        <v>1.6</v>
      </c>
      <c r="BW772" t="s">
        <v>284</v>
      </c>
      <c r="BX772">
        <v>1.64</v>
      </c>
      <c r="BY772" t="s">
        <v>284</v>
      </c>
      <c r="BZ772">
        <v>0.49</v>
      </c>
      <c r="CA772" t="s">
        <v>289</v>
      </c>
      <c r="CF772">
        <v>1.05</v>
      </c>
      <c r="CG772" t="s">
        <v>54</v>
      </c>
      <c r="CH772" t="s">
        <v>52</v>
      </c>
    </row>
    <row r="773" spans="1:86" x14ac:dyDescent="0.25">
      <c r="A773" t="s">
        <v>47</v>
      </c>
      <c r="B773">
        <v>8</v>
      </c>
      <c r="C773" t="s">
        <v>168</v>
      </c>
      <c r="D773">
        <v>69</v>
      </c>
      <c r="E773" t="s">
        <v>79</v>
      </c>
      <c r="F773">
        <v>50</v>
      </c>
      <c r="G773" t="s">
        <v>80</v>
      </c>
      <c r="H773" t="s">
        <v>50</v>
      </c>
      <c r="K773" t="s">
        <v>51</v>
      </c>
      <c r="L773">
        <v>1</v>
      </c>
      <c r="M773" t="s">
        <v>53</v>
      </c>
      <c r="N773">
        <v>50</v>
      </c>
      <c r="O773">
        <v>1</v>
      </c>
      <c r="P773" t="s">
        <v>52</v>
      </c>
      <c r="Q773">
        <v>0.5</v>
      </c>
      <c r="R773">
        <v>0.75</v>
      </c>
      <c r="S773">
        <v>85</v>
      </c>
      <c r="T773" t="s">
        <v>285</v>
      </c>
      <c r="U773">
        <v>93</v>
      </c>
      <c r="V773" t="s">
        <v>284</v>
      </c>
      <c r="W773">
        <v>89.7</v>
      </c>
      <c r="X773" t="s">
        <v>284</v>
      </c>
      <c r="Y773">
        <v>92.72</v>
      </c>
      <c r="Z773" t="s">
        <v>284</v>
      </c>
      <c r="AA773">
        <v>109</v>
      </c>
      <c r="AB773" t="s">
        <v>285</v>
      </c>
      <c r="AG773">
        <v>91.806700000000006</v>
      </c>
      <c r="AH773" t="s">
        <v>54</v>
      </c>
      <c r="AI773" t="s">
        <v>52</v>
      </c>
      <c r="AZ773" t="s">
        <v>52</v>
      </c>
      <c r="BQ773" t="s">
        <v>52</v>
      </c>
      <c r="CH773" t="s">
        <v>52</v>
      </c>
    </row>
    <row r="774" spans="1:86" x14ac:dyDescent="0.25">
      <c r="A774" t="s">
        <v>47</v>
      </c>
      <c r="B774">
        <v>8</v>
      </c>
      <c r="C774" t="s">
        <v>168</v>
      </c>
      <c r="D774">
        <v>69</v>
      </c>
      <c r="E774" t="s">
        <v>79</v>
      </c>
      <c r="F774">
        <v>50</v>
      </c>
      <c r="G774" t="s">
        <v>80</v>
      </c>
      <c r="H774" t="s">
        <v>50</v>
      </c>
      <c r="K774" t="s">
        <v>52</v>
      </c>
      <c r="L774">
        <v>1</v>
      </c>
      <c r="M774" t="s">
        <v>53</v>
      </c>
      <c r="N774">
        <v>50</v>
      </c>
      <c r="O774">
        <v>1</v>
      </c>
      <c r="P774" t="s">
        <v>52</v>
      </c>
      <c r="Q774">
        <v>0.5</v>
      </c>
      <c r="R774">
        <v>0.75</v>
      </c>
      <c r="S774">
        <v>85</v>
      </c>
      <c r="T774" t="s">
        <v>285</v>
      </c>
      <c r="U774">
        <v>93</v>
      </c>
      <c r="V774" t="s">
        <v>284</v>
      </c>
      <c r="W774">
        <v>89.7</v>
      </c>
      <c r="X774" t="s">
        <v>284</v>
      </c>
      <c r="Y774">
        <v>92.72</v>
      </c>
      <c r="Z774" t="s">
        <v>284</v>
      </c>
      <c r="AA774">
        <v>109</v>
      </c>
      <c r="AB774" t="s">
        <v>285</v>
      </c>
      <c r="AG774">
        <v>91.806700000000006</v>
      </c>
      <c r="AH774" t="s">
        <v>54</v>
      </c>
      <c r="AI774" t="s">
        <v>52</v>
      </c>
      <c r="AZ774" t="s">
        <v>52</v>
      </c>
      <c r="BQ774" t="s">
        <v>52</v>
      </c>
      <c r="BR774">
        <v>0.75</v>
      </c>
      <c r="BS774" t="s">
        <v>289</v>
      </c>
      <c r="BT774">
        <v>0.96</v>
      </c>
      <c r="BU774" t="s">
        <v>284</v>
      </c>
      <c r="CH774" t="s">
        <v>52</v>
      </c>
    </row>
    <row r="775" spans="1:86" x14ac:dyDescent="0.25">
      <c r="A775" t="s">
        <v>47</v>
      </c>
      <c r="B775">
        <v>8</v>
      </c>
      <c r="C775" t="s">
        <v>168</v>
      </c>
      <c r="D775">
        <v>69</v>
      </c>
      <c r="E775" t="s">
        <v>79</v>
      </c>
      <c r="F775">
        <v>50</v>
      </c>
      <c r="G775" t="s">
        <v>65</v>
      </c>
      <c r="H775" t="s">
        <v>50</v>
      </c>
      <c r="K775" t="s">
        <v>51</v>
      </c>
      <c r="L775">
        <v>1</v>
      </c>
      <c r="M775" t="s">
        <v>53</v>
      </c>
      <c r="N775">
        <v>50</v>
      </c>
      <c r="O775">
        <v>1</v>
      </c>
      <c r="P775" t="s">
        <v>52</v>
      </c>
      <c r="Q775">
        <v>0.5</v>
      </c>
      <c r="R775">
        <v>0.75</v>
      </c>
      <c r="S775">
        <v>85</v>
      </c>
      <c r="T775" t="s">
        <v>285</v>
      </c>
      <c r="U775">
        <v>93</v>
      </c>
      <c r="V775" t="s">
        <v>284</v>
      </c>
      <c r="W775">
        <v>89.7</v>
      </c>
      <c r="X775" t="s">
        <v>284</v>
      </c>
      <c r="Y775">
        <v>92.72</v>
      </c>
      <c r="Z775" t="s">
        <v>284</v>
      </c>
      <c r="AA775">
        <v>109</v>
      </c>
      <c r="AB775" t="s">
        <v>285</v>
      </c>
      <c r="AG775">
        <v>91.806700000000006</v>
      </c>
      <c r="AH775" t="s">
        <v>54</v>
      </c>
      <c r="AI775" t="s">
        <v>52</v>
      </c>
      <c r="AZ775" t="s">
        <v>52</v>
      </c>
      <c r="BQ775" t="s">
        <v>52</v>
      </c>
      <c r="CH775" t="s">
        <v>52</v>
      </c>
    </row>
    <row r="776" spans="1:86" x14ac:dyDescent="0.25">
      <c r="A776" t="s">
        <v>47</v>
      </c>
      <c r="B776">
        <v>8</v>
      </c>
      <c r="C776" t="s">
        <v>168</v>
      </c>
      <c r="D776">
        <v>69</v>
      </c>
      <c r="E776" t="s">
        <v>79</v>
      </c>
      <c r="F776">
        <v>50</v>
      </c>
      <c r="G776" t="s">
        <v>65</v>
      </c>
      <c r="H776" t="s">
        <v>50</v>
      </c>
      <c r="K776" t="s">
        <v>52</v>
      </c>
      <c r="L776">
        <v>1</v>
      </c>
      <c r="M776" t="s">
        <v>53</v>
      </c>
      <c r="N776">
        <v>50</v>
      </c>
      <c r="O776">
        <v>1</v>
      </c>
      <c r="P776" t="s">
        <v>52</v>
      </c>
      <c r="Q776">
        <v>0.5</v>
      </c>
      <c r="R776">
        <v>0.75</v>
      </c>
      <c r="S776">
        <v>85</v>
      </c>
      <c r="T776" t="s">
        <v>285</v>
      </c>
      <c r="U776">
        <v>93</v>
      </c>
      <c r="V776" t="s">
        <v>284</v>
      </c>
      <c r="W776">
        <v>89.7</v>
      </c>
      <c r="X776" t="s">
        <v>284</v>
      </c>
      <c r="Y776">
        <v>92.72</v>
      </c>
      <c r="Z776" t="s">
        <v>284</v>
      </c>
      <c r="AA776">
        <v>109</v>
      </c>
      <c r="AB776" t="s">
        <v>285</v>
      </c>
      <c r="AG776">
        <v>91.806700000000006</v>
      </c>
      <c r="AH776" t="s">
        <v>54</v>
      </c>
      <c r="AI776" t="s">
        <v>52</v>
      </c>
      <c r="AZ776" t="s">
        <v>52</v>
      </c>
      <c r="BQ776" t="s">
        <v>52</v>
      </c>
      <c r="CH776" t="s">
        <v>52</v>
      </c>
    </row>
    <row r="777" spans="1:86" x14ac:dyDescent="0.25">
      <c r="A777" t="s">
        <v>47</v>
      </c>
      <c r="B777">
        <v>8</v>
      </c>
      <c r="C777" t="s">
        <v>168</v>
      </c>
      <c r="D777">
        <v>69</v>
      </c>
      <c r="E777" t="s">
        <v>79</v>
      </c>
      <c r="F777">
        <v>50</v>
      </c>
      <c r="G777" t="s">
        <v>81</v>
      </c>
      <c r="H777" t="s">
        <v>50</v>
      </c>
      <c r="K777" t="s">
        <v>51</v>
      </c>
      <c r="L777">
        <v>1</v>
      </c>
      <c r="M777" t="s">
        <v>53</v>
      </c>
      <c r="N777">
        <v>50</v>
      </c>
      <c r="O777">
        <v>1</v>
      </c>
      <c r="P777" t="s">
        <v>52</v>
      </c>
      <c r="Q777">
        <v>0.5</v>
      </c>
      <c r="R777">
        <v>0.75</v>
      </c>
      <c r="S777">
        <v>85</v>
      </c>
      <c r="T777" t="s">
        <v>285</v>
      </c>
      <c r="U777">
        <v>93</v>
      </c>
      <c r="V777" t="s">
        <v>284</v>
      </c>
      <c r="W777">
        <v>89.7</v>
      </c>
      <c r="X777" t="s">
        <v>284</v>
      </c>
      <c r="Y777">
        <v>92.72</v>
      </c>
      <c r="Z777" t="s">
        <v>284</v>
      </c>
      <c r="AA777">
        <v>109</v>
      </c>
      <c r="AB777" t="s">
        <v>285</v>
      </c>
      <c r="AG777">
        <v>91.806700000000006</v>
      </c>
      <c r="AH777" t="s">
        <v>54</v>
      </c>
      <c r="AI777" t="s">
        <v>52</v>
      </c>
      <c r="AZ777" t="s">
        <v>52</v>
      </c>
      <c r="BQ777" t="s">
        <v>52</v>
      </c>
      <c r="CH777" t="s">
        <v>52</v>
      </c>
    </row>
    <row r="778" spans="1:86" x14ac:dyDescent="0.25">
      <c r="A778" t="s">
        <v>47</v>
      </c>
      <c r="B778">
        <v>8</v>
      </c>
      <c r="C778" t="s">
        <v>168</v>
      </c>
      <c r="D778">
        <v>69</v>
      </c>
      <c r="E778" t="s">
        <v>79</v>
      </c>
      <c r="F778">
        <v>50</v>
      </c>
      <c r="G778" t="s">
        <v>81</v>
      </c>
      <c r="H778" t="s">
        <v>50</v>
      </c>
      <c r="K778" t="s">
        <v>52</v>
      </c>
      <c r="L778">
        <v>1</v>
      </c>
      <c r="M778" t="s">
        <v>53</v>
      </c>
      <c r="N778">
        <v>50</v>
      </c>
      <c r="O778">
        <v>1</v>
      </c>
      <c r="P778" t="s">
        <v>52</v>
      </c>
      <c r="Q778">
        <v>0.5</v>
      </c>
      <c r="R778">
        <v>0.75</v>
      </c>
      <c r="S778">
        <v>85</v>
      </c>
      <c r="T778" t="s">
        <v>285</v>
      </c>
      <c r="U778">
        <v>93</v>
      </c>
      <c r="V778" t="s">
        <v>284</v>
      </c>
      <c r="W778">
        <v>89.7</v>
      </c>
      <c r="X778" t="s">
        <v>284</v>
      </c>
      <c r="Y778">
        <v>92.72</v>
      </c>
      <c r="Z778" t="s">
        <v>284</v>
      </c>
      <c r="AA778">
        <v>109</v>
      </c>
      <c r="AB778" t="s">
        <v>285</v>
      </c>
      <c r="AG778">
        <v>91.806700000000006</v>
      </c>
      <c r="AH778" t="s">
        <v>54</v>
      </c>
      <c r="AI778" t="s">
        <v>52</v>
      </c>
      <c r="AZ778" t="s">
        <v>52</v>
      </c>
      <c r="BQ778" t="s">
        <v>52</v>
      </c>
      <c r="CH778" t="s">
        <v>52</v>
      </c>
    </row>
    <row r="779" spans="1:86" x14ac:dyDescent="0.25">
      <c r="A779" t="s">
        <v>47</v>
      </c>
      <c r="B779">
        <v>8</v>
      </c>
      <c r="C779" t="s">
        <v>168</v>
      </c>
      <c r="D779">
        <v>69</v>
      </c>
      <c r="E779" t="s">
        <v>83</v>
      </c>
      <c r="F779">
        <v>158</v>
      </c>
      <c r="H779" t="s">
        <v>50</v>
      </c>
      <c r="K779" t="s">
        <v>52</v>
      </c>
      <c r="L779">
        <v>1</v>
      </c>
      <c r="M779" t="s">
        <v>53</v>
      </c>
      <c r="N779">
        <v>158</v>
      </c>
      <c r="O779">
        <v>2</v>
      </c>
      <c r="P779" t="s">
        <v>52</v>
      </c>
      <c r="Q779">
        <v>0.77</v>
      </c>
      <c r="R779">
        <v>0.93</v>
      </c>
      <c r="S779">
        <v>228</v>
      </c>
      <c r="T779" t="s">
        <v>284</v>
      </c>
      <c r="U779">
        <v>221</v>
      </c>
      <c r="V779" t="s">
        <v>284</v>
      </c>
      <c r="W779">
        <v>236</v>
      </c>
      <c r="X779" t="s">
        <v>284</v>
      </c>
      <c r="Y779">
        <v>244</v>
      </c>
      <c r="Z779" t="s">
        <v>284</v>
      </c>
      <c r="AA779">
        <v>252</v>
      </c>
      <c r="AB779" t="s">
        <v>284</v>
      </c>
      <c r="AG779">
        <v>236</v>
      </c>
      <c r="AH779" t="s">
        <v>54</v>
      </c>
      <c r="AI779" t="s">
        <v>52</v>
      </c>
      <c r="AX779">
        <v>339</v>
      </c>
      <c r="AY779" t="s">
        <v>285</v>
      </c>
      <c r="AZ779" t="s">
        <v>287</v>
      </c>
      <c r="BQ779" t="s">
        <v>52</v>
      </c>
      <c r="BR779">
        <v>1.31</v>
      </c>
      <c r="BS779" t="s">
        <v>285</v>
      </c>
      <c r="BT779">
        <v>1.01</v>
      </c>
      <c r="BU779" t="s">
        <v>284</v>
      </c>
      <c r="BV779">
        <v>0.33</v>
      </c>
      <c r="BW779" t="s">
        <v>288</v>
      </c>
      <c r="BX779">
        <v>0.56999999999999995</v>
      </c>
      <c r="BY779" t="s">
        <v>285</v>
      </c>
      <c r="BZ779">
        <v>0.1</v>
      </c>
      <c r="CA779" t="s">
        <v>289</v>
      </c>
      <c r="CF779">
        <v>0.64</v>
      </c>
      <c r="CG779" t="s">
        <v>54</v>
      </c>
      <c r="CH779" t="s">
        <v>52</v>
      </c>
    </row>
    <row r="780" spans="1:86" x14ac:dyDescent="0.25">
      <c r="A780" t="s">
        <v>47</v>
      </c>
      <c r="B780">
        <v>8</v>
      </c>
      <c r="C780" t="s">
        <v>169</v>
      </c>
      <c r="D780">
        <v>71</v>
      </c>
      <c r="E780" t="s">
        <v>49</v>
      </c>
      <c r="F780">
        <v>27</v>
      </c>
      <c r="H780" t="s">
        <v>50</v>
      </c>
      <c r="K780" t="s">
        <v>51</v>
      </c>
      <c r="L780">
        <v>1</v>
      </c>
      <c r="M780" t="s">
        <v>53</v>
      </c>
      <c r="N780">
        <v>27</v>
      </c>
      <c r="O780">
        <v>1</v>
      </c>
      <c r="P780" t="s">
        <v>52</v>
      </c>
      <c r="Q780">
        <v>0</v>
      </c>
      <c r="R780">
        <v>0.75</v>
      </c>
      <c r="S780">
        <v>231</v>
      </c>
      <c r="T780" t="s">
        <v>284</v>
      </c>
      <c r="U780">
        <v>208</v>
      </c>
      <c r="V780" t="s">
        <v>284</v>
      </c>
      <c r="W780">
        <v>224</v>
      </c>
      <c r="X780" t="s">
        <v>284</v>
      </c>
      <c r="Y780">
        <v>225</v>
      </c>
      <c r="Z780" t="s">
        <v>285</v>
      </c>
      <c r="AA780">
        <v>247</v>
      </c>
      <c r="AB780" t="s">
        <v>285</v>
      </c>
      <c r="AC780">
        <v>241</v>
      </c>
      <c r="AD780" t="s">
        <v>285</v>
      </c>
      <c r="AE780">
        <v>219</v>
      </c>
      <c r="AF780" t="s">
        <v>285</v>
      </c>
      <c r="AG780">
        <v>219</v>
      </c>
      <c r="AH780" t="s">
        <v>286</v>
      </c>
      <c r="AI780" t="s">
        <v>287</v>
      </c>
      <c r="AX780">
        <v>263</v>
      </c>
      <c r="AY780" t="s">
        <v>286</v>
      </c>
      <c r="AZ780" t="s">
        <v>287</v>
      </c>
      <c r="BQ780" t="s">
        <v>52</v>
      </c>
      <c r="BR780">
        <v>3.7</v>
      </c>
      <c r="BS780" t="s">
        <v>284</v>
      </c>
      <c r="BT780">
        <v>3.4</v>
      </c>
      <c r="BU780" t="s">
        <v>284</v>
      </c>
      <c r="BV780">
        <v>1.1399999999999999</v>
      </c>
      <c r="BW780" t="s">
        <v>284</v>
      </c>
      <c r="BX780">
        <v>4.37</v>
      </c>
      <c r="BY780" t="s">
        <v>284</v>
      </c>
      <c r="BZ780">
        <v>2.97</v>
      </c>
      <c r="CA780" t="s">
        <v>288</v>
      </c>
      <c r="CF780">
        <v>3.36</v>
      </c>
      <c r="CG780" t="s">
        <v>54</v>
      </c>
      <c r="CH780" t="s">
        <v>52</v>
      </c>
    </row>
    <row r="781" spans="1:86" x14ac:dyDescent="0.25">
      <c r="A781" t="s">
        <v>47</v>
      </c>
      <c r="B781">
        <v>8</v>
      </c>
      <c r="C781" t="s">
        <v>169</v>
      </c>
      <c r="D781">
        <v>71</v>
      </c>
      <c r="E781" t="s">
        <v>49</v>
      </c>
      <c r="F781">
        <v>27</v>
      </c>
      <c r="H781" t="s">
        <v>50</v>
      </c>
      <c r="K781" t="s">
        <v>52</v>
      </c>
      <c r="L781">
        <v>1</v>
      </c>
      <c r="M781" t="s">
        <v>53</v>
      </c>
      <c r="N781">
        <v>27</v>
      </c>
      <c r="O781">
        <v>1</v>
      </c>
      <c r="P781" t="s">
        <v>52</v>
      </c>
      <c r="Q781">
        <v>0</v>
      </c>
      <c r="R781">
        <v>0.75</v>
      </c>
      <c r="S781">
        <v>231</v>
      </c>
      <c r="T781" t="s">
        <v>284</v>
      </c>
      <c r="U781">
        <v>208</v>
      </c>
      <c r="V781" t="s">
        <v>284</v>
      </c>
      <c r="W781">
        <v>224</v>
      </c>
      <c r="X781" t="s">
        <v>284</v>
      </c>
      <c r="Y781">
        <v>225</v>
      </c>
      <c r="Z781" t="s">
        <v>285</v>
      </c>
      <c r="AA781">
        <v>247</v>
      </c>
      <c r="AB781" t="s">
        <v>285</v>
      </c>
      <c r="AC781">
        <v>241</v>
      </c>
      <c r="AD781" t="s">
        <v>285</v>
      </c>
      <c r="AE781">
        <v>219</v>
      </c>
      <c r="AF781" t="s">
        <v>285</v>
      </c>
      <c r="AG781">
        <v>219</v>
      </c>
      <c r="AH781" t="s">
        <v>286</v>
      </c>
      <c r="AI781" t="s">
        <v>287</v>
      </c>
      <c r="AX781">
        <v>263</v>
      </c>
      <c r="AY781" t="s">
        <v>286</v>
      </c>
      <c r="AZ781" t="s">
        <v>287</v>
      </c>
      <c r="BQ781" t="s">
        <v>52</v>
      </c>
      <c r="BR781">
        <v>1.3</v>
      </c>
      <c r="BS781" t="s">
        <v>284</v>
      </c>
      <c r="BT781">
        <v>1.2</v>
      </c>
      <c r="BU781" t="s">
        <v>284</v>
      </c>
      <c r="BV781">
        <v>0.75</v>
      </c>
      <c r="BW781" t="s">
        <v>284</v>
      </c>
      <c r="BX781">
        <v>1.43</v>
      </c>
      <c r="BY781" t="s">
        <v>284</v>
      </c>
      <c r="BZ781">
        <v>1.4</v>
      </c>
      <c r="CA781" t="s">
        <v>289</v>
      </c>
      <c r="CF781">
        <v>1.3</v>
      </c>
      <c r="CG781" t="s">
        <v>54</v>
      </c>
      <c r="CH781" t="s">
        <v>52</v>
      </c>
    </row>
    <row r="782" spans="1:86" x14ac:dyDescent="0.25">
      <c r="A782" t="s">
        <v>47</v>
      </c>
      <c r="B782">
        <v>8</v>
      </c>
      <c r="C782" t="s">
        <v>169</v>
      </c>
      <c r="D782">
        <v>71</v>
      </c>
      <c r="E782" t="s">
        <v>58</v>
      </c>
      <c r="F782">
        <v>102</v>
      </c>
      <c r="G782" t="s">
        <v>62</v>
      </c>
      <c r="H782" t="s">
        <v>50</v>
      </c>
      <c r="K782" t="s">
        <v>51</v>
      </c>
      <c r="L782">
        <v>1</v>
      </c>
      <c r="M782" t="s">
        <v>53</v>
      </c>
      <c r="N782">
        <v>102</v>
      </c>
      <c r="O782">
        <v>1</v>
      </c>
      <c r="P782" t="s">
        <v>52</v>
      </c>
      <c r="Q782">
        <v>0</v>
      </c>
      <c r="R782">
        <v>0.92</v>
      </c>
      <c r="S782">
        <v>131.69999999999999</v>
      </c>
      <c r="T782" t="s">
        <v>284</v>
      </c>
      <c r="U782">
        <v>170</v>
      </c>
      <c r="V782" t="s">
        <v>284</v>
      </c>
      <c r="W782">
        <v>191</v>
      </c>
      <c r="X782" t="s">
        <v>284</v>
      </c>
      <c r="Y782">
        <v>207</v>
      </c>
      <c r="Z782" t="s">
        <v>284</v>
      </c>
      <c r="AA782">
        <v>205</v>
      </c>
      <c r="AB782" t="s">
        <v>285</v>
      </c>
      <c r="AG782">
        <v>188.66669999999999</v>
      </c>
      <c r="AH782" t="s">
        <v>54</v>
      </c>
      <c r="AI782" t="s">
        <v>52</v>
      </c>
      <c r="AX782">
        <v>271.60000000000002</v>
      </c>
      <c r="AY782" t="s">
        <v>285</v>
      </c>
      <c r="AZ782" t="s">
        <v>287</v>
      </c>
      <c r="BQ782" t="s">
        <v>52</v>
      </c>
      <c r="BR782">
        <v>1.85</v>
      </c>
      <c r="BS782" t="s">
        <v>284</v>
      </c>
      <c r="BT782">
        <v>1.18</v>
      </c>
      <c r="BU782" t="s">
        <v>285</v>
      </c>
      <c r="BV782">
        <v>0.53</v>
      </c>
      <c r="BW782" t="s">
        <v>285</v>
      </c>
      <c r="BX782">
        <v>0.28999999999999998</v>
      </c>
      <c r="BY782" t="s">
        <v>285</v>
      </c>
      <c r="BZ782">
        <v>0.1</v>
      </c>
      <c r="CA782" t="s">
        <v>288</v>
      </c>
      <c r="CF782">
        <v>0.67</v>
      </c>
      <c r="CG782" t="s">
        <v>54</v>
      </c>
      <c r="CH782" t="s">
        <v>52</v>
      </c>
    </row>
    <row r="783" spans="1:86" x14ac:dyDescent="0.25">
      <c r="A783" t="s">
        <v>47</v>
      </c>
      <c r="B783">
        <v>8</v>
      </c>
      <c r="C783" t="s">
        <v>169</v>
      </c>
      <c r="D783">
        <v>71</v>
      </c>
      <c r="E783" t="s">
        <v>58</v>
      </c>
      <c r="F783">
        <v>102</v>
      </c>
      <c r="G783" t="s">
        <v>62</v>
      </c>
      <c r="H783" t="s">
        <v>50</v>
      </c>
      <c r="K783" t="s">
        <v>52</v>
      </c>
      <c r="L783">
        <v>1</v>
      </c>
      <c r="M783" t="s">
        <v>53</v>
      </c>
      <c r="N783">
        <v>102</v>
      </c>
      <c r="O783">
        <v>1</v>
      </c>
      <c r="P783" t="s">
        <v>52</v>
      </c>
      <c r="Q783">
        <v>0</v>
      </c>
      <c r="R783">
        <v>0.92</v>
      </c>
      <c r="S783">
        <v>131.69999999999999</v>
      </c>
      <c r="T783" t="s">
        <v>284</v>
      </c>
      <c r="U783">
        <v>170</v>
      </c>
      <c r="V783" t="s">
        <v>284</v>
      </c>
      <c r="W783">
        <v>191</v>
      </c>
      <c r="X783" t="s">
        <v>284</v>
      </c>
      <c r="Y783">
        <v>207</v>
      </c>
      <c r="Z783" t="s">
        <v>284</v>
      </c>
      <c r="AA783">
        <v>205</v>
      </c>
      <c r="AB783" t="s">
        <v>285</v>
      </c>
      <c r="AG783">
        <v>188.66669999999999</v>
      </c>
      <c r="AH783" t="s">
        <v>54</v>
      </c>
      <c r="AI783" t="s">
        <v>52</v>
      </c>
      <c r="AX783">
        <v>271.60000000000002</v>
      </c>
      <c r="AY783" t="s">
        <v>285</v>
      </c>
      <c r="AZ783" t="s">
        <v>287</v>
      </c>
      <c r="BQ783" t="s">
        <v>52</v>
      </c>
      <c r="BR783">
        <v>0.83</v>
      </c>
      <c r="BS783" t="s">
        <v>285</v>
      </c>
      <c r="BT783">
        <v>0.56999999999999995</v>
      </c>
      <c r="BU783" t="s">
        <v>285</v>
      </c>
      <c r="BV783">
        <v>0.25</v>
      </c>
      <c r="BW783" t="s">
        <v>285</v>
      </c>
      <c r="BX783">
        <v>0.47</v>
      </c>
      <c r="BY783" t="s">
        <v>285</v>
      </c>
      <c r="BZ783">
        <v>0.4</v>
      </c>
      <c r="CA783" t="s">
        <v>284</v>
      </c>
      <c r="CF783">
        <v>0.48</v>
      </c>
      <c r="CG783" t="s">
        <v>54</v>
      </c>
      <c r="CH783" t="s">
        <v>52</v>
      </c>
    </row>
    <row r="784" spans="1:86" x14ac:dyDescent="0.25">
      <c r="A784" t="s">
        <v>47</v>
      </c>
      <c r="B784">
        <v>8</v>
      </c>
      <c r="C784" t="s">
        <v>169</v>
      </c>
      <c r="D784">
        <v>71</v>
      </c>
      <c r="E784" t="s">
        <v>68</v>
      </c>
      <c r="F784">
        <v>80</v>
      </c>
      <c r="G784" t="s">
        <v>69</v>
      </c>
      <c r="H784" t="s">
        <v>50</v>
      </c>
      <c r="K784" t="s">
        <v>52</v>
      </c>
      <c r="L784">
        <v>1</v>
      </c>
      <c r="M784" t="s">
        <v>53</v>
      </c>
      <c r="N784">
        <v>80</v>
      </c>
      <c r="O784">
        <v>1</v>
      </c>
      <c r="P784" t="s">
        <v>52</v>
      </c>
      <c r="Q784">
        <v>0.5</v>
      </c>
      <c r="R784">
        <v>0.75</v>
      </c>
      <c r="S784">
        <v>202.92</v>
      </c>
      <c r="T784" t="s">
        <v>284</v>
      </c>
      <c r="U784">
        <v>198.9</v>
      </c>
      <c r="V784" t="s">
        <v>284</v>
      </c>
      <c r="W784">
        <v>212.4</v>
      </c>
      <c r="X784" t="s">
        <v>284</v>
      </c>
      <c r="Y784">
        <v>219.6</v>
      </c>
      <c r="Z784" t="s">
        <v>284</v>
      </c>
      <c r="AA784">
        <v>178</v>
      </c>
      <c r="AB784" t="s">
        <v>284</v>
      </c>
      <c r="AG784">
        <v>204.74</v>
      </c>
      <c r="AH784" t="s">
        <v>54</v>
      </c>
      <c r="AI784" t="s">
        <v>52</v>
      </c>
      <c r="AZ784" t="s">
        <v>52</v>
      </c>
      <c r="BQ784" t="s">
        <v>52</v>
      </c>
      <c r="BR784">
        <v>0.65</v>
      </c>
      <c r="BS784" t="s">
        <v>285</v>
      </c>
      <c r="BT784">
        <v>0.87</v>
      </c>
      <c r="BU784" t="s">
        <v>284</v>
      </c>
      <c r="BV784">
        <v>1.25</v>
      </c>
      <c r="BW784" t="s">
        <v>284</v>
      </c>
      <c r="BX784">
        <v>1.19</v>
      </c>
      <c r="BY784" t="s">
        <v>284</v>
      </c>
      <c r="BZ784">
        <v>1.04</v>
      </c>
      <c r="CA784" t="s">
        <v>285</v>
      </c>
      <c r="CF784">
        <v>1.03</v>
      </c>
      <c r="CG784" t="s">
        <v>54</v>
      </c>
      <c r="CH784" t="s">
        <v>52</v>
      </c>
    </row>
    <row r="785" spans="1:86" x14ac:dyDescent="0.25">
      <c r="A785" t="s">
        <v>47</v>
      </c>
      <c r="B785">
        <v>8</v>
      </c>
      <c r="C785" t="s">
        <v>169</v>
      </c>
      <c r="D785">
        <v>71</v>
      </c>
      <c r="E785" t="s">
        <v>70</v>
      </c>
      <c r="F785">
        <v>296</v>
      </c>
      <c r="G785" t="s">
        <v>71</v>
      </c>
      <c r="H785" t="s">
        <v>50</v>
      </c>
      <c r="K785" t="s">
        <v>51</v>
      </c>
      <c r="L785">
        <v>1</v>
      </c>
      <c r="M785" t="s">
        <v>53</v>
      </c>
      <c r="N785">
        <v>296</v>
      </c>
      <c r="O785">
        <v>1</v>
      </c>
      <c r="P785" t="s">
        <v>52</v>
      </c>
      <c r="Q785">
        <v>0</v>
      </c>
      <c r="R785">
        <v>0.75</v>
      </c>
      <c r="S785">
        <v>228</v>
      </c>
      <c r="T785" t="s">
        <v>284</v>
      </c>
      <c r="U785">
        <v>190</v>
      </c>
      <c r="V785" t="s">
        <v>285</v>
      </c>
      <c r="W785">
        <v>194</v>
      </c>
      <c r="X785" t="s">
        <v>285</v>
      </c>
      <c r="Y785">
        <v>225</v>
      </c>
      <c r="Z785" t="s">
        <v>285</v>
      </c>
      <c r="AA785">
        <v>247</v>
      </c>
      <c r="AB785" t="s">
        <v>285</v>
      </c>
      <c r="AC785">
        <v>241</v>
      </c>
      <c r="AD785" t="s">
        <v>285</v>
      </c>
      <c r="AE785">
        <v>219</v>
      </c>
      <c r="AF785" t="s">
        <v>285</v>
      </c>
      <c r="AG785">
        <v>219</v>
      </c>
      <c r="AH785" t="s">
        <v>286</v>
      </c>
      <c r="AI785" t="s">
        <v>287</v>
      </c>
      <c r="AX785">
        <v>263</v>
      </c>
      <c r="AY785" t="s">
        <v>286</v>
      </c>
      <c r="AZ785" t="s">
        <v>287</v>
      </c>
      <c r="BQ785" t="s">
        <v>52</v>
      </c>
      <c r="BR785">
        <v>1.85</v>
      </c>
      <c r="BS785" t="s">
        <v>284</v>
      </c>
      <c r="BT785">
        <v>1.48</v>
      </c>
      <c r="BU785" t="s">
        <v>284</v>
      </c>
      <c r="BV785">
        <v>0.85</v>
      </c>
      <c r="BW785" t="s">
        <v>289</v>
      </c>
      <c r="BX785">
        <v>0.84</v>
      </c>
      <c r="BY785" t="s">
        <v>289</v>
      </c>
      <c r="BZ785">
        <v>0.87</v>
      </c>
      <c r="CA785" t="s">
        <v>288</v>
      </c>
      <c r="CF785">
        <v>1.07</v>
      </c>
      <c r="CG785" t="s">
        <v>54</v>
      </c>
      <c r="CH785" t="s">
        <v>52</v>
      </c>
    </row>
    <row r="786" spans="1:86" x14ac:dyDescent="0.25">
      <c r="A786" t="s">
        <v>47</v>
      </c>
      <c r="B786">
        <v>8</v>
      </c>
      <c r="C786" t="s">
        <v>169</v>
      </c>
      <c r="D786">
        <v>71</v>
      </c>
      <c r="E786" t="s">
        <v>70</v>
      </c>
      <c r="F786">
        <v>296</v>
      </c>
      <c r="G786" t="s">
        <v>71</v>
      </c>
      <c r="H786" t="s">
        <v>50</v>
      </c>
      <c r="K786" t="s">
        <v>52</v>
      </c>
      <c r="L786">
        <v>1</v>
      </c>
      <c r="M786" t="s">
        <v>53</v>
      </c>
      <c r="N786">
        <v>296</v>
      </c>
      <c r="O786">
        <v>1</v>
      </c>
      <c r="P786" t="s">
        <v>52</v>
      </c>
      <c r="Q786">
        <v>0</v>
      </c>
      <c r="R786">
        <v>0.75</v>
      </c>
      <c r="S786">
        <v>228</v>
      </c>
      <c r="T786" t="s">
        <v>284</v>
      </c>
      <c r="U786">
        <v>190</v>
      </c>
      <c r="V786" t="s">
        <v>285</v>
      </c>
      <c r="W786">
        <v>194</v>
      </c>
      <c r="X786" t="s">
        <v>285</v>
      </c>
      <c r="Y786">
        <v>225</v>
      </c>
      <c r="Z786" t="s">
        <v>285</v>
      </c>
      <c r="AA786">
        <v>247</v>
      </c>
      <c r="AB786" t="s">
        <v>285</v>
      </c>
      <c r="AC786">
        <v>241</v>
      </c>
      <c r="AD786" t="s">
        <v>285</v>
      </c>
      <c r="AE786">
        <v>219</v>
      </c>
      <c r="AF786" t="s">
        <v>285</v>
      </c>
      <c r="AG786">
        <v>219</v>
      </c>
      <c r="AH786" t="s">
        <v>286</v>
      </c>
      <c r="AI786" t="s">
        <v>287</v>
      </c>
      <c r="AX786">
        <v>263</v>
      </c>
      <c r="AY786" t="s">
        <v>286</v>
      </c>
      <c r="AZ786" t="s">
        <v>287</v>
      </c>
      <c r="BQ786" t="s">
        <v>52</v>
      </c>
      <c r="BR786">
        <v>0.65</v>
      </c>
      <c r="BS786" t="s">
        <v>284</v>
      </c>
      <c r="BT786">
        <v>0.74</v>
      </c>
      <c r="BU786" t="s">
        <v>285</v>
      </c>
      <c r="BV786">
        <v>0.22</v>
      </c>
      <c r="BW786" t="s">
        <v>285</v>
      </c>
      <c r="BX786">
        <v>0.22</v>
      </c>
      <c r="BY786" t="s">
        <v>284</v>
      </c>
      <c r="BZ786">
        <v>0.22</v>
      </c>
      <c r="CA786" t="s">
        <v>284</v>
      </c>
      <c r="CF786">
        <v>0.36</v>
      </c>
      <c r="CG786" t="s">
        <v>54</v>
      </c>
      <c r="CH786" t="s">
        <v>52</v>
      </c>
    </row>
    <row r="787" spans="1:86" x14ac:dyDescent="0.25">
      <c r="A787" t="s">
        <v>47</v>
      </c>
      <c r="B787">
        <v>8</v>
      </c>
      <c r="C787" t="s">
        <v>169</v>
      </c>
      <c r="D787">
        <v>71</v>
      </c>
      <c r="E787" t="s">
        <v>70</v>
      </c>
      <c r="F787">
        <v>296</v>
      </c>
      <c r="G787" t="s">
        <v>72</v>
      </c>
      <c r="H787" t="s">
        <v>50</v>
      </c>
      <c r="K787" t="s">
        <v>51</v>
      </c>
      <c r="L787">
        <v>1</v>
      </c>
      <c r="M787" t="s">
        <v>53</v>
      </c>
      <c r="N787">
        <v>296</v>
      </c>
      <c r="O787">
        <v>1</v>
      </c>
      <c r="P787" t="s">
        <v>52</v>
      </c>
      <c r="Q787">
        <v>0.5</v>
      </c>
      <c r="R787">
        <v>0.75</v>
      </c>
      <c r="S787">
        <v>228</v>
      </c>
      <c r="T787" t="s">
        <v>284</v>
      </c>
      <c r="U787">
        <v>221</v>
      </c>
      <c r="V787" t="s">
        <v>284</v>
      </c>
      <c r="W787">
        <v>236</v>
      </c>
      <c r="X787" t="s">
        <v>284</v>
      </c>
      <c r="Y787">
        <v>244</v>
      </c>
      <c r="Z787" t="s">
        <v>284</v>
      </c>
      <c r="AA787">
        <v>215</v>
      </c>
      <c r="AB787" t="s">
        <v>285</v>
      </c>
      <c r="AG787">
        <v>228.33330000000001</v>
      </c>
      <c r="AH787" t="s">
        <v>54</v>
      </c>
      <c r="AI787" t="s">
        <v>52</v>
      </c>
      <c r="AZ787" t="s">
        <v>52</v>
      </c>
      <c r="BQ787" t="s">
        <v>52</v>
      </c>
      <c r="BR787">
        <v>1.85</v>
      </c>
      <c r="BS787" t="s">
        <v>284</v>
      </c>
      <c r="BT787">
        <v>1.48</v>
      </c>
      <c r="BU787" t="s">
        <v>284</v>
      </c>
      <c r="BV787">
        <v>1.4</v>
      </c>
      <c r="BW787" t="s">
        <v>284</v>
      </c>
      <c r="BX787">
        <v>1.1200000000000001</v>
      </c>
      <c r="BY787" t="s">
        <v>284</v>
      </c>
      <c r="BZ787">
        <v>0.4</v>
      </c>
      <c r="CA787" t="s">
        <v>288</v>
      </c>
      <c r="CF787">
        <v>1.33</v>
      </c>
      <c r="CG787" t="s">
        <v>54</v>
      </c>
      <c r="CH787" t="s">
        <v>52</v>
      </c>
    </row>
    <row r="788" spans="1:86" x14ac:dyDescent="0.25">
      <c r="A788" t="s">
        <v>47</v>
      </c>
      <c r="B788">
        <v>8</v>
      </c>
      <c r="C788" t="s">
        <v>169</v>
      </c>
      <c r="D788">
        <v>71</v>
      </c>
      <c r="E788" t="s">
        <v>70</v>
      </c>
      <c r="F788">
        <v>296</v>
      </c>
      <c r="G788" t="s">
        <v>72</v>
      </c>
      <c r="H788" t="s">
        <v>50</v>
      </c>
      <c r="K788" t="s">
        <v>52</v>
      </c>
      <c r="L788">
        <v>1</v>
      </c>
      <c r="M788" t="s">
        <v>53</v>
      </c>
      <c r="N788">
        <v>296</v>
      </c>
      <c r="O788">
        <v>1</v>
      </c>
      <c r="P788" t="s">
        <v>52</v>
      </c>
      <c r="Q788">
        <v>0.5</v>
      </c>
      <c r="R788">
        <v>0.75</v>
      </c>
      <c r="S788">
        <v>228</v>
      </c>
      <c r="T788" t="s">
        <v>284</v>
      </c>
      <c r="U788">
        <v>221</v>
      </c>
      <c r="V788" t="s">
        <v>284</v>
      </c>
      <c r="W788">
        <v>236</v>
      </c>
      <c r="X788" t="s">
        <v>284</v>
      </c>
      <c r="Y788">
        <v>244</v>
      </c>
      <c r="Z788" t="s">
        <v>284</v>
      </c>
      <c r="AA788">
        <v>215</v>
      </c>
      <c r="AB788" t="s">
        <v>285</v>
      </c>
      <c r="AG788">
        <v>228.33330000000001</v>
      </c>
      <c r="AH788" t="s">
        <v>54</v>
      </c>
      <c r="AI788" t="s">
        <v>52</v>
      </c>
      <c r="AZ788" t="s">
        <v>52</v>
      </c>
      <c r="BQ788" t="s">
        <v>52</v>
      </c>
      <c r="BR788">
        <v>0.65</v>
      </c>
      <c r="BS788" t="s">
        <v>284</v>
      </c>
      <c r="BT788">
        <v>0.77</v>
      </c>
      <c r="BU788" t="s">
        <v>284</v>
      </c>
      <c r="BV788">
        <v>0.23</v>
      </c>
      <c r="BW788" t="s">
        <v>284</v>
      </c>
      <c r="BX788">
        <v>0.25</v>
      </c>
      <c r="BY788" t="s">
        <v>285</v>
      </c>
      <c r="BZ788">
        <v>0.25</v>
      </c>
      <c r="CA788" t="s">
        <v>284</v>
      </c>
      <c r="CF788">
        <v>0.38</v>
      </c>
      <c r="CG788" t="s">
        <v>54</v>
      </c>
      <c r="CH788" t="s">
        <v>52</v>
      </c>
    </row>
    <row r="789" spans="1:86" x14ac:dyDescent="0.25">
      <c r="A789" t="s">
        <v>47</v>
      </c>
      <c r="B789">
        <v>8</v>
      </c>
      <c r="C789" t="s">
        <v>169</v>
      </c>
      <c r="D789">
        <v>71</v>
      </c>
      <c r="E789" t="s">
        <v>70</v>
      </c>
      <c r="F789">
        <v>296</v>
      </c>
      <c r="G789" t="s">
        <v>74</v>
      </c>
      <c r="H789" t="s">
        <v>50</v>
      </c>
      <c r="K789" t="s">
        <v>51</v>
      </c>
      <c r="L789">
        <v>1</v>
      </c>
      <c r="M789" t="s">
        <v>53</v>
      </c>
      <c r="N789">
        <v>102</v>
      </c>
      <c r="O789">
        <v>1</v>
      </c>
      <c r="P789" t="s">
        <v>52</v>
      </c>
      <c r="Q789">
        <v>0</v>
      </c>
      <c r="R789">
        <v>0.75</v>
      </c>
      <c r="S789">
        <v>135</v>
      </c>
      <c r="T789" t="s">
        <v>284</v>
      </c>
      <c r="U789">
        <v>132</v>
      </c>
      <c r="V789" t="s">
        <v>284</v>
      </c>
      <c r="W789">
        <v>147</v>
      </c>
      <c r="X789" t="s">
        <v>284</v>
      </c>
      <c r="Y789">
        <v>170</v>
      </c>
      <c r="Z789" t="s">
        <v>284</v>
      </c>
      <c r="AA789">
        <v>205</v>
      </c>
      <c r="AB789" t="s">
        <v>285</v>
      </c>
      <c r="AG789">
        <v>150.66669999999999</v>
      </c>
      <c r="AH789" t="s">
        <v>54</v>
      </c>
      <c r="AI789" t="s">
        <v>52</v>
      </c>
      <c r="AZ789" t="s">
        <v>52</v>
      </c>
      <c r="BQ789" t="s">
        <v>52</v>
      </c>
      <c r="CH789" t="s">
        <v>52</v>
      </c>
    </row>
    <row r="790" spans="1:86" x14ac:dyDescent="0.25">
      <c r="A790" t="s">
        <v>47</v>
      </c>
      <c r="B790">
        <v>8</v>
      </c>
      <c r="C790" t="s">
        <v>169</v>
      </c>
      <c r="D790">
        <v>71</v>
      </c>
      <c r="E790" t="s">
        <v>70</v>
      </c>
      <c r="F790">
        <v>296</v>
      </c>
      <c r="G790" t="s">
        <v>74</v>
      </c>
      <c r="H790" t="s">
        <v>50</v>
      </c>
      <c r="K790" t="s">
        <v>52</v>
      </c>
      <c r="L790">
        <v>1</v>
      </c>
      <c r="M790" t="s">
        <v>53</v>
      </c>
      <c r="N790">
        <v>102</v>
      </c>
      <c r="O790">
        <v>1</v>
      </c>
      <c r="P790" t="s">
        <v>52</v>
      </c>
      <c r="Q790">
        <v>0</v>
      </c>
      <c r="R790">
        <v>0.75</v>
      </c>
      <c r="S790">
        <v>135</v>
      </c>
      <c r="T790" t="s">
        <v>284</v>
      </c>
      <c r="U790">
        <v>132</v>
      </c>
      <c r="V790" t="s">
        <v>284</v>
      </c>
      <c r="W790">
        <v>147</v>
      </c>
      <c r="X790" t="s">
        <v>284</v>
      </c>
      <c r="Y790">
        <v>170</v>
      </c>
      <c r="Z790" t="s">
        <v>284</v>
      </c>
      <c r="AA790">
        <v>205</v>
      </c>
      <c r="AB790" t="s">
        <v>285</v>
      </c>
      <c r="AG790">
        <v>150.66669999999999</v>
      </c>
      <c r="AH790" t="s">
        <v>54</v>
      </c>
      <c r="AI790" t="s">
        <v>52</v>
      </c>
      <c r="AZ790" t="s">
        <v>52</v>
      </c>
      <c r="BQ790" t="s">
        <v>52</v>
      </c>
      <c r="CH790" t="s">
        <v>52</v>
      </c>
    </row>
    <row r="791" spans="1:86" x14ac:dyDescent="0.25">
      <c r="A791" t="s">
        <v>47</v>
      </c>
      <c r="B791">
        <v>8</v>
      </c>
      <c r="C791" t="s">
        <v>169</v>
      </c>
      <c r="D791">
        <v>71</v>
      </c>
      <c r="E791" t="s">
        <v>70</v>
      </c>
      <c r="F791">
        <v>296</v>
      </c>
      <c r="G791" t="s">
        <v>116</v>
      </c>
      <c r="H791" t="s">
        <v>50</v>
      </c>
      <c r="K791" t="s">
        <v>51</v>
      </c>
      <c r="L791">
        <v>1</v>
      </c>
      <c r="M791" t="s">
        <v>53</v>
      </c>
      <c r="N791">
        <v>102</v>
      </c>
      <c r="O791">
        <v>1</v>
      </c>
      <c r="P791" t="s">
        <v>52</v>
      </c>
      <c r="Q791">
        <v>0.5</v>
      </c>
      <c r="R791">
        <v>0.75</v>
      </c>
      <c r="S791">
        <v>228</v>
      </c>
      <c r="T791" t="s">
        <v>284</v>
      </c>
      <c r="U791">
        <v>190</v>
      </c>
      <c r="V791" t="s">
        <v>285</v>
      </c>
      <c r="W791">
        <v>236</v>
      </c>
      <c r="X791" t="s">
        <v>284</v>
      </c>
      <c r="Y791">
        <v>244</v>
      </c>
      <c r="Z791" t="s">
        <v>284</v>
      </c>
      <c r="AA791">
        <v>215</v>
      </c>
      <c r="AB791" t="s">
        <v>285</v>
      </c>
      <c r="AG791">
        <v>226.33330000000001</v>
      </c>
      <c r="AH791" t="s">
        <v>54</v>
      </c>
      <c r="AI791" t="s">
        <v>52</v>
      </c>
      <c r="AZ791" t="s">
        <v>52</v>
      </c>
      <c r="BQ791" t="s">
        <v>52</v>
      </c>
      <c r="BR791">
        <v>1.85</v>
      </c>
      <c r="BS791" t="s">
        <v>285</v>
      </c>
      <c r="BT791">
        <v>1.48</v>
      </c>
      <c r="BU791" t="s">
        <v>284</v>
      </c>
      <c r="BV791">
        <v>1.4</v>
      </c>
      <c r="BW791" t="s">
        <v>284</v>
      </c>
      <c r="BX791">
        <v>1.1200000000000001</v>
      </c>
      <c r="BY791" t="s">
        <v>284</v>
      </c>
      <c r="BZ791">
        <v>1.1200000000000001</v>
      </c>
      <c r="CA791" t="s">
        <v>284</v>
      </c>
      <c r="CF791">
        <v>1.33</v>
      </c>
      <c r="CG791" t="s">
        <v>54</v>
      </c>
      <c r="CH791" t="s">
        <v>52</v>
      </c>
    </row>
    <row r="792" spans="1:86" x14ac:dyDescent="0.25">
      <c r="A792" t="s">
        <v>47</v>
      </c>
      <c r="B792">
        <v>8</v>
      </c>
      <c r="C792" t="s">
        <v>169</v>
      </c>
      <c r="D792">
        <v>71</v>
      </c>
      <c r="E792" t="s">
        <v>70</v>
      </c>
      <c r="F792">
        <v>296</v>
      </c>
      <c r="G792" t="s">
        <v>116</v>
      </c>
      <c r="H792" t="s">
        <v>50</v>
      </c>
      <c r="K792" t="s">
        <v>52</v>
      </c>
      <c r="L792">
        <v>1</v>
      </c>
      <c r="M792" t="s">
        <v>53</v>
      </c>
      <c r="N792">
        <v>102</v>
      </c>
      <c r="O792">
        <v>1</v>
      </c>
      <c r="P792" t="s">
        <v>52</v>
      </c>
      <c r="Q792">
        <v>0.5</v>
      </c>
      <c r="R792">
        <v>0.75</v>
      </c>
      <c r="S792">
        <v>228</v>
      </c>
      <c r="T792" t="s">
        <v>284</v>
      </c>
      <c r="U792">
        <v>190</v>
      </c>
      <c r="V792" t="s">
        <v>285</v>
      </c>
      <c r="W792">
        <v>236</v>
      </c>
      <c r="X792" t="s">
        <v>284</v>
      </c>
      <c r="Y792">
        <v>244</v>
      </c>
      <c r="Z792" t="s">
        <v>284</v>
      </c>
      <c r="AA792">
        <v>215</v>
      </c>
      <c r="AB792" t="s">
        <v>285</v>
      </c>
      <c r="AG792">
        <v>226.33330000000001</v>
      </c>
      <c r="AH792" t="s">
        <v>54</v>
      </c>
      <c r="AI792" t="s">
        <v>52</v>
      </c>
      <c r="AZ792" t="s">
        <v>52</v>
      </c>
      <c r="BQ792" t="s">
        <v>52</v>
      </c>
      <c r="BR792">
        <v>0.65</v>
      </c>
      <c r="BS792" t="s">
        <v>285</v>
      </c>
      <c r="BT792">
        <v>0.77</v>
      </c>
      <c r="BU792" t="s">
        <v>284</v>
      </c>
      <c r="BV792">
        <v>0.23</v>
      </c>
      <c r="BW792" t="s">
        <v>284</v>
      </c>
      <c r="BX792">
        <v>0.25</v>
      </c>
      <c r="BY792" t="s">
        <v>284</v>
      </c>
      <c r="BZ792">
        <v>0.15</v>
      </c>
      <c r="CA792" t="s">
        <v>288</v>
      </c>
      <c r="CF792">
        <v>0.38</v>
      </c>
      <c r="CG792" t="s">
        <v>54</v>
      </c>
      <c r="CH792" t="s">
        <v>52</v>
      </c>
    </row>
    <row r="793" spans="1:86" x14ac:dyDescent="0.25">
      <c r="A793" t="s">
        <v>47</v>
      </c>
      <c r="B793">
        <v>8</v>
      </c>
      <c r="C793" t="s">
        <v>169</v>
      </c>
      <c r="D793">
        <v>71</v>
      </c>
      <c r="E793" t="s">
        <v>75</v>
      </c>
      <c r="F793">
        <v>16</v>
      </c>
      <c r="G793" t="s">
        <v>76</v>
      </c>
      <c r="H793" t="s">
        <v>50</v>
      </c>
      <c r="K793" t="s">
        <v>51</v>
      </c>
      <c r="L793">
        <v>1</v>
      </c>
      <c r="M793" t="s">
        <v>53</v>
      </c>
      <c r="N793">
        <v>16</v>
      </c>
      <c r="O793">
        <v>2</v>
      </c>
      <c r="P793" t="s">
        <v>52</v>
      </c>
      <c r="Q793">
        <v>0.5</v>
      </c>
      <c r="R793">
        <v>0.75</v>
      </c>
      <c r="S793">
        <v>83.35</v>
      </c>
      <c r="T793" t="s">
        <v>285</v>
      </c>
      <c r="U793">
        <v>96.14</v>
      </c>
      <c r="V793" t="s">
        <v>284</v>
      </c>
      <c r="W793">
        <v>103.37</v>
      </c>
      <c r="X793" t="s">
        <v>284</v>
      </c>
      <c r="Y793">
        <v>106.14</v>
      </c>
      <c r="Z793" t="s">
        <v>284</v>
      </c>
      <c r="AA793">
        <v>128</v>
      </c>
      <c r="AB793" t="s">
        <v>285</v>
      </c>
      <c r="AG793">
        <v>101.88330000000001</v>
      </c>
      <c r="AH793" t="s">
        <v>54</v>
      </c>
      <c r="AI793" t="s">
        <v>52</v>
      </c>
      <c r="AX793">
        <v>146.69999999999999</v>
      </c>
      <c r="AY793" t="s">
        <v>285</v>
      </c>
      <c r="AZ793" t="s">
        <v>287</v>
      </c>
      <c r="BQ793" t="s">
        <v>52</v>
      </c>
      <c r="BR793">
        <v>1.85</v>
      </c>
      <c r="BS793" t="s">
        <v>284</v>
      </c>
      <c r="BT793">
        <v>1.08</v>
      </c>
      <c r="BU793" t="s">
        <v>285</v>
      </c>
      <c r="BV793">
        <v>1.24</v>
      </c>
      <c r="BW793" t="s">
        <v>285</v>
      </c>
      <c r="BX793">
        <v>2.02</v>
      </c>
      <c r="BY793" t="s">
        <v>285</v>
      </c>
      <c r="BZ793">
        <v>0.69</v>
      </c>
      <c r="CA793" t="s">
        <v>288</v>
      </c>
      <c r="CF793">
        <v>1.39</v>
      </c>
      <c r="CG793" t="s">
        <v>54</v>
      </c>
      <c r="CH793" t="s">
        <v>52</v>
      </c>
    </row>
    <row r="794" spans="1:86" x14ac:dyDescent="0.25">
      <c r="A794" t="s">
        <v>47</v>
      </c>
      <c r="B794">
        <v>8</v>
      </c>
      <c r="C794" t="s">
        <v>169</v>
      </c>
      <c r="D794">
        <v>71</v>
      </c>
      <c r="E794" t="s">
        <v>75</v>
      </c>
      <c r="F794">
        <v>16</v>
      </c>
      <c r="G794" t="s">
        <v>76</v>
      </c>
      <c r="H794" t="s">
        <v>50</v>
      </c>
      <c r="K794" t="s">
        <v>52</v>
      </c>
      <c r="L794">
        <v>1</v>
      </c>
      <c r="M794" t="s">
        <v>53</v>
      </c>
      <c r="N794">
        <v>16</v>
      </c>
      <c r="O794">
        <v>2</v>
      </c>
      <c r="P794" t="s">
        <v>52</v>
      </c>
      <c r="Q794">
        <v>0.5</v>
      </c>
      <c r="R794">
        <v>0.75</v>
      </c>
      <c r="S794">
        <v>83.35</v>
      </c>
      <c r="T794" t="s">
        <v>285</v>
      </c>
      <c r="U794">
        <v>96.14</v>
      </c>
      <c r="V794" t="s">
        <v>284</v>
      </c>
      <c r="W794">
        <v>103.37</v>
      </c>
      <c r="X794" t="s">
        <v>284</v>
      </c>
      <c r="Y794">
        <v>106.14</v>
      </c>
      <c r="Z794" t="s">
        <v>284</v>
      </c>
      <c r="AA794">
        <v>128</v>
      </c>
      <c r="AB794" t="s">
        <v>285</v>
      </c>
      <c r="AG794">
        <v>101.88330000000001</v>
      </c>
      <c r="AH794" t="s">
        <v>54</v>
      </c>
      <c r="AI794" t="s">
        <v>52</v>
      </c>
      <c r="AX794">
        <v>146.69999999999999</v>
      </c>
      <c r="AY794" t="s">
        <v>285</v>
      </c>
      <c r="AZ794" t="s">
        <v>287</v>
      </c>
      <c r="BQ794" t="s">
        <v>52</v>
      </c>
      <c r="BR794">
        <v>0.65</v>
      </c>
      <c r="BS794" t="s">
        <v>284</v>
      </c>
      <c r="BT794">
        <v>0.87</v>
      </c>
      <c r="BU794" t="s">
        <v>284</v>
      </c>
      <c r="BV794">
        <v>1.55</v>
      </c>
      <c r="BW794" t="s">
        <v>284</v>
      </c>
      <c r="BX794">
        <v>1.6</v>
      </c>
      <c r="BY794" t="s">
        <v>284</v>
      </c>
      <c r="BZ794">
        <v>0.18</v>
      </c>
      <c r="CA794" t="s">
        <v>289</v>
      </c>
      <c r="CF794">
        <v>1.02</v>
      </c>
      <c r="CG794" t="s">
        <v>54</v>
      </c>
      <c r="CH794" t="s">
        <v>52</v>
      </c>
    </row>
    <row r="795" spans="1:86" x14ac:dyDescent="0.25">
      <c r="A795" t="s">
        <v>47</v>
      </c>
      <c r="B795">
        <v>8</v>
      </c>
      <c r="C795" t="s">
        <v>169</v>
      </c>
      <c r="D795">
        <v>71</v>
      </c>
      <c r="E795" t="s">
        <v>77</v>
      </c>
      <c r="F795">
        <v>51</v>
      </c>
      <c r="G795" t="s">
        <v>78</v>
      </c>
      <c r="H795" t="s">
        <v>50</v>
      </c>
      <c r="K795" t="s">
        <v>51</v>
      </c>
      <c r="L795">
        <v>1</v>
      </c>
      <c r="M795" t="s">
        <v>53</v>
      </c>
      <c r="N795">
        <v>51</v>
      </c>
      <c r="O795">
        <v>2</v>
      </c>
      <c r="P795" t="s">
        <v>52</v>
      </c>
      <c r="Q795">
        <v>0.5</v>
      </c>
      <c r="R795">
        <v>0.73</v>
      </c>
      <c r="S795">
        <v>228</v>
      </c>
      <c r="T795" t="s">
        <v>284</v>
      </c>
      <c r="U795">
        <v>218</v>
      </c>
      <c r="V795" t="s">
        <v>284</v>
      </c>
      <c r="W795">
        <v>147</v>
      </c>
      <c r="X795" t="s">
        <v>284</v>
      </c>
      <c r="Y795">
        <v>170</v>
      </c>
      <c r="Z795" t="s">
        <v>284</v>
      </c>
      <c r="AA795">
        <v>109</v>
      </c>
      <c r="AB795" t="s">
        <v>285</v>
      </c>
      <c r="AG795">
        <v>178.33330000000001</v>
      </c>
      <c r="AH795" t="s">
        <v>54</v>
      </c>
      <c r="AI795" t="s">
        <v>52</v>
      </c>
      <c r="AZ795" t="s">
        <v>52</v>
      </c>
      <c r="BQ795" t="s">
        <v>52</v>
      </c>
      <c r="BR795">
        <v>1.2</v>
      </c>
      <c r="BS795" t="s">
        <v>284</v>
      </c>
      <c r="BT795">
        <v>1.35</v>
      </c>
      <c r="BU795" t="s">
        <v>284</v>
      </c>
      <c r="BV795">
        <v>1.35</v>
      </c>
      <c r="BW795" t="s">
        <v>285</v>
      </c>
      <c r="BX795">
        <v>1.35</v>
      </c>
      <c r="BY795" t="s">
        <v>285</v>
      </c>
      <c r="BZ795">
        <v>0.3</v>
      </c>
      <c r="CA795" t="s">
        <v>285</v>
      </c>
      <c r="CF795">
        <v>1.3</v>
      </c>
      <c r="CG795" t="s">
        <v>54</v>
      </c>
      <c r="CH795" t="s">
        <v>52</v>
      </c>
    </row>
    <row r="796" spans="1:86" x14ac:dyDescent="0.25">
      <c r="A796" t="s">
        <v>47</v>
      </c>
      <c r="B796">
        <v>8</v>
      </c>
      <c r="C796" t="s">
        <v>169</v>
      </c>
      <c r="D796">
        <v>71</v>
      </c>
      <c r="E796" t="s">
        <v>77</v>
      </c>
      <c r="F796">
        <v>51</v>
      </c>
      <c r="G796" t="s">
        <v>78</v>
      </c>
      <c r="H796" t="s">
        <v>50</v>
      </c>
      <c r="K796" t="s">
        <v>52</v>
      </c>
      <c r="L796">
        <v>1</v>
      </c>
      <c r="M796" t="s">
        <v>53</v>
      </c>
      <c r="N796">
        <v>51</v>
      </c>
      <c r="O796">
        <v>2</v>
      </c>
      <c r="P796" t="s">
        <v>52</v>
      </c>
      <c r="Q796">
        <v>0.5</v>
      </c>
      <c r="R796">
        <v>0.73</v>
      </c>
      <c r="S796">
        <v>228</v>
      </c>
      <c r="T796" t="s">
        <v>284</v>
      </c>
      <c r="U796">
        <v>218</v>
      </c>
      <c r="V796" t="s">
        <v>284</v>
      </c>
      <c r="W796">
        <v>147</v>
      </c>
      <c r="X796" t="s">
        <v>284</v>
      </c>
      <c r="Y796">
        <v>170</v>
      </c>
      <c r="Z796" t="s">
        <v>284</v>
      </c>
      <c r="AA796">
        <v>109</v>
      </c>
      <c r="AB796" t="s">
        <v>285</v>
      </c>
      <c r="AG796">
        <v>178.33330000000001</v>
      </c>
      <c r="AH796" t="s">
        <v>54</v>
      </c>
      <c r="AI796" t="s">
        <v>52</v>
      </c>
      <c r="AZ796" t="s">
        <v>52</v>
      </c>
      <c r="BQ796" t="s">
        <v>52</v>
      </c>
      <c r="BR796">
        <v>0.8</v>
      </c>
      <c r="BS796" t="s">
        <v>284</v>
      </c>
      <c r="BT796">
        <v>0.8</v>
      </c>
      <c r="BU796" t="s">
        <v>285</v>
      </c>
      <c r="BV796">
        <v>0.8</v>
      </c>
      <c r="BW796" t="s">
        <v>285</v>
      </c>
      <c r="BX796">
        <v>0.8</v>
      </c>
      <c r="BY796" t="s">
        <v>285</v>
      </c>
      <c r="BZ796">
        <v>0.18</v>
      </c>
      <c r="CA796" t="s">
        <v>285</v>
      </c>
      <c r="CF796">
        <v>0.8</v>
      </c>
      <c r="CG796" t="s">
        <v>54</v>
      </c>
      <c r="CH796" t="s">
        <v>52</v>
      </c>
    </row>
    <row r="797" spans="1:86" x14ac:dyDescent="0.25">
      <c r="A797" t="s">
        <v>47</v>
      </c>
      <c r="B797">
        <v>8</v>
      </c>
      <c r="C797" t="s">
        <v>169</v>
      </c>
      <c r="D797">
        <v>71</v>
      </c>
      <c r="E797" t="s">
        <v>79</v>
      </c>
      <c r="F797">
        <v>50</v>
      </c>
      <c r="G797" t="s">
        <v>100</v>
      </c>
      <c r="H797" t="s">
        <v>50</v>
      </c>
      <c r="K797" t="s">
        <v>51</v>
      </c>
      <c r="L797">
        <v>1</v>
      </c>
      <c r="M797" t="s">
        <v>53</v>
      </c>
      <c r="N797">
        <v>50</v>
      </c>
      <c r="O797">
        <v>1</v>
      </c>
      <c r="P797" t="s">
        <v>52</v>
      </c>
      <c r="Q797">
        <v>0.5</v>
      </c>
      <c r="R797">
        <v>0.75</v>
      </c>
      <c r="S797">
        <v>85</v>
      </c>
      <c r="T797" t="s">
        <v>285</v>
      </c>
      <c r="U797">
        <v>93</v>
      </c>
      <c r="V797" t="s">
        <v>284</v>
      </c>
      <c r="W797">
        <v>89.7</v>
      </c>
      <c r="X797" t="s">
        <v>284</v>
      </c>
      <c r="Y797">
        <v>92.72</v>
      </c>
      <c r="Z797" t="s">
        <v>284</v>
      </c>
      <c r="AA797">
        <v>109</v>
      </c>
      <c r="AB797" t="s">
        <v>285</v>
      </c>
      <c r="AG797">
        <v>91.806700000000006</v>
      </c>
      <c r="AH797" t="s">
        <v>54</v>
      </c>
      <c r="AI797" t="s">
        <v>52</v>
      </c>
      <c r="AZ797" t="s">
        <v>52</v>
      </c>
      <c r="BQ797" t="s">
        <v>52</v>
      </c>
      <c r="BR797">
        <v>3.12</v>
      </c>
      <c r="BS797" t="s">
        <v>289</v>
      </c>
      <c r="BT797">
        <v>1.92</v>
      </c>
      <c r="BU797" t="s">
        <v>284</v>
      </c>
      <c r="BV797">
        <v>2.76</v>
      </c>
      <c r="BW797" t="s">
        <v>284</v>
      </c>
      <c r="BX797">
        <v>2.63</v>
      </c>
      <c r="BY797" t="s">
        <v>284</v>
      </c>
      <c r="BZ797">
        <v>3.45</v>
      </c>
      <c r="CA797" t="s">
        <v>289</v>
      </c>
      <c r="CF797">
        <v>2.84</v>
      </c>
      <c r="CG797" t="s">
        <v>54</v>
      </c>
      <c r="CH797" t="s">
        <v>52</v>
      </c>
    </row>
    <row r="798" spans="1:86" x14ac:dyDescent="0.25">
      <c r="A798" t="s">
        <v>47</v>
      </c>
      <c r="B798">
        <v>8</v>
      </c>
      <c r="C798" t="s">
        <v>169</v>
      </c>
      <c r="D798">
        <v>71</v>
      </c>
      <c r="E798" t="s">
        <v>79</v>
      </c>
      <c r="F798">
        <v>50</v>
      </c>
      <c r="G798" t="s">
        <v>100</v>
      </c>
      <c r="H798" t="s">
        <v>50</v>
      </c>
      <c r="K798" t="s">
        <v>52</v>
      </c>
      <c r="L798">
        <v>1</v>
      </c>
      <c r="M798" t="s">
        <v>53</v>
      </c>
      <c r="N798">
        <v>50</v>
      </c>
      <c r="O798">
        <v>1</v>
      </c>
      <c r="P798" t="s">
        <v>52</v>
      </c>
      <c r="Q798">
        <v>0.5</v>
      </c>
      <c r="R798">
        <v>0.75</v>
      </c>
      <c r="S798">
        <v>85</v>
      </c>
      <c r="T798" t="s">
        <v>285</v>
      </c>
      <c r="U798">
        <v>93</v>
      </c>
      <c r="V798" t="s">
        <v>284</v>
      </c>
      <c r="W798">
        <v>89.7</v>
      </c>
      <c r="X798" t="s">
        <v>284</v>
      </c>
      <c r="Y798">
        <v>92.72</v>
      </c>
      <c r="Z798" t="s">
        <v>284</v>
      </c>
      <c r="AA798">
        <v>109</v>
      </c>
      <c r="AB798" t="s">
        <v>285</v>
      </c>
      <c r="AG798">
        <v>91.806700000000006</v>
      </c>
      <c r="AH798" t="s">
        <v>54</v>
      </c>
      <c r="AI798" t="s">
        <v>52</v>
      </c>
      <c r="AZ798" t="s">
        <v>52</v>
      </c>
      <c r="BQ798" t="s">
        <v>52</v>
      </c>
      <c r="BR798">
        <v>1.06</v>
      </c>
      <c r="BS798" t="s">
        <v>285</v>
      </c>
      <c r="BT798">
        <v>0.73</v>
      </c>
      <c r="BU798" t="s">
        <v>285</v>
      </c>
      <c r="BV798">
        <v>1.29</v>
      </c>
      <c r="BW798" t="s">
        <v>284</v>
      </c>
      <c r="BX798">
        <v>1.18</v>
      </c>
      <c r="BY798" t="s">
        <v>284</v>
      </c>
      <c r="BZ798">
        <v>0.65</v>
      </c>
      <c r="CA798" t="s">
        <v>289</v>
      </c>
      <c r="CF798">
        <v>0.99</v>
      </c>
      <c r="CG798" t="s">
        <v>54</v>
      </c>
      <c r="CH798" t="s">
        <v>52</v>
      </c>
    </row>
    <row r="799" spans="1:86" x14ac:dyDescent="0.25">
      <c r="A799" t="s">
        <v>47</v>
      </c>
      <c r="B799">
        <v>8</v>
      </c>
      <c r="C799" t="s">
        <v>169</v>
      </c>
      <c r="D799">
        <v>71</v>
      </c>
      <c r="E799" t="s">
        <v>79</v>
      </c>
      <c r="F799">
        <v>50</v>
      </c>
      <c r="G799" t="s">
        <v>80</v>
      </c>
      <c r="H799" t="s">
        <v>50</v>
      </c>
      <c r="K799" t="s">
        <v>51</v>
      </c>
      <c r="L799">
        <v>1</v>
      </c>
      <c r="M799" t="s">
        <v>53</v>
      </c>
      <c r="N799">
        <v>50</v>
      </c>
      <c r="O799">
        <v>1</v>
      </c>
      <c r="P799" t="s">
        <v>52</v>
      </c>
      <c r="Q799">
        <v>0.5</v>
      </c>
      <c r="R799">
        <v>0.75</v>
      </c>
      <c r="S799">
        <v>85</v>
      </c>
      <c r="T799" t="s">
        <v>285</v>
      </c>
      <c r="U799">
        <v>93</v>
      </c>
      <c r="V799" t="s">
        <v>284</v>
      </c>
      <c r="W799">
        <v>89.7</v>
      </c>
      <c r="X799" t="s">
        <v>284</v>
      </c>
      <c r="Y799">
        <v>92.72</v>
      </c>
      <c r="Z799" t="s">
        <v>284</v>
      </c>
      <c r="AA799">
        <v>109</v>
      </c>
      <c r="AB799" t="s">
        <v>285</v>
      </c>
      <c r="AG799">
        <v>91.806700000000006</v>
      </c>
      <c r="AH799" t="s">
        <v>54</v>
      </c>
      <c r="AI799" t="s">
        <v>52</v>
      </c>
      <c r="AZ799" t="s">
        <v>52</v>
      </c>
      <c r="BQ799" t="s">
        <v>52</v>
      </c>
      <c r="BR799">
        <v>4.4800000000000004</v>
      </c>
      <c r="BS799" t="s">
        <v>289</v>
      </c>
      <c r="BT799">
        <v>2.2000000000000002</v>
      </c>
      <c r="BU799" t="s">
        <v>284</v>
      </c>
      <c r="BV799">
        <v>3.17</v>
      </c>
      <c r="BW799" t="s">
        <v>284</v>
      </c>
      <c r="BX799">
        <v>3.01</v>
      </c>
      <c r="BY799" t="s">
        <v>284</v>
      </c>
      <c r="BZ799">
        <v>3.94</v>
      </c>
      <c r="CA799" t="s">
        <v>289</v>
      </c>
      <c r="CF799">
        <v>3.37</v>
      </c>
      <c r="CG799" t="s">
        <v>54</v>
      </c>
      <c r="CH799" t="s">
        <v>52</v>
      </c>
    </row>
    <row r="800" spans="1:86" x14ac:dyDescent="0.25">
      <c r="A800" t="s">
        <v>47</v>
      </c>
      <c r="B800">
        <v>8</v>
      </c>
      <c r="C800" t="s">
        <v>169</v>
      </c>
      <c r="D800">
        <v>71</v>
      </c>
      <c r="E800" t="s">
        <v>79</v>
      </c>
      <c r="F800">
        <v>50</v>
      </c>
      <c r="G800" t="s">
        <v>80</v>
      </c>
      <c r="H800" t="s">
        <v>50</v>
      </c>
      <c r="K800" t="s">
        <v>52</v>
      </c>
      <c r="L800">
        <v>1</v>
      </c>
      <c r="M800" t="s">
        <v>53</v>
      </c>
      <c r="N800">
        <v>50</v>
      </c>
      <c r="O800">
        <v>1</v>
      </c>
      <c r="P800" t="s">
        <v>52</v>
      </c>
      <c r="Q800">
        <v>0.5</v>
      </c>
      <c r="R800">
        <v>0.75</v>
      </c>
      <c r="S800">
        <v>85</v>
      </c>
      <c r="T800" t="s">
        <v>285</v>
      </c>
      <c r="U800">
        <v>93</v>
      </c>
      <c r="V800" t="s">
        <v>284</v>
      </c>
      <c r="W800">
        <v>89.7</v>
      </c>
      <c r="X800" t="s">
        <v>284</v>
      </c>
      <c r="Y800">
        <v>92.72</v>
      </c>
      <c r="Z800" t="s">
        <v>284</v>
      </c>
      <c r="AA800">
        <v>109</v>
      </c>
      <c r="AB800" t="s">
        <v>285</v>
      </c>
      <c r="AG800">
        <v>91.806700000000006</v>
      </c>
      <c r="AH800" t="s">
        <v>54</v>
      </c>
      <c r="AI800" t="s">
        <v>52</v>
      </c>
      <c r="AZ800" t="s">
        <v>52</v>
      </c>
      <c r="BQ800" t="s">
        <v>52</v>
      </c>
      <c r="BR800">
        <v>0.75</v>
      </c>
      <c r="BS800" t="s">
        <v>289</v>
      </c>
      <c r="BT800">
        <v>0.75</v>
      </c>
      <c r="BU800" t="s">
        <v>285</v>
      </c>
      <c r="BV800">
        <v>1.33</v>
      </c>
      <c r="BW800" t="s">
        <v>284</v>
      </c>
      <c r="BX800">
        <v>1.22</v>
      </c>
      <c r="BY800" t="s">
        <v>284</v>
      </c>
      <c r="BZ800">
        <v>0.67</v>
      </c>
      <c r="CA800" t="s">
        <v>289</v>
      </c>
      <c r="CF800">
        <v>0.91</v>
      </c>
      <c r="CG800" t="s">
        <v>54</v>
      </c>
      <c r="CH800" t="s">
        <v>52</v>
      </c>
    </row>
    <row r="801" spans="1:86" x14ac:dyDescent="0.25">
      <c r="A801" t="s">
        <v>47</v>
      </c>
      <c r="B801">
        <v>8</v>
      </c>
      <c r="C801" t="s">
        <v>169</v>
      </c>
      <c r="D801">
        <v>71</v>
      </c>
      <c r="E801" t="s">
        <v>79</v>
      </c>
      <c r="F801">
        <v>50</v>
      </c>
      <c r="G801" t="s">
        <v>65</v>
      </c>
      <c r="H801" t="s">
        <v>50</v>
      </c>
      <c r="K801" t="s">
        <v>51</v>
      </c>
      <c r="L801">
        <v>1</v>
      </c>
      <c r="M801" t="s">
        <v>53</v>
      </c>
      <c r="N801">
        <v>50</v>
      </c>
      <c r="O801">
        <v>1</v>
      </c>
      <c r="P801" t="s">
        <v>52</v>
      </c>
      <c r="Q801">
        <v>0.5</v>
      </c>
      <c r="R801">
        <v>0.75</v>
      </c>
      <c r="S801">
        <v>85</v>
      </c>
      <c r="T801" t="s">
        <v>285</v>
      </c>
      <c r="U801">
        <v>93</v>
      </c>
      <c r="V801" t="s">
        <v>284</v>
      </c>
      <c r="W801">
        <v>89.7</v>
      </c>
      <c r="X801" t="s">
        <v>284</v>
      </c>
      <c r="Y801">
        <v>92.72</v>
      </c>
      <c r="Z801" t="s">
        <v>284</v>
      </c>
      <c r="AA801">
        <v>109</v>
      </c>
      <c r="AB801" t="s">
        <v>285</v>
      </c>
      <c r="AG801">
        <v>91.806700000000006</v>
      </c>
      <c r="AH801" t="s">
        <v>54</v>
      </c>
      <c r="AI801" t="s">
        <v>52</v>
      </c>
      <c r="AZ801" t="s">
        <v>52</v>
      </c>
      <c r="BQ801" t="s">
        <v>52</v>
      </c>
      <c r="BR801">
        <v>3.57</v>
      </c>
      <c r="BS801" t="s">
        <v>289</v>
      </c>
      <c r="BT801">
        <v>2</v>
      </c>
      <c r="BU801" t="s">
        <v>284</v>
      </c>
      <c r="BV801">
        <v>2.88</v>
      </c>
      <c r="BW801" t="s">
        <v>284</v>
      </c>
      <c r="BX801">
        <v>2.73</v>
      </c>
      <c r="BY801" t="s">
        <v>284</v>
      </c>
      <c r="BZ801">
        <v>3.58</v>
      </c>
      <c r="CA801" t="s">
        <v>289</v>
      </c>
      <c r="CF801">
        <v>3.06</v>
      </c>
      <c r="CG801" t="s">
        <v>54</v>
      </c>
      <c r="CH801" t="s">
        <v>52</v>
      </c>
    </row>
    <row r="802" spans="1:86" x14ac:dyDescent="0.25">
      <c r="A802" t="s">
        <v>47</v>
      </c>
      <c r="B802">
        <v>8</v>
      </c>
      <c r="C802" t="s">
        <v>169</v>
      </c>
      <c r="D802">
        <v>71</v>
      </c>
      <c r="E802" t="s">
        <v>79</v>
      </c>
      <c r="F802">
        <v>50</v>
      </c>
      <c r="G802" t="s">
        <v>65</v>
      </c>
      <c r="H802" t="s">
        <v>50</v>
      </c>
      <c r="K802" t="s">
        <v>52</v>
      </c>
      <c r="L802">
        <v>1</v>
      </c>
      <c r="M802" t="s">
        <v>53</v>
      </c>
      <c r="N802">
        <v>50</v>
      </c>
      <c r="O802">
        <v>1</v>
      </c>
      <c r="P802" t="s">
        <v>52</v>
      </c>
      <c r="Q802">
        <v>0.5</v>
      </c>
      <c r="R802">
        <v>0.75</v>
      </c>
      <c r="S802">
        <v>85</v>
      </c>
      <c r="T802" t="s">
        <v>285</v>
      </c>
      <c r="U802">
        <v>93</v>
      </c>
      <c r="V802" t="s">
        <v>284</v>
      </c>
      <c r="W802">
        <v>89.7</v>
      </c>
      <c r="X802" t="s">
        <v>284</v>
      </c>
      <c r="Y802">
        <v>92.72</v>
      </c>
      <c r="Z802" t="s">
        <v>284</v>
      </c>
      <c r="AA802">
        <v>109</v>
      </c>
      <c r="AB802" t="s">
        <v>285</v>
      </c>
      <c r="AG802">
        <v>91.806700000000006</v>
      </c>
      <c r="AH802" t="s">
        <v>54</v>
      </c>
      <c r="AI802" t="s">
        <v>52</v>
      </c>
      <c r="AZ802" t="s">
        <v>52</v>
      </c>
      <c r="BQ802" t="s">
        <v>52</v>
      </c>
      <c r="BR802">
        <v>0.43</v>
      </c>
      <c r="BS802" t="s">
        <v>289</v>
      </c>
      <c r="BT802">
        <v>0.68</v>
      </c>
      <c r="BU802" t="s">
        <v>285</v>
      </c>
      <c r="BV802">
        <v>1.1299999999999999</v>
      </c>
      <c r="BW802" t="s">
        <v>284</v>
      </c>
      <c r="BX802">
        <v>1.05</v>
      </c>
      <c r="BY802" t="s">
        <v>284</v>
      </c>
      <c r="BZ802">
        <v>0.57999999999999996</v>
      </c>
      <c r="CA802" t="s">
        <v>289</v>
      </c>
      <c r="CF802">
        <v>0.77</v>
      </c>
      <c r="CG802" t="s">
        <v>54</v>
      </c>
      <c r="CH802" t="s">
        <v>52</v>
      </c>
    </row>
    <row r="803" spans="1:86" x14ac:dyDescent="0.25">
      <c r="A803" t="s">
        <v>47</v>
      </c>
      <c r="B803">
        <v>8</v>
      </c>
      <c r="C803" t="s">
        <v>169</v>
      </c>
      <c r="D803">
        <v>71</v>
      </c>
      <c r="E803" t="s">
        <v>79</v>
      </c>
      <c r="F803">
        <v>50</v>
      </c>
      <c r="G803" t="s">
        <v>81</v>
      </c>
      <c r="H803" t="s">
        <v>50</v>
      </c>
      <c r="K803" t="s">
        <v>51</v>
      </c>
      <c r="L803">
        <v>1</v>
      </c>
      <c r="M803" t="s">
        <v>53</v>
      </c>
      <c r="N803">
        <v>50</v>
      </c>
      <c r="O803">
        <v>1</v>
      </c>
      <c r="P803" t="s">
        <v>52</v>
      </c>
      <c r="Q803">
        <v>0.5</v>
      </c>
      <c r="R803">
        <v>0.75</v>
      </c>
      <c r="S803">
        <v>85</v>
      </c>
      <c r="T803" t="s">
        <v>285</v>
      </c>
      <c r="U803">
        <v>93</v>
      </c>
      <c r="V803" t="s">
        <v>284</v>
      </c>
      <c r="W803">
        <v>89.7</v>
      </c>
      <c r="X803" t="s">
        <v>284</v>
      </c>
      <c r="Y803">
        <v>92.72</v>
      </c>
      <c r="Z803" t="s">
        <v>284</v>
      </c>
      <c r="AA803">
        <v>109</v>
      </c>
      <c r="AB803" t="s">
        <v>285</v>
      </c>
      <c r="AG803">
        <v>91.806700000000006</v>
      </c>
      <c r="AH803" t="s">
        <v>54</v>
      </c>
      <c r="AI803" t="s">
        <v>52</v>
      </c>
      <c r="AZ803" t="s">
        <v>52</v>
      </c>
      <c r="BQ803" t="s">
        <v>52</v>
      </c>
      <c r="BR803">
        <v>2.74</v>
      </c>
      <c r="BS803" t="s">
        <v>289</v>
      </c>
      <c r="BT803">
        <v>1.85</v>
      </c>
      <c r="BU803" t="s">
        <v>284</v>
      </c>
      <c r="BV803">
        <v>2.66</v>
      </c>
      <c r="BW803" t="s">
        <v>284</v>
      </c>
      <c r="BX803">
        <v>2.5299999999999998</v>
      </c>
      <c r="BY803" t="s">
        <v>284</v>
      </c>
      <c r="BZ803">
        <v>3.31</v>
      </c>
      <c r="CA803" t="s">
        <v>289</v>
      </c>
      <c r="CF803">
        <v>2.64</v>
      </c>
      <c r="CG803" t="s">
        <v>54</v>
      </c>
      <c r="CH803" t="s">
        <v>52</v>
      </c>
    </row>
    <row r="804" spans="1:86" x14ac:dyDescent="0.25">
      <c r="A804" t="s">
        <v>47</v>
      </c>
      <c r="B804">
        <v>8</v>
      </c>
      <c r="C804" t="s">
        <v>169</v>
      </c>
      <c r="D804">
        <v>71</v>
      </c>
      <c r="E804" t="s">
        <v>79</v>
      </c>
      <c r="F804">
        <v>50</v>
      </c>
      <c r="G804" t="s">
        <v>81</v>
      </c>
      <c r="H804" t="s">
        <v>50</v>
      </c>
      <c r="K804" t="s">
        <v>52</v>
      </c>
      <c r="L804">
        <v>1</v>
      </c>
      <c r="M804" t="s">
        <v>53</v>
      </c>
      <c r="N804">
        <v>50</v>
      </c>
      <c r="O804">
        <v>1</v>
      </c>
      <c r="P804" t="s">
        <v>52</v>
      </c>
      <c r="Q804">
        <v>0.5</v>
      </c>
      <c r="R804">
        <v>0.75</v>
      </c>
      <c r="S804">
        <v>85</v>
      </c>
      <c r="T804" t="s">
        <v>285</v>
      </c>
      <c r="U804">
        <v>93</v>
      </c>
      <c r="V804" t="s">
        <v>284</v>
      </c>
      <c r="W804">
        <v>89.7</v>
      </c>
      <c r="X804" t="s">
        <v>284</v>
      </c>
      <c r="Y804">
        <v>92.72</v>
      </c>
      <c r="Z804" t="s">
        <v>284</v>
      </c>
      <c r="AA804">
        <v>109</v>
      </c>
      <c r="AB804" t="s">
        <v>285</v>
      </c>
      <c r="AG804">
        <v>91.806700000000006</v>
      </c>
      <c r="AH804" t="s">
        <v>54</v>
      </c>
      <c r="AI804" t="s">
        <v>52</v>
      </c>
      <c r="AZ804" t="s">
        <v>52</v>
      </c>
      <c r="BQ804" t="s">
        <v>52</v>
      </c>
      <c r="BR804">
        <v>2.74</v>
      </c>
      <c r="BS804" t="s">
        <v>289</v>
      </c>
      <c r="BT804">
        <v>0.69</v>
      </c>
      <c r="BU804" t="s">
        <v>285</v>
      </c>
      <c r="BV804">
        <v>1.17</v>
      </c>
      <c r="BW804" t="s">
        <v>284</v>
      </c>
      <c r="BX804">
        <v>1.08</v>
      </c>
      <c r="BY804" t="s">
        <v>284</v>
      </c>
      <c r="BZ804">
        <v>0.59</v>
      </c>
      <c r="CA804" t="s">
        <v>289</v>
      </c>
      <c r="CF804">
        <v>0.98</v>
      </c>
      <c r="CG804" t="s">
        <v>54</v>
      </c>
      <c r="CH804" t="s">
        <v>52</v>
      </c>
    </row>
    <row r="805" spans="1:86" x14ac:dyDescent="0.25">
      <c r="A805" t="s">
        <v>47</v>
      </c>
      <c r="B805">
        <v>8</v>
      </c>
      <c r="C805" t="s">
        <v>169</v>
      </c>
      <c r="D805">
        <v>71</v>
      </c>
      <c r="E805" t="s">
        <v>82</v>
      </c>
      <c r="F805">
        <v>52</v>
      </c>
      <c r="H805" t="s">
        <v>50</v>
      </c>
      <c r="K805" t="s">
        <v>51</v>
      </c>
      <c r="L805">
        <v>1</v>
      </c>
      <c r="M805" t="s">
        <v>53</v>
      </c>
      <c r="N805">
        <v>50</v>
      </c>
      <c r="O805">
        <v>1</v>
      </c>
      <c r="P805" t="s">
        <v>52</v>
      </c>
      <c r="Q805">
        <v>0.5</v>
      </c>
      <c r="R805">
        <v>0.75</v>
      </c>
      <c r="S805">
        <v>85</v>
      </c>
      <c r="T805" t="s">
        <v>285</v>
      </c>
      <c r="U805">
        <v>93</v>
      </c>
      <c r="V805" t="s">
        <v>284</v>
      </c>
      <c r="W805">
        <v>191.5</v>
      </c>
      <c r="X805" t="s">
        <v>284</v>
      </c>
      <c r="Y805">
        <v>198</v>
      </c>
      <c r="Z805" t="s">
        <v>284</v>
      </c>
      <c r="AA805">
        <v>109</v>
      </c>
      <c r="AB805" t="s">
        <v>285</v>
      </c>
      <c r="AG805">
        <v>131.16669999999999</v>
      </c>
      <c r="AH805" t="s">
        <v>54</v>
      </c>
      <c r="AI805" t="s">
        <v>52</v>
      </c>
      <c r="AZ805" t="s">
        <v>52</v>
      </c>
      <c r="BQ805" t="s">
        <v>52</v>
      </c>
      <c r="BR805">
        <v>3.58</v>
      </c>
      <c r="BS805" t="s">
        <v>289</v>
      </c>
      <c r="BT805">
        <v>2</v>
      </c>
      <c r="BU805" t="s">
        <v>284</v>
      </c>
      <c r="BV805">
        <v>1.1499999999999999</v>
      </c>
      <c r="BW805" t="s">
        <v>285</v>
      </c>
      <c r="BX805">
        <v>1.0900000000000001</v>
      </c>
      <c r="BY805" t="s">
        <v>285</v>
      </c>
      <c r="BZ805">
        <v>0.24</v>
      </c>
      <c r="CA805" t="s">
        <v>285</v>
      </c>
      <c r="CF805">
        <v>1.41</v>
      </c>
      <c r="CG805" t="s">
        <v>54</v>
      </c>
      <c r="CH805" t="s">
        <v>52</v>
      </c>
    </row>
    <row r="806" spans="1:86" x14ac:dyDescent="0.25">
      <c r="A806" t="s">
        <v>47</v>
      </c>
      <c r="B806">
        <v>8</v>
      </c>
      <c r="C806" t="s">
        <v>169</v>
      </c>
      <c r="D806">
        <v>71</v>
      </c>
      <c r="E806" t="s">
        <v>82</v>
      </c>
      <c r="F806">
        <v>52</v>
      </c>
      <c r="H806" t="s">
        <v>50</v>
      </c>
      <c r="K806" t="s">
        <v>52</v>
      </c>
      <c r="L806">
        <v>1</v>
      </c>
      <c r="M806" t="s">
        <v>53</v>
      </c>
      <c r="N806">
        <v>50</v>
      </c>
      <c r="O806">
        <v>1</v>
      </c>
      <c r="P806" t="s">
        <v>52</v>
      </c>
      <c r="Q806">
        <v>0.5</v>
      </c>
      <c r="R806">
        <v>0.75</v>
      </c>
      <c r="S806">
        <v>85</v>
      </c>
      <c r="T806" t="s">
        <v>285</v>
      </c>
      <c r="U806">
        <v>93</v>
      </c>
      <c r="V806" t="s">
        <v>284</v>
      </c>
      <c r="W806">
        <v>191.5</v>
      </c>
      <c r="X806" t="s">
        <v>284</v>
      </c>
      <c r="Y806">
        <v>198</v>
      </c>
      <c r="Z806" t="s">
        <v>284</v>
      </c>
      <c r="AA806">
        <v>109</v>
      </c>
      <c r="AB806" t="s">
        <v>285</v>
      </c>
      <c r="AG806">
        <v>131.16669999999999</v>
      </c>
      <c r="AH806" t="s">
        <v>54</v>
      </c>
      <c r="AI806" t="s">
        <v>52</v>
      </c>
      <c r="AZ806" t="s">
        <v>52</v>
      </c>
      <c r="BQ806" t="s">
        <v>52</v>
      </c>
      <c r="BR806">
        <v>2.36</v>
      </c>
      <c r="BS806" t="s">
        <v>289</v>
      </c>
      <c r="BT806">
        <v>0.85</v>
      </c>
      <c r="BU806" t="s">
        <v>285</v>
      </c>
      <c r="BV806">
        <v>0.65</v>
      </c>
      <c r="BW806" t="s">
        <v>285</v>
      </c>
      <c r="BX806">
        <v>0.62</v>
      </c>
      <c r="BY806" t="s">
        <v>285</v>
      </c>
      <c r="BZ806">
        <v>0.24</v>
      </c>
      <c r="CA806" t="s">
        <v>285</v>
      </c>
      <c r="CF806">
        <v>0.71</v>
      </c>
      <c r="CG806" t="s">
        <v>54</v>
      </c>
      <c r="CH806" t="s">
        <v>52</v>
      </c>
    </row>
    <row r="807" spans="1:86" x14ac:dyDescent="0.25">
      <c r="A807" t="s">
        <v>47</v>
      </c>
      <c r="B807">
        <v>8</v>
      </c>
      <c r="C807" t="s">
        <v>169</v>
      </c>
      <c r="D807">
        <v>71</v>
      </c>
      <c r="E807" t="s">
        <v>83</v>
      </c>
      <c r="F807">
        <v>158</v>
      </c>
      <c r="H807" t="s">
        <v>50</v>
      </c>
      <c r="K807" t="s">
        <v>51</v>
      </c>
      <c r="L807">
        <v>1</v>
      </c>
      <c r="M807" t="s">
        <v>53</v>
      </c>
      <c r="N807">
        <v>158</v>
      </c>
      <c r="O807">
        <v>2</v>
      </c>
      <c r="P807" t="s">
        <v>52</v>
      </c>
      <c r="Q807">
        <v>0.77</v>
      </c>
      <c r="R807">
        <v>0.93</v>
      </c>
      <c r="S807">
        <v>228</v>
      </c>
      <c r="T807" t="s">
        <v>284</v>
      </c>
      <c r="U807">
        <v>221</v>
      </c>
      <c r="V807" t="s">
        <v>284</v>
      </c>
      <c r="W807">
        <v>236</v>
      </c>
      <c r="X807" t="s">
        <v>284</v>
      </c>
      <c r="Y807">
        <v>244</v>
      </c>
      <c r="Z807" t="s">
        <v>284</v>
      </c>
      <c r="AA807">
        <v>252</v>
      </c>
      <c r="AB807" t="s">
        <v>284</v>
      </c>
      <c r="AG807">
        <v>236</v>
      </c>
      <c r="AH807" t="s">
        <v>54</v>
      </c>
      <c r="AI807" t="s">
        <v>52</v>
      </c>
      <c r="AX807">
        <v>339</v>
      </c>
      <c r="AY807" t="s">
        <v>285</v>
      </c>
      <c r="AZ807" t="s">
        <v>287</v>
      </c>
      <c r="BQ807" t="s">
        <v>52</v>
      </c>
      <c r="BR807">
        <v>1.85</v>
      </c>
      <c r="BS807" t="s">
        <v>284</v>
      </c>
      <c r="BT807">
        <v>1.35</v>
      </c>
      <c r="BU807" t="s">
        <v>284</v>
      </c>
      <c r="BV807">
        <v>1.03</v>
      </c>
      <c r="BW807" t="s">
        <v>288</v>
      </c>
      <c r="BX807">
        <v>1.34</v>
      </c>
      <c r="BY807" t="s">
        <v>289</v>
      </c>
      <c r="BZ807">
        <v>1.22</v>
      </c>
      <c r="CA807" t="s">
        <v>289</v>
      </c>
      <c r="CF807">
        <v>1.3</v>
      </c>
      <c r="CG807" t="s">
        <v>54</v>
      </c>
      <c r="CH807" t="s">
        <v>52</v>
      </c>
    </row>
    <row r="808" spans="1:86" x14ac:dyDescent="0.25">
      <c r="A808" t="s">
        <v>47</v>
      </c>
      <c r="B808">
        <v>8</v>
      </c>
      <c r="C808" t="s">
        <v>169</v>
      </c>
      <c r="D808">
        <v>71</v>
      </c>
      <c r="E808" t="s">
        <v>83</v>
      </c>
      <c r="F808">
        <v>158</v>
      </c>
      <c r="H808" t="s">
        <v>50</v>
      </c>
      <c r="K808" t="s">
        <v>52</v>
      </c>
      <c r="L808">
        <v>1</v>
      </c>
      <c r="M808" t="s">
        <v>53</v>
      </c>
      <c r="N808">
        <v>158</v>
      </c>
      <c r="O808">
        <v>2</v>
      </c>
      <c r="P808" t="s">
        <v>52</v>
      </c>
      <c r="Q808">
        <v>0.77</v>
      </c>
      <c r="R808">
        <v>0.93</v>
      </c>
      <c r="S808">
        <v>228</v>
      </c>
      <c r="T808" t="s">
        <v>284</v>
      </c>
      <c r="U808">
        <v>221</v>
      </c>
      <c r="V808" t="s">
        <v>284</v>
      </c>
      <c r="W808">
        <v>236</v>
      </c>
      <c r="X808" t="s">
        <v>284</v>
      </c>
      <c r="Y808">
        <v>244</v>
      </c>
      <c r="Z808" t="s">
        <v>284</v>
      </c>
      <c r="AA808">
        <v>252</v>
      </c>
      <c r="AB808" t="s">
        <v>284</v>
      </c>
      <c r="AG808">
        <v>236</v>
      </c>
      <c r="AH808" t="s">
        <v>54</v>
      </c>
      <c r="AI808" t="s">
        <v>52</v>
      </c>
      <c r="AX808">
        <v>339</v>
      </c>
      <c r="AY808" t="s">
        <v>285</v>
      </c>
      <c r="AZ808" t="s">
        <v>287</v>
      </c>
      <c r="BQ808" t="s">
        <v>52</v>
      </c>
      <c r="BR808">
        <v>1.31</v>
      </c>
      <c r="BS808" t="s">
        <v>285</v>
      </c>
      <c r="BT808">
        <v>1.01</v>
      </c>
      <c r="BU808" t="s">
        <v>284</v>
      </c>
      <c r="BV808">
        <v>0.33</v>
      </c>
      <c r="BW808" t="s">
        <v>288</v>
      </c>
      <c r="BX808">
        <v>0.56999999999999995</v>
      </c>
      <c r="BY808" t="s">
        <v>285</v>
      </c>
      <c r="BZ808">
        <v>0.1</v>
      </c>
      <c r="CA808" t="s">
        <v>289</v>
      </c>
      <c r="CF808">
        <v>0.64</v>
      </c>
      <c r="CG808" t="s">
        <v>54</v>
      </c>
      <c r="CH808" t="s">
        <v>52</v>
      </c>
    </row>
    <row r="809" spans="1:86" x14ac:dyDescent="0.25">
      <c r="A809" t="s">
        <v>47</v>
      </c>
      <c r="B809">
        <v>8</v>
      </c>
      <c r="C809" t="s">
        <v>169</v>
      </c>
      <c r="D809">
        <v>71</v>
      </c>
      <c r="E809" t="s">
        <v>84</v>
      </c>
      <c r="F809">
        <v>11</v>
      </c>
      <c r="G809" t="s">
        <v>96</v>
      </c>
      <c r="H809" t="s">
        <v>50</v>
      </c>
      <c r="K809" t="s">
        <v>51</v>
      </c>
      <c r="L809">
        <v>1</v>
      </c>
      <c r="M809" t="s">
        <v>53</v>
      </c>
      <c r="N809">
        <v>11</v>
      </c>
      <c r="O809">
        <v>2</v>
      </c>
      <c r="P809" t="s">
        <v>52</v>
      </c>
      <c r="Q809">
        <v>0.5</v>
      </c>
      <c r="R809">
        <v>0.75</v>
      </c>
      <c r="S809">
        <v>124</v>
      </c>
      <c r="T809" t="s">
        <v>284</v>
      </c>
      <c r="U809">
        <v>110</v>
      </c>
      <c r="V809" t="s">
        <v>284</v>
      </c>
      <c r="W809">
        <v>118</v>
      </c>
      <c r="X809" t="s">
        <v>284</v>
      </c>
      <c r="Y809">
        <v>122</v>
      </c>
      <c r="Z809" t="s">
        <v>284</v>
      </c>
      <c r="AA809">
        <v>126</v>
      </c>
      <c r="AB809" t="s">
        <v>284</v>
      </c>
      <c r="AG809">
        <v>121.33329999999999</v>
      </c>
      <c r="AH809" t="s">
        <v>54</v>
      </c>
      <c r="AI809" t="s">
        <v>52</v>
      </c>
      <c r="AZ809" t="s">
        <v>52</v>
      </c>
      <c r="BQ809" t="s">
        <v>52</v>
      </c>
      <c r="BR809">
        <v>1.1100000000000001</v>
      </c>
      <c r="BS809" t="s">
        <v>285</v>
      </c>
      <c r="BT809">
        <v>1.08</v>
      </c>
      <c r="BU809" t="s">
        <v>284</v>
      </c>
      <c r="BV809">
        <v>1.17</v>
      </c>
      <c r="BW809" t="s">
        <v>284</v>
      </c>
      <c r="BX809">
        <v>1.01</v>
      </c>
      <c r="BY809" t="s">
        <v>284</v>
      </c>
      <c r="BZ809">
        <v>0.87</v>
      </c>
      <c r="CA809" t="s">
        <v>284</v>
      </c>
      <c r="CF809">
        <v>1.07</v>
      </c>
      <c r="CG809" t="s">
        <v>54</v>
      </c>
      <c r="CH809" t="s">
        <v>52</v>
      </c>
    </row>
    <row r="810" spans="1:86" x14ac:dyDescent="0.25">
      <c r="A810" t="s">
        <v>47</v>
      </c>
      <c r="B810">
        <v>8</v>
      </c>
      <c r="C810" t="s">
        <v>169</v>
      </c>
      <c r="D810">
        <v>71</v>
      </c>
      <c r="E810" t="s">
        <v>84</v>
      </c>
      <c r="F810">
        <v>11</v>
      </c>
      <c r="G810" t="s">
        <v>96</v>
      </c>
      <c r="H810" t="s">
        <v>50</v>
      </c>
      <c r="K810" t="s">
        <v>52</v>
      </c>
      <c r="L810">
        <v>1</v>
      </c>
      <c r="M810" t="s">
        <v>53</v>
      </c>
      <c r="N810">
        <v>11</v>
      </c>
      <c r="O810">
        <v>2</v>
      </c>
      <c r="P810" t="s">
        <v>52</v>
      </c>
      <c r="Q810">
        <v>0.5</v>
      </c>
      <c r="R810">
        <v>0.75</v>
      </c>
      <c r="S810">
        <v>124</v>
      </c>
      <c r="T810" t="s">
        <v>284</v>
      </c>
      <c r="U810">
        <v>110</v>
      </c>
      <c r="V810" t="s">
        <v>284</v>
      </c>
      <c r="W810">
        <v>118</v>
      </c>
      <c r="X810" t="s">
        <v>284</v>
      </c>
      <c r="Y810">
        <v>122</v>
      </c>
      <c r="Z810" t="s">
        <v>284</v>
      </c>
      <c r="AA810">
        <v>126</v>
      </c>
      <c r="AB810" t="s">
        <v>284</v>
      </c>
      <c r="AG810">
        <v>121.33329999999999</v>
      </c>
      <c r="AH810" t="s">
        <v>54</v>
      </c>
      <c r="AI810" t="s">
        <v>52</v>
      </c>
      <c r="AZ810" t="s">
        <v>52</v>
      </c>
      <c r="BQ810" t="s">
        <v>52</v>
      </c>
      <c r="BR810">
        <v>0.45</v>
      </c>
      <c r="BS810" t="s">
        <v>285</v>
      </c>
      <c r="BT810">
        <v>0.43</v>
      </c>
      <c r="BU810" t="s">
        <v>284</v>
      </c>
      <c r="BV810">
        <v>0.47</v>
      </c>
      <c r="BW810" t="s">
        <v>284</v>
      </c>
      <c r="BX810">
        <v>0.41</v>
      </c>
      <c r="BY810" t="s">
        <v>284</v>
      </c>
      <c r="BZ810">
        <v>0.36</v>
      </c>
      <c r="CA810" t="s">
        <v>284</v>
      </c>
      <c r="CF810">
        <v>0.43</v>
      </c>
      <c r="CG810" t="s">
        <v>54</v>
      </c>
      <c r="CH810" t="s">
        <v>52</v>
      </c>
    </row>
    <row r="811" spans="1:86" x14ac:dyDescent="0.25">
      <c r="A811" t="s">
        <v>47</v>
      </c>
      <c r="B811">
        <v>8</v>
      </c>
      <c r="C811" t="s">
        <v>171</v>
      </c>
      <c r="D811">
        <v>73</v>
      </c>
      <c r="E811" t="s">
        <v>49</v>
      </c>
      <c r="F811">
        <v>27</v>
      </c>
      <c r="H811" t="s">
        <v>50</v>
      </c>
      <c r="K811" t="s">
        <v>51</v>
      </c>
      <c r="L811">
        <v>1</v>
      </c>
      <c r="M811" t="s">
        <v>53</v>
      </c>
      <c r="N811">
        <v>27</v>
      </c>
      <c r="O811">
        <v>1</v>
      </c>
      <c r="P811" t="s">
        <v>52</v>
      </c>
      <c r="Q811">
        <v>0</v>
      </c>
      <c r="R811">
        <v>0.75</v>
      </c>
      <c r="S811">
        <v>231</v>
      </c>
      <c r="T811" t="s">
        <v>284</v>
      </c>
      <c r="U811">
        <v>208</v>
      </c>
      <c r="V811" t="s">
        <v>284</v>
      </c>
      <c r="W811">
        <v>224</v>
      </c>
      <c r="X811" t="s">
        <v>284</v>
      </c>
      <c r="Y811">
        <v>225</v>
      </c>
      <c r="Z811" t="s">
        <v>285</v>
      </c>
      <c r="AA811">
        <v>247</v>
      </c>
      <c r="AB811" t="s">
        <v>285</v>
      </c>
      <c r="AC811">
        <v>241</v>
      </c>
      <c r="AD811" t="s">
        <v>285</v>
      </c>
      <c r="AE811">
        <v>219</v>
      </c>
      <c r="AF811" t="s">
        <v>285</v>
      </c>
      <c r="AG811">
        <v>219</v>
      </c>
      <c r="AH811" t="s">
        <v>286</v>
      </c>
      <c r="AI811" t="s">
        <v>287</v>
      </c>
      <c r="AX811">
        <v>263</v>
      </c>
      <c r="AY811" t="s">
        <v>286</v>
      </c>
      <c r="AZ811" t="s">
        <v>287</v>
      </c>
      <c r="BQ811" t="s">
        <v>52</v>
      </c>
      <c r="BR811">
        <v>3.7</v>
      </c>
      <c r="BS811" t="s">
        <v>284</v>
      </c>
      <c r="BT811">
        <v>3.4</v>
      </c>
      <c r="BU811" t="s">
        <v>284</v>
      </c>
      <c r="BV811">
        <v>2.11</v>
      </c>
      <c r="BW811" t="s">
        <v>284</v>
      </c>
      <c r="BX811">
        <v>2.74</v>
      </c>
      <c r="BY811" t="s">
        <v>284</v>
      </c>
      <c r="BZ811">
        <v>2.2999999999999998</v>
      </c>
      <c r="CA811" t="s">
        <v>289</v>
      </c>
      <c r="CF811">
        <v>2.81</v>
      </c>
      <c r="CG811" t="s">
        <v>54</v>
      </c>
      <c r="CH811" t="s">
        <v>52</v>
      </c>
    </row>
    <row r="812" spans="1:86" x14ac:dyDescent="0.25">
      <c r="A812" t="s">
        <v>47</v>
      </c>
      <c r="B812">
        <v>8</v>
      </c>
      <c r="C812" t="s">
        <v>171</v>
      </c>
      <c r="D812">
        <v>73</v>
      </c>
      <c r="E812" t="s">
        <v>49</v>
      </c>
      <c r="F812">
        <v>27</v>
      </c>
      <c r="H812" t="s">
        <v>50</v>
      </c>
      <c r="K812" t="s">
        <v>52</v>
      </c>
      <c r="L812">
        <v>1</v>
      </c>
      <c r="M812" t="s">
        <v>53</v>
      </c>
      <c r="N812">
        <v>27</v>
      </c>
      <c r="O812">
        <v>1</v>
      </c>
      <c r="P812" t="s">
        <v>52</v>
      </c>
      <c r="Q812">
        <v>0</v>
      </c>
      <c r="R812">
        <v>0.75</v>
      </c>
      <c r="S812">
        <v>231</v>
      </c>
      <c r="T812" t="s">
        <v>284</v>
      </c>
      <c r="U812">
        <v>208</v>
      </c>
      <c r="V812" t="s">
        <v>284</v>
      </c>
      <c r="W812">
        <v>224</v>
      </c>
      <c r="X812" t="s">
        <v>284</v>
      </c>
      <c r="Y812">
        <v>225</v>
      </c>
      <c r="Z812" t="s">
        <v>285</v>
      </c>
      <c r="AA812">
        <v>247</v>
      </c>
      <c r="AB812" t="s">
        <v>285</v>
      </c>
      <c r="AC812">
        <v>241</v>
      </c>
      <c r="AD812" t="s">
        <v>285</v>
      </c>
      <c r="AE812">
        <v>219</v>
      </c>
      <c r="AF812" t="s">
        <v>285</v>
      </c>
      <c r="AG812">
        <v>219</v>
      </c>
      <c r="AH812" t="s">
        <v>286</v>
      </c>
      <c r="AI812" t="s">
        <v>287</v>
      </c>
      <c r="AX812">
        <v>263</v>
      </c>
      <c r="AY812" t="s">
        <v>286</v>
      </c>
      <c r="AZ812" t="s">
        <v>287</v>
      </c>
      <c r="BQ812" t="s">
        <v>52</v>
      </c>
      <c r="BR812">
        <v>1.3</v>
      </c>
      <c r="BS812" t="s">
        <v>284</v>
      </c>
      <c r="BT812">
        <v>1.2</v>
      </c>
      <c r="BU812" t="s">
        <v>284</v>
      </c>
      <c r="BV812">
        <v>0.75</v>
      </c>
      <c r="BW812" t="s">
        <v>284</v>
      </c>
      <c r="BX812">
        <v>0.12</v>
      </c>
      <c r="BY812" t="s">
        <v>284</v>
      </c>
      <c r="BZ812">
        <v>0.14000000000000001</v>
      </c>
      <c r="CA812" t="s">
        <v>289</v>
      </c>
      <c r="CF812">
        <v>0.7</v>
      </c>
      <c r="CG812" t="s">
        <v>54</v>
      </c>
      <c r="CH812" t="s">
        <v>52</v>
      </c>
    </row>
    <row r="813" spans="1:86" x14ac:dyDescent="0.25">
      <c r="A813" t="s">
        <v>47</v>
      </c>
      <c r="B813">
        <v>8</v>
      </c>
      <c r="C813" t="s">
        <v>171</v>
      </c>
      <c r="D813">
        <v>73</v>
      </c>
      <c r="E813" t="s">
        <v>58</v>
      </c>
      <c r="F813">
        <v>102</v>
      </c>
      <c r="G813" t="s">
        <v>62</v>
      </c>
      <c r="H813" t="s">
        <v>50</v>
      </c>
      <c r="K813" t="s">
        <v>51</v>
      </c>
      <c r="L813">
        <v>1</v>
      </c>
      <c r="M813" t="s">
        <v>53</v>
      </c>
      <c r="N813">
        <v>102</v>
      </c>
      <c r="O813">
        <v>1</v>
      </c>
      <c r="P813" t="s">
        <v>52</v>
      </c>
      <c r="Q813">
        <v>0</v>
      </c>
      <c r="R813">
        <v>0.92</v>
      </c>
      <c r="S813">
        <v>131.69999999999999</v>
      </c>
      <c r="T813" t="s">
        <v>284</v>
      </c>
      <c r="U813">
        <v>170</v>
      </c>
      <c r="V813" t="s">
        <v>284</v>
      </c>
      <c r="W813">
        <v>191</v>
      </c>
      <c r="X813" t="s">
        <v>284</v>
      </c>
      <c r="Y813">
        <v>207</v>
      </c>
      <c r="Z813" t="s">
        <v>284</v>
      </c>
      <c r="AA813">
        <v>205</v>
      </c>
      <c r="AB813" t="s">
        <v>285</v>
      </c>
      <c r="AG813">
        <v>188.66669999999999</v>
      </c>
      <c r="AH813" t="s">
        <v>54</v>
      </c>
      <c r="AI813" t="s">
        <v>52</v>
      </c>
      <c r="AX813">
        <v>271.60000000000002</v>
      </c>
      <c r="AY813" t="s">
        <v>285</v>
      </c>
      <c r="AZ813" t="s">
        <v>287</v>
      </c>
      <c r="BQ813" t="s">
        <v>52</v>
      </c>
      <c r="BR813">
        <v>1.85</v>
      </c>
      <c r="BS813" t="s">
        <v>284</v>
      </c>
      <c r="BT813">
        <v>1.49</v>
      </c>
      <c r="BU813" t="s">
        <v>284</v>
      </c>
      <c r="BV813">
        <v>0.53</v>
      </c>
      <c r="BW813" t="s">
        <v>285</v>
      </c>
      <c r="BX813">
        <v>0.57999999999999996</v>
      </c>
      <c r="BY813" t="s">
        <v>285</v>
      </c>
      <c r="BZ813">
        <v>0.5</v>
      </c>
      <c r="CA813" t="s">
        <v>284</v>
      </c>
      <c r="CF813">
        <v>0.87</v>
      </c>
      <c r="CG813" t="s">
        <v>54</v>
      </c>
      <c r="CH813" t="s">
        <v>52</v>
      </c>
    </row>
    <row r="814" spans="1:86" x14ac:dyDescent="0.25">
      <c r="A814" t="s">
        <v>47</v>
      </c>
      <c r="B814">
        <v>8</v>
      </c>
      <c r="C814" t="s">
        <v>171</v>
      </c>
      <c r="D814">
        <v>73</v>
      </c>
      <c r="E814" t="s">
        <v>58</v>
      </c>
      <c r="F814">
        <v>102</v>
      </c>
      <c r="G814" t="s">
        <v>62</v>
      </c>
      <c r="H814" t="s">
        <v>50</v>
      </c>
      <c r="K814" t="s">
        <v>52</v>
      </c>
      <c r="L814">
        <v>1</v>
      </c>
      <c r="M814" t="s">
        <v>53</v>
      </c>
      <c r="N814">
        <v>102</v>
      </c>
      <c r="O814">
        <v>1</v>
      </c>
      <c r="P814" t="s">
        <v>52</v>
      </c>
      <c r="Q814">
        <v>0</v>
      </c>
      <c r="R814">
        <v>0.92</v>
      </c>
      <c r="S814">
        <v>131.69999999999999</v>
      </c>
      <c r="T814" t="s">
        <v>284</v>
      </c>
      <c r="U814">
        <v>170</v>
      </c>
      <c r="V814" t="s">
        <v>284</v>
      </c>
      <c r="W814">
        <v>191</v>
      </c>
      <c r="X814" t="s">
        <v>284</v>
      </c>
      <c r="Y814">
        <v>207</v>
      </c>
      <c r="Z814" t="s">
        <v>284</v>
      </c>
      <c r="AA814">
        <v>205</v>
      </c>
      <c r="AB814" t="s">
        <v>285</v>
      </c>
      <c r="AG814">
        <v>188.66669999999999</v>
      </c>
      <c r="AH814" t="s">
        <v>54</v>
      </c>
      <c r="AI814" t="s">
        <v>52</v>
      </c>
      <c r="AX814">
        <v>271.60000000000002</v>
      </c>
      <c r="AY814" t="s">
        <v>285</v>
      </c>
      <c r="AZ814" t="s">
        <v>287</v>
      </c>
      <c r="BQ814" t="s">
        <v>52</v>
      </c>
      <c r="BR814">
        <v>0.68</v>
      </c>
      <c r="BS814" t="s">
        <v>285</v>
      </c>
      <c r="BT814">
        <v>0.69</v>
      </c>
      <c r="BU814" t="s">
        <v>285</v>
      </c>
      <c r="BV814">
        <v>0.14000000000000001</v>
      </c>
      <c r="BW814" t="s">
        <v>285</v>
      </c>
      <c r="BX814">
        <v>0.44</v>
      </c>
      <c r="BY814" t="s">
        <v>285</v>
      </c>
      <c r="BZ814">
        <v>0.38</v>
      </c>
      <c r="CA814" t="s">
        <v>284</v>
      </c>
      <c r="CF814">
        <v>0.5</v>
      </c>
      <c r="CG814" t="s">
        <v>54</v>
      </c>
      <c r="CH814" t="s">
        <v>52</v>
      </c>
    </row>
    <row r="815" spans="1:86" x14ac:dyDescent="0.25">
      <c r="A815" t="s">
        <v>47</v>
      </c>
      <c r="B815">
        <v>8</v>
      </c>
      <c r="C815" t="s">
        <v>171</v>
      </c>
      <c r="D815">
        <v>73</v>
      </c>
      <c r="E815" t="s">
        <v>68</v>
      </c>
      <c r="F815">
        <v>80</v>
      </c>
      <c r="G815" t="s">
        <v>69</v>
      </c>
      <c r="H815" t="s">
        <v>50</v>
      </c>
      <c r="K815" t="s">
        <v>52</v>
      </c>
      <c r="L815">
        <v>1</v>
      </c>
      <c r="M815" t="s">
        <v>53</v>
      </c>
      <c r="N815">
        <v>80</v>
      </c>
      <c r="O815">
        <v>1</v>
      </c>
      <c r="P815" t="s">
        <v>52</v>
      </c>
      <c r="Q815">
        <v>0.5</v>
      </c>
      <c r="R815">
        <v>0.75</v>
      </c>
      <c r="S815">
        <v>202.92</v>
      </c>
      <c r="T815" t="s">
        <v>284</v>
      </c>
      <c r="U815">
        <v>198.9</v>
      </c>
      <c r="V815" t="s">
        <v>284</v>
      </c>
      <c r="W815">
        <v>212.4</v>
      </c>
      <c r="X815" t="s">
        <v>284</v>
      </c>
      <c r="Y815">
        <v>219.6</v>
      </c>
      <c r="Z815" t="s">
        <v>284</v>
      </c>
      <c r="AA815">
        <v>178</v>
      </c>
      <c r="AB815" t="s">
        <v>284</v>
      </c>
      <c r="AG815">
        <v>204.74</v>
      </c>
      <c r="AH815" t="s">
        <v>54</v>
      </c>
      <c r="AI815" t="s">
        <v>52</v>
      </c>
      <c r="AZ815" t="s">
        <v>52</v>
      </c>
      <c r="BQ815" t="s">
        <v>52</v>
      </c>
      <c r="BR815">
        <v>0.65</v>
      </c>
      <c r="BS815" t="s">
        <v>285</v>
      </c>
      <c r="BT815">
        <v>1.04</v>
      </c>
      <c r="BU815" t="s">
        <v>285</v>
      </c>
      <c r="BV815">
        <v>0.49</v>
      </c>
      <c r="BW815" t="s">
        <v>284</v>
      </c>
      <c r="BX815">
        <v>1.07</v>
      </c>
      <c r="BY815" t="s">
        <v>284</v>
      </c>
      <c r="BZ815">
        <v>0.93</v>
      </c>
      <c r="CA815" t="s">
        <v>285</v>
      </c>
      <c r="CF815">
        <v>0.87</v>
      </c>
      <c r="CG815" t="s">
        <v>54</v>
      </c>
      <c r="CH815" t="s">
        <v>52</v>
      </c>
    </row>
    <row r="816" spans="1:86" x14ac:dyDescent="0.25">
      <c r="A816" t="s">
        <v>47</v>
      </c>
      <c r="B816">
        <v>8</v>
      </c>
      <c r="C816" t="s">
        <v>171</v>
      </c>
      <c r="D816">
        <v>73</v>
      </c>
      <c r="E816" t="s">
        <v>68</v>
      </c>
      <c r="F816">
        <v>80</v>
      </c>
      <c r="G816" t="s">
        <v>105</v>
      </c>
      <c r="H816" t="s">
        <v>50</v>
      </c>
      <c r="K816" t="s">
        <v>52</v>
      </c>
      <c r="L816">
        <v>1</v>
      </c>
      <c r="M816" t="s">
        <v>53</v>
      </c>
      <c r="N816">
        <v>80</v>
      </c>
      <c r="O816">
        <v>1</v>
      </c>
      <c r="P816" t="s">
        <v>52</v>
      </c>
      <c r="Q816">
        <v>0.5</v>
      </c>
      <c r="R816">
        <v>0.75</v>
      </c>
      <c r="S816">
        <v>228</v>
      </c>
      <c r="T816" t="s">
        <v>285</v>
      </c>
      <c r="U816">
        <v>221</v>
      </c>
      <c r="V816" t="s">
        <v>285</v>
      </c>
      <c r="W816">
        <v>212.4</v>
      </c>
      <c r="X816" t="s">
        <v>284</v>
      </c>
      <c r="Y816">
        <v>219.6</v>
      </c>
      <c r="Z816" t="s">
        <v>284</v>
      </c>
      <c r="AA816">
        <v>178</v>
      </c>
      <c r="AB816" t="s">
        <v>285</v>
      </c>
      <c r="AG816">
        <v>217.66669999999999</v>
      </c>
      <c r="AH816" t="s">
        <v>54</v>
      </c>
      <c r="AI816" t="s">
        <v>52</v>
      </c>
      <c r="AZ816" t="s">
        <v>52</v>
      </c>
      <c r="BQ816" t="s">
        <v>52</v>
      </c>
      <c r="BR816">
        <v>0.65</v>
      </c>
      <c r="BS816" t="s">
        <v>285</v>
      </c>
      <c r="BT816">
        <v>1.03</v>
      </c>
      <c r="BU816" t="s">
        <v>284</v>
      </c>
      <c r="BV816">
        <v>0.49</v>
      </c>
      <c r="BW816" t="s">
        <v>284</v>
      </c>
      <c r="BX816">
        <v>1.06</v>
      </c>
      <c r="BY816" t="s">
        <v>284</v>
      </c>
      <c r="BZ816">
        <v>0.92</v>
      </c>
      <c r="CA816" t="s">
        <v>285</v>
      </c>
      <c r="CF816">
        <v>0.87</v>
      </c>
      <c r="CG816" t="s">
        <v>54</v>
      </c>
      <c r="CH816" t="s">
        <v>52</v>
      </c>
    </row>
    <row r="817" spans="1:86" x14ac:dyDescent="0.25">
      <c r="A817" t="s">
        <v>47</v>
      </c>
      <c r="B817">
        <v>8</v>
      </c>
      <c r="C817" t="s">
        <v>171</v>
      </c>
      <c r="D817">
        <v>73</v>
      </c>
      <c r="E817" t="s">
        <v>70</v>
      </c>
      <c r="F817">
        <v>296</v>
      </c>
      <c r="G817" t="s">
        <v>71</v>
      </c>
      <c r="H817" t="s">
        <v>50</v>
      </c>
      <c r="K817" t="s">
        <v>52</v>
      </c>
      <c r="L817">
        <v>1</v>
      </c>
      <c r="M817" t="s">
        <v>53</v>
      </c>
      <c r="N817">
        <v>296</v>
      </c>
      <c r="O817">
        <v>1</v>
      </c>
      <c r="P817" t="s">
        <v>52</v>
      </c>
      <c r="Q817">
        <v>0</v>
      </c>
      <c r="R817">
        <v>0.75</v>
      </c>
      <c r="S817">
        <v>228</v>
      </c>
      <c r="T817" t="s">
        <v>284</v>
      </c>
      <c r="U817">
        <v>190</v>
      </c>
      <c r="V817" t="s">
        <v>285</v>
      </c>
      <c r="W817">
        <v>194</v>
      </c>
      <c r="X817" t="s">
        <v>285</v>
      </c>
      <c r="Y817">
        <v>225</v>
      </c>
      <c r="Z817" t="s">
        <v>285</v>
      </c>
      <c r="AA817">
        <v>247</v>
      </c>
      <c r="AB817" t="s">
        <v>285</v>
      </c>
      <c r="AC817">
        <v>241</v>
      </c>
      <c r="AD817" t="s">
        <v>285</v>
      </c>
      <c r="AE817">
        <v>219</v>
      </c>
      <c r="AF817" t="s">
        <v>285</v>
      </c>
      <c r="AG817">
        <v>219</v>
      </c>
      <c r="AH817" t="s">
        <v>286</v>
      </c>
      <c r="AI817" t="s">
        <v>287</v>
      </c>
      <c r="AX817">
        <v>263</v>
      </c>
      <c r="AY817" t="s">
        <v>286</v>
      </c>
      <c r="AZ817" t="s">
        <v>287</v>
      </c>
      <c r="BQ817" t="s">
        <v>52</v>
      </c>
      <c r="BR817">
        <v>0.65</v>
      </c>
      <c r="BS817" t="s">
        <v>284</v>
      </c>
      <c r="BT817">
        <v>0.83</v>
      </c>
      <c r="BU817" t="s">
        <v>285</v>
      </c>
      <c r="BV817">
        <v>0.25</v>
      </c>
      <c r="BW817" t="s">
        <v>285</v>
      </c>
      <c r="BX817">
        <v>0.22</v>
      </c>
      <c r="BY817" t="s">
        <v>284</v>
      </c>
      <c r="BZ817">
        <v>0.22</v>
      </c>
      <c r="CA817" t="s">
        <v>284</v>
      </c>
      <c r="CF817">
        <v>0.37</v>
      </c>
      <c r="CG817" t="s">
        <v>54</v>
      </c>
      <c r="CH817" t="s">
        <v>52</v>
      </c>
    </row>
    <row r="818" spans="1:86" x14ac:dyDescent="0.25">
      <c r="A818" t="s">
        <v>47</v>
      </c>
      <c r="B818">
        <v>8</v>
      </c>
      <c r="C818" t="s">
        <v>171</v>
      </c>
      <c r="D818">
        <v>73</v>
      </c>
      <c r="E818" t="s">
        <v>75</v>
      </c>
      <c r="F818">
        <v>16</v>
      </c>
      <c r="G818" t="s">
        <v>76</v>
      </c>
      <c r="H818" t="s">
        <v>50</v>
      </c>
      <c r="K818" t="s">
        <v>51</v>
      </c>
      <c r="L818">
        <v>1</v>
      </c>
      <c r="M818" t="s">
        <v>53</v>
      </c>
      <c r="N818">
        <v>16</v>
      </c>
      <c r="O818">
        <v>2</v>
      </c>
      <c r="P818" t="s">
        <v>52</v>
      </c>
      <c r="Q818">
        <v>0.5</v>
      </c>
      <c r="R818">
        <v>0.75</v>
      </c>
      <c r="S818">
        <v>83.35</v>
      </c>
      <c r="T818" t="s">
        <v>285</v>
      </c>
      <c r="U818">
        <v>96.14</v>
      </c>
      <c r="V818" t="s">
        <v>284</v>
      </c>
      <c r="W818">
        <v>103.37</v>
      </c>
      <c r="X818" t="s">
        <v>284</v>
      </c>
      <c r="Y818">
        <v>106.14</v>
      </c>
      <c r="Z818" t="s">
        <v>284</v>
      </c>
      <c r="AA818">
        <v>128</v>
      </c>
      <c r="AB818" t="s">
        <v>285</v>
      </c>
      <c r="AG818">
        <v>101.88330000000001</v>
      </c>
      <c r="AH818" t="s">
        <v>54</v>
      </c>
      <c r="AI818" t="s">
        <v>52</v>
      </c>
      <c r="AX818">
        <v>146.69999999999999</v>
      </c>
      <c r="AY818" t="s">
        <v>285</v>
      </c>
      <c r="AZ818" t="s">
        <v>287</v>
      </c>
      <c r="BQ818" t="s">
        <v>52</v>
      </c>
      <c r="BR818">
        <v>1.85</v>
      </c>
      <c r="BS818" t="s">
        <v>284</v>
      </c>
      <c r="BT818">
        <v>1.35</v>
      </c>
      <c r="BU818" t="s">
        <v>284</v>
      </c>
      <c r="BV818">
        <v>1.1299999999999999</v>
      </c>
      <c r="BW818" t="s">
        <v>284</v>
      </c>
      <c r="BX818">
        <v>1.85</v>
      </c>
      <c r="BY818" t="s">
        <v>284</v>
      </c>
      <c r="BZ818">
        <v>2.16</v>
      </c>
      <c r="CA818" t="s">
        <v>289</v>
      </c>
      <c r="CF818">
        <v>1.68</v>
      </c>
      <c r="CG818" t="s">
        <v>54</v>
      </c>
      <c r="CH818" t="s">
        <v>52</v>
      </c>
    </row>
    <row r="819" spans="1:86" x14ac:dyDescent="0.25">
      <c r="A819" t="s">
        <v>47</v>
      </c>
      <c r="B819">
        <v>8</v>
      </c>
      <c r="C819" t="s">
        <v>171</v>
      </c>
      <c r="D819">
        <v>73</v>
      </c>
      <c r="E819" t="s">
        <v>75</v>
      </c>
      <c r="F819">
        <v>16</v>
      </c>
      <c r="G819" t="s">
        <v>76</v>
      </c>
      <c r="H819" t="s">
        <v>50</v>
      </c>
      <c r="K819" t="s">
        <v>52</v>
      </c>
      <c r="L819">
        <v>1</v>
      </c>
      <c r="M819" t="s">
        <v>53</v>
      </c>
      <c r="N819">
        <v>16</v>
      </c>
      <c r="O819">
        <v>2</v>
      </c>
      <c r="P819" t="s">
        <v>52</v>
      </c>
      <c r="Q819">
        <v>0.5</v>
      </c>
      <c r="R819">
        <v>0.75</v>
      </c>
      <c r="S819">
        <v>83.35</v>
      </c>
      <c r="T819" t="s">
        <v>285</v>
      </c>
      <c r="U819">
        <v>96.14</v>
      </c>
      <c r="V819" t="s">
        <v>284</v>
      </c>
      <c r="W819">
        <v>103.37</v>
      </c>
      <c r="X819" t="s">
        <v>284</v>
      </c>
      <c r="Y819">
        <v>106.14</v>
      </c>
      <c r="Z819" t="s">
        <v>284</v>
      </c>
      <c r="AA819">
        <v>128</v>
      </c>
      <c r="AB819" t="s">
        <v>285</v>
      </c>
      <c r="AG819">
        <v>101.88330000000001</v>
      </c>
      <c r="AH819" t="s">
        <v>54</v>
      </c>
      <c r="AI819" t="s">
        <v>52</v>
      </c>
      <c r="AX819">
        <v>146.69999999999999</v>
      </c>
      <c r="AY819" t="s">
        <v>285</v>
      </c>
      <c r="AZ819" t="s">
        <v>287</v>
      </c>
      <c r="BQ819" t="s">
        <v>52</v>
      </c>
      <c r="BR819">
        <v>0.65</v>
      </c>
      <c r="BS819" t="s">
        <v>284</v>
      </c>
      <c r="BT819">
        <v>0.78</v>
      </c>
      <c r="BU819" t="s">
        <v>284</v>
      </c>
      <c r="BV819">
        <v>1.4</v>
      </c>
      <c r="BW819" t="s">
        <v>284</v>
      </c>
      <c r="BX819">
        <v>1.44</v>
      </c>
      <c r="BY819" t="s">
        <v>284</v>
      </c>
      <c r="BZ819">
        <v>0.3</v>
      </c>
      <c r="CA819" t="s">
        <v>289</v>
      </c>
      <c r="CF819">
        <v>0.94</v>
      </c>
      <c r="CG819" t="s">
        <v>54</v>
      </c>
      <c r="CH819" t="s">
        <v>52</v>
      </c>
    </row>
    <row r="820" spans="1:86" x14ac:dyDescent="0.25">
      <c r="A820" t="s">
        <v>47</v>
      </c>
      <c r="B820">
        <v>8</v>
      </c>
      <c r="C820" t="s">
        <v>171</v>
      </c>
      <c r="D820">
        <v>73</v>
      </c>
      <c r="E820" t="s">
        <v>125</v>
      </c>
      <c r="F820">
        <v>67</v>
      </c>
      <c r="G820" t="s">
        <v>111</v>
      </c>
      <c r="H820" t="s">
        <v>50</v>
      </c>
      <c r="K820" t="s">
        <v>52</v>
      </c>
      <c r="L820">
        <v>1</v>
      </c>
      <c r="M820" t="s">
        <v>53</v>
      </c>
      <c r="N820">
        <v>67</v>
      </c>
      <c r="O820">
        <v>1</v>
      </c>
      <c r="P820" t="s">
        <v>52</v>
      </c>
      <c r="Q820">
        <v>0.5</v>
      </c>
      <c r="R820">
        <v>0.87</v>
      </c>
      <c r="S820">
        <v>228</v>
      </c>
      <c r="T820" t="s">
        <v>284</v>
      </c>
      <c r="AI820" t="s">
        <v>52</v>
      </c>
      <c r="AZ820" t="s">
        <v>52</v>
      </c>
      <c r="BQ820" t="s">
        <v>52</v>
      </c>
      <c r="BR820">
        <v>0.93</v>
      </c>
      <c r="BS820" t="s">
        <v>285</v>
      </c>
      <c r="CH820" t="s">
        <v>52</v>
      </c>
    </row>
    <row r="821" spans="1:86" x14ac:dyDescent="0.25">
      <c r="A821" t="s">
        <v>47</v>
      </c>
      <c r="B821">
        <v>8</v>
      </c>
      <c r="C821" t="s">
        <v>171</v>
      </c>
      <c r="D821">
        <v>73</v>
      </c>
      <c r="E821" t="s">
        <v>79</v>
      </c>
      <c r="F821">
        <v>50</v>
      </c>
      <c r="G821" t="s">
        <v>100</v>
      </c>
      <c r="H821" t="s">
        <v>50</v>
      </c>
      <c r="K821" t="s">
        <v>51</v>
      </c>
      <c r="L821">
        <v>1</v>
      </c>
      <c r="M821" t="s">
        <v>53</v>
      </c>
      <c r="N821">
        <v>50</v>
      </c>
      <c r="O821">
        <v>1</v>
      </c>
      <c r="P821" t="s">
        <v>52</v>
      </c>
      <c r="Q821">
        <v>0.5</v>
      </c>
      <c r="R821">
        <v>0.75</v>
      </c>
      <c r="S821">
        <v>85</v>
      </c>
      <c r="T821" t="s">
        <v>285</v>
      </c>
      <c r="U821">
        <v>93</v>
      </c>
      <c r="V821" t="s">
        <v>284</v>
      </c>
      <c r="W821">
        <v>89.7</v>
      </c>
      <c r="X821" t="s">
        <v>284</v>
      </c>
      <c r="Y821">
        <v>92.72</v>
      </c>
      <c r="Z821" t="s">
        <v>284</v>
      </c>
      <c r="AA821">
        <v>109</v>
      </c>
      <c r="AB821" t="s">
        <v>285</v>
      </c>
      <c r="AG821">
        <v>91.806700000000006</v>
      </c>
      <c r="AH821" t="s">
        <v>54</v>
      </c>
      <c r="AI821" t="s">
        <v>52</v>
      </c>
      <c r="AZ821" t="s">
        <v>52</v>
      </c>
      <c r="BQ821" t="s">
        <v>52</v>
      </c>
      <c r="BR821">
        <v>2.6</v>
      </c>
      <c r="BS821" t="s">
        <v>289</v>
      </c>
      <c r="BT821">
        <v>1.53</v>
      </c>
      <c r="BU821" t="s">
        <v>284</v>
      </c>
      <c r="BV821">
        <v>2.2000000000000002</v>
      </c>
      <c r="BW821" t="s">
        <v>284</v>
      </c>
      <c r="BX821">
        <v>2.09</v>
      </c>
      <c r="BY821" t="s">
        <v>284</v>
      </c>
      <c r="BZ821">
        <v>2.74</v>
      </c>
      <c r="CA821" t="s">
        <v>289</v>
      </c>
      <c r="CF821">
        <v>2.2999999999999998</v>
      </c>
      <c r="CG821" t="s">
        <v>54</v>
      </c>
      <c r="CH821" t="s">
        <v>52</v>
      </c>
    </row>
    <row r="822" spans="1:86" x14ac:dyDescent="0.25">
      <c r="A822" t="s">
        <v>47</v>
      </c>
      <c r="B822">
        <v>8</v>
      </c>
      <c r="C822" t="s">
        <v>171</v>
      </c>
      <c r="D822">
        <v>73</v>
      </c>
      <c r="E822" t="s">
        <v>79</v>
      </c>
      <c r="F822">
        <v>50</v>
      </c>
      <c r="G822" t="s">
        <v>80</v>
      </c>
      <c r="H822" t="s">
        <v>50</v>
      </c>
      <c r="K822" t="s">
        <v>51</v>
      </c>
      <c r="L822">
        <v>1</v>
      </c>
      <c r="M822" t="s">
        <v>53</v>
      </c>
      <c r="N822">
        <v>50</v>
      </c>
      <c r="O822">
        <v>1</v>
      </c>
      <c r="P822" t="s">
        <v>52</v>
      </c>
      <c r="Q822">
        <v>0.5</v>
      </c>
      <c r="R822">
        <v>0.75</v>
      </c>
      <c r="S822">
        <v>85</v>
      </c>
      <c r="T822" t="s">
        <v>285</v>
      </c>
      <c r="U822">
        <v>93</v>
      </c>
      <c r="V822" t="s">
        <v>284</v>
      </c>
      <c r="W822">
        <v>89.7</v>
      </c>
      <c r="X822" t="s">
        <v>284</v>
      </c>
      <c r="Y822">
        <v>92.72</v>
      </c>
      <c r="Z822" t="s">
        <v>284</v>
      </c>
      <c r="AA822">
        <v>109</v>
      </c>
      <c r="AB822" t="s">
        <v>285</v>
      </c>
      <c r="AG822">
        <v>91.806700000000006</v>
      </c>
      <c r="AH822" t="s">
        <v>54</v>
      </c>
      <c r="AI822" t="s">
        <v>52</v>
      </c>
      <c r="AZ822" t="s">
        <v>52</v>
      </c>
      <c r="BQ822" t="s">
        <v>52</v>
      </c>
      <c r="BR822">
        <v>4.4800000000000004</v>
      </c>
      <c r="BS822" t="s">
        <v>289</v>
      </c>
      <c r="BT822">
        <v>2.02</v>
      </c>
      <c r="BU822" t="s">
        <v>284</v>
      </c>
      <c r="BV822">
        <v>2.91</v>
      </c>
      <c r="BW822" t="s">
        <v>284</v>
      </c>
      <c r="BX822">
        <v>2.77</v>
      </c>
      <c r="BY822" t="s">
        <v>284</v>
      </c>
      <c r="BZ822">
        <v>3.63</v>
      </c>
      <c r="CA822" t="s">
        <v>289</v>
      </c>
      <c r="CF822">
        <v>3.1</v>
      </c>
      <c r="CG822" t="s">
        <v>54</v>
      </c>
      <c r="CH822" t="s">
        <v>52</v>
      </c>
    </row>
    <row r="823" spans="1:86" x14ac:dyDescent="0.25">
      <c r="A823" t="s">
        <v>47</v>
      </c>
      <c r="B823">
        <v>8</v>
      </c>
      <c r="C823" t="s">
        <v>171</v>
      </c>
      <c r="D823">
        <v>73</v>
      </c>
      <c r="E823" t="s">
        <v>79</v>
      </c>
      <c r="F823">
        <v>50</v>
      </c>
      <c r="G823" t="s">
        <v>80</v>
      </c>
      <c r="H823" t="s">
        <v>50</v>
      </c>
      <c r="K823" t="s">
        <v>52</v>
      </c>
      <c r="L823">
        <v>1</v>
      </c>
      <c r="M823" t="s">
        <v>53</v>
      </c>
      <c r="N823">
        <v>50</v>
      </c>
      <c r="O823">
        <v>1</v>
      </c>
      <c r="P823" t="s">
        <v>52</v>
      </c>
      <c r="Q823">
        <v>0.5</v>
      </c>
      <c r="R823">
        <v>0.75</v>
      </c>
      <c r="S823">
        <v>85</v>
      </c>
      <c r="T823" t="s">
        <v>285</v>
      </c>
      <c r="U823">
        <v>93</v>
      </c>
      <c r="V823" t="s">
        <v>284</v>
      </c>
      <c r="W823">
        <v>89.7</v>
      </c>
      <c r="X823" t="s">
        <v>284</v>
      </c>
      <c r="Y823">
        <v>92.72</v>
      </c>
      <c r="Z823" t="s">
        <v>284</v>
      </c>
      <c r="AA823">
        <v>109</v>
      </c>
      <c r="AB823" t="s">
        <v>285</v>
      </c>
      <c r="AG823">
        <v>91.806700000000006</v>
      </c>
      <c r="AH823" t="s">
        <v>54</v>
      </c>
      <c r="AI823" t="s">
        <v>52</v>
      </c>
      <c r="AZ823" t="s">
        <v>52</v>
      </c>
      <c r="BQ823" t="s">
        <v>52</v>
      </c>
      <c r="BR823">
        <v>0.75</v>
      </c>
      <c r="BS823" t="s">
        <v>289</v>
      </c>
      <c r="BT823">
        <v>1.0900000000000001</v>
      </c>
      <c r="BU823" t="s">
        <v>285</v>
      </c>
      <c r="BV823">
        <v>1.18</v>
      </c>
      <c r="BW823" t="s">
        <v>284</v>
      </c>
      <c r="BX823">
        <v>1.23</v>
      </c>
      <c r="BY823" t="s">
        <v>285</v>
      </c>
      <c r="BZ823">
        <v>0.18</v>
      </c>
      <c r="CA823" t="s">
        <v>289</v>
      </c>
      <c r="CF823">
        <v>1.01</v>
      </c>
      <c r="CG823" t="s">
        <v>54</v>
      </c>
      <c r="CH823" t="s">
        <v>52</v>
      </c>
    </row>
    <row r="824" spans="1:86" x14ac:dyDescent="0.25">
      <c r="A824" t="s">
        <v>47</v>
      </c>
      <c r="B824">
        <v>8</v>
      </c>
      <c r="C824" t="s">
        <v>171</v>
      </c>
      <c r="D824">
        <v>73</v>
      </c>
      <c r="E824" t="s">
        <v>79</v>
      </c>
      <c r="F824">
        <v>50</v>
      </c>
      <c r="G824" t="s">
        <v>65</v>
      </c>
      <c r="H824" t="s">
        <v>50</v>
      </c>
      <c r="K824" t="s">
        <v>51</v>
      </c>
      <c r="L824">
        <v>1</v>
      </c>
      <c r="M824" t="s">
        <v>53</v>
      </c>
      <c r="N824">
        <v>50</v>
      </c>
      <c r="O824">
        <v>1</v>
      </c>
      <c r="P824" t="s">
        <v>52</v>
      </c>
      <c r="Q824">
        <v>0.5</v>
      </c>
      <c r="R824">
        <v>0.75</v>
      </c>
      <c r="S824">
        <v>85</v>
      </c>
      <c r="T824" t="s">
        <v>285</v>
      </c>
      <c r="U824">
        <v>93</v>
      </c>
      <c r="V824" t="s">
        <v>284</v>
      </c>
      <c r="W824">
        <v>89.7</v>
      </c>
      <c r="X824" t="s">
        <v>284</v>
      </c>
      <c r="Y824">
        <v>92.72</v>
      </c>
      <c r="Z824" t="s">
        <v>284</v>
      </c>
      <c r="AA824">
        <v>109</v>
      </c>
      <c r="AB824" t="s">
        <v>285</v>
      </c>
      <c r="AG824">
        <v>91.806700000000006</v>
      </c>
      <c r="AH824" t="s">
        <v>54</v>
      </c>
      <c r="AI824" t="s">
        <v>52</v>
      </c>
      <c r="AZ824" t="s">
        <v>52</v>
      </c>
      <c r="BQ824" t="s">
        <v>52</v>
      </c>
      <c r="BR824">
        <v>3.57</v>
      </c>
      <c r="BS824" t="s">
        <v>289</v>
      </c>
      <c r="BT824">
        <v>1.71</v>
      </c>
      <c r="BU824" t="s">
        <v>284</v>
      </c>
      <c r="BV824">
        <v>2.46</v>
      </c>
      <c r="BW824" t="s">
        <v>284</v>
      </c>
      <c r="BX824">
        <v>2.33</v>
      </c>
      <c r="BY824" t="s">
        <v>284</v>
      </c>
      <c r="BZ824">
        <v>3.05</v>
      </c>
      <c r="CA824" t="s">
        <v>289</v>
      </c>
      <c r="CF824">
        <v>2.61</v>
      </c>
      <c r="CG824" t="s">
        <v>54</v>
      </c>
      <c r="CH824" t="s">
        <v>52</v>
      </c>
    </row>
    <row r="825" spans="1:86" x14ac:dyDescent="0.25">
      <c r="A825" t="s">
        <v>47</v>
      </c>
      <c r="B825">
        <v>8</v>
      </c>
      <c r="C825" t="s">
        <v>171</v>
      </c>
      <c r="D825">
        <v>73</v>
      </c>
      <c r="E825" t="s">
        <v>79</v>
      </c>
      <c r="F825">
        <v>50</v>
      </c>
      <c r="G825" t="s">
        <v>65</v>
      </c>
      <c r="H825" t="s">
        <v>50</v>
      </c>
      <c r="K825" t="s">
        <v>52</v>
      </c>
      <c r="L825">
        <v>1</v>
      </c>
      <c r="M825" t="s">
        <v>53</v>
      </c>
      <c r="N825">
        <v>50</v>
      </c>
      <c r="O825">
        <v>1</v>
      </c>
      <c r="P825" t="s">
        <v>52</v>
      </c>
      <c r="Q825">
        <v>0.5</v>
      </c>
      <c r="R825">
        <v>0.75</v>
      </c>
      <c r="S825">
        <v>85</v>
      </c>
      <c r="T825" t="s">
        <v>285</v>
      </c>
      <c r="U825">
        <v>93</v>
      </c>
      <c r="V825" t="s">
        <v>284</v>
      </c>
      <c r="W825">
        <v>89.7</v>
      </c>
      <c r="X825" t="s">
        <v>284</v>
      </c>
      <c r="Y825">
        <v>92.72</v>
      </c>
      <c r="Z825" t="s">
        <v>284</v>
      </c>
      <c r="AA825">
        <v>109</v>
      </c>
      <c r="AB825" t="s">
        <v>285</v>
      </c>
      <c r="AG825">
        <v>91.806700000000006</v>
      </c>
      <c r="AH825" t="s">
        <v>54</v>
      </c>
      <c r="AI825" t="s">
        <v>52</v>
      </c>
      <c r="AZ825" t="s">
        <v>52</v>
      </c>
      <c r="BQ825" t="s">
        <v>52</v>
      </c>
      <c r="BR825">
        <v>0.62</v>
      </c>
      <c r="BS825" t="s">
        <v>288</v>
      </c>
      <c r="BT825">
        <v>0.85</v>
      </c>
      <c r="BU825" t="s">
        <v>285</v>
      </c>
      <c r="BV825">
        <v>0.76</v>
      </c>
      <c r="BW825" t="s">
        <v>285</v>
      </c>
      <c r="BX825">
        <v>1</v>
      </c>
      <c r="BY825" t="s">
        <v>285</v>
      </c>
      <c r="BZ825">
        <v>0.18</v>
      </c>
      <c r="CA825" t="s">
        <v>288</v>
      </c>
      <c r="CF825">
        <v>0.74</v>
      </c>
      <c r="CG825" t="s">
        <v>54</v>
      </c>
      <c r="CH825" t="s">
        <v>52</v>
      </c>
    </row>
    <row r="826" spans="1:86" x14ac:dyDescent="0.25">
      <c r="A826" t="s">
        <v>47</v>
      </c>
      <c r="B826">
        <v>8</v>
      </c>
      <c r="C826" t="s">
        <v>171</v>
      </c>
      <c r="D826">
        <v>73</v>
      </c>
      <c r="E826" t="s">
        <v>79</v>
      </c>
      <c r="F826">
        <v>50</v>
      </c>
      <c r="G826" t="s">
        <v>81</v>
      </c>
      <c r="H826" t="s">
        <v>50</v>
      </c>
      <c r="K826" t="s">
        <v>51</v>
      </c>
      <c r="L826">
        <v>1</v>
      </c>
      <c r="M826" t="s">
        <v>53</v>
      </c>
      <c r="N826">
        <v>50</v>
      </c>
      <c r="O826">
        <v>1</v>
      </c>
      <c r="P826" t="s">
        <v>52</v>
      </c>
      <c r="Q826">
        <v>0.5</v>
      </c>
      <c r="R826">
        <v>0.75</v>
      </c>
      <c r="S826">
        <v>85</v>
      </c>
      <c r="T826" t="s">
        <v>285</v>
      </c>
      <c r="U826">
        <v>93</v>
      </c>
      <c r="V826" t="s">
        <v>284</v>
      </c>
      <c r="W826">
        <v>89.7</v>
      </c>
      <c r="X826" t="s">
        <v>284</v>
      </c>
      <c r="Y826">
        <v>92.72</v>
      </c>
      <c r="Z826" t="s">
        <v>284</v>
      </c>
      <c r="AA826">
        <v>109</v>
      </c>
      <c r="AB826" t="s">
        <v>285</v>
      </c>
      <c r="AG826">
        <v>91.806700000000006</v>
      </c>
      <c r="AH826" t="s">
        <v>54</v>
      </c>
      <c r="AI826" t="s">
        <v>52</v>
      </c>
      <c r="AZ826" t="s">
        <v>52</v>
      </c>
      <c r="BQ826" t="s">
        <v>52</v>
      </c>
      <c r="BR826">
        <v>2.74</v>
      </c>
      <c r="BS826" t="s">
        <v>289</v>
      </c>
      <c r="BT826">
        <v>1.55</v>
      </c>
      <c r="BU826" t="s">
        <v>284</v>
      </c>
      <c r="BV826">
        <v>2.2400000000000002</v>
      </c>
      <c r="BW826" t="s">
        <v>284</v>
      </c>
      <c r="BX826">
        <v>2.12</v>
      </c>
      <c r="BY826" t="s">
        <v>284</v>
      </c>
      <c r="BZ826">
        <v>2.78</v>
      </c>
      <c r="CA826" t="s">
        <v>289</v>
      </c>
      <c r="CF826">
        <v>2.37</v>
      </c>
      <c r="CG826" t="s">
        <v>54</v>
      </c>
      <c r="CH826" t="s">
        <v>52</v>
      </c>
    </row>
    <row r="827" spans="1:86" x14ac:dyDescent="0.25">
      <c r="A827" t="s">
        <v>47</v>
      </c>
      <c r="B827">
        <v>8</v>
      </c>
      <c r="C827" t="s">
        <v>171</v>
      </c>
      <c r="D827">
        <v>73</v>
      </c>
      <c r="E827" t="s">
        <v>79</v>
      </c>
      <c r="F827">
        <v>50</v>
      </c>
      <c r="G827" t="s">
        <v>81</v>
      </c>
      <c r="H827" t="s">
        <v>50</v>
      </c>
      <c r="K827" t="s">
        <v>52</v>
      </c>
      <c r="L827">
        <v>1</v>
      </c>
      <c r="M827" t="s">
        <v>53</v>
      </c>
      <c r="N827">
        <v>50</v>
      </c>
      <c r="O827">
        <v>1</v>
      </c>
      <c r="P827" t="s">
        <v>52</v>
      </c>
      <c r="Q827">
        <v>0.5</v>
      </c>
      <c r="R827">
        <v>0.75</v>
      </c>
      <c r="S827">
        <v>85</v>
      </c>
      <c r="T827" t="s">
        <v>285</v>
      </c>
      <c r="U827">
        <v>93</v>
      </c>
      <c r="V827" t="s">
        <v>284</v>
      </c>
      <c r="W827">
        <v>89.7</v>
      </c>
      <c r="X827" t="s">
        <v>284</v>
      </c>
      <c r="Y827">
        <v>92.72</v>
      </c>
      <c r="Z827" t="s">
        <v>284</v>
      </c>
      <c r="AA827">
        <v>109</v>
      </c>
      <c r="AB827" t="s">
        <v>285</v>
      </c>
      <c r="AG827">
        <v>91.806700000000006</v>
      </c>
      <c r="AH827" t="s">
        <v>54</v>
      </c>
      <c r="AI827" t="s">
        <v>52</v>
      </c>
      <c r="AZ827" t="s">
        <v>52</v>
      </c>
      <c r="BQ827" t="s">
        <v>52</v>
      </c>
      <c r="BR827">
        <v>2.74</v>
      </c>
      <c r="BS827" t="s">
        <v>289</v>
      </c>
      <c r="BT827">
        <v>0.85</v>
      </c>
      <c r="BU827" t="s">
        <v>285</v>
      </c>
      <c r="BV827">
        <v>0.92</v>
      </c>
      <c r="BW827" t="s">
        <v>284</v>
      </c>
      <c r="BX827">
        <v>1</v>
      </c>
      <c r="BY827" t="s">
        <v>284</v>
      </c>
      <c r="BZ827">
        <v>0.18</v>
      </c>
      <c r="CA827" t="s">
        <v>289</v>
      </c>
      <c r="CF827">
        <v>0.92</v>
      </c>
      <c r="CG827" t="s">
        <v>54</v>
      </c>
      <c r="CH827" t="s">
        <v>52</v>
      </c>
    </row>
    <row r="828" spans="1:86" x14ac:dyDescent="0.25">
      <c r="A828" t="s">
        <v>47</v>
      </c>
      <c r="B828">
        <v>8</v>
      </c>
      <c r="C828" t="s">
        <v>171</v>
      </c>
      <c r="D828">
        <v>73</v>
      </c>
      <c r="E828" t="s">
        <v>82</v>
      </c>
      <c r="F828">
        <v>52</v>
      </c>
      <c r="H828" t="s">
        <v>50</v>
      </c>
      <c r="K828" t="s">
        <v>52</v>
      </c>
      <c r="L828">
        <v>1</v>
      </c>
      <c r="M828" t="s">
        <v>53</v>
      </c>
      <c r="N828">
        <v>50</v>
      </c>
      <c r="O828">
        <v>1</v>
      </c>
      <c r="P828" t="s">
        <v>52</v>
      </c>
      <c r="Q828">
        <v>0.5</v>
      </c>
      <c r="R828">
        <v>0.75</v>
      </c>
      <c r="S828">
        <v>85</v>
      </c>
      <c r="T828" t="s">
        <v>285</v>
      </c>
      <c r="U828">
        <v>93</v>
      </c>
      <c r="V828" t="s">
        <v>284</v>
      </c>
      <c r="W828">
        <v>191.5</v>
      </c>
      <c r="X828" t="s">
        <v>284</v>
      </c>
      <c r="Y828">
        <v>198</v>
      </c>
      <c r="Z828" t="s">
        <v>284</v>
      </c>
      <c r="AA828">
        <v>109</v>
      </c>
      <c r="AB828" t="s">
        <v>285</v>
      </c>
      <c r="AG828">
        <v>131.16669999999999</v>
      </c>
      <c r="AH828" t="s">
        <v>54</v>
      </c>
      <c r="AI828" t="s">
        <v>52</v>
      </c>
      <c r="AZ828" t="s">
        <v>52</v>
      </c>
      <c r="BQ828" t="s">
        <v>52</v>
      </c>
      <c r="CH828" t="s">
        <v>52</v>
      </c>
    </row>
    <row r="829" spans="1:86" x14ac:dyDescent="0.25">
      <c r="A829" t="s">
        <v>47</v>
      </c>
      <c r="B829">
        <v>8</v>
      </c>
      <c r="C829" t="s">
        <v>171</v>
      </c>
      <c r="D829">
        <v>73</v>
      </c>
      <c r="E829" t="s">
        <v>83</v>
      </c>
      <c r="F829">
        <v>158</v>
      </c>
      <c r="H829" t="s">
        <v>50</v>
      </c>
      <c r="K829" t="s">
        <v>52</v>
      </c>
      <c r="L829">
        <v>1</v>
      </c>
      <c r="M829" t="s">
        <v>53</v>
      </c>
      <c r="N829">
        <v>158</v>
      </c>
      <c r="O829">
        <v>2</v>
      </c>
      <c r="P829" t="s">
        <v>52</v>
      </c>
      <c r="Q829">
        <v>0.77</v>
      </c>
      <c r="R829">
        <v>0.93</v>
      </c>
      <c r="S829">
        <v>228</v>
      </c>
      <c r="T829" t="s">
        <v>284</v>
      </c>
      <c r="U829">
        <v>221</v>
      </c>
      <c r="V829" t="s">
        <v>284</v>
      </c>
      <c r="W829">
        <v>236</v>
      </c>
      <c r="X829" t="s">
        <v>284</v>
      </c>
      <c r="Y829">
        <v>244</v>
      </c>
      <c r="Z829" t="s">
        <v>284</v>
      </c>
      <c r="AA829">
        <v>252</v>
      </c>
      <c r="AB829" t="s">
        <v>284</v>
      </c>
      <c r="AG829">
        <v>236</v>
      </c>
      <c r="AH829" t="s">
        <v>54</v>
      </c>
      <c r="AI829" t="s">
        <v>52</v>
      </c>
      <c r="AX829">
        <v>339</v>
      </c>
      <c r="AY829" t="s">
        <v>285</v>
      </c>
      <c r="AZ829" t="s">
        <v>287</v>
      </c>
      <c r="BQ829" t="s">
        <v>52</v>
      </c>
      <c r="BR829">
        <v>1.31</v>
      </c>
      <c r="BS829" t="s">
        <v>285</v>
      </c>
      <c r="BT829">
        <v>1.01</v>
      </c>
      <c r="BU829" t="s">
        <v>284</v>
      </c>
      <c r="BV829">
        <v>0.33</v>
      </c>
      <c r="BW829" t="s">
        <v>288</v>
      </c>
      <c r="BX829">
        <v>0.56999999999999995</v>
      </c>
      <c r="BY829" t="s">
        <v>285</v>
      </c>
      <c r="BZ829">
        <v>0.1</v>
      </c>
      <c r="CA829" t="s">
        <v>289</v>
      </c>
      <c r="CF829">
        <v>0.64</v>
      </c>
      <c r="CG829" t="s">
        <v>54</v>
      </c>
      <c r="CH829" t="s">
        <v>52</v>
      </c>
    </row>
    <row r="830" spans="1:86" x14ac:dyDescent="0.25">
      <c r="A830" t="s">
        <v>47</v>
      </c>
      <c r="B830">
        <v>8</v>
      </c>
      <c r="C830" t="s">
        <v>172</v>
      </c>
      <c r="D830">
        <v>75</v>
      </c>
      <c r="E830" t="s">
        <v>49</v>
      </c>
      <c r="F830">
        <v>27</v>
      </c>
      <c r="H830" t="s">
        <v>50</v>
      </c>
      <c r="K830" t="s">
        <v>51</v>
      </c>
      <c r="L830">
        <v>1</v>
      </c>
      <c r="M830" t="s">
        <v>53</v>
      </c>
      <c r="N830">
        <v>27</v>
      </c>
      <c r="O830">
        <v>1</v>
      </c>
      <c r="P830" t="s">
        <v>52</v>
      </c>
      <c r="Q830">
        <v>0</v>
      </c>
      <c r="R830">
        <v>0.75</v>
      </c>
      <c r="S830">
        <v>231</v>
      </c>
      <c r="T830" t="s">
        <v>284</v>
      </c>
      <c r="U830">
        <v>208</v>
      </c>
      <c r="V830" t="s">
        <v>284</v>
      </c>
      <c r="W830">
        <v>224</v>
      </c>
      <c r="X830" t="s">
        <v>284</v>
      </c>
      <c r="Y830">
        <v>225</v>
      </c>
      <c r="Z830" t="s">
        <v>285</v>
      </c>
      <c r="AA830">
        <v>247</v>
      </c>
      <c r="AB830" t="s">
        <v>285</v>
      </c>
      <c r="AC830">
        <v>241</v>
      </c>
      <c r="AD830" t="s">
        <v>285</v>
      </c>
      <c r="AE830">
        <v>219</v>
      </c>
      <c r="AF830" t="s">
        <v>285</v>
      </c>
      <c r="AG830">
        <v>219</v>
      </c>
      <c r="AH830" t="s">
        <v>286</v>
      </c>
      <c r="AI830" t="s">
        <v>287</v>
      </c>
      <c r="AX830">
        <v>263</v>
      </c>
      <c r="AY830" t="s">
        <v>286</v>
      </c>
      <c r="AZ830" t="s">
        <v>287</v>
      </c>
      <c r="BQ830" t="s">
        <v>52</v>
      </c>
      <c r="BR830">
        <v>3.7</v>
      </c>
      <c r="BS830" t="s">
        <v>284</v>
      </c>
      <c r="BT830">
        <v>3.4</v>
      </c>
      <c r="BU830" t="s">
        <v>284</v>
      </c>
      <c r="BV830">
        <v>2.11</v>
      </c>
      <c r="BW830" t="s">
        <v>284</v>
      </c>
      <c r="BX830">
        <v>2.74</v>
      </c>
      <c r="BY830" t="s">
        <v>284</v>
      </c>
      <c r="BZ830">
        <v>5</v>
      </c>
      <c r="CA830" t="s">
        <v>289</v>
      </c>
      <c r="CF830">
        <v>3.28</v>
      </c>
      <c r="CG830" t="s">
        <v>54</v>
      </c>
      <c r="CH830" t="s">
        <v>52</v>
      </c>
    </row>
    <row r="831" spans="1:86" x14ac:dyDescent="0.25">
      <c r="A831" t="s">
        <v>47</v>
      </c>
      <c r="B831">
        <v>8</v>
      </c>
      <c r="C831" t="s">
        <v>172</v>
      </c>
      <c r="D831">
        <v>75</v>
      </c>
      <c r="E831" t="s">
        <v>49</v>
      </c>
      <c r="F831">
        <v>27</v>
      </c>
      <c r="H831" t="s">
        <v>50</v>
      </c>
      <c r="K831" t="s">
        <v>52</v>
      </c>
      <c r="L831">
        <v>1</v>
      </c>
      <c r="M831" t="s">
        <v>53</v>
      </c>
      <c r="N831">
        <v>27</v>
      </c>
      <c r="O831">
        <v>1</v>
      </c>
      <c r="P831" t="s">
        <v>52</v>
      </c>
      <c r="Q831">
        <v>0</v>
      </c>
      <c r="R831">
        <v>0.75</v>
      </c>
      <c r="S831">
        <v>231</v>
      </c>
      <c r="T831" t="s">
        <v>284</v>
      </c>
      <c r="U831">
        <v>208</v>
      </c>
      <c r="V831" t="s">
        <v>284</v>
      </c>
      <c r="W831">
        <v>224</v>
      </c>
      <c r="X831" t="s">
        <v>284</v>
      </c>
      <c r="Y831">
        <v>225</v>
      </c>
      <c r="Z831" t="s">
        <v>285</v>
      </c>
      <c r="AA831">
        <v>247</v>
      </c>
      <c r="AB831" t="s">
        <v>285</v>
      </c>
      <c r="AC831">
        <v>241</v>
      </c>
      <c r="AD831" t="s">
        <v>285</v>
      </c>
      <c r="AE831">
        <v>219</v>
      </c>
      <c r="AF831" t="s">
        <v>285</v>
      </c>
      <c r="AG831">
        <v>219</v>
      </c>
      <c r="AH831" t="s">
        <v>286</v>
      </c>
      <c r="AI831" t="s">
        <v>287</v>
      </c>
      <c r="AX831">
        <v>263</v>
      </c>
      <c r="AY831" t="s">
        <v>286</v>
      </c>
      <c r="AZ831" t="s">
        <v>287</v>
      </c>
      <c r="BQ831" t="s">
        <v>52</v>
      </c>
      <c r="BR831">
        <v>1.3</v>
      </c>
      <c r="BS831" t="s">
        <v>284</v>
      </c>
      <c r="BT831">
        <v>1.2</v>
      </c>
      <c r="BU831" t="s">
        <v>284</v>
      </c>
      <c r="BV831">
        <v>0.75</v>
      </c>
      <c r="BW831" t="s">
        <v>284</v>
      </c>
      <c r="BX831">
        <v>0.12</v>
      </c>
      <c r="BY831" t="s">
        <v>284</v>
      </c>
      <c r="BZ831">
        <v>0.14000000000000001</v>
      </c>
      <c r="CA831" t="s">
        <v>289</v>
      </c>
      <c r="CF831">
        <v>0.7</v>
      </c>
      <c r="CG831" t="s">
        <v>54</v>
      </c>
      <c r="CH831" t="s">
        <v>52</v>
      </c>
    </row>
    <row r="832" spans="1:86" x14ac:dyDescent="0.25">
      <c r="A832" t="s">
        <v>47</v>
      </c>
      <c r="B832">
        <v>8</v>
      </c>
      <c r="C832" t="s">
        <v>172</v>
      </c>
      <c r="D832">
        <v>75</v>
      </c>
      <c r="E832" t="s">
        <v>87</v>
      </c>
      <c r="F832">
        <v>91</v>
      </c>
      <c r="G832" t="s">
        <v>76</v>
      </c>
      <c r="H832" t="s">
        <v>50</v>
      </c>
      <c r="K832" t="s">
        <v>51</v>
      </c>
      <c r="L832">
        <v>1</v>
      </c>
      <c r="M832" t="s">
        <v>53</v>
      </c>
      <c r="N832">
        <v>91</v>
      </c>
      <c r="O832">
        <v>2</v>
      </c>
      <c r="P832" t="s">
        <v>52</v>
      </c>
      <c r="Q832">
        <v>0.77</v>
      </c>
      <c r="R832">
        <v>0.93</v>
      </c>
      <c r="S832">
        <v>135</v>
      </c>
      <c r="T832" t="s">
        <v>284</v>
      </c>
      <c r="U832">
        <v>133</v>
      </c>
      <c r="V832" t="s">
        <v>284</v>
      </c>
      <c r="W832">
        <v>147</v>
      </c>
      <c r="X832" t="s">
        <v>284</v>
      </c>
      <c r="Y832">
        <v>170</v>
      </c>
      <c r="Z832" t="s">
        <v>284</v>
      </c>
      <c r="AA832">
        <v>167</v>
      </c>
      <c r="AB832" t="s">
        <v>284</v>
      </c>
      <c r="AG832">
        <v>149.66669999999999</v>
      </c>
      <c r="AH832" t="s">
        <v>54</v>
      </c>
      <c r="AI832" t="s">
        <v>52</v>
      </c>
      <c r="AZ832" t="s">
        <v>52</v>
      </c>
      <c r="BQ832" t="s">
        <v>52</v>
      </c>
      <c r="CH832" t="s">
        <v>52</v>
      </c>
    </row>
    <row r="833" spans="1:86" x14ac:dyDescent="0.25">
      <c r="A833" t="s">
        <v>47</v>
      </c>
      <c r="B833">
        <v>8</v>
      </c>
      <c r="C833" t="s">
        <v>172</v>
      </c>
      <c r="D833">
        <v>75</v>
      </c>
      <c r="E833" t="s">
        <v>87</v>
      </c>
      <c r="F833">
        <v>91</v>
      </c>
      <c r="G833" t="s">
        <v>76</v>
      </c>
      <c r="H833" t="s">
        <v>50</v>
      </c>
      <c r="K833" t="s">
        <v>52</v>
      </c>
      <c r="L833">
        <v>1</v>
      </c>
      <c r="M833" t="s">
        <v>53</v>
      </c>
      <c r="N833">
        <v>91</v>
      </c>
      <c r="O833">
        <v>2</v>
      </c>
      <c r="P833" t="s">
        <v>52</v>
      </c>
      <c r="Q833">
        <v>0.77</v>
      </c>
      <c r="R833">
        <v>0.93</v>
      </c>
      <c r="S833">
        <v>135</v>
      </c>
      <c r="T833" t="s">
        <v>284</v>
      </c>
      <c r="U833">
        <v>133</v>
      </c>
      <c r="V833" t="s">
        <v>284</v>
      </c>
      <c r="W833">
        <v>147</v>
      </c>
      <c r="X833" t="s">
        <v>284</v>
      </c>
      <c r="Y833">
        <v>170</v>
      </c>
      <c r="Z833" t="s">
        <v>284</v>
      </c>
      <c r="AA833">
        <v>167</v>
      </c>
      <c r="AB833" t="s">
        <v>284</v>
      </c>
      <c r="AG833">
        <v>149.66669999999999</v>
      </c>
      <c r="AH833" t="s">
        <v>54</v>
      </c>
      <c r="AI833" t="s">
        <v>52</v>
      </c>
      <c r="AZ833" t="s">
        <v>52</v>
      </c>
      <c r="BQ833" t="s">
        <v>52</v>
      </c>
      <c r="CH833" t="s">
        <v>52</v>
      </c>
    </row>
    <row r="834" spans="1:86" x14ac:dyDescent="0.25">
      <c r="A834" t="s">
        <v>47</v>
      </c>
      <c r="B834">
        <v>8</v>
      </c>
      <c r="C834" t="s">
        <v>172</v>
      </c>
      <c r="D834">
        <v>75</v>
      </c>
      <c r="E834" t="s">
        <v>58</v>
      </c>
      <c r="F834">
        <v>102</v>
      </c>
      <c r="G834" t="s">
        <v>173</v>
      </c>
      <c r="H834" t="s">
        <v>50</v>
      </c>
      <c r="K834" t="s">
        <v>52</v>
      </c>
      <c r="L834">
        <v>1</v>
      </c>
      <c r="M834" t="s">
        <v>53</v>
      </c>
      <c r="N834">
        <v>102</v>
      </c>
      <c r="O834">
        <v>1</v>
      </c>
      <c r="P834" t="s">
        <v>52</v>
      </c>
      <c r="Q834">
        <v>0</v>
      </c>
      <c r="R834">
        <v>0.92</v>
      </c>
      <c r="S834">
        <v>52.32</v>
      </c>
      <c r="T834" t="s">
        <v>285</v>
      </c>
      <c r="U834">
        <v>68</v>
      </c>
      <c r="V834" t="s">
        <v>285</v>
      </c>
      <c r="AI834" t="s">
        <v>52</v>
      </c>
      <c r="AZ834" t="s">
        <v>52</v>
      </c>
      <c r="BQ834" t="s">
        <v>52</v>
      </c>
      <c r="BR834">
        <v>0.93</v>
      </c>
      <c r="BS834" t="s">
        <v>285</v>
      </c>
      <c r="BT834">
        <v>1.17</v>
      </c>
      <c r="BU834" t="s">
        <v>285</v>
      </c>
      <c r="CH834" t="s">
        <v>52</v>
      </c>
    </row>
    <row r="835" spans="1:86" x14ac:dyDescent="0.25">
      <c r="A835" t="s">
        <v>47</v>
      </c>
      <c r="B835">
        <v>8</v>
      </c>
      <c r="C835" t="s">
        <v>172</v>
      </c>
      <c r="D835">
        <v>75</v>
      </c>
      <c r="E835" t="s">
        <v>58</v>
      </c>
      <c r="F835">
        <v>102</v>
      </c>
      <c r="G835" t="s">
        <v>61</v>
      </c>
      <c r="H835" t="s">
        <v>50</v>
      </c>
      <c r="K835" t="s">
        <v>51</v>
      </c>
      <c r="L835">
        <v>1</v>
      </c>
      <c r="M835" t="s">
        <v>53</v>
      </c>
      <c r="N835">
        <v>102</v>
      </c>
      <c r="O835">
        <v>1</v>
      </c>
      <c r="P835" t="s">
        <v>52</v>
      </c>
      <c r="Q835">
        <v>0</v>
      </c>
      <c r="R835">
        <v>0.92</v>
      </c>
      <c r="S835">
        <v>131.69999999999999</v>
      </c>
      <c r="T835" t="s">
        <v>284</v>
      </c>
      <c r="U835">
        <v>170</v>
      </c>
      <c r="V835" t="s">
        <v>284</v>
      </c>
      <c r="W835">
        <v>191</v>
      </c>
      <c r="X835" t="s">
        <v>284</v>
      </c>
      <c r="Y835">
        <v>207</v>
      </c>
      <c r="Z835" t="s">
        <v>284</v>
      </c>
      <c r="AA835">
        <v>315</v>
      </c>
      <c r="AB835" t="s">
        <v>285</v>
      </c>
      <c r="AG835">
        <v>189.33330000000001</v>
      </c>
      <c r="AH835" t="s">
        <v>54</v>
      </c>
      <c r="AI835" t="s">
        <v>52</v>
      </c>
      <c r="AZ835" t="s">
        <v>52</v>
      </c>
      <c r="BQ835" t="s">
        <v>52</v>
      </c>
      <c r="CH835" t="s">
        <v>52</v>
      </c>
    </row>
    <row r="836" spans="1:86" x14ac:dyDescent="0.25">
      <c r="A836" t="s">
        <v>47</v>
      </c>
      <c r="B836">
        <v>8</v>
      </c>
      <c r="C836" t="s">
        <v>172</v>
      </c>
      <c r="D836">
        <v>75</v>
      </c>
      <c r="E836" t="s">
        <v>58</v>
      </c>
      <c r="F836">
        <v>102</v>
      </c>
      <c r="G836" t="s">
        <v>61</v>
      </c>
      <c r="H836" t="s">
        <v>50</v>
      </c>
      <c r="K836" t="s">
        <v>52</v>
      </c>
      <c r="L836">
        <v>1</v>
      </c>
      <c r="M836" t="s">
        <v>53</v>
      </c>
      <c r="N836">
        <v>102</v>
      </c>
      <c r="O836">
        <v>1</v>
      </c>
      <c r="P836" t="s">
        <v>52</v>
      </c>
      <c r="Q836">
        <v>0</v>
      </c>
      <c r="R836">
        <v>0.92</v>
      </c>
      <c r="S836">
        <v>131.69999999999999</v>
      </c>
      <c r="T836" t="s">
        <v>284</v>
      </c>
      <c r="U836">
        <v>170</v>
      </c>
      <c r="V836" t="s">
        <v>284</v>
      </c>
      <c r="W836">
        <v>191</v>
      </c>
      <c r="X836" t="s">
        <v>284</v>
      </c>
      <c r="Y836">
        <v>207</v>
      </c>
      <c r="Z836" t="s">
        <v>284</v>
      </c>
      <c r="AA836">
        <v>315</v>
      </c>
      <c r="AB836" t="s">
        <v>285</v>
      </c>
      <c r="AG836">
        <v>189.33330000000001</v>
      </c>
      <c r="AH836" t="s">
        <v>54</v>
      </c>
      <c r="AI836" t="s">
        <v>52</v>
      </c>
      <c r="AZ836" t="s">
        <v>52</v>
      </c>
      <c r="BQ836" t="s">
        <v>52</v>
      </c>
      <c r="CH836" t="s">
        <v>52</v>
      </c>
    </row>
    <row r="837" spans="1:86" x14ac:dyDescent="0.25">
      <c r="A837" t="s">
        <v>47</v>
      </c>
      <c r="B837">
        <v>8</v>
      </c>
      <c r="C837" t="s">
        <v>172</v>
      </c>
      <c r="D837">
        <v>75</v>
      </c>
      <c r="E837" t="s">
        <v>58</v>
      </c>
      <c r="F837">
        <v>102</v>
      </c>
      <c r="G837" t="s">
        <v>148</v>
      </c>
      <c r="H837" t="s">
        <v>50</v>
      </c>
      <c r="K837" t="s">
        <v>52</v>
      </c>
      <c r="L837">
        <v>1</v>
      </c>
      <c r="M837" t="s">
        <v>53</v>
      </c>
      <c r="N837">
        <v>102</v>
      </c>
      <c r="O837">
        <v>1</v>
      </c>
      <c r="P837" t="s">
        <v>52</v>
      </c>
      <c r="Q837">
        <v>0</v>
      </c>
      <c r="R837">
        <v>0.92</v>
      </c>
      <c r="S837">
        <v>131.69999999999999</v>
      </c>
      <c r="T837" t="s">
        <v>284</v>
      </c>
      <c r="U837">
        <v>170</v>
      </c>
      <c r="V837" t="s">
        <v>284</v>
      </c>
      <c r="AI837" t="s">
        <v>52</v>
      </c>
      <c r="AZ837" t="s">
        <v>52</v>
      </c>
      <c r="BQ837" t="s">
        <v>52</v>
      </c>
      <c r="BR837">
        <v>0.93</v>
      </c>
      <c r="BS837" t="s">
        <v>285</v>
      </c>
      <c r="CH837" t="s">
        <v>52</v>
      </c>
    </row>
    <row r="838" spans="1:86" x14ac:dyDescent="0.25">
      <c r="A838" t="s">
        <v>47</v>
      </c>
      <c r="B838">
        <v>8</v>
      </c>
      <c r="C838" t="s">
        <v>172</v>
      </c>
      <c r="D838">
        <v>75</v>
      </c>
      <c r="E838" t="s">
        <v>58</v>
      </c>
      <c r="F838">
        <v>102</v>
      </c>
      <c r="G838" t="s">
        <v>62</v>
      </c>
      <c r="H838" t="s">
        <v>50</v>
      </c>
      <c r="K838" t="s">
        <v>52</v>
      </c>
      <c r="L838">
        <v>1</v>
      </c>
      <c r="M838" t="s">
        <v>53</v>
      </c>
      <c r="N838">
        <v>102</v>
      </c>
      <c r="O838">
        <v>1</v>
      </c>
      <c r="P838" t="s">
        <v>52</v>
      </c>
      <c r="Q838">
        <v>0</v>
      </c>
      <c r="R838">
        <v>0.92</v>
      </c>
      <c r="S838">
        <v>131.69999999999999</v>
      </c>
      <c r="T838" t="s">
        <v>284</v>
      </c>
      <c r="U838">
        <v>170</v>
      </c>
      <c r="V838" t="s">
        <v>284</v>
      </c>
      <c r="W838">
        <v>191</v>
      </c>
      <c r="X838" t="s">
        <v>284</v>
      </c>
      <c r="Y838">
        <v>207</v>
      </c>
      <c r="Z838" t="s">
        <v>284</v>
      </c>
      <c r="AA838">
        <v>205</v>
      </c>
      <c r="AB838" t="s">
        <v>285</v>
      </c>
      <c r="AG838">
        <v>188.66669999999999</v>
      </c>
      <c r="AH838" t="s">
        <v>54</v>
      </c>
      <c r="AI838" t="s">
        <v>52</v>
      </c>
      <c r="AX838">
        <v>271.60000000000002</v>
      </c>
      <c r="AY838" t="s">
        <v>285</v>
      </c>
      <c r="AZ838" t="s">
        <v>287</v>
      </c>
      <c r="BQ838" t="s">
        <v>52</v>
      </c>
      <c r="BR838">
        <v>0.83</v>
      </c>
      <c r="BS838" t="s">
        <v>285</v>
      </c>
      <c r="BT838">
        <v>0.91</v>
      </c>
      <c r="BU838" t="s">
        <v>284</v>
      </c>
      <c r="BV838">
        <v>0.27</v>
      </c>
      <c r="BW838" t="s">
        <v>285</v>
      </c>
      <c r="BX838">
        <v>0.5</v>
      </c>
      <c r="BY838" t="s">
        <v>285</v>
      </c>
      <c r="BZ838">
        <v>0.43</v>
      </c>
      <c r="CA838" t="s">
        <v>284</v>
      </c>
      <c r="CF838">
        <v>0.59</v>
      </c>
      <c r="CG838" t="s">
        <v>54</v>
      </c>
      <c r="CH838" t="s">
        <v>52</v>
      </c>
    </row>
    <row r="839" spans="1:86" x14ac:dyDescent="0.25">
      <c r="A839" t="s">
        <v>47</v>
      </c>
      <c r="B839">
        <v>8</v>
      </c>
      <c r="C839" t="s">
        <v>172</v>
      </c>
      <c r="D839">
        <v>75</v>
      </c>
      <c r="E839" t="s">
        <v>58</v>
      </c>
      <c r="F839">
        <v>102</v>
      </c>
      <c r="G839" t="s">
        <v>63</v>
      </c>
      <c r="H839" t="s">
        <v>50</v>
      </c>
      <c r="K839" t="s">
        <v>51</v>
      </c>
      <c r="L839">
        <v>1</v>
      </c>
      <c r="M839" t="s">
        <v>53</v>
      </c>
      <c r="N839">
        <v>102</v>
      </c>
      <c r="O839">
        <v>1</v>
      </c>
      <c r="P839" t="s">
        <v>52</v>
      </c>
      <c r="Q839">
        <v>0</v>
      </c>
      <c r="R839">
        <v>0.92</v>
      </c>
      <c r="S839">
        <v>131.69999999999999</v>
      </c>
      <c r="T839" t="s">
        <v>284</v>
      </c>
      <c r="U839">
        <v>170</v>
      </c>
      <c r="V839" t="s">
        <v>284</v>
      </c>
      <c r="W839">
        <v>191</v>
      </c>
      <c r="X839" t="s">
        <v>285</v>
      </c>
      <c r="Y839">
        <v>207</v>
      </c>
      <c r="Z839" t="s">
        <v>285</v>
      </c>
      <c r="AA839">
        <v>265</v>
      </c>
      <c r="AB839" t="s">
        <v>285</v>
      </c>
      <c r="AG839">
        <v>189.33330000000001</v>
      </c>
      <c r="AH839" t="s">
        <v>54</v>
      </c>
      <c r="AI839" t="s">
        <v>52</v>
      </c>
      <c r="AZ839" t="s">
        <v>52</v>
      </c>
      <c r="BQ839" t="s">
        <v>52</v>
      </c>
      <c r="BR839">
        <v>2.1</v>
      </c>
      <c r="BS839" t="s">
        <v>285</v>
      </c>
      <c r="CH839" t="s">
        <v>52</v>
      </c>
    </row>
    <row r="840" spans="1:86" x14ac:dyDescent="0.25">
      <c r="A840" t="s">
        <v>47</v>
      </c>
      <c r="B840">
        <v>8</v>
      </c>
      <c r="C840" t="s">
        <v>172</v>
      </c>
      <c r="D840">
        <v>75</v>
      </c>
      <c r="E840" t="s">
        <v>58</v>
      </c>
      <c r="F840">
        <v>102</v>
      </c>
      <c r="G840" t="s">
        <v>63</v>
      </c>
      <c r="H840" t="s">
        <v>50</v>
      </c>
      <c r="K840" t="s">
        <v>52</v>
      </c>
      <c r="L840">
        <v>1</v>
      </c>
      <c r="M840" t="s">
        <v>53</v>
      </c>
      <c r="N840">
        <v>102</v>
      </c>
      <c r="O840">
        <v>1</v>
      </c>
      <c r="P840" t="s">
        <v>52</v>
      </c>
      <c r="Q840">
        <v>0</v>
      </c>
      <c r="R840">
        <v>0.92</v>
      </c>
      <c r="S840">
        <v>131.69999999999999</v>
      </c>
      <c r="T840" t="s">
        <v>284</v>
      </c>
      <c r="U840">
        <v>170</v>
      </c>
      <c r="V840" t="s">
        <v>284</v>
      </c>
      <c r="W840">
        <v>191</v>
      </c>
      <c r="X840" t="s">
        <v>285</v>
      </c>
      <c r="Y840">
        <v>207</v>
      </c>
      <c r="Z840" t="s">
        <v>285</v>
      </c>
      <c r="AA840">
        <v>265</v>
      </c>
      <c r="AB840" t="s">
        <v>285</v>
      </c>
      <c r="AG840">
        <v>189.33330000000001</v>
      </c>
      <c r="AH840" t="s">
        <v>54</v>
      </c>
      <c r="AI840" t="s">
        <v>52</v>
      </c>
      <c r="AZ840" t="s">
        <v>52</v>
      </c>
      <c r="BQ840" t="s">
        <v>52</v>
      </c>
      <c r="BR840">
        <v>0.93</v>
      </c>
      <c r="BS840" t="s">
        <v>285</v>
      </c>
      <c r="CH840" t="s">
        <v>52</v>
      </c>
    </row>
    <row r="841" spans="1:86" x14ac:dyDescent="0.25">
      <c r="A841" t="s">
        <v>47</v>
      </c>
      <c r="B841">
        <v>8</v>
      </c>
      <c r="C841" t="s">
        <v>172</v>
      </c>
      <c r="D841">
        <v>75</v>
      </c>
      <c r="E841" t="s">
        <v>58</v>
      </c>
      <c r="F841">
        <v>102</v>
      </c>
      <c r="G841" t="s">
        <v>128</v>
      </c>
      <c r="H841" t="s">
        <v>50</v>
      </c>
      <c r="K841" t="s">
        <v>51</v>
      </c>
      <c r="L841">
        <v>1</v>
      </c>
      <c r="M841" t="s">
        <v>53</v>
      </c>
      <c r="N841">
        <v>102</v>
      </c>
      <c r="O841">
        <v>1</v>
      </c>
      <c r="P841" t="s">
        <v>52</v>
      </c>
      <c r="Q841">
        <v>0</v>
      </c>
      <c r="R841">
        <v>0.92</v>
      </c>
      <c r="S841">
        <v>131.69999999999999</v>
      </c>
      <c r="T841" t="s">
        <v>284</v>
      </c>
      <c r="U841">
        <v>170</v>
      </c>
      <c r="V841" t="s">
        <v>284</v>
      </c>
      <c r="W841">
        <v>191</v>
      </c>
      <c r="X841" t="s">
        <v>284</v>
      </c>
      <c r="Y841">
        <v>207</v>
      </c>
      <c r="Z841" t="s">
        <v>284</v>
      </c>
      <c r="AA841">
        <v>315</v>
      </c>
      <c r="AB841" t="s">
        <v>285</v>
      </c>
      <c r="AG841">
        <v>189.33330000000001</v>
      </c>
      <c r="AH841" t="s">
        <v>54</v>
      </c>
      <c r="AI841" t="s">
        <v>52</v>
      </c>
      <c r="AZ841" t="s">
        <v>52</v>
      </c>
      <c r="BQ841" t="s">
        <v>52</v>
      </c>
      <c r="BR841">
        <v>1.3</v>
      </c>
      <c r="BS841" t="s">
        <v>285</v>
      </c>
      <c r="BT841">
        <v>1.62</v>
      </c>
      <c r="BU841" t="s">
        <v>284</v>
      </c>
      <c r="BV841">
        <v>1.26</v>
      </c>
      <c r="BW841" t="s">
        <v>285</v>
      </c>
      <c r="BX841">
        <v>0.87</v>
      </c>
      <c r="BY841" t="s">
        <v>285</v>
      </c>
      <c r="BZ841">
        <v>0.75</v>
      </c>
      <c r="CA841" t="s">
        <v>284</v>
      </c>
      <c r="CF841">
        <v>1.1399999999999999</v>
      </c>
      <c r="CG841" t="s">
        <v>54</v>
      </c>
      <c r="CH841" t="s">
        <v>52</v>
      </c>
    </row>
    <row r="842" spans="1:86" x14ac:dyDescent="0.25">
      <c r="A842" t="s">
        <v>47</v>
      </c>
      <c r="B842">
        <v>8</v>
      </c>
      <c r="C842" t="s">
        <v>172</v>
      </c>
      <c r="D842">
        <v>75</v>
      </c>
      <c r="E842" t="s">
        <v>58</v>
      </c>
      <c r="F842">
        <v>102</v>
      </c>
      <c r="G842" t="s">
        <v>128</v>
      </c>
      <c r="H842" t="s">
        <v>50</v>
      </c>
      <c r="K842" t="s">
        <v>52</v>
      </c>
      <c r="L842">
        <v>1</v>
      </c>
      <c r="M842" t="s">
        <v>53</v>
      </c>
      <c r="N842">
        <v>102</v>
      </c>
      <c r="O842">
        <v>1</v>
      </c>
      <c r="P842" t="s">
        <v>52</v>
      </c>
      <c r="Q842">
        <v>0</v>
      </c>
      <c r="R842">
        <v>0.92</v>
      </c>
      <c r="S842">
        <v>131.69999999999999</v>
      </c>
      <c r="T842" t="s">
        <v>284</v>
      </c>
      <c r="U842">
        <v>170</v>
      </c>
      <c r="V842" t="s">
        <v>284</v>
      </c>
      <c r="W842">
        <v>191</v>
      </c>
      <c r="X842" t="s">
        <v>284</v>
      </c>
      <c r="Y842">
        <v>207</v>
      </c>
      <c r="Z842" t="s">
        <v>284</v>
      </c>
      <c r="AA842">
        <v>315</v>
      </c>
      <c r="AB842" t="s">
        <v>285</v>
      </c>
      <c r="AG842">
        <v>189.33330000000001</v>
      </c>
      <c r="AH842" t="s">
        <v>54</v>
      </c>
      <c r="AI842" t="s">
        <v>52</v>
      </c>
      <c r="AZ842" t="s">
        <v>52</v>
      </c>
      <c r="BQ842" t="s">
        <v>52</v>
      </c>
      <c r="BR842">
        <v>0.93</v>
      </c>
      <c r="BS842" t="s">
        <v>285</v>
      </c>
      <c r="BT842">
        <v>0.84</v>
      </c>
      <c r="BU842" t="s">
        <v>284</v>
      </c>
      <c r="BV842">
        <v>0.65</v>
      </c>
      <c r="BW842" t="s">
        <v>285</v>
      </c>
      <c r="BX842">
        <v>0.45</v>
      </c>
      <c r="BY842" t="s">
        <v>285</v>
      </c>
      <c r="BZ842">
        <v>0.39</v>
      </c>
      <c r="CA842" t="s">
        <v>284</v>
      </c>
      <c r="CF842">
        <v>0.65</v>
      </c>
      <c r="CG842" t="s">
        <v>54</v>
      </c>
      <c r="CH842" t="s">
        <v>52</v>
      </c>
    </row>
    <row r="843" spans="1:86" x14ac:dyDescent="0.25">
      <c r="A843" t="s">
        <v>47</v>
      </c>
      <c r="B843">
        <v>8</v>
      </c>
      <c r="C843" t="s">
        <v>172</v>
      </c>
      <c r="D843">
        <v>75</v>
      </c>
      <c r="E843" t="s">
        <v>68</v>
      </c>
      <c r="F843">
        <v>80</v>
      </c>
      <c r="G843" t="s">
        <v>69</v>
      </c>
      <c r="H843" t="s">
        <v>50</v>
      </c>
      <c r="K843" t="s">
        <v>51</v>
      </c>
      <c r="L843">
        <v>1</v>
      </c>
      <c r="M843" t="s">
        <v>53</v>
      </c>
      <c r="N843">
        <v>80</v>
      </c>
      <c r="O843">
        <v>1</v>
      </c>
      <c r="P843" t="s">
        <v>52</v>
      </c>
      <c r="Q843">
        <v>0.5</v>
      </c>
      <c r="R843">
        <v>0.75</v>
      </c>
      <c r="S843">
        <v>202.92</v>
      </c>
      <c r="T843" t="s">
        <v>284</v>
      </c>
      <c r="U843">
        <v>198.9</v>
      </c>
      <c r="V843" t="s">
        <v>284</v>
      </c>
      <c r="W843">
        <v>212.4</v>
      </c>
      <c r="X843" t="s">
        <v>284</v>
      </c>
      <c r="Y843">
        <v>219.6</v>
      </c>
      <c r="Z843" t="s">
        <v>284</v>
      </c>
      <c r="AA843">
        <v>178</v>
      </c>
      <c r="AB843" t="s">
        <v>284</v>
      </c>
      <c r="AG843">
        <v>204.74</v>
      </c>
      <c r="AH843" t="s">
        <v>54</v>
      </c>
      <c r="AI843" t="s">
        <v>52</v>
      </c>
      <c r="AZ843" t="s">
        <v>52</v>
      </c>
      <c r="BQ843" t="s">
        <v>52</v>
      </c>
      <c r="BR843">
        <v>1.85</v>
      </c>
      <c r="BS843" t="s">
        <v>284</v>
      </c>
      <c r="BT843">
        <v>1.62</v>
      </c>
      <c r="BU843" t="s">
        <v>284</v>
      </c>
      <c r="BV843">
        <v>1.88</v>
      </c>
      <c r="BW843" t="s">
        <v>284</v>
      </c>
      <c r="BX843">
        <v>2.21</v>
      </c>
      <c r="BY843" t="s">
        <v>284</v>
      </c>
      <c r="BZ843">
        <v>1.92</v>
      </c>
      <c r="CA843" t="s">
        <v>285</v>
      </c>
      <c r="CF843">
        <v>1.88</v>
      </c>
      <c r="CG843" t="s">
        <v>54</v>
      </c>
      <c r="CH843" t="s">
        <v>52</v>
      </c>
    </row>
    <row r="844" spans="1:86" x14ac:dyDescent="0.25">
      <c r="A844" t="s">
        <v>47</v>
      </c>
      <c r="B844">
        <v>8</v>
      </c>
      <c r="C844" t="s">
        <v>172</v>
      </c>
      <c r="D844">
        <v>75</v>
      </c>
      <c r="E844" t="s">
        <v>68</v>
      </c>
      <c r="F844">
        <v>80</v>
      </c>
      <c r="G844" t="s">
        <v>69</v>
      </c>
      <c r="H844" t="s">
        <v>50</v>
      </c>
      <c r="K844" t="s">
        <v>52</v>
      </c>
      <c r="L844">
        <v>1</v>
      </c>
      <c r="M844" t="s">
        <v>53</v>
      </c>
      <c r="N844">
        <v>80</v>
      </c>
      <c r="O844">
        <v>1</v>
      </c>
      <c r="P844" t="s">
        <v>52</v>
      </c>
      <c r="Q844">
        <v>0.5</v>
      </c>
      <c r="R844">
        <v>0.75</v>
      </c>
      <c r="S844">
        <v>202.92</v>
      </c>
      <c r="T844" t="s">
        <v>284</v>
      </c>
      <c r="U844">
        <v>198.9</v>
      </c>
      <c r="V844" t="s">
        <v>284</v>
      </c>
      <c r="W844">
        <v>212.4</v>
      </c>
      <c r="X844" t="s">
        <v>284</v>
      </c>
      <c r="Y844">
        <v>219.6</v>
      </c>
      <c r="Z844" t="s">
        <v>284</v>
      </c>
      <c r="AA844">
        <v>178</v>
      </c>
      <c r="AB844" t="s">
        <v>284</v>
      </c>
      <c r="AG844">
        <v>204.74</v>
      </c>
      <c r="AH844" t="s">
        <v>54</v>
      </c>
      <c r="AI844" t="s">
        <v>52</v>
      </c>
      <c r="AZ844" t="s">
        <v>52</v>
      </c>
      <c r="BQ844" t="s">
        <v>52</v>
      </c>
      <c r="BR844">
        <v>0.65</v>
      </c>
      <c r="BS844" t="s">
        <v>285</v>
      </c>
      <c r="BT844">
        <v>1.21</v>
      </c>
      <c r="BU844" t="s">
        <v>285</v>
      </c>
      <c r="BV844">
        <v>0.93</v>
      </c>
      <c r="BW844" t="s">
        <v>284</v>
      </c>
      <c r="BX844">
        <v>1.31</v>
      </c>
      <c r="BY844" t="s">
        <v>284</v>
      </c>
      <c r="BZ844">
        <v>1.1399999999999999</v>
      </c>
      <c r="CA844" t="s">
        <v>285</v>
      </c>
      <c r="CF844">
        <v>1.0900000000000001</v>
      </c>
      <c r="CG844" t="s">
        <v>54</v>
      </c>
      <c r="CH844" t="s">
        <v>52</v>
      </c>
    </row>
    <row r="845" spans="1:86" x14ac:dyDescent="0.25">
      <c r="A845" t="s">
        <v>47</v>
      </c>
      <c r="B845">
        <v>8</v>
      </c>
      <c r="C845" t="s">
        <v>172</v>
      </c>
      <c r="D845">
        <v>75</v>
      </c>
      <c r="E845" t="s">
        <v>70</v>
      </c>
      <c r="F845">
        <v>296</v>
      </c>
      <c r="G845" t="s">
        <v>71</v>
      </c>
      <c r="H845" t="s">
        <v>50</v>
      </c>
      <c r="K845" t="s">
        <v>51</v>
      </c>
      <c r="L845">
        <v>1</v>
      </c>
      <c r="M845" t="s">
        <v>53</v>
      </c>
      <c r="N845">
        <v>296</v>
      </c>
      <c r="O845">
        <v>1</v>
      </c>
      <c r="P845" t="s">
        <v>52</v>
      </c>
      <c r="Q845">
        <v>0</v>
      </c>
      <c r="R845">
        <v>0.75</v>
      </c>
      <c r="S845">
        <v>228</v>
      </c>
      <c r="T845" t="s">
        <v>284</v>
      </c>
      <c r="U845">
        <v>190</v>
      </c>
      <c r="V845" t="s">
        <v>285</v>
      </c>
      <c r="W845">
        <v>194</v>
      </c>
      <c r="X845" t="s">
        <v>285</v>
      </c>
      <c r="Y845">
        <v>225</v>
      </c>
      <c r="Z845" t="s">
        <v>285</v>
      </c>
      <c r="AA845">
        <v>247</v>
      </c>
      <c r="AB845" t="s">
        <v>285</v>
      </c>
      <c r="AC845">
        <v>241</v>
      </c>
      <c r="AD845" t="s">
        <v>285</v>
      </c>
      <c r="AE845">
        <v>219</v>
      </c>
      <c r="AF845" t="s">
        <v>285</v>
      </c>
      <c r="AG845">
        <v>219</v>
      </c>
      <c r="AH845" t="s">
        <v>286</v>
      </c>
      <c r="AI845" t="s">
        <v>287</v>
      </c>
      <c r="AX845">
        <v>263</v>
      </c>
      <c r="AY845" t="s">
        <v>286</v>
      </c>
      <c r="AZ845" t="s">
        <v>287</v>
      </c>
      <c r="BQ845" t="s">
        <v>52</v>
      </c>
      <c r="CH845" t="s">
        <v>52</v>
      </c>
    </row>
    <row r="846" spans="1:86" x14ac:dyDescent="0.25">
      <c r="A846" t="s">
        <v>47</v>
      </c>
      <c r="B846">
        <v>8</v>
      </c>
      <c r="C846" t="s">
        <v>172</v>
      </c>
      <c r="D846">
        <v>75</v>
      </c>
      <c r="E846" t="s">
        <v>70</v>
      </c>
      <c r="F846">
        <v>296</v>
      </c>
      <c r="G846" t="s">
        <v>71</v>
      </c>
      <c r="H846" t="s">
        <v>50</v>
      </c>
      <c r="K846" t="s">
        <v>52</v>
      </c>
      <c r="L846">
        <v>1</v>
      </c>
      <c r="M846" t="s">
        <v>53</v>
      </c>
      <c r="N846">
        <v>296</v>
      </c>
      <c r="O846">
        <v>1</v>
      </c>
      <c r="P846" t="s">
        <v>52</v>
      </c>
      <c r="Q846">
        <v>0</v>
      </c>
      <c r="R846">
        <v>0.75</v>
      </c>
      <c r="S846">
        <v>228</v>
      </c>
      <c r="T846" t="s">
        <v>284</v>
      </c>
      <c r="U846">
        <v>190</v>
      </c>
      <c r="V846" t="s">
        <v>285</v>
      </c>
      <c r="W846">
        <v>194</v>
      </c>
      <c r="X846" t="s">
        <v>285</v>
      </c>
      <c r="Y846">
        <v>225</v>
      </c>
      <c r="Z846" t="s">
        <v>285</v>
      </c>
      <c r="AA846">
        <v>247</v>
      </c>
      <c r="AB846" t="s">
        <v>285</v>
      </c>
      <c r="AC846">
        <v>241</v>
      </c>
      <c r="AD846" t="s">
        <v>285</v>
      </c>
      <c r="AE846">
        <v>219</v>
      </c>
      <c r="AF846" t="s">
        <v>285</v>
      </c>
      <c r="AG846">
        <v>219</v>
      </c>
      <c r="AH846" t="s">
        <v>286</v>
      </c>
      <c r="AI846" t="s">
        <v>287</v>
      </c>
      <c r="AX846">
        <v>263</v>
      </c>
      <c r="AY846" t="s">
        <v>286</v>
      </c>
      <c r="AZ846" t="s">
        <v>287</v>
      </c>
      <c r="BQ846" t="s">
        <v>52</v>
      </c>
      <c r="CH846" t="s">
        <v>52</v>
      </c>
    </row>
    <row r="847" spans="1:86" x14ac:dyDescent="0.25">
      <c r="A847" t="s">
        <v>47</v>
      </c>
      <c r="B847">
        <v>8</v>
      </c>
      <c r="C847" t="s">
        <v>172</v>
      </c>
      <c r="D847">
        <v>75</v>
      </c>
      <c r="E847" t="s">
        <v>70</v>
      </c>
      <c r="F847">
        <v>296</v>
      </c>
      <c r="G847" t="s">
        <v>72</v>
      </c>
      <c r="H847" t="s">
        <v>50</v>
      </c>
      <c r="K847" t="s">
        <v>51</v>
      </c>
      <c r="L847">
        <v>1</v>
      </c>
      <c r="M847" t="s">
        <v>53</v>
      </c>
      <c r="N847">
        <v>296</v>
      </c>
      <c r="O847">
        <v>1</v>
      </c>
      <c r="P847" t="s">
        <v>52</v>
      </c>
      <c r="Q847">
        <v>0.5</v>
      </c>
      <c r="R847">
        <v>0.75</v>
      </c>
      <c r="S847">
        <v>228</v>
      </c>
      <c r="T847" t="s">
        <v>284</v>
      </c>
      <c r="U847">
        <v>221</v>
      </c>
      <c r="V847" t="s">
        <v>284</v>
      </c>
      <c r="W847">
        <v>236</v>
      </c>
      <c r="X847" t="s">
        <v>284</v>
      </c>
      <c r="Y847">
        <v>244</v>
      </c>
      <c r="Z847" t="s">
        <v>284</v>
      </c>
      <c r="AA847">
        <v>215</v>
      </c>
      <c r="AB847" t="s">
        <v>285</v>
      </c>
      <c r="AG847">
        <v>228.33330000000001</v>
      </c>
      <c r="AH847" t="s">
        <v>54</v>
      </c>
      <c r="AI847" t="s">
        <v>52</v>
      </c>
      <c r="AZ847" t="s">
        <v>52</v>
      </c>
      <c r="BQ847" t="s">
        <v>52</v>
      </c>
      <c r="CH847" t="s">
        <v>52</v>
      </c>
    </row>
    <row r="848" spans="1:86" x14ac:dyDescent="0.25">
      <c r="A848" t="s">
        <v>47</v>
      </c>
      <c r="B848">
        <v>8</v>
      </c>
      <c r="C848" t="s">
        <v>172</v>
      </c>
      <c r="D848">
        <v>75</v>
      </c>
      <c r="E848" t="s">
        <v>70</v>
      </c>
      <c r="F848">
        <v>296</v>
      </c>
      <c r="G848" t="s">
        <v>72</v>
      </c>
      <c r="H848" t="s">
        <v>50</v>
      </c>
      <c r="K848" t="s">
        <v>52</v>
      </c>
      <c r="L848">
        <v>1</v>
      </c>
      <c r="M848" t="s">
        <v>53</v>
      </c>
      <c r="N848">
        <v>296</v>
      </c>
      <c r="O848">
        <v>1</v>
      </c>
      <c r="P848" t="s">
        <v>52</v>
      </c>
      <c r="Q848">
        <v>0.5</v>
      </c>
      <c r="R848">
        <v>0.75</v>
      </c>
      <c r="S848">
        <v>228</v>
      </c>
      <c r="T848" t="s">
        <v>284</v>
      </c>
      <c r="U848">
        <v>221</v>
      </c>
      <c r="V848" t="s">
        <v>284</v>
      </c>
      <c r="W848">
        <v>236</v>
      </c>
      <c r="X848" t="s">
        <v>284</v>
      </c>
      <c r="Y848">
        <v>244</v>
      </c>
      <c r="Z848" t="s">
        <v>284</v>
      </c>
      <c r="AA848">
        <v>215</v>
      </c>
      <c r="AB848" t="s">
        <v>285</v>
      </c>
      <c r="AG848">
        <v>228.33330000000001</v>
      </c>
      <c r="AH848" t="s">
        <v>54</v>
      </c>
      <c r="AI848" t="s">
        <v>52</v>
      </c>
      <c r="AZ848" t="s">
        <v>52</v>
      </c>
      <c r="BQ848" t="s">
        <v>52</v>
      </c>
      <c r="CH848" t="s">
        <v>52</v>
      </c>
    </row>
    <row r="849" spans="1:86" x14ac:dyDescent="0.25">
      <c r="A849" t="s">
        <v>47</v>
      </c>
      <c r="B849">
        <v>8</v>
      </c>
      <c r="C849" t="s">
        <v>172</v>
      </c>
      <c r="D849">
        <v>75</v>
      </c>
      <c r="E849" t="s">
        <v>70</v>
      </c>
      <c r="F849">
        <v>296</v>
      </c>
      <c r="G849" t="s">
        <v>74</v>
      </c>
      <c r="H849" t="s">
        <v>50</v>
      </c>
      <c r="K849" t="s">
        <v>51</v>
      </c>
      <c r="L849">
        <v>1</v>
      </c>
      <c r="M849" t="s">
        <v>53</v>
      </c>
      <c r="N849">
        <v>102</v>
      </c>
      <c r="O849">
        <v>1</v>
      </c>
      <c r="P849" t="s">
        <v>52</v>
      </c>
      <c r="Q849">
        <v>0</v>
      </c>
      <c r="R849">
        <v>0.75</v>
      </c>
      <c r="S849">
        <v>135</v>
      </c>
      <c r="T849" t="s">
        <v>284</v>
      </c>
      <c r="U849">
        <v>132</v>
      </c>
      <c r="V849" t="s">
        <v>284</v>
      </c>
      <c r="W849">
        <v>147</v>
      </c>
      <c r="X849" t="s">
        <v>284</v>
      </c>
      <c r="Y849">
        <v>170</v>
      </c>
      <c r="Z849" t="s">
        <v>284</v>
      </c>
      <c r="AA849">
        <v>205</v>
      </c>
      <c r="AB849" t="s">
        <v>285</v>
      </c>
      <c r="AG849">
        <v>150.66669999999999</v>
      </c>
      <c r="AH849" t="s">
        <v>54</v>
      </c>
      <c r="AI849" t="s">
        <v>52</v>
      </c>
      <c r="AZ849" t="s">
        <v>52</v>
      </c>
      <c r="BQ849" t="s">
        <v>52</v>
      </c>
      <c r="CH849" t="s">
        <v>52</v>
      </c>
    </row>
    <row r="850" spans="1:86" x14ac:dyDescent="0.25">
      <c r="A850" t="s">
        <v>47</v>
      </c>
      <c r="B850">
        <v>8</v>
      </c>
      <c r="C850" t="s">
        <v>172</v>
      </c>
      <c r="D850">
        <v>75</v>
      </c>
      <c r="E850" t="s">
        <v>70</v>
      </c>
      <c r="F850">
        <v>296</v>
      </c>
      <c r="G850" t="s">
        <v>74</v>
      </c>
      <c r="H850" t="s">
        <v>50</v>
      </c>
      <c r="K850" t="s">
        <v>52</v>
      </c>
      <c r="L850">
        <v>1</v>
      </c>
      <c r="M850" t="s">
        <v>53</v>
      </c>
      <c r="N850">
        <v>102</v>
      </c>
      <c r="O850">
        <v>1</v>
      </c>
      <c r="P850" t="s">
        <v>52</v>
      </c>
      <c r="Q850">
        <v>0</v>
      </c>
      <c r="R850">
        <v>0.75</v>
      </c>
      <c r="S850">
        <v>135</v>
      </c>
      <c r="T850" t="s">
        <v>284</v>
      </c>
      <c r="U850">
        <v>132</v>
      </c>
      <c r="V850" t="s">
        <v>284</v>
      </c>
      <c r="W850">
        <v>147</v>
      </c>
      <c r="X850" t="s">
        <v>284</v>
      </c>
      <c r="Y850">
        <v>170</v>
      </c>
      <c r="Z850" t="s">
        <v>284</v>
      </c>
      <c r="AA850">
        <v>205</v>
      </c>
      <c r="AB850" t="s">
        <v>285</v>
      </c>
      <c r="AG850">
        <v>150.66669999999999</v>
      </c>
      <c r="AH850" t="s">
        <v>54</v>
      </c>
      <c r="AI850" t="s">
        <v>52</v>
      </c>
      <c r="AZ850" t="s">
        <v>52</v>
      </c>
      <c r="BQ850" t="s">
        <v>52</v>
      </c>
      <c r="CH850" t="s">
        <v>52</v>
      </c>
    </row>
    <row r="851" spans="1:86" x14ac:dyDescent="0.25">
      <c r="A851" t="s">
        <v>47</v>
      </c>
      <c r="B851">
        <v>8</v>
      </c>
      <c r="C851" t="s">
        <v>172</v>
      </c>
      <c r="D851">
        <v>75</v>
      </c>
      <c r="E851" t="s">
        <v>75</v>
      </c>
      <c r="F851">
        <v>16</v>
      </c>
      <c r="G851" t="s">
        <v>76</v>
      </c>
      <c r="H851" t="s">
        <v>50</v>
      </c>
      <c r="K851" t="s">
        <v>51</v>
      </c>
      <c r="L851">
        <v>1</v>
      </c>
      <c r="M851" t="s">
        <v>53</v>
      </c>
      <c r="N851">
        <v>16</v>
      </c>
      <c r="O851">
        <v>2</v>
      </c>
      <c r="P851" t="s">
        <v>52</v>
      </c>
      <c r="Q851">
        <v>0.5</v>
      </c>
      <c r="R851">
        <v>0.75</v>
      </c>
      <c r="S851">
        <v>83.35</v>
      </c>
      <c r="T851" t="s">
        <v>285</v>
      </c>
      <c r="U851">
        <v>96.14</v>
      </c>
      <c r="V851" t="s">
        <v>284</v>
      </c>
      <c r="W851">
        <v>103.37</v>
      </c>
      <c r="X851" t="s">
        <v>284</v>
      </c>
      <c r="Y851">
        <v>106.14</v>
      </c>
      <c r="Z851" t="s">
        <v>284</v>
      </c>
      <c r="AA851">
        <v>128</v>
      </c>
      <c r="AB851" t="s">
        <v>285</v>
      </c>
      <c r="AG851">
        <v>101.88330000000001</v>
      </c>
      <c r="AH851" t="s">
        <v>54</v>
      </c>
      <c r="AI851" t="s">
        <v>52</v>
      </c>
      <c r="AX851">
        <v>146.69999999999999</v>
      </c>
      <c r="AY851" t="s">
        <v>285</v>
      </c>
      <c r="AZ851" t="s">
        <v>287</v>
      </c>
      <c r="BQ851" t="s">
        <v>52</v>
      </c>
      <c r="BR851">
        <v>1.85</v>
      </c>
      <c r="BS851" t="s">
        <v>284</v>
      </c>
      <c r="BT851">
        <v>1.62</v>
      </c>
      <c r="BU851" t="s">
        <v>284</v>
      </c>
      <c r="BV851">
        <v>1.35</v>
      </c>
      <c r="BW851" t="s">
        <v>284</v>
      </c>
      <c r="BX851">
        <v>2.21</v>
      </c>
      <c r="BY851" t="s">
        <v>284</v>
      </c>
      <c r="BZ851">
        <v>2.59</v>
      </c>
      <c r="CA851" t="s">
        <v>289</v>
      </c>
      <c r="CF851">
        <v>1.89</v>
      </c>
      <c r="CG851" t="s">
        <v>54</v>
      </c>
      <c r="CH851" t="s">
        <v>52</v>
      </c>
    </row>
    <row r="852" spans="1:86" x14ac:dyDescent="0.25">
      <c r="A852" t="s">
        <v>47</v>
      </c>
      <c r="B852">
        <v>8</v>
      </c>
      <c r="C852" t="s">
        <v>172</v>
      </c>
      <c r="D852">
        <v>75</v>
      </c>
      <c r="E852" t="s">
        <v>75</v>
      </c>
      <c r="F852">
        <v>16</v>
      </c>
      <c r="G852" t="s">
        <v>76</v>
      </c>
      <c r="H852" t="s">
        <v>50</v>
      </c>
      <c r="K852" t="s">
        <v>52</v>
      </c>
      <c r="L852">
        <v>1</v>
      </c>
      <c r="M852" t="s">
        <v>53</v>
      </c>
      <c r="N852">
        <v>16</v>
      </c>
      <c r="O852">
        <v>2</v>
      </c>
      <c r="P852" t="s">
        <v>52</v>
      </c>
      <c r="Q852">
        <v>0.5</v>
      </c>
      <c r="R852">
        <v>0.75</v>
      </c>
      <c r="S852">
        <v>83.35</v>
      </c>
      <c r="T852" t="s">
        <v>285</v>
      </c>
      <c r="U852">
        <v>96.14</v>
      </c>
      <c r="V852" t="s">
        <v>284</v>
      </c>
      <c r="W852">
        <v>103.37</v>
      </c>
      <c r="X852" t="s">
        <v>284</v>
      </c>
      <c r="Y852">
        <v>106.14</v>
      </c>
      <c r="Z852" t="s">
        <v>284</v>
      </c>
      <c r="AA852">
        <v>128</v>
      </c>
      <c r="AB852" t="s">
        <v>285</v>
      </c>
      <c r="AG852">
        <v>101.88330000000001</v>
      </c>
      <c r="AH852" t="s">
        <v>54</v>
      </c>
      <c r="AI852" t="s">
        <v>52</v>
      </c>
      <c r="AX852">
        <v>146.69999999999999</v>
      </c>
      <c r="AY852" t="s">
        <v>285</v>
      </c>
      <c r="AZ852" t="s">
        <v>287</v>
      </c>
      <c r="BQ852" t="s">
        <v>52</v>
      </c>
      <c r="BR852">
        <v>0.65</v>
      </c>
      <c r="BS852" t="s">
        <v>284</v>
      </c>
      <c r="BT852">
        <v>0.84</v>
      </c>
      <c r="BU852" t="s">
        <v>284</v>
      </c>
      <c r="BV852">
        <v>1.51</v>
      </c>
      <c r="BW852" t="s">
        <v>284</v>
      </c>
      <c r="BX852">
        <v>1.55</v>
      </c>
      <c r="BY852" t="s">
        <v>284</v>
      </c>
      <c r="BZ852">
        <v>0.17</v>
      </c>
      <c r="CA852" t="s">
        <v>289</v>
      </c>
      <c r="CF852">
        <v>1</v>
      </c>
      <c r="CG852" t="s">
        <v>54</v>
      </c>
      <c r="CH852" t="s">
        <v>52</v>
      </c>
    </row>
    <row r="853" spans="1:86" x14ac:dyDescent="0.25">
      <c r="A853" t="s">
        <v>47</v>
      </c>
      <c r="B853">
        <v>8</v>
      </c>
      <c r="C853" t="s">
        <v>172</v>
      </c>
      <c r="D853">
        <v>75</v>
      </c>
      <c r="E853" t="s">
        <v>125</v>
      </c>
      <c r="F853">
        <v>67</v>
      </c>
      <c r="G853" t="s">
        <v>292</v>
      </c>
      <c r="H853" t="s">
        <v>50</v>
      </c>
      <c r="K853" t="s">
        <v>51</v>
      </c>
      <c r="L853">
        <v>1</v>
      </c>
      <c r="M853" t="s">
        <v>53</v>
      </c>
      <c r="N853">
        <v>67</v>
      </c>
      <c r="O853">
        <v>1</v>
      </c>
      <c r="P853" t="s">
        <v>52</v>
      </c>
      <c r="Q853">
        <v>0.5</v>
      </c>
      <c r="R853">
        <v>0.87</v>
      </c>
      <c r="S853">
        <v>228</v>
      </c>
      <c r="T853" t="s">
        <v>284</v>
      </c>
      <c r="AI853" t="s">
        <v>52</v>
      </c>
      <c r="AZ853" t="s">
        <v>52</v>
      </c>
      <c r="BQ853" t="s">
        <v>52</v>
      </c>
      <c r="BR853">
        <v>1.85</v>
      </c>
      <c r="BS853" t="s">
        <v>284</v>
      </c>
      <c r="CH853" t="s">
        <v>52</v>
      </c>
    </row>
    <row r="854" spans="1:86" x14ac:dyDescent="0.25">
      <c r="A854" t="s">
        <v>47</v>
      </c>
      <c r="B854">
        <v>8</v>
      </c>
      <c r="C854" t="s">
        <v>172</v>
      </c>
      <c r="D854">
        <v>75</v>
      </c>
      <c r="E854" t="s">
        <v>125</v>
      </c>
      <c r="F854">
        <v>67</v>
      </c>
      <c r="G854" t="s">
        <v>292</v>
      </c>
      <c r="H854" t="s">
        <v>50</v>
      </c>
      <c r="K854" t="s">
        <v>52</v>
      </c>
      <c r="L854">
        <v>1</v>
      </c>
      <c r="M854" t="s">
        <v>53</v>
      </c>
      <c r="N854">
        <v>67</v>
      </c>
      <c r="O854">
        <v>1</v>
      </c>
      <c r="P854" t="s">
        <v>52</v>
      </c>
      <c r="Q854">
        <v>0.5</v>
      </c>
      <c r="R854">
        <v>0.87</v>
      </c>
      <c r="S854">
        <v>228</v>
      </c>
      <c r="T854" t="s">
        <v>284</v>
      </c>
      <c r="AI854" t="s">
        <v>52</v>
      </c>
      <c r="AZ854" t="s">
        <v>52</v>
      </c>
      <c r="BQ854" t="s">
        <v>52</v>
      </c>
      <c r="BR854">
        <v>0.93</v>
      </c>
      <c r="BS854" t="s">
        <v>285</v>
      </c>
      <c r="CH854" t="s">
        <v>52</v>
      </c>
    </row>
    <row r="855" spans="1:86" x14ac:dyDescent="0.25">
      <c r="A855" t="s">
        <v>47</v>
      </c>
      <c r="B855">
        <v>8</v>
      </c>
      <c r="C855" t="s">
        <v>172</v>
      </c>
      <c r="D855">
        <v>75</v>
      </c>
      <c r="E855" t="s">
        <v>93</v>
      </c>
      <c r="F855">
        <v>94</v>
      </c>
      <c r="H855" t="s">
        <v>50</v>
      </c>
      <c r="K855" t="s">
        <v>51</v>
      </c>
      <c r="L855">
        <v>1</v>
      </c>
      <c r="M855" t="s">
        <v>53</v>
      </c>
      <c r="N855">
        <v>94</v>
      </c>
      <c r="O855">
        <v>2</v>
      </c>
      <c r="P855" t="s">
        <v>52</v>
      </c>
      <c r="Q855">
        <v>0.77</v>
      </c>
      <c r="R855">
        <v>0.93</v>
      </c>
      <c r="S855">
        <v>205</v>
      </c>
      <c r="T855" t="s">
        <v>284</v>
      </c>
      <c r="U855">
        <v>175</v>
      </c>
      <c r="V855" t="s">
        <v>284</v>
      </c>
      <c r="W855">
        <v>188</v>
      </c>
      <c r="X855" t="s">
        <v>284</v>
      </c>
      <c r="Y855">
        <v>202.32</v>
      </c>
      <c r="Z855" t="s">
        <v>284</v>
      </c>
      <c r="AA855">
        <v>209.16</v>
      </c>
      <c r="AB855" t="s">
        <v>284</v>
      </c>
      <c r="AG855">
        <v>198.44</v>
      </c>
      <c r="AH855" t="s">
        <v>54</v>
      </c>
      <c r="AI855" t="s">
        <v>52</v>
      </c>
      <c r="AZ855" t="s">
        <v>52</v>
      </c>
      <c r="BQ855" t="s">
        <v>52</v>
      </c>
      <c r="CH855" t="s">
        <v>52</v>
      </c>
    </row>
    <row r="856" spans="1:86" x14ac:dyDescent="0.25">
      <c r="A856" t="s">
        <v>47</v>
      </c>
      <c r="B856">
        <v>8</v>
      </c>
      <c r="C856" t="s">
        <v>172</v>
      </c>
      <c r="D856">
        <v>75</v>
      </c>
      <c r="E856" t="s">
        <v>93</v>
      </c>
      <c r="F856">
        <v>94</v>
      </c>
      <c r="H856" t="s">
        <v>50</v>
      </c>
      <c r="K856" t="s">
        <v>52</v>
      </c>
      <c r="L856">
        <v>1</v>
      </c>
      <c r="M856" t="s">
        <v>53</v>
      </c>
      <c r="N856">
        <v>94</v>
      </c>
      <c r="O856">
        <v>2</v>
      </c>
      <c r="P856" t="s">
        <v>52</v>
      </c>
      <c r="Q856">
        <v>0.77</v>
      </c>
      <c r="R856">
        <v>0.93</v>
      </c>
      <c r="S856">
        <v>205</v>
      </c>
      <c r="T856" t="s">
        <v>284</v>
      </c>
      <c r="U856">
        <v>175</v>
      </c>
      <c r="V856" t="s">
        <v>284</v>
      </c>
      <c r="W856">
        <v>188</v>
      </c>
      <c r="X856" t="s">
        <v>284</v>
      </c>
      <c r="Y856">
        <v>202.32</v>
      </c>
      <c r="Z856" t="s">
        <v>284</v>
      </c>
      <c r="AA856">
        <v>209.16</v>
      </c>
      <c r="AB856" t="s">
        <v>284</v>
      </c>
      <c r="AG856">
        <v>198.44</v>
      </c>
      <c r="AH856" t="s">
        <v>54</v>
      </c>
      <c r="AI856" t="s">
        <v>52</v>
      </c>
      <c r="AZ856" t="s">
        <v>52</v>
      </c>
      <c r="BQ856" t="s">
        <v>52</v>
      </c>
      <c r="CH856" t="s">
        <v>52</v>
      </c>
    </row>
    <row r="857" spans="1:86" x14ac:dyDescent="0.25">
      <c r="A857" t="s">
        <v>47</v>
      </c>
      <c r="B857">
        <v>8</v>
      </c>
      <c r="C857" t="s">
        <v>172</v>
      </c>
      <c r="D857">
        <v>75</v>
      </c>
      <c r="E857" t="s">
        <v>79</v>
      </c>
      <c r="F857">
        <v>50</v>
      </c>
      <c r="G857" t="s">
        <v>80</v>
      </c>
      <c r="H857" t="s">
        <v>50</v>
      </c>
      <c r="K857" t="s">
        <v>51</v>
      </c>
      <c r="L857">
        <v>1</v>
      </c>
      <c r="M857" t="s">
        <v>53</v>
      </c>
      <c r="N857">
        <v>50</v>
      </c>
      <c r="O857">
        <v>1</v>
      </c>
      <c r="P857" t="s">
        <v>52</v>
      </c>
      <c r="Q857">
        <v>0.5</v>
      </c>
      <c r="R857">
        <v>0.75</v>
      </c>
      <c r="S857">
        <v>85</v>
      </c>
      <c r="T857" t="s">
        <v>285</v>
      </c>
      <c r="U857">
        <v>93</v>
      </c>
      <c r="V857" t="s">
        <v>284</v>
      </c>
      <c r="W857">
        <v>89.7</v>
      </c>
      <c r="X857" t="s">
        <v>284</v>
      </c>
      <c r="Y857">
        <v>92.72</v>
      </c>
      <c r="Z857" t="s">
        <v>284</v>
      </c>
      <c r="AA857">
        <v>109</v>
      </c>
      <c r="AB857" t="s">
        <v>285</v>
      </c>
      <c r="AG857">
        <v>91.806700000000006</v>
      </c>
      <c r="AH857" t="s">
        <v>54</v>
      </c>
      <c r="AI857" t="s">
        <v>52</v>
      </c>
      <c r="AZ857" t="s">
        <v>52</v>
      </c>
      <c r="BQ857" t="s">
        <v>52</v>
      </c>
      <c r="CH857" t="s">
        <v>52</v>
      </c>
    </row>
    <row r="858" spans="1:86" x14ac:dyDescent="0.25">
      <c r="A858" t="s">
        <v>47</v>
      </c>
      <c r="B858">
        <v>8</v>
      </c>
      <c r="C858" t="s">
        <v>172</v>
      </c>
      <c r="D858">
        <v>75</v>
      </c>
      <c r="E858" t="s">
        <v>79</v>
      </c>
      <c r="F858">
        <v>50</v>
      </c>
      <c r="G858" t="s">
        <v>80</v>
      </c>
      <c r="H858" t="s">
        <v>50</v>
      </c>
      <c r="K858" t="s">
        <v>52</v>
      </c>
      <c r="L858">
        <v>1</v>
      </c>
      <c r="M858" t="s">
        <v>53</v>
      </c>
      <c r="N858">
        <v>50</v>
      </c>
      <c r="O858">
        <v>1</v>
      </c>
      <c r="P858" t="s">
        <v>52</v>
      </c>
      <c r="Q858">
        <v>0.5</v>
      </c>
      <c r="R858">
        <v>0.75</v>
      </c>
      <c r="S858">
        <v>85</v>
      </c>
      <c r="T858" t="s">
        <v>285</v>
      </c>
      <c r="U858">
        <v>93</v>
      </c>
      <c r="V858" t="s">
        <v>284</v>
      </c>
      <c r="W858">
        <v>89.7</v>
      </c>
      <c r="X858" t="s">
        <v>284</v>
      </c>
      <c r="Y858">
        <v>92.72</v>
      </c>
      <c r="Z858" t="s">
        <v>284</v>
      </c>
      <c r="AA858">
        <v>109</v>
      </c>
      <c r="AB858" t="s">
        <v>285</v>
      </c>
      <c r="AG858">
        <v>91.806700000000006</v>
      </c>
      <c r="AH858" t="s">
        <v>54</v>
      </c>
      <c r="AI858" t="s">
        <v>52</v>
      </c>
      <c r="AZ858" t="s">
        <v>52</v>
      </c>
      <c r="BQ858" t="s">
        <v>52</v>
      </c>
      <c r="BR858">
        <v>0.75</v>
      </c>
      <c r="BS858" t="s">
        <v>289</v>
      </c>
      <c r="BT858">
        <v>0.46</v>
      </c>
      <c r="BU858" t="s">
        <v>285</v>
      </c>
      <c r="BV858">
        <v>0.66</v>
      </c>
      <c r="BW858" t="s">
        <v>284</v>
      </c>
      <c r="BX858">
        <v>0.63</v>
      </c>
      <c r="BY858" t="s">
        <v>284</v>
      </c>
      <c r="BZ858">
        <v>0.35</v>
      </c>
      <c r="CA858" t="s">
        <v>289</v>
      </c>
      <c r="CF858">
        <v>0.57999999999999996</v>
      </c>
      <c r="CG858" t="s">
        <v>54</v>
      </c>
      <c r="CH858" t="s">
        <v>52</v>
      </c>
    </row>
    <row r="859" spans="1:86" x14ac:dyDescent="0.25">
      <c r="A859" t="s">
        <v>47</v>
      </c>
      <c r="B859">
        <v>8</v>
      </c>
      <c r="C859" t="s">
        <v>172</v>
      </c>
      <c r="D859">
        <v>75</v>
      </c>
      <c r="E859" t="s">
        <v>79</v>
      </c>
      <c r="F859">
        <v>50</v>
      </c>
      <c r="G859" t="s">
        <v>65</v>
      </c>
      <c r="H859" t="s">
        <v>50</v>
      </c>
      <c r="K859" t="s">
        <v>51</v>
      </c>
      <c r="L859">
        <v>1</v>
      </c>
      <c r="M859" t="s">
        <v>53</v>
      </c>
      <c r="N859">
        <v>50</v>
      </c>
      <c r="O859">
        <v>1</v>
      </c>
      <c r="P859" t="s">
        <v>52</v>
      </c>
      <c r="Q859">
        <v>0.5</v>
      </c>
      <c r="R859">
        <v>0.75</v>
      </c>
      <c r="S859">
        <v>85</v>
      </c>
      <c r="T859" t="s">
        <v>285</v>
      </c>
      <c r="U859">
        <v>93</v>
      </c>
      <c r="V859" t="s">
        <v>284</v>
      </c>
      <c r="W859">
        <v>89.7</v>
      </c>
      <c r="X859" t="s">
        <v>284</v>
      </c>
      <c r="Y859">
        <v>92.72</v>
      </c>
      <c r="Z859" t="s">
        <v>284</v>
      </c>
      <c r="AA859">
        <v>109</v>
      </c>
      <c r="AB859" t="s">
        <v>285</v>
      </c>
      <c r="AG859">
        <v>91.806700000000006</v>
      </c>
      <c r="AH859" t="s">
        <v>54</v>
      </c>
      <c r="AI859" t="s">
        <v>52</v>
      </c>
      <c r="AZ859" t="s">
        <v>52</v>
      </c>
      <c r="BQ859" t="s">
        <v>52</v>
      </c>
      <c r="BR859">
        <v>3.57</v>
      </c>
      <c r="BS859" t="s">
        <v>289</v>
      </c>
      <c r="BT859">
        <v>2.0699999999999998</v>
      </c>
      <c r="BU859" t="s">
        <v>284</v>
      </c>
      <c r="BV859">
        <v>2.98</v>
      </c>
      <c r="BW859" t="s">
        <v>284</v>
      </c>
      <c r="BX859">
        <v>2.83</v>
      </c>
      <c r="BY859" t="s">
        <v>284</v>
      </c>
      <c r="BZ859">
        <v>3.71</v>
      </c>
      <c r="CA859" t="s">
        <v>289</v>
      </c>
      <c r="CF859">
        <v>3.13</v>
      </c>
      <c r="CG859" t="s">
        <v>54</v>
      </c>
      <c r="CH859" t="s">
        <v>52</v>
      </c>
    </row>
    <row r="860" spans="1:86" x14ac:dyDescent="0.25">
      <c r="A860" t="s">
        <v>47</v>
      </c>
      <c r="B860">
        <v>8</v>
      </c>
      <c r="C860" t="s">
        <v>172</v>
      </c>
      <c r="D860">
        <v>75</v>
      </c>
      <c r="E860" t="s">
        <v>79</v>
      </c>
      <c r="F860">
        <v>50</v>
      </c>
      <c r="G860" t="s">
        <v>65</v>
      </c>
      <c r="H860" t="s">
        <v>50</v>
      </c>
      <c r="K860" t="s">
        <v>52</v>
      </c>
      <c r="L860">
        <v>1</v>
      </c>
      <c r="M860" t="s">
        <v>53</v>
      </c>
      <c r="N860">
        <v>50</v>
      </c>
      <c r="O860">
        <v>1</v>
      </c>
      <c r="P860" t="s">
        <v>52</v>
      </c>
      <c r="Q860">
        <v>0.5</v>
      </c>
      <c r="R860">
        <v>0.75</v>
      </c>
      <c r="S860">
        <v>85</v>
      </c>
      <c r="T860" t="s">
        <v>285</v>
      </c>
      <c r="U860">
        <v>93</v>
      </c>
      <c r="V860" t="s">
        <v>284</v>
      </c>
      <c r="W860">
        <v>89.7</v>
      </c>
      <c r="X860" t="s">
        <v>284</v>
      </c>
      <c r="Y860">
        <v>92.72</v>
      </c>
      <c r="Z860" t="s">
        <v>284</v>
      </c>
      <c r="AA860">
        <v>109</v>
      </c>
      <c r="AB860" t="s">
        <v>285</v>
      </c>
      <c r="AG860">
        <v>91.806700000000006</v>
      </c>
      <c r="AH860" t="s">
        <v>54</v>
      </c>
      <c r="AI860" t="s">
        <v>52</v>
      </c>
      <c r="AZ860" t="s">
        <v>52</v>
      </c>
      <c r="BQ860" t="s">
        <v>52</v>
      </c>
      <c r="BR860">
        <v>0.43</v>
      </c>
      <c r="BS860" t="s">
        <v>289</v>
      </c>
      <c r="BT860">
        <v>0.82</v>
      </c>
      <c r="BU860" t="s">
        <v>284</v>
      </c>
      <c r="BV860">
        <v>1.18</v>
      </c>
      <c r="BW860" t="s">
        <v>284</v>
      </c>
      <c r="BX860">
        <v>1.1200000000000001</v>
      </c>
      <c r="BY860" t="s">
        <v>284</v>
      </c>
      <c r="BZ860">
        <v>0.62</v>
      </c>
      <c r="CA860" t="s">
        <v>289</v>
      </c>
      <c r="CF860">
        <v>0.85</v>
      </c>
      <c r="CG860" t="s">
        <v>54</v>
      </c>
      <c r="CH860" t="s">
        <v>52</v>
      </c>
    </row>
    <row r="861" spans="1:86" x14ac:dyDescent="0.25">
      <c r="A861" t="s">
        <v>47</v>
      </c>
      <c r="B861">
        <v>8</v>
      </c>
      <c r="C861" t="s">
        <v>172</v>
      </c>
      <c r="D861">
        <v>75</v>
      </c>
      <c r="E861" t="s">
        <v>79</v>
      </c>
      <c r="F861">
        <v>50</v>
      </c>
      <c r="G861" t="s">
        <v>81</v>
      </c>
      <c r="H861" t="s">
        <v>50</v>
      </c>
      <c r="K861" t="s">
        <v>51</v>
      </c>
      <c r="L861">
        <v>1</v>
      </c>
      <c r="M861" t="s">
        <v>53</v>
      </c>
      <c r="N861">
        <v>50</v>
      </c>
      <c r="O861">
        <v>1</v>
      </c>
      <c r="P861" t="s">
        <v>52</v>
      </c>
      <c r="Q861">
        <v>0.5</v>
      </c>
      <c r="R861">
        <v>0.75</v>
      </c>
      <c r="S861">
        <v>85</v>
      </c>
      <c r="T861" t="s">
        <v>285</v>
      </c>
      <c r="U861">
        <v>93</v>
      </c>
      <c r="V861" t="s">
        <v>284</v>
      </c>
      <c r="W861">
        <v>89.7</v>
      </c>
      <c r="X861" t="s">
        <v>284</v>
      </c>
      <c r="Y861">
        <v>92.72</v>
      </c>
      <c r="Z861" t="s">
        <v>284</v>
      </c>
      <c r="AA861">
        <v>109</v>
      </c>
      <c r="AB861" t="s">
        <v>285</v>
      </c>
      <c r="AG861">
        <v>91.806700000000006</v>
      </c>
      <c r="AH861" t="s">
        <v>54</v>
      </c>
      <c r="AI861" t="s">
        <v>52</v>
      </c>
      <c r="AZ861" t="s">
        <v>52</v>
      </c>
      <c r="BQ861" t="s">
        <v>52</v>
      </c>
      <c r="BR861">
        <v>2.74</v>
      </c>
      <c r="BS861" t="s">
        <v>289</v>
      </c>
      <c r="BT861">
        <v>1.91</v>
      </c>
      <c r="BU861" t="s">
        <v>284</v>
      </c>
      <c r="BV861">
        <v>2.76</v>
      </c>
      <c r="BW861" t="s">
        <v>284</v>
      </c>
      <c r="BX861">
        <v>2.62</v>
      </c>
      <c r="BY861" t="s">
        <v>284</v>
      </c>
      <c r="BZ861">
        <v>3.43</v>
      </c>
      <c r="CA861" t="s">
        <v>289</v>
      </c>
      <c r="CF861">
        <v>2.71</v>
      </c>
      <c r="CG861" t="s">
        <v>54</v>
      </c>
      <c r="CH861" t="s">
        <v>52</v>
      </c>
    </row>
    <row r="862" spans="1:86" x14ac:dyDescent="0.25">
      <c r="A862" t="s">
        <v>47</v>
      </c>
      <c r="B862">
        <v>8</v>
      </c>
      <c r="C862" t="s">
        <v>172</v>
      </c>
      <c r="D862">
        <v>75</v>
      </c>
      <c r="E862" t="s">
        <v>79</v>
      </c>
      <c r="F862">
        <v>50</v>
      </c>
      <c r="G862" t="s">
        <v>81</v>
      </c>
      <c r="H862" t="s">
        <v>50</v>
      </c>
      <c r="K862" t="s">
        <v>52</v>
      </c>
      <c r="L862">
        <v>1</v>
      </c>
      <c r="M862" t="s">
        <v>53</v>
      </c>
      <c r="N862">
        <v>50</v>
      </c>
      <c r="O862">
        <v>1</v>
      </c>
      <c r="P862" t="s">
        <v>52</v>
      </c>
      <c r="Q862">
        <v>0.5</v>
      </c>
      <c r="R862">
        <v>0.75</v>
      </c>
      <c r="S862">
        <v>85</v>
      </c>
      <c r="T862" t="s">
        <v>285</v>
      </c>
      <c r="U862">
        <v>93</v>
      </c>
      <c r="V862" t="s">
        <v>284</v>
      </c>
      <c r="W862">
        <v>89.7</v>
      </c>
      <c r="X862" t="s">
        <v>284</v>
      </c>
      <c r="Y862">
        <v>92.72</v>
      </c>
      <c r="Z862" t="s">
        <v>284</v>
      </c>
      <c r="AA862">
        <v>109</v>
      </c>
      <c r="AB862" t="s">
        <v>285</v>
      </c>
      <c r="AG862">
        <v>91.806700000000006</v>
      </c>
      <c r="AH862" t="s">
        <v>54</v>
      </c>
      <c r="AI862" t="s">
        <v>52</v>
      </c>
      <c r="AZ862" t="s">
        <v>52</v>
      </c>
      <c r="BQ862" t="s">
        <v>52</v>
      </c>
      <c r="BR862">
        <v>2.74</v>
      </c>
      <c r="BS862" t="s">
        <v>289</v>
      </c>
      <c r="BT862">
        <v>0.85</v>
      </c>
      <c r="BU862" t="s">
        <v>284</v>
      </c>
      <c r="BV862">
        <v>1.23</v>
      </c>
      <c r="BW862" t="s">
        <v>284</v>
      </c>
      <c r="BX862">
        <v>1.17</v>
      </c>
      <c r="BY862" t="s">
        <v>284</v>
      </c>
      <c r="BZ862">
        <v>0.64</v>
      </c>
      <c r="CA862" t="s">
        <v>289</v>
      </c>
      <c r="CF862">
        <v>1.08</v>
      </c>
      <c r="CG862" t="s">
        <v>54</v>
      </c>
      <c r="CH862" t="s">
        <v>52</v>
      </c>
    </row>
    <row r="863" spans="1:86" x14ac:dyDescent="0.25">
      <c r="A863" t="s">
        <v>47</v>
      </c>
      <c r="B863">
        <v>8</v>
      </c>
      <c r="C863" t="s">
        <v>172</v>
      </c>
      <c r="D863">
        <v>75</v>
      </c>
      <c r="E863" t="s">
        <v>83</v>
      </c>
      <c r="F863">
        <v>158</v>
      </c>
      <c r="H863" t="s">
        <v>50</v>
      </c>
      <c r="K863" t="s">
        <v>51</v>
      </c>
      <c r="L863">
        <v>1</v>
      </c>
      <c r="M863" t="s">
        <v>53</v>
      </c>
      <c r="N863">
        <v>158</v>
      </c>
      <c r="O863">
        <v>2</v>
      </c>
      <c r="P863" t="s">
        <v>52</v>
      </c>
      <c r="Q863">
        <v>0.77</v>
      </c>
      <c r="R863">
        <v>0.93</v>
      </c>
      <c r="S863">
        <v>228</v>
      </c>
      <c r="T863" t="s">
        <v>284</v>
      </c>
      <c r="U863">
        <v>221</v>
      </c>
      <c r="V863" t="s">
        <v>284</v>
      </c>
      <c r="W863">
        <v>236</v>
      </c>
      <c r="X863" t="s">
        <v>284</v>
      </c>
      <c r="Y863">
        <v>244</v>
      </c>
      <c r="Z863" t="s">
        <v>284</v>
      </c>
      <c r="AA863">
        <v>252</v>
      </c>
      <c r="AB863" t="s">
        <v>284</v>
      </c>
      <c r="AG863">
        <v>236</v>
      </c>
      <c r="AH863" t="s">
        <v>54</v>
      </c>
      <c r="AI863" t="s">
        <v>52</v>
      </c>
      <c r="AX863">
        <v>339</v>
      </c>
      <c r="AY863" t="s">
        <v>285</v>
      </c>
      <c r="AZ863" t="s">
        <v>287</v>
      </c>
      <c r="BQ863" t="s">
        <v>52</v>
      </c>
      <c r="BR863">
        <v>1.85</v>
      </c>
      <c r="BS863" t="s">
        <v>289</v>
      </c>
      <c r="BT863">
        <v>1.35</v>
      </c>
      <c r="BU863" t="s">
        <v>289</v>
      </c>
      <c r="BV863">
        <v>1.03</v>
      </c>
      <c r="BW863" t="s">
        <v>289</v>
      </c>
      <c r="BX863">
        <v>1.35</v>
      </c>
      <c r="BY863" t="s">
        <v>289</v>
      </c>
      <c r="BZ863">
        <v>1.22</v>
      </c>
      <c r="CA863" t="s">
        <v>289</v>
      </c>
      <c r="CF863">
        <v>1.31</v>
      </c>
      <c r="CG863" t="s">
        <v>54</v>
      </c>
      <c r="CH863" t="s">
        <v>52</v>
      </c>
    </row>
    <row r="864" spans="1:86" x14ac:dyDescent="0.25">
      <c r="A864" t="s">
        <v>47</v>
      </c>
      <c r="B864">
        <v>8</v>
      </c>
      <c r="C864" t="s">
        <v>172</v>
      </c>
      <c r="D864">
        <v>75</v>
      </c>
      <c r="E864" t="s">
        <v>83</v>
      </c>
      <c r="F864">
        <v>158</v>
      </c>
      <c r="H864" t="s">
        <v>50</v>
      </c>
      <c r="K864" t="s">
        <v>52</v>
      </c>
      <c r="L864">
        <v>1</v>
      </c>
      <c r="M864" t="s">
        <v>53</v>
      </c>
      <c r="N864">
        <v>158</v>
      </c>
      <c r="O864">
        <v>2</v>
      </c>
      <c r="P864" t="s">
        <v>52</v>
      </c>
      <c r="Q864">
        <v>0.77</v>
      </c>
      <c r="R864">
        <v>0.93</v>
      </c>
      <c r="S864">
        <v>228</v>
      </c>
      <c r="T864" t="s">
        <v>284</v>
      </c>
      <c r="U864">
        <v>221</v>
      </c>
      <c r="V864" t="s">
        <v>284</v>
      </c>
      <c r="W864">
        <v>236</v>
      </c>
      <c r="X864" t="s">
        <v>284</v>
      </c>
      <c r="Y864">
        <v>244</v>
      </c>
      <c r="Z864" t="s">
        <v>284</v>
      </c>
      <c r="AA864">
        <v>252</v>
      </c>
      <c r="AB864" t="s">
        <v>284</v>
      </c>
      <c r="AG864">
        <v>236</v>
      </c>
      <c r="AH864" t="s">
        <v>54</v>
      </c>
      <c r="AI864" t="s">
        <v>52</v>
      </c>
      <c r="AX864">
        <v>339</v>
      </c>
      <c r="AY864" t="s">
        <v>285</v>
      </c>
      <c r="AZ864" t="s">
        <v>287</v>
      </c>
      <c r="BQ864" t="s">
        <v>52</v>
      </c>
      <c r="BR864">
        <v>1.31</v>
      </c>
      <c r="BS864" t="s">
        <v>289</v>
      </c>
      <c r="BT864">
        <v>1.01</v>
      </c>
      <c r="BU864" t="s">
        <v>289</v>
      </c>
      <c r="BV864">
        <v>0.33</v>
      </c>
      <c r="BW864" t="s">
        <v>289</v>
      </c>
      <c r="BX864">
        <v>0.56999999999999995</v>
      </c>
      <c r="BY864" t="s">
        <v>289</v>
      </c>
      <c r="BZ864">
        <v>0.1</v>
      </c>
      <c r="CA864" t="s">
        <v>289</v>
      </c>
      <c r="CF864">
        <v>0.64</v>
      </c>
      <c r="CG864" t="s">
        <v>54</v>
      </c>
      <c r="CH864" t="s">
        <v>52</v>
      </c>
    </row>
    <row r="865" spans="1:86" x14ac:dyDescent="0.25">
      <c r="A865" t="s">
        <v>47</v>
      </c>
      <c r="B865">
        <v>8</v>
      </c>
      <c r="C865" t="s">
        <v>172</v>
      </c>
      <c r="D865">
        <v>75</v>
      </c>
      <c r="E865" t="s">
        <v>84</v>
      </c>
      <c r="F865">
        <v>11</v>
      </c>
      <c r="G865" t="s">
        <v>85</v>
      </c>
      <c r="H865" t="s">
        <v>50</v>
      </c>
      <c r="K865" t="s">
        <v>51</v>
      </c>
      <c r="L865">
        <v>1</v>
      </c>
      <c r="M865" t="s">
        <v>53</v>
      </c>
      <c r="N865">
        <v>11</v>
      </c>
      <c r="O865">
        <v>2</v>
      </c>
      <c r="P865" t="s">
        <v>52</v>
      </c>
      <c r="Q865">
        <v>0.5</v>
      </c>
      <c r="R865">
        <v>0.75</v>
      </c>
      <c r="S865">
        <v>155</v>
      </c>
      <c r="T865" t="s">
        <v>284</v>
      </c>
      <c r="U865">
        <v>110</v>
      </c>
      <c r="V865" t="s">
        <v>284</v>
      </c>
      <c r="W865">
        <v>118</v>
      </c>
      <c r="X865" t="s">
        <v>284</v>
      </c>
      <c r="Y865">
        <v>122</v>
      </c>
      <c r="Z865" t="s">
        <v>284</v>
      </c>
      <c r="AA865">
        <v>126</v>
      </c>
      <c r="AB865" t="s">
        <v>284</v>
      </c>
      <c r="AG865">
        <v>122</v>
      </c>
      <c r="AH865" t="s">
        <v>54</v>
      </c>
      <c r="AI865" t="s">
        <v>52</v>
      </c>
      <c r="AZ865" t="s">
        <v>52</v>
      </c>
      <c r="BQ865" t="s">
        <v>52</v>
      </c>
      <c r="CH865" t="s">
        <v>52</v>
      </c>
    </row>
    <row r="866" spans="1:86" x14ac:dyDescent="0.25">
      <c r="A866" t="s">
        <v>47</v>
      </c>
      <c r="B866">
        <v>8</v>
      </c>
      <c r="C866" t="s">
        <v>172</v>
      </c>
      <c r="D866">
        <v>75</v>
      </c>
      <c r="E866" t="s">
        <v>84</v>
      </c>
      <c r="F866">
        <v>11</v>
      </c>
      <c r="G866" t="s">
        <v>85</v>
      </c>
      <c r="H866" t="s">
        <v>50</v>
      </c>
      <c r="K866" t="s">
        <v>52</v>
      </c>
      <c r="L866">
        <v>1</v>
      </c>
      <c r="M866" t="s">
        <v>53</v>
      </c>
      <c r="N866">
        <v>11</v>
      </c>
      <c r="O866">
        <v>2</v>
      </c>
      <c r="P866" t="s">
        <v>52</v>
      </c>
      <c r="Q866">
        <v>0.5</v>
      </c>
      <c r="R866">
        <v>0.75</v>
      </c>
      <c r="S866">
        <v>155</v>
      </c>
      <c r="T866" t="s">
        <v>284</v>
      </c>
      <c r="U866">
        <v>110</v>
      </c>
      <c r="V866" t="s">
        <v>284</v>
      </c>
      <c r="W866">
        <v>118</v>
      </c>
      <c r="X866" t="s">
        <v>284</v>
      </c>
      <c r="Y866">
        <v>122</v>
      </c>
      <c r="Z866" t="s">
        <v>284</v>
      </c>
      <c r="AA866">
        <v>126</v>
      </c>
      <c r="AB866" t="s">
        <v>284</v>
      </c>
      <c r="AG866">
        <v>122</v>
      </c>
      <c r="AH866" t="s">
        <v>54</v>
      </c>
      <c r="AI866" t="s">
        <v>52</v>
      </c>
      <c r="AZ866" t="s">
        <v>52</v>
      </c>
      <c r="BQ866" t="s">
        <v>52</v>
      </c>
      <c r="CH866" t="s">
        <v>52</v>
      </c>
    </row>
    <row r="867" spans="1:86" x14ac:dyDescent="0.25">
      <c r="A867" t="s">
        <v>47</v>
      </c>
      <c r="B867">
        <v>8</v>
      </c>
      <c r="C867" t="s">
        <v>172</v>
      </c>
      <c r="D867">
        <v>75</v>
      </c>
      <c r="E867" t="s">
        <v>84</v>
      </c>
      <c r="F867">
        <v>11</v>
      </c>
      <c r="G867" t="s">
        <v>96</v>
      </c>
      <c r="H867" t="s">
        <v>50</v>
      </c>
      <c r="K867" t="s">
        <v>51</v>
      </c>
      <c r="L867">
        <v>1</v>
      </c>
      <c r="M867" t="s">
        <v>53</v>
      </c>
      <c r="N867">
        <v>11</v>
      </c>
      <c r="O867">
        <v>2</v>
      </c>
      <c r="P867" t="s">
        <v>52</v>
      </c>
      <c r="Q867">
        <v>0.5</v>
      </c>
      <c r="R867">
        <v>0.75</v>
      </c>
      <c r="S867">
        <v>124</v>
      </c>
      <c r="T867" t="s">
        <v>284</v>
      </c>
      <c r="U867">
        <v>110</v>
      </c>
      <c r="V867" t="s">
        <v>284</v>
      </c>
      <c r="W867">
        <v>118</v>
      </c>
      <c r="X867" t="s">
        <v>284</v>
      </c>
      <c r="Y867">
        <v>122</v>
      </c>
      <c r="Z867" t="s">
        <v>284</v>
      </c>
      <c r="AA867">
        <v>126</v>
      </c>
      <c r="AB867" t="s">
        <v>284</v>
      </c>
      <c r="AG867">
        <v>121.33329999999999</v>
      </c>
      <c r="AH867" t="s">
        <v>54</v>
      </c>
      <c r="AI867" t="s">
        <v>52</v>
      </c>
      <c r="AZ867" t="s">
        <v>52</v>
      </c>
      <c r="BQ867" t="s">
        <v>52</v>
      </c>
      <c r="CH867" t="s">
        <v>52</v>
      </c>
    </row>
    <row r="868" spans="1:86" x14ac:dyDescent="0.25">
      <c r="A868" t="s">
        <v>47</v>
      </c>
      <c r="B868">
        <v>8</v>
      </c>
      <c r="C868" t="s">
        <v>172</v>
      </c>
      <c r="D868">
        <v>75</v>
      </c>
      <c r="E868" t="s">
        <v>84</v>
      </c>
      <c r="F868">
        <v>11</v>
      </c>
      <c r="G868" t="s">
        <v>96</v>
      </c>
      <c r="H868" t="s">
        <v>50</v>
      </c>
      <c r="K868" t="s">
        <v>52</v>
      </c>
      <c r="L868">
        <v>1</v>
      </c>
      <c r="M868" t="s">
        <v>53</v>
      </c>
      <c r="N868">
        <v>11</v>
      </c>
      <c r="O868">
        <v>2</v>
      </c>
      <c r="P868" t="s">
        <v>52</v>
      </c>
      <c r="Q868">
        <v>0.5</v>
      </c>
      <c r="R868">
        <v>0.75</v>
      </c>
      <c r="S868">
        <v>124</v>
      </c>
      <c r="T868" t="s">
        <v>284</v>
      </c>
      <c r="U868">
        <v>110</v>
      </c>
      <c r="V868" t="s">
        <v>284</v>
      </c>
      <c r="W868">
        <v>118</v>
      </c>
      <c r="X868" t="s">
        <v>284</v>
      </c>
      <c r="Y868">
        <v>122</v>
      </c>
      <c r="Z868" t="s">
        <v>284</v>
      </c>
      <c r="AA868">
        <v>126</v>
      </c>
      <c r="AB868" t="s">
        <v>284</v>
      </c>
      <c r="AG868">
        <v>121.33329999999999</v>
      </c>
      <c r="AH868" t="s">
        <v>54</v>
      </c>
      <c r="AI868" t="s">
        <v>52</v>
      </c>
      <c r="AZ868" t="s">
        <v>52</v>
      </c>
      <c r="BQ868" t="s">
        <v>52</v>
      </c>
      <c r="CH868" t="s">
        <v>52</v>
      </c>
    </row>
    <row r="869" spans="1:86" x14ac:dyDescent="0.25">
      <c r="A869" t="s">
        <v>47</v>
      </c>
      <c r="B869">
        <v>8</v>
      </c>
      <c r="C869" t="s">
        <v>175</v>
      </c>
      <c r="D869">
        <v>77</v>
      </c>
      <c r="E869" t="s">
        <v>49</v>
      </c>
      <c r="F869">
        <v>27</v>
      </c>
      <c r="H869" t="s">
        <v>50</v>
      </c>
      <c r="K869" t="s">
        <v>51</v>
      </c>
      <c r="L869">
        <v>1</v>
      </c>
      <c r="M869" t="s">
        <v>53</v>
      </c>
      <c r="N869">
        <v>27</v>
      </c>
      <c r="O869">
        <v>1</v>
      </c>
      <c r="P869" t="s">
        <v>52</v>
      </c>
      <c r="Q869">
        <v>0</v>
      </c>
      <c r="R869">
        <v>0.75</v>
      </c>
      <c r="S869">
        <v>231</v>
      </c>
      <c r="T869" t="s">
        <v>284</v>
      </c>
      <c r="U869">
        <v>208</v>
      </c>
      <c r="V869" t="s">
        <v>284</v>
      </c>
      <c r="W869">
        <v>224</v>
      </c>
      <c r="X869" t="s">
        <v>284</v>
      </c>
      <c r="Y869">
        <v>225</v>
      </c>
      <c r="Z869" t="s">
        <v>285</v>
      </c>
      <c r="AA869">
        <v>247</v>
      </c>
      <c r="AB869" t="s">
        <v>285</v>
      </c>
      <c r="AC869">
        <v>241</v>
      </c>
      <c r="AD869" t="s">
        <v>285</v>
      </c>
      <c r="AE869">
        <v>219</v>
      </c>
      <c r="AF869" t="s">
        <v>285</v>
      </c>
      <c r="AG869">
        <v>219</v>
      </c>
      <c r="AH869" t="s">
        <v>286</v>
      </c>
      <c r="AI869" t="s">
        <v>287</v>
      </c>
      <c r="AX869">
        <v>263</v>
      </c>
      <c r="AY869" t="s">
        <v>286</v>
      </c>
      <c r="AZ869" t="s">
        <v>287</v>
      </c>
      <c r="BQ869" t="s">
        <v>52</v>
      </c>
      <c r="BR869">
        <v>3.7</v>
      </c>
      <c r="BS869" t="s">
        <v>284</v>
      </c>
      <c r="BT869">
        <v>3.4</v>
      </c>
      <c r="BU869" t="s">
        <v>284</v>
      </c>
      <c r="BV869">
        <v>0.73</v>
      </c>
      <c r="BW869" t="s">
        <v>284</v>
      </c>
      <c r="BX869">
        <v>1</v>
      </c>
      <c r="BY869" t="s">
        <v>284</v>
      </c>
      <c r="BZ869">
        <v>1.42</v>
      </c>
      <c r="CA869" t="s">
        <v>288</v>
      </c>
      <c r="CF869">
        <v>1.94</v>
      </c>
      <c r="CG869" t="s">
        <v>54</v>
      </c>
      <c r="CH869" t="s">
        <v>52</v>
      </c>
    </row>
    <row r="870" spans="1:86" x14ac:dyDescent="0.25">
      <c r="A870" t="s">
        <v>47</v>
      </c>
      <c r="B870">
        <v>8</v>
      </c>
      <c r="C870" t="s">
        <v>175</v>
      </c>
      <c r="D870">
        <v>77</v>
      </c>
      <c r="E870" t="s">
        <v>49</v>
      </c>
      <c r="F870">
        <v>27</v>
      </c>
      <c r="H870" t="s">
        <v>50</v>
      </c>
      <c r="K870" t="s">
        <v>52</v>
      </c>
      <c r="L870">
        <v>1</v>
      </c>
      <c r="M870" t="s">
        <v>53</v>
      </c>
      <c r="N870">
        <v>27</v>
      </c>
      <c r="O870">
        <v>1</v>
      </c>
      <c r="P870" t="s">
        <v>52</v>
      </c>
      <c r="Q870">
        <v>0</v>
      </c>
      <c r="R870">
        <v>0.75</v>
      </c>
      <c r="S870">
        <v>231</v>
      </c>
      <c r="T870" t="s">
        <v>284</v>
      </c>
      <c r="U870">
        <v>208</v>
      </c>
      <c r="V870" t="s">
        <v>284</v>
      </c>
      <c r="W870">
        <v>224</v>
      </c>
      <c r="X870" t="s">
        <v>284</v>
      </c>
      <c r="Y870">
        <v>225</v>
      </c>
      <c r="Z870" t="s">
        <v>285</v>
      </c>
      <c r="AA870">
        <v>247</v>
      </c>
      <c r="AB870" t="s">
        <v>285</v>
      </c>
      <c r="AC870">
        <v>241</v>
      </c>
      <c r="AD870" t="s">
        <v>285</v>
      </c>
      <c r="AE870">
        <v>219</v>
      </c>
      <c r="AF870" t="s">
        <v>285</v>
      </c>
      <c r="AG870">
        <v>219</v>
      </c>
      <c r="AH870" t="s">
        <v>286</v>
      </c>
      <c r="AI870" t="s">
        <v>287</v>
      </c>
      <c r="AX870">
        <v>263</v>
      </c>
      <c r="AY870" t="s">
        <v>286</v>
      </c>
      <c r="AZ870" t="s">
        <v>287</v>
      </c>
      <c r="BQ870" t="s">
        <v>52</v>
      </c>
      <c r="BR870">
        <v>1.3</v>
      </c>
      <c r="BS870" t="s">
        <v>284</v>
      </c>
      <c r="BT870">
        <v>1.2</v>
      </c>
      <c r="BU870" t="s">
        <v>284</v>
      </c>
      <c r="BV870">
        <v>0.75</v>
      </c>
      <c r="BW870" t="s">
        <v>284</v>
      </c>
      <c r="BX870">
        <v>0.12</v>
      </c>
      <c r="BY870" t="s">
        <v>284</v>
      </c>
      <c r="BZ870">
        <v>0.14000000000000001</v>
      </c>
      <c r="CA870" t="s">
        <v>289</v>
      </c>
      <c r="CF870">
        <v>0.7</v>
      </c>
      <c r="CG870" t="s">
        <v>54</v>
      </c>
      <c r="CH870" t="s">
        <v>52</v>
      </c>
    </row>
    <row r="871" spans="1:86" x14ac:dyDescent="0.25">
      <c r="A871" t="s">
        <v>47</v>
      </c>
      <c r="B871">
        <v>8</v>
      </c>
      <c r="C871" t="s">
        <v>175</v>
      </c>
      <c r="D871">
        <v>77</v>
      </c>
      <c r="E871" t="s">
        <v>87</v>
      </c>
      <c r="F871">
        <v>91</v>
      </c>
      <c r="G871" t="s">
        <v>76</v>
      </c>
      <c r="H871" t="s">
        <v>50</v>
      </c>
      <c r="K871" t="s">
        <v>51</v>
      </c>
      <c r="L871">
        <v>1</v>
      </c>
      <c r="M871" t="s">
        <v>53</v>
      </c>
      <c r="N871">
        <v>91</v>
      </c>
      <c r="O871">
        <v>2</v>
      </c>
      <c r="P871" t="s">
        <v>52</v>
      </c>
      <c r="Q871">
        <v>0.77</v>
      </c>
      <c r="R871">
        <v>0.93</v>
      </c>
      <c r="S871">
        <v>135</v>
      </c>
      <c r="T871" t="s">
        <v>284</v>
      </c>
      <c r="U871">
        <v>133</v>
      </c>
      <c r="V871" t="s">
        <v>284</v>
      </c>
      <c r="W871">
        <v>147</v>
      </c>
      <c r="X871" t="s">
        <v>284</v>
      </c>
      <c r="Y871">
        <v>170</v>
      </c>
      <c r="Z871" t="s">
        <v>284</v>
      </c>
      <c r="AA871">
        <v>167</v>
      </c>
      <c r="AB871" t="s">
        <v>284</v>
      </c>
      <c r="AG871">
        <v>149.66669999999999</v>
      </c>
      <c r="AH871" t="s">
        <v>54</v>
      </c>
      <c r="AI871" t="s">
        <v>52</v>
      </c>
      <c r="AZ871" t="s">
        <v>52</v>
      </c>
      <c r="BQ871" t="s">
        <v>52</v>
      </c>
      <c r="CH871" t="s">
        <v>52</v>
      </c>
    </row>
    <row r="872" spans="1:86" x14ac:dyDescent="0.25">
      <c r="A872" t="s">
        <v>47</v>
      </c>
      <c r="B872">
        <v>8</v>
      </c>
      <c r="C872" t="s">
        <v>175</v>
      </c>
      <c r="D872">
        <v>77</v>
      </c>
      <c r="E872" t="s">
        <v>58</v>
      </c>
      <c r="F872">
        <v>102</v>
      </c>
      <c r="G872" t="s">
        <v>59</v>
      </c>
      <c r="H872" t="s">
        <v>50</v>
      </c>
      <c r="K872" t="s">
        <v>51</v>
      </c>
      <c r="L872">
        <v>1</v>
      </c>
      <c r="M872" t="s">
        <v>53</v>
      </c>
      <c r="N872">
        <v>102</v>
      </c>
      <c r="O872">
        <v>1</v>
      </c>
      <c r="P872" t="s">
        <v>52</v>
      </c>
      <c r="Q872">
        <v>0</v>
      </c>
      <c r="R872">
        <v>0.92</v>
      </c>
      <c r="S872">
        <v>131.69999999999999</v>
      </c>
      <c r="T872" t="s">
        <v>284</v>
      </c>
      <c r="U872">
        <v>126.5</v>
      </c>
      <c r="V872" t="s">
        <v>284</v>
      </c>
      <c r="W872">
        <v>170</v>
      </c>
      <c r="X872" t="s">
        <v>284</v>
      </c>
      <c r="Y872">
        <v>207</v>
      </c>
      <c r="Z872" t="s">
        <v>284</v>
      </c>
      <c r="AA872">
        <v>315</v>
      </c>
      <c r="AB872" t="s">
        <v>285</v>
      </c>
      <c r="AG872">
        <v>169.5667</v>
      </c>
      <c r="AH872" t="s">
        <v>54</v>
      </c>
      <c r="AI872" t="s">
        <v>52</v>
      </c>
      <c r="AZ872" t="s">
        <v>52</v>
      </c>
      <c r="BQ872" t="s">
        <v>52</v>
      </c>
      <c r="BR872">
        <v>1.49</v>
      </c>
      <c r="BS872" t="s">
        <v>285</v>
      </c>
      <c r="BT872">
        <v>1.95</v>
      </c>
      <c r="BU872" t="s">
        <v>284</v>
      </c>
      <c r="BV872">
        <v>1.52</v>
      </c>
      <c r="BW872" t="s">
        <v>285</v>
      </c>
      <c r="BX872">
        <v>1.05</v>
      </c>
      <c r="BY872" t="s">
        <v>285</v>
      </c>
      <c r="BZ872">
        <v>1.05</v>
      </c>
      <c r="CA872" t="s">
        <v>289</v>
      </c>
      <c r="CF872">
        <v>1.35</v>
      </c>
      <c r="CG872" t="s">
        <v>54</v>
      </c>
      <c r="CH872" t="s">
        <v>52</v>
      </c>
    </row>
    <row r="873" spans="1:86" x14ac:dyDescent="0.25">
      <c r="A873" t="s">
        <v>47</v>
      </c>
      <c r="B873">
        <v>8</v>
      </c>
      <c r="C873" t="s">
        <v>175</v>
      </c>
      <c r="D873">
        <v>77</v>
      </c>
      <c r="E873" t="s">
        <v>58</v>
      </c>
      <c r="F873">
        <v>102</v>
      </c>
      <c r="G873" t="s">
        <v>59</v>
      </c>
      <c r="H873" t="s">
        <v>50</v>
      </c>
      <c r="K873" t="s">
        <v>52</v>
      </c>
      <c r="L873">
        <v>1</v>
      </c>
      <c r="M873" t="s">
        <v>53</v>
      </c>
      <c r="N873">
        <v>102</v>
      </c>
      <c r="O873">
        <v>1</v>
      </c>
      <c r="P873" t="s">
        <v>52</v>
      </c>
      <c r="Q873">
        <v>0</v>
      </c>
      <c r="R873">
        <v>0.92</v>
      </c>
      <c r="S873">
        <v>131.69999999999999</v>
      </c>
      <c r="T873" t="s">
        <v>284</v>
      </c>
      <c r="U873">
        <v>126.5</v>
      </c>
      <c r="V873" t="s">
        <v>284</v>
      </c>
      <c r="W873">
        <v>170</v>
      </c>
      <c r="X873" t="s">
        <v>284</v>
      </c>
      <c r="Y873">
        <v>207</v>
      </c>
      <c r="Z873" t="s">
        <v>284</v>
      </c>
      <c r="AA873">
        <v>315</v>
      </c>
      <c r="AB873" t="s">
        <v>285</v>
      </c>
      <c r="AG873">
        <v>169.5667</v>
      </c>
      <c r="AH873" t="s">
        <v>54</v>
      </c>
      <c r="AI873" t="s">
        <v>52</v>
      </c>
      <c r="AZ873" t="s">
        <v>52</v>
      </c>
      <c r="BQ873" t="s">
        <v>52</v>
      </c>
      <c r="BR873">
        <v>0.85</v>
      </c>
      <c r="BS873" t="s">
        <v>285</v>
      </c>
      <c r="BT873">
        <v>0.69</v>
      </c>
      <c r="BU873" t="s">
        <v>284</v>
      </c>
      <c r="BV873">
        <v>0.53</v>
      </c>
      <c r="BW873" t="s">
        <v>285</v>
      </c>
      <c r="BX873">
        <v>0.37</v>
      </c>
      <c r="BY873" t="s">
        <v>285</v>
      </c>
      <c r="BZ873">
        <v>0.32</v>
      </c>
      <c r="CA873" t="s">
        <v>284</v>
      </c>
      <c r="CF873">
        <v>0.53</v>
      </c>
      <c r="CG873" t="s">
        <v>54</v>
      </c>
      <c r="CH873" t="s">
        <v>52</v>
      </c>
    </row>
    <row r="874" spans="1:86" x14ac:dyDescent="0.25">
      <c r="A874" t="s">
        <v>47</v>
      </c>
      <c r="B874">
        <v>8</v>
      </c>
      <c r="C874" t="s">
        <v>175</v>
      </c>
      <c r="D874">
        <v>77</v>
      </c>
      <c r="E874" t="s">
        <v>58</v>
      </c>
      <c r="F874">
        <v>102</v>
      </c>
      <c r="G874" t="s">
        <v>62</v>
      </c>
      <c r="H874" t="s">
        <v>50</v>
      </c>
      <c r="K874" t="s">
        <v>51</v>
      </c>
      <c r="L874">
        <v>1</v>
      </c>
      <c r="M874" t="s">
        <v>53</v>
      </c>
      <c r="N874">
        <v>102</v>
      </c>
      <c r="O874">
        <v>1</v>
      </c>
      <c r="P874" t="s">
        <v>52</v>
      </c>
      <c r="Q874">
        <v>0</v>
      </c>
      <c r="R874">
        <v>0.92</v>
      </c>
      <c r="S874">
        <v>131.69999999999999</v>
      </c>
      <c r="T874" t="s">
        <v>284</v>
      </c>
      <c r="U874">
        <v>170</v>
      </c>
      <c r="V874" t="s">
        <v>284</v>
      </c>
      <c r="W874">
        <v>191</v>
      </c>
      <c r="X874" t="s">
        <v>284</v>
      </c>
      <c r="Y874">
        <v>207</v>
      </c>
      <c r="Z874" t="s">
        <v>284</v>
      </c>
      <c r="AA874">
        <v>205</v>
      </c>
      <c r="AB874" t="s">
        <v>285</v>
      </c>
      <c r="AG874">
        <v>188.66669999999999</v>
      </c>
      <c r="AH874" t="s">
        <v>54</v>
      </c>
      <c r="AI874" t="s">
        <v>52</v>
      </c>
      <c r="AX874">
        <v>271.60000000000002</v>
      </c>
      <c r="AY874" t="s">
        <v>285</v>
      </c>
      <c r="AZ874" t="s">
        <v>287</v>
      </c>
      <c r="BQ874" t="s">
        <v>52</v>
      </c>
      <c r="BR874">
        <v>1.85</v>
      </c>
      <c r="BS874" t="s">
        <v>284</v>
      </c>
      <c r="BT874">
        <v>1.95</v>
      </c>
      <c r="BU874" t="s">
        <v>284</v>
      </c>
      <c r="BV874">
        <v>0.57999999999999996</v>
      </c>
      <c r="BW874" t="s">
        <v>284</v>
      </c>
      <c r="BX874">
        <v>0.5</v>
      </c>
      <c r="BY874" t="s">
        <v>285</v>
      </c>
      <c r="BZ874">
        <v>0.56999999999999995</v>
      </c>
      <c r="CA874" t="s">
        <v>288</v>
      </c>
      <c r="CF874">
        <v>1</v>
      </c>
      <c r="CG874" t="s">
        <v>54</v>
      </c>
      <c r="CH874" t="s">
        <v>52</v>
      </c>
    </row>
    <row r="875" spans="1:86" x14ac:dyDescent="0.25">
      <c r="A875" t="s">
        <v>47</v>
      </c>
      <c r="B875">
        <v>8</v>
      </c>
      <c r="C875" t="s">
        <v>175</v>
      </c>
      <c r="D875">
        <v>77</v>
      </c>
      <c r="E875" t="s">
        <v>58</v>
      </c>
      <c r="F875">
        <v>102</v>
      </c>
      <c r="G875" t="s">
        <v>62</v>
      </c>
      <c r="H875" t="s">
        <v>50</v>
      </c>
      <c r="K875" t="s">
        <v>52</v>
      </c>
      <c r="L875">
        <v>1</v>
      </c>
      <c r="M875" t="s">
        <v>53</v>
      </c>
      <c r="N875">
        <v>102</v>
      </c>
      <c r="O875">
        <v>1</v>
      </c>
      <c r="P875" t="s">
        <v>52</v>
      </c>
      <c r="Q875">
        <v>0</v>
      </c>
      <c r="R875">
        <v>0.92</v>
      </c>
      <c r="S875">
        <v>131.69999999999999</v>
      </c>
      <c r="T875" t="s">
        <v>284</v>
      </c>
      <c r="U875">
        <v>170</v>
      </c>
      <c r="V875" t="s">
        <v>284</v>
      </c>
      <c r="W875">
        <v>191</v>
      </c>
      <c r="X875" t="s">
        <v>284</v>
      </c>
      <c r="Y875">
        <v>207</v>
      </c>
      <c r="Z875" t="s">
        <v>284</v>
      </c>
      <c r="AA875">
        <v>205</v>
      </c>
      <c r="AB875" t="s">
        <v>285</v>
      </c>
      <c r="AG875">
        <v>188.66669999999999</v>
      </c>
      <c r="AH875" t="s">
        <v>54</v>
      </c>
      <c r="AI875" t="s">
        <v>52</v>
      </c>
      <c r="AX875">
        <v>271.60000000000002</v>
      </c>
      <c r="AY875" t="s">
        <v>285</v>
      </c>
      <c r="AZ875" t="s">
        <v>287</v>
      </c>
      <c r="BQ875" t="s">
        <v>52</v>
      </c>
      <c r="BR875">
        <v>0.83</v>
      </c>
      <c r="BS875" t="s">
        <v>285</v>
      </c>
      <c r="BT875">
        <v>1.02</v>
      </c>
      <c r="BU875" t="s">
        <v>284</v>
      </c>
      <c r="BV875">
        <v>0.19</v>
      </c>
      <c r="BW875" t="s">
        <v>285</v>
      </c>
      <c r="BX875">
        <v>0.55000000000000004</v>
      </c>
      <c r="BY875" t="s">
        <v>285</v>
      </c>
      <c r="BZ875">
        <v>0.47</v>
      </c>
      <c r="CA875" t="s">
        <v>284</v>
      </c>
      <c r="CF875">
        <v>0.62</v>
      </c>
      <c r="CG875" t="s">
        <v>54</v>
      </c>
      <c r="CH875" t="s">
        <v>52</v>
      </c>
    </row>
    <row r="876" spans="1:86" x14ac:dyDescent="0.25">
      <c r="A876" t="s">
        <v>47</v>
      </c>
      <c r="B876">
        <v>8</v>
      </c>
      <c r="C876" t="s">
        <v>175</v>
      </c>
      <c r="D876">
        <v>77</v>
      </c>
      <c r="E876" t="s">
        <v>58</v>
      </c>
      <c r="F876">
        <v>102</v>
      </c>
      <c r="G876" t="s">
        <v>63</v>
      </c>
      <c r="H876" t="s">
        <v>50</v>
      </c>
      <c r="K876" t="s">
        <v>51</v>
      </c>
      <c r="L876">
        <v>1</v>
      </c>
      <c r="M876" t="s">
        <v>53</v>
      </c>
      <c r="N876">
        <v>102</v>
      </c>
      <c r="O876">
        <v>1</v>
      </c>
      <c r="P876" t="s">
        <v>52</v>
      </c>
      <c r="Q876">
        <v>0</v>
      </c>
      <c r="R876">
        <v>0.92</v>
      </c>
      <c r="S876">
        <v>131.69999999999999</v>
      </c>
      <c r="T876" t="s">
        <v>284</v>
      </c>
      <c r="U876">
        <v>170</v>
      </c>
      <c r="V876" t="s">
        <v>284</v>
      </c>
      <c r="W876">
        <v>191</v>
      </c>
      <c r="X876" t="s">
        <v>285</v>
      </c>
      <c r="Y876">
        <v>207</v>
      </c>
      <c r="Z876" t="s">
        <v>285</v>
      </c>
      <c r="AA876">
        <v>265</v>
      </c>
      <c r="AB876" t="s">
        <v>285</v>
      </c>
      <c r="AG876">
        <v>189.33330000000001</v>
      </c>
      <c r="AH876" t="s">
        <v>54</v>
      </c>
      <c r="AI876" t="s">
        <v>52</v>
      </c>
      <c r="AZ876" t="s">
        <v>52</v>
      </c>
      <c r="BQ876" t="s">
        <v>52</v>
      </c>
      <c r="BR876">
        <v>2.1</v>
      </c>
      <c r="BS876" t="s">
        <v>285</v>
      </c>
      <c r="BT876">
        <v>1.95</v>
      </c>
      <c r="BU876" t="s">
        <v>284</v>
      </c>
      <c r="BV876">
        <v>1.52</v>
      </c>
      <c r="BW876" t="s">
        <v>285</v>
      </c>
      <c r="BX876">
        <v>1.05</v>
      </c>
      <c r="BY876" t="s">
        <v>285</v>
      </c>
      <c r="BZ876">
        <v>0.9</v>
      </c>
      <c r="CA876" t="s">
        <v>284</v>
      </c>
      <c r="CF876">
        <v>1.51</v>
      </c>
      <c r="CG876" t="s">
        <v>54</v>
      </c>
      <c r="CH876" t="s">
        <v>52</v>
      </c>
    </row>
    <row r="877" spans="1:86" x14ac:dyDescent="0.25">
      <c r="A877" t="s">
        <v>47</v>
      </c>
      <c r="B877">
        <v>8</v>
      </c>
      <c r="C877" t="s">
        <v>175</v>
      </c>
      <c r="D877">
        <v>77</v>
      </c>
      <c r="E877" t="s">
        <v>58</v>
      </c>
      <c r="F877">
        <v>102</v>
      </c>
      <c r="G877" t="s">
        <v>63</v>
      </c>
      <c r="H877" t="s">
        <v>50</v>
      </c>
      <c r="K877" t="s">
        <v>52</v>
      </c>
      <c r="L877">
        <v>1</v>
      </c>
      <c r="M877" t="s">
        <v>53</v>
      </c>
      <c r="N877">
        <v>102</v>
      </c>
      <c r="O877">
        <v>1</v>
      </c>
      <c r="P877" t="s">
        <v>52</v>
      </c>
      <c r="Q877">
        <v>0</v>
      </c>
      <c r="R877">
        <v>0.92</v>
      </c>
      <c r="S877">
        <v>131.69999999999999</v>
      </c>
      <c r="T877" t="s">
        <v>284</v>
      </c>
      <c r="U877">
        <v>170</v>
      </c>
      <c r="V877" t="s">
        <v>284</v>
      </c>
      <c r="W877">
        <v>191</v>
      </c>
      <c r="X877" t="s">
        <v>285</v>
      </c>
      <c r="Y877">
        <v>207</v>
      </c>
      <c r="Z877" t="s">
        <v>285</v>
      </c>
      <c r="AA877">
        <v>265</v>
      </c>
      <c r="AB877" t="s">
        <v>285</v>
      </c>
      <c r="AG877">
        <v>189.33330000000001</v>
      </c>
      <c r="AH877" t="s">
        <v>54</v>
      </c>
      <c r="AI877" t="s">
        <v>52</v>
      </c>
      <c r="AZ877" t="s">
        <v>52</v>
      </c>
      <c r="BQ877" t="s">
        <v>52</v>
      </c>
      <c r="BR877">
        <v>0.93</v>
      </c>
      <c r="BS877" t="s">
        <v>285</v>
      </c>
      <c r="BT877">
        <v>0.99</v>
      </c>
      <c r="BU877" t="s">
        <v>284</v>
      </c>
      <c r="BV877">
        <v>0.77</v>
      </c>
      <c r="BW877" t="s">
        <v>285</v>
      </c>
      <c r="BX877">
        <v>0.54</v>
      </c>
      <c r="BY877" t="s">
        <v>285</v>
      </c>
      <c r="BZ877">
        <v>0.46</v>
      </c>
      <c r="CA877" t="s">
        <v>284</v>
      </c>
      <c r="CF877">
        <v>0.75</v>
      </c>
      <c r="CG877" t="s">
        <v>54</v>
      </c>
      <c r="CH877" t="s">
        <v>52</v>
      </c>
    </row>
    <row r="878" spans="1:86" x14ac:dyDescent="0.25">
      <c r="A878" t="s">
        <v>47</v>
      </c>
      <c r="B878">
        <v>8</v>
      </c>
      <c r="C878" t="s">
        <v>175</v>
      </c>
      <c r="D878">
        <v>77</v>
      </c>
      <c r="E878" t="s">
        <v>58</v>
      </c>
      <c r="F878">
        <v>102</v>
      </c>
      <c r="G878" t="s">
        <v>128</v>
      </c>
      <c r="H878" t="s">
        <v>50</v>
      </c>
      <c r="K878" t="s">
        <v>51</v>
      </c>
      <c r="L878">
        <v>1</v>
      </c>
      <c r="M878" t="s">
        <v>53</v>
      </c>
      <c r="N878">
        <v>102</v>
      </c>
      <c r="O878">
        <v>1</v>
      </c>
      <c r="P878" t="s">
        <v>52</v>
      </c>
      <c r="Q878">
        <v>0</v>
      </c>
      <c r="R878">
        <v>0.92</v>
      </c>
      <c r="S878">
        <v>131.69999999999999</v>
      </c>
      <c r="T878" t="s">
        <v>284</v>
      </c>
      <c r="U878">
        <v>170</v>
      </c>
      <c r="V878" t="s">
        <v>284</v>
      </c>
      <c r="W878">
        <v>191</v>
      </c>
      <c r="X878" t="s">
        <v>284</v>
      </c>
      <c r="Y878">
        <v>207</v>
      </c>
      <c r="Z878" t="s">
        <v>284</v>
      </c>
      <c r="AA878">
        <v>315</v>
      </c>
      <c r="AB878" t="s">
        <v>285</v>
      </c>
      <c r="AG878">
        <v>189.33330000000001</v>
      </c>
      <c r="AH878" t="s">
        <v>54</v>
      </c>
      <c r="AI878" t="s">
        <v>52</v>
      </c>
      <c r="AZ878" t="s">
        <v>52</v>
      </c>
      <c r="BQ878" t="s">
        <v>52</v>
      </c>
      <c r="BR878">
        <v>1.3</v>
      </c>
      <c r="BS878" t="s">
        <v>285</v>
      </c>
      <c r="BT878">
        <v>1.51</v>
      </c>
      <c r="BU878" t="s">
        <v>285</v>
      </c>
      <c r="BV878">
        <v>1.52</v>
      </c>
      <c r="BW878" t="s">
        <v>285</v>
      </c>
      <c r="BX878">
        <v>0.59</v>
      </c>
      <c r="BY878" t="s">
        <v>285</v>
      </c>
      <c r="BZ878">
        <v>0.16</v>
      </c>
      <c r="CA878" t="s">
        <v>288</v>
      </c>
      <c r="CF878">
        <v>1.1299999999999999</v>
      </c>
      <c r="CG878" t="s">
        <v>54</v>
      </c>
      <c r="CH878" t="s">
        <v>52</v>
      </c>
    </row>
    <row r="879" spans="1:86" x14ac:dyDescent="0.25">
      <c r="A879" t="s">
        <v>47</v>
      </c>
      <c r="B879">
        <v>8</v>
      </c>
      <c r="C879" t="s">
        <v>175</v>
      </c>
      <c r="D879">
        <v>77</v>
      </c>
      <c r="E879" t="s">
        <v>58</v>
      </c>
      <c r="F879">
        <v>102</v>
      </c>
      <c r="G879" t="s">
        <v>128</v>
      </c>
      <c r="H879" t="s">
        <v>50</v>
      </c>
      <c r="K879" t="s">
        <v>52</v>
      </c>
      <c r="L879">
        <v>1</v>
      </c>
      <c r="M879" t="s">
        <v>53</v>
      </c>
      <c r="N879">
        <v>102</v>
      </c>
      <c r="O879">
        <v>1</v>
      </c>
      <c r="P879" t="s">
        <v>52</v>
      </c>
      <c r="Q879">
        <v>0</v>
      </c>
      <c r="R879">
        <v>0.92</v>
      </c>
      <c r="S879">
        <v>131.69999999999999</v>
      </c>
      <c r="T879" t="s">
        <v>284</v>
      </c>
      <c r="U879">
        <v>170</v>
      </c>
      <c r="V879" t="s">
        <v>284</v>
      </c>
      <c r="W879">
        <v>191</v>
      </c>
      <c r="X879" t="s">
        <v>284</v>
      </c>
      <c r="Y879">
        <v>207</v>
      </c>
      <c r="Z879" t="s">
        <v>284</v>
      </c>
      <c r="AA879">
        <v>315</v>
      </c>
      <c r="AB879" t="s">
        <v>285</v>
      </c>
      <c r="AG879">
        <v>189.33330000000001</v>
      </c>
      <c r="AH879" t="s">
        <v>54</v>
      </c>
      <c r="AI879" t="s">
        <v>52</v>
      </c>
      <c r="AZ879" t="s">
        <v>52</v>
      </c>
      <c r="BQ879" t="s">
        <v>52</v>
      </c>
      <c r="BR879">
        <v>0.93</v>
      </c>
      <c r="BS879" t="s">
        <v>285</v>
      </c>
      <c r="BT879">
        <v>0.99</v>
      </c>
      <c r="BU879" t="s">
        <v>284</v>
      </c>
      <c r="BV879">
        <v>0.77</v>
      </c>
      <c r="BW879" t="s">
        <v>285</v>
      </c>
      <c r="BX879">
        <v>0.54</v>
      </c>
      <c r="BY879" t="s">
        <v>285</v>
      </c>
      <c r="BZ879">
        <v>0.46</v>
      </c>
      <c r="CA879" t="s">
        <v>284</v>
      </c>
      <c r="CF879">
        <v>0.75</v>
      </c>
      <c r="CG879" t="s">
        <v>54</v>
      </c>
      <c r="CH879" t="s">
        <v>52</v>
      </c>
    </row>
    <row r="880" spans="1:86" x14ac:dyDescent="0.25">
      <c r="A880" t="s">
        <v>47</v>
      </c>
      <c r="B880">
        <v>8</v>
      </c>
      <c r="C880" t="s">
        <v>175</v>
      </c>
      <c r="D880">
        <v>77</v>
      </c>
      <c r="E880" t="s">
        <v>70</v>
      </c>
      <c r="F880">
        <v>296</v>
      </c>
      <c r="G880" t="s">
        <v>71</v>
      </c>
      <c r="H880" t="s">
        <v>50</v>
      </c>
      <c r="K880" t="s">
        <v>51</v>
      </c>
      <c r="L880">
        <v>1</v>
      </c>
      <c r="M880" t="s">
        <v>53</v>
      </c>
      <c r="N880">
        <v>296</v>
      </c>
      <c r="O880">
        <v>1</v>
      </c>
      <c r="P880" t="s">
        <v>52</v>
      </c>
      <c r="Q880">
        <v>0</v>
      </c>
      <c r="R880">
        <v>0.75</v>
      </c>
      <c r="S880">
        <v>228</v>
      </c>
      <c r="T880" t="s">
        <v>284</v>
      </c>
      <c r="U880">
        <v>190</v>
      </c>
      <c r="V880" t="s">
        <v>285</v>
      </c>
      <c r="W880">
        <v>194</v>
      </c>
      <c r="X880" t="s">
        <v>285</v>
      </c>
      <c r="Y880">
        <v>225</v>
      </c>
      <c r="Z880" t="s">
        <v>285</v>
      </c>
      <c r="AA880">
        <v>247</v>
      </c>
      <c r="AB880" t="s">
        <v>285</v>
      </c>
      <c r="AC880">
        <v>241</v>
      </c>
      <c r="AD880" t="s">
        <v>285</v>
      </c>
      <c r="AE880">
        <v>219</v>
      </c>
      <c r="AF880" t="s">
        <v>285</v>
      </c>
      <c r="AG880">
        <v>219</v>
      </c>
      <c r="AH880" t="s">
        <v>286</v>
      </c>
      <c r="AI880" t="s">
        <v>287</v>
      </c>
      <c r="AX880">
        <v>263</v>
      </c>
      <c r="AY880" t="s">
        <v>286</v>
      </c>
      <c r="AZ880" t="s">
        <v>287</v>
      </c>
      <c r="BQ880" t="s">
        <v>52</v>
      </c>
      <c r="BR880">
        <v>1.85</v>
      </c>
      <c r="BS880" t="s">
        <v>284</v>
      </c>
      <c r="BT880">
        <v>1.95</v>
      </c>
      <c r="BU880" t="s">
        <v>284</v>
      </c>
      <c r="BV880">
        <v>1.1200000000000001</v>
      </c>
      <c r="BW880" t="s">
        <v>285</v>
      </c>
      <c r="BX880">
        <v>0.67</v>
      </c>
      <c r="BY880" t="s">
        <v>288</v>
      </c>
      <c r="BZ880">
        <v>0.76</v>
      </c>
      <c r="CA880" t="s">
        <v>288</v>
      </c>
      <c r="CF880">
        <v>1.24</v>
      </c>
      <c r="CG880" t="s">
        <v>54</v>
      </c>
      <c r="CH880" t="s">
        <v>52</v>
      </c>
    </row>
    <row r="881" spans="1:86" x14ac:dyDescent="0.25">
      <c r="A881" t="s">
        <v>47</v>
      </c>
      <c r="B881">
        <v>8</v>
      </c>
      <c r="C881" t="s">
        <v>175</v>
      </c>
      <c r="D881">
        <v>77</v>
      </c>
      <c r="E881" t="s">
        <v>70</v>
      </c>
      <c r="F881">
        <v>296</v>
      </c>
      <c r="G881" t="s">
        <v>71</v>
      </c>
      <c r="H881" t="s">
        <v>50</v>
      </c>
      <c r="K881" t="s">
        <v>52</v>
      </c>
      <c r="L881">
        <v>1</v>
      </c>
      <c r="M881" t="s">
        <v>53</v>
      </c>
      <c r="N881">
        <v>296</v>
      </c>
      <c r="O881">
        <v>1</v>
      </c>
      <c r="P881" t="s">
        <v>52</v>
      </c>
      <c r="Q881">
        <v>0</v>
      </c>
      <c r="R881">
        <v>0.75</v>
      </c>
      <c r="S881">
        <v>228</v>
      </c>
      <c r="T881" t="s">
        <v>284</v>
      </c>
      <c r="U881">
        <v>190</v>
      </c>
      <c r="V881" t="s">
        <v>285</v>
      </c>
      <c r="W881">
        <v>194</v>
      </c>
      <c r="X881" t="s">
        <v>285</v>
      </c>
      <c r="Y881">
        <v>225</v>
      </c>
      <c r="Z881" t="s">
        <v>285</v>
      </c>
      <c r="AA881">
        <v>247</v>
      </c>
      <c r="AB881" t="s">
        <v>285</v>
      </c>
      <c r="AC881">
        <v>241</v>
      </c>
      <c r="AD881" t="s">
        <v>285</v>
      </c>
      <c r="AE881">
        <v>219</v>
      </c>
      <c r="AF881" t="s">
        <v>285</v>
      </c>
      <c r="AG881">
        <v>219</v>
      </c>
      <c r="AH881" t="s">
        <v>286</v>
      </c>
      <c r="AI881" t="s">
        <v>287</v>
      </c>
      <c r="AX881">
        <v>263</v>
      </c>
      <c r="AY881" t="s">
        <v>286</v>
      </c>
      <c r="AZ881" t="s">
        <v>287</v>
      </c>
      <c r="BQ881" t="s">
        <v>52</v>
      </c>
      <c r="BR881">
        <v>0.65</v>
      </c>
      <c r="BS881" t="s">
        <v>284</v>
      </c>
      <c r="BT881">
        <v>0.98</v>
      </c>
      <c r="BU881" t="s">
        <v>285</v>
      </c>
      <c r="BV881">
        <v>0.3</v>
      </c>
      <c r="BW881" t="s">
        <v>285</v>
      </c>
      <c r="BX881">
        <v>0.22</v>
      </c>
      <c r="BY881" t="s">
        <v>284</v>
      </c>
      <c r="BZ881">
        <v>0.22</v>
      </c>
      <c r="CA881" t="s">
        <v>284</v>
      </c>
      <c r="CF881">
        <v>0.39</v>
      </c>
      <c r="CG881" t="s">
        <v>54</v>
      </c>
      <c r="CH881" t="s">
        <v>52</v>
      </c>
    </row>
    <row r="882" spans="1:86" x14ac:dyDescent="0.25">
      <c r="A882" t="s">
        <v>47</v>
      </c>
      <c r="B882">
        <v>8</v>
      </c>
      <c r="C882" t="s">
        <v>175</v>
      </c>
      <c r="D882">
        <v>77</v>
      </c>
      <c r="E882" t="s">
        <v>70</v>
      </c>
      <c r="F882">
        <v>296</v>
      </c>
      <c r="G882" t="s">
        <v>73</v>
      </c>
      <c r="H882" t="s">
        <v>50</v>
      </c>
      <c r="K882" t="s">
        <v>51</v>
      </c>
      <c r="L882">
        <v>1</v>
      </c>
      <c r="M882" t="s">
        <v>53</v>
      </c>
      <c r="N882">
        <v>296</v>
      </c>
      <c r="O882">
        <v>1</v>
      </c>
      <c r="P882" t="s">
        <v>52</v>
      </c>
      <c r="Q882">
        <v>0</v>
      </c>
      <c r="R882">
        <v>0.75</v>
      </c>
      <c r="S882">
        <v>228</v>
      </c>
      <c r="T882" t="s">
        <v>284</v>
      </c>
      <c r="U882">
        <v>221</v>
      </c>
      <c r="V882" t="s">
        <v>284</v>
      </c>
      <c r="W882">
        <v>236</v>
      </c>
      <c r="X882" t="s">
        <v>284</v>
      </c>
      <c r="Y882">
        <v>244</v>
      </c>
      <c r="Z882" t="s">
        <v>284</v>
      </c>
      <c r="AA882">
        <v>225</v>
      </c>
      <c r="AB882" t="s">
        <v>285</v>
      </c>
      <c r="AG882">
        <v>229.66669999999999</v>
      </c>
      <c r="AH882" t="s">
        <v>54</v>
      </c>
      <c r="AI882" t="s">
        <v>52</v>
      </c>
      <c r="AZ882" t="s">
        <v>52</v>
      </c>
      <c r="BQ882" t="s">
        <v>52</v>
      </c>
      <c r="BR882">
        <v>1.85</v>
      </c>
      <c r="BS882" t="s">
        <v>284</v>
      </c>
      <c r="BT882">
        <v>1.7</v>
      </c>
      <c r="BU882" t="s">
        <v>284</v>
      </c>
      <c r="BV882">
        <v>1.01</v>
      </c>
      <c r="BW882" t="s">
        <v>284</v>
      </c>
      <c r="BX882">
        <v>1.42</v>
      </c>
      <c r="BY882" t="s">
        <v>284</v>
      </c>
      <c r="BZ882">
        <v>1.42</v>
      </c>
      <c r="CA882" t="s">
        <v>284</v>
      </c>
      <c r="CF882">
        <v>1.51</v>
      </c>
      <c r="CG882" t="s">
        <v>54</v>
      </c>
      <c r="CH882" t="s">
        <v>52</v>
      </c>
    </row>
    <row r="883" spans="1:86" x14ac:dyDescent="0.25">
      <c r="A883" t="s">
        <v>47</v>
      </c>
      <c r="B883">
        <v>8</v>
      </c>
      <c r="C883" t="s">
        <v>175</v>
      </c>
      <c r="D883">
        <v>77</v>
      </c>
      <c r="E883" t="s">
        <v>70</v>
      </c>
      <c r="F883">
        <v>296</v>
      </c>
      <c r="G883" t="s">
        <v>73</v>
      </c>
      <c r="H883" t="s">
        <v>50</v>
      </c>
      <c r="K883" t="s">
        <v>52</v>
      </c>
      <c r="L883">
        <v>1</v>
      </c>
      <c r="M883" t="s">
        <v>53</v>
      </c>
      <c r="N883">
        <v>296</v>
      </c>
      <c r="O883">
        <v>1</v>
      </c>
      <c r="P883" t="s">
        <v>52</v>
      </c>
      <c r="Q883">
        <v>0</v>
      </c>
      <c r="R883">
        <v>0.75</v>
      </c>
      <c r="S883">
        <v>228</v>
      </c>
      <c r="T883" t="s">
        <v>284</v>
      </c>
      <c r="U883">
        <v>221</v>
      </c>
      <c r="V883" t="s">
        <v>284</v>
      </c>
      <c r="W883">
        <v>236</v>
      </c>
      <c r="X883" t="s">
        <v>284</v>
      </c>
      <c r="Y883">
        <v>244</v>
      </c>
      <c r="Z883" t="s">
        <v>284</v>
      </c>
      <c r="AA883">
        <v>225</v>
      </c>
      <c r="AB883" t="s">
        <v>285</v>
      </c>
      <c r="AG883">
        <v>229.66669999999999</v>
      </c>
      <c r="AH883" t="s">
        <v>54</v>
      </c>
      <c r="AI883" t="s">
        <v>52</v>
      </c>
      <c r="AZ883" t="s">
        <v>52</v>
      </c>
      <c r="BQ883" t="s">
        <v>52</v>
      </c>
      <c r="BR883">
        <v>0.65</v>
      </c>
      <c r="BS883" t="s">
        <v>284</v>
      </c>
      <c r="BT883">
        <v>0.88</v>
      </c>
      <c r="BU883" t="s">
        <v>284</v>
      </c>
      <c r="BV883">
        <v>0.27</v>
      </c>
      <c r="BW883" t="s">
        <v>284</v>
      </c>
      <c r="BX883">
        <v>0.17</v>
      </c>
      <c r="BY883" t="s">
        <v>284</v>
      </c>
      <c r="BZ883">
        <v>0.17</v>
      </c>
      <c r="CA883" t="s">
        <v>284</v>
      </c>
      <c r="CF883">
        <v>0.36</v>
      </c>
      <c r="CG883" t="s">
        <v>54</v>
      </c>
      <c r="CH883" t="s">
        <v>52</v>
      </c>
    </row>
    <row r="884" spans="1:86" x14ac:dyDescent="0.25">
      <c r="A884" t="s">
        <v>47</v>
      </c>
      <c r="B884">
        <v>8</v>
      </c>
      <c r="C884" t="s">
        <v>175</v>
      </c>
      <c r="D884">
        <v>77</v>
      </c>
      <c r="E884" t="s">
        <v>75</v>
      </c>
      <c r="F884">
        <v>16</v>
      </c>
      <c r="G884" t="s">
        <v>76</v>
      </c>
      <c r="H884" t="s">
        <v>50</v>
      </c>
      <c r="K884" t="s">
        <v>51</v>
      </c>
      <c r="L884">
        <v>1</v>
      </c>
      <c r="M884" t="s">
        <v>53</v>
      </c>
      <c r="N884">
        <v>16</v>
      </c>
      <c r="O884">
        <v>2</v>
      </c>
      <c r="P884" t="s">
        <v>52</v>
      </c>
      <c r="Q884">
        <v>0.5</v>
      </c>
      <c r="R884">
        <v>0.75</v>
      </c>
      <c r="S884">
        <v>83.35</v>
      </c>
      <c r="T884" t="s">
        <v>285</v>
      </c>
      <c r="U884">
        <v>96.14</v>
      </c>
      <c r="V884" t="s">
        <v>284</v>
      </c>
      <c r="W884">
        <v>103.37</v>
      </c>
      <c r="X884" t="s">
        <v>284</v>
      </c>
      <c r="Y884">
        <v>106.14</v>
      </c>
      <c r="Z884" t="s">
        <v>284</v>
      </c>
      <c r="AA884">
        <v>128</v>
      </c>
      <c r="AB884" t="s">
        <v>285</v>
      </c>
      <c r="AG884">
        <v>101.88330000000001</v>
      </c>
      <c r="AH884" t="s">
        <v>54</v>
      </c>
      <c r="AI884" t="s">
        <v>52</v>
      </c>
      <c r="AX884">
        <v>146.69999999999999</v>
      </c>
      <c r="AY884" t="s">
        <v>285</v>
      </c>
      <c r="AZ884" t="s">
        <v>287</v>
      </c>
      <c r="BQ884" t="s">
        <v>52</v>
      </c>
      <c r="BR884">
        <v>1.85</v>
      </c>
      <c r="BS884" t="s">
        <v>284</v>
      </c>
      <c r="BT884">
        <v>2.27</v>
      </c>
      <c r="BU884" t="s">
        <v>285</v>
      </c>
      <c r="BV884">
        <v>1.0900000000000001</v>
      </c>
      <c r="BW884" t="s">
        <v>285</v>
      </c>
      <c r="BX884">
        <v>1.46</v>
      </c>
      <c r="BY884" t="s">
        <v>285</v>
      </c>
      <c r="BZ884">
        <v>1.26</v>
      </c>
      <c r="CA884" t="s">
        <v>288</v>
      </c>
      <c r="CF884">
        <v>1.52</v>
      </c>
      <c r="CG884" t="s">
        <v>54</v>
      </c>
      <c r="CH884" t="s">
        <v>52</v>
      </c>
    </row>
    <row r="885" spans="1:86" x14ac:dyDescent="0.25">
      <c r="A885" t="s">
        <v>47</v>
      </c>
      <c r="B885">
        <v>8</v>
      </c>
      <c r="C885" t="s">
        <v>175</v>
      </c>
      <c r="D885">
        <v>77</v>
      </c>
      <c r="E885" t="s">
        <v>79</v>
      </c>
      <c r="F885">
        <v>50</v>
      </c>
      <c r="G885" t="s">
        <v>65</v>
      </c>
      <c r="H885" t="s">
        <v>50</v>
      </c>
      <c r="K885" t="s">
        <v>51</v>
      </c>
      <c r="L885">
        <v>1</v>
      </c>
      <c r="M885" t="s">
        <v>53</v>
      </c>
      <c r="N885">
        <v>50</v>
      </c>
      <c r="O885">
        <v>1</v>
      </c>
      <c r="P885" t="s">
        <v>52</v>
      </c>
      <c r="Q885">
        <v>0.5</v>
      </c>
      <c r="R885">
        <v>0.75</v>
      </c>
      <c r="S885">
        <v>85</v>
      </c>
      <c r="T885" t="s">
        <v>285</v>
      </c>
      <c r="U885">
        <v>93</v>
      </c>
      <c r="V885" t="s">
        <v>284</v>
      </c>
      <c r="W885">
        <v>89.7</v>
      </c>
      <c r="X885" t="s">
        <v>284</v>
      </c>
      <c r="Y885">
        <v>92.72</v>
      </c>
      <c r="Z885" t="s">
        <v>284</v>
      </c>
      <c r="AA885">
        <v>109</v>
      </c>
      <c r="AB885" t="s">
        <v>285</v>
      </c>
      <c r="AG885">
        <v>91.806700000000006</v>
      </c>
      <c r="AH885" t="s">
        <v>54</v>
      </c>
      <c r="AI885" t="s">
        <v>52</v>
      </c>
      <c r="AZ885" t="s">
        <v>52</v>
      </c>
      <c r="BQ885" t="s">
        <v>52</v>
      </c>
      <c r="CH885" t="s">
        <v>52</v>
      </c>
    </row>
    <row r="886" spans="1:86" x14ac:dyDescent="0.25">
      <c r="A886" t="s">
        <v>47</v>
      </c>
      <c r="B886">
        <v>8</v>
      </c>
      <c r="C886" t="s">
        <v>175</v>
      </c>
      <c r="D886">
        <v>77</v>
      </c>
      <c r="E886" t="s">
        <v>79</v>
      </c>
      <c r="F886">
        <v>50</v>
      </c>
      <c r="G886" t="s">
        <v>65</v>
      </c>
      <c r="H886" t="s">
        <v>50</v>
      </c>
      <c r="K886" t="s">
        <v>52</v>
      </c>
      <c r="L886">
        <v>1</v>
      </c>
      <c r="M886" t="s">
        <v>53</v>
      </c>
      <c r="N886">
        <v>50</v>
      </c>
      <c r="O886">
        <v>1</v>
      </c>
      <c r="P886" t="s">
        <v>52</v>
      </c>
      <c r="Q886">
        <v>0.5</v>
      </c>
      <c r="R886">
        <v>0.75</v>
      </c>
      <c r="S886">
        <v>85</v>
      </c>
      <c r="T886" t="s">
        <v>285</v>
      </c>
      <c r="U886">
        <v>93</v>
      </c>
      <c r="V886" t="s">
        <v>284</v>
      </c>
      <c r="W886">
        <v>89.7</v>
      </c>
      <c r="X886" t="s">
        <v>284</v>
      </c>
      <c r="Y886">
        <v>92.72</v>
      </c>
      <c r="Z886" t="s">
        <v>284</v>
      </c>
      <c r="AA886">
        <v>109</v>
      </c>
      <c r="AB886" t="s">
        <v>285</v>
      </c>
      <c r="AG886">
        <v>91.806700000000006</v>
      </c>
      <c r="AH886" t="s">
        <v>54</v>
      </c>
      <c r="AI886" t="s">
        <v>52</v>
      </c>
      <c r="AZ886" t="s">
        <v>52</v>
      </c>
      <c r="BQ886" t="s">
        <v>52</v>
      </c>
      <c r="BR886">
        <v>0.43</v>
      </c>
      <c r="BS886" t="s">
        <v>289</v>
      </c>
      <c r="BT886">
        <v>0.85</v>
      </c>
      <c r="BU886" t="s">
        <v>284</v>
      </c>
      <c r="BV886">
        <v>1.21</v>
      </c>
      <c r="BW886" t="s">
        <v>284</v>
      </c>
      <c r="BX886">
        <v>1.1499999999999999</v>
      </c>
      <c r="BY886" t="s">
        <v>284</v>
      </c>
      <c r="BZ886">
        <v>0.63</v>
      </c>
      <c r="CA886" t="s">
        <v>289</v>
      </c>
      <c r="CF886">
        <v>0.88</v>
      </c>
      <c r="CG886" t="s">
        <v>54</v>
      </c>
      <c r="CH886" t="s">
        <v>52</v>
      </c>
    </row>
    <row r="887" spans="1:86" x14ac:dyDescent="0.25">
      <c r="A887" t="s">
        <v>47</v>
      </c>
      <c r="B887">
        <v>8</v>
      </c>
      <c r="C887" t="s">
        <v>175</v>
      </c>
      <c r="D887">
        <v>77</v>
      </c>
      <c r="E887" t="s">
        <v>83</v>
      </c>
      <c r="F887">
        <v>158</v>
      </c>
      <c r="H887" t="s">
        <v>50</v>
      </c>
      <c r="K887" t="s">
        <v>51</v>
      </c>
      <c r="L887">
        <v>1</v>
      </c>
      <c r="M887" t="s">
        <v>53</v>
      </c>
      <c r="N887">
        <v>158</v>
      </c>
      <c r="O887">
        <v>2</v>
      </c>
      <c r="P887" t="s">
        <v>52</v>
      </c>
      <c r="Q887">
        <v>0.77</v>
      </c>
      <c r="R887">
        <v>0.93</v>
      </c>
      <c r="S887">
        <v>228</v>
      </c>
      <c r="T887" t="s">
        <v>284</v>
      </c>
      <c r="U887">
        <v>221</v>
      </c>
      <c r="V887" t="s">
        <v>284</v>
      </c>
      <c r="W887">
        <v>236</v>
      </c>
      <c r="X887" t="s">
        <v>284</v>
      </c>
      <c r="Y887">
        <v>244</v>
      </c>
      <c r="Z887" t="s">
        <v>284</v>
      </c>
      <c r="AA887">
        <v>252</v>
      </c>
      <c r="AB887" t="s">
        <v>284</v>
      </c>
      <c r="AG887">
        <v>236</v>
      </c>
      <c r="AH887" t="s">
        <v>54</v>
      </c>
      <c r="AI887" t="s">
        <v>52</v>
      </c>
      <c r="AX887">
        <v>339</v>
      </c>
      <c r="AY887" t="s">
        <v>285</v>
      </c>
      <c r="AZ887" t="s">
        <v>287</v>
      </c>
      <c r="BQ887" t="s">
        <v>52</v>
      </c>
      <c r="BR887">
        <v>1.85</v>
      </c>
      <c r="BS887" t="s">
        <v>284</v>
      </c>
      <c r="BT887">
        <v>1.35</v>
      </c>
      <c r="BU887" t="s">
        <v>284</v>
      </c>
      <c r="BV887">
        <v>1.03</v>
      </c>
      <c r="BW887" t="s">
        <v>288</v>
      </c>
      <c r="BX887">
        <v>1.34</v>
      </c>
      <c r="BY887" t="s">
        <v>289</v>
      </c>
      <c r="BZ887">
        <v>1.22</v>
      </c>
      <c r="CA887" t="s">
        <v>289</v>
      </c>
      <c r="CF887">
        <v>1.3</v>
      </c>
      <c r="CG887" t="s">
        <v>54</v>
      </c>
      <c r="CH887" t="s">
        <v>52</v>
      </c>
    </row>
    <row r="888" spans="1:86" x14ac:dyDescent="0.25">
      <c r="A888" t="s">
        <v>47</v>
      </c>
      <c r="B888">
        <v>8</v>
      </c>
      <c r="C888" t="s">
        <v>176</v>
      </c>
      <c r="D888">
        <v>79</v>
      </c>
      <c r="E888" t="s">
        <v>58</v>
      </c>
      <c r="F888">
        <v>102</v>
      </c>
      <c r="G888" t="s">
        <v>62</v>
      </c>
      <c r="H888" t="s">
        <v>50</v>
      </c>
      <c r="K888" t="s">
        <v>51</v>
      </c>
      <c r="L888">
        <v>1</v>
      </c>
      <c r="M888" t="s">
        <v>53</v>
      </c>
      <c r="N888">
        <v>102</v>
      </c>
      <c r="O888">
        <v>1</v>
      </c>
      <c r="P888" t="s">
        <v>52</v>
      </c>
      <c r="Q888">
        <v>0</v>
      </c>
      <c r="R888">
        <v>0.92</v>
      </c>
      <c r="S888">
        <v>131.69999999999999</v>
      </c>
      <c r="T888" t="s">
        <v>284</v>
      </c>
      <c r="U888">
        <v>170</v>
      </c>
      <c r="V888" t="s">
        <v>284</v>
      </c>
      <c r="W888">
        <v>191</v>
      </c>
      <c r="X888" t="s">
        <v>284</v>
      </c>
      <c r="Y888">
        <v>207</v>
      </c>
      <c r="Z888" t="s">
        <v>284</v>
      </c>
      <c r="AA888">
        <v>205</v>
      </c>
      <c r="AB888" t="s">
        <v>285</v>
      </c>
      <c r="AG888">
        <v>188.66669999999999</v>
      </c>
      <c r="AH888" t="s">
        <v>54</v>
      </c>
      <c r="AI888" t="s">
        <v>52</v>
      </c>
      <c r="AX888">
        <v>271.60000000000002</v>
      </c>
      <c r="AY888" t="s">
        <v>285</v>
      </c>
      <c r="AZ888" t="s">
        <v>287</v>
      </c>
      <c r="BQ888" t="s">
        <v>52</v>
      </c>
      <c r="BR888">
        <v>1.85</v>
      </c>
      <c r="BS888" t="s">
        <v>284</v>
      </c>
      <c r="BT888">
        <v>0.79</v>
      </c>
      <c r="BU888" t="s">
        <v>285</v>
      </c>
      <c r="BV888">
        <v>0.53</v>
      </c>
      <c r="BW888" t="s">
        <v>285</v>
      </c>
      <c r="BX888">
        <v>0.43</v>
      </c>
      <c r="BY888" t="s">
        <v>285</v>
      </c>
      <c r="BZ888">
        <v>0.37</v>
      </c>
      <c r="CA888" t="s">
        <v>284</v>
      </c>
      <c r="CF888">
        <v>0.57999999999999996</v>
      </c>
      <c r="CG888" t="s">
        <v>54</v>
      </c>
      <c r="CH888" t="s">
        <v>52</v>
      </c>
    </row>
    <row r="889" spans="1:86" x14ac:dyDescent="0.25">
      <c r="A889" t="s">
        <v>47</v>
      </c>
      <c r="B889">
        <v>8</v>
      </c>
      <c r="C889" t="s">
        <v>176</v>
      </c>
      <c r="D889">
        <v>79</v>
      </c>
      <c r="E889" t="s">
        <v>58</v>
      </c>
      <c r="F889">
        <v>102</v>
      </c>
      <c r="G889" t="s">
        <v>62</v>
      </c>
      <c r="H889" t="s">
        <v>50</v>
      </c>
      <c r="K889" t="s">
        <v>52</v>
      </c>
      <c r="L889">
        <v>1</v>
      </c>
      <c r="M889" t="s">
        <v>53</v>
      </c>
      <c r="N889">
        <v>102</v>
      </c>
      <c r="O889">
        <v>1</v>
      </c>
      <c r="P889" t="s">
        <v>52</v>
      </c>
      <c r="Q889">
        <v>0</v>
      </c>
      <c r="R889">
        <v>0.92</v>
      </c>
      <c r="S889">
        <v>131.69999999999999</v>
      </c>
      <c r="T889" t="s">
        <v>284</v>
      </c>
      <c r="U889">
        <v>170</v>
      </c>
      <c r="V889" t="s">
        <v>284</v>
      </c>
      <c r="W889">
        <v>191</v>
      </c>
      <c r="X889" t="s">
        <v>284</v>
      </c>
      <c r="Y889">
        <v>207</v>
      </c>
      <c r="Z889" t="s">
        <v>284</v>
      </c>
      <c r="AA889">
        <v>205</v>
      </c>
      <c r="AB889" t="s">
        <v>285</v>
      </c>
      <c r="AG889">
        <v>188.66669999999999</v>
      </c>
      <c r="AH889" t="s">
        <v>54</v>
      </c>
      <c r="AI889" t="s">
        <v>52</v>
      </c>
      <c r="AX889">
        <v>271.60000000000002</v>
      </c>
      <c r="AY889" t="s">
        <v>285</v>
      </c>
      <c r="AZ889" t="s">
        <v>287</v>
      </c>
      <c r="BQ889" t="s">
        <v>52</v>
      </c>
      <c r="BR889">
        <v>0.83</v>
      </c>
      <c r="BS889" t="s">
        <v>285</v>
      </c>
      <c r="BT889">
        <v>0.67</v>
      </c>
      <c r="BU889" t="s">
        <v>284</v>
      </c>
      <c r="BV889">
        <v>0.19</v>
      </c>
      <c r="BW889" t="s">
        <v>285</v>
      </c>
      <c r="BX889">
        <v>0.36</v>
      </c>
      <c r="BY889" t="s">
        <v>285</v>
      </c>
      <c r="BZ889">
        <v>0.31</v>
      </c>
      <c r="CA889" t="s">
        <v>284</v>
      </c>
      <c r="CF889">
        <v>0.45</v>
      </c>
      <c r="CG889" t="s">
        <v>54</v>
      </c>
      <c r="CH889" t="s">
        <v>52</v>
      </c>
    </row>
    <row r="890" spans="1:86" x14ac:dyDescent="0.25">
      <c r="A890" t="s">
        <v>47</v>
      </c>
      <c r="B890">
        <v>8</v>
      </c>
      <c r="C890" t="s">
        <v>176</v>
      </c>
      <c r="D890">
        <v>79</v>
      </c>
      <c r="E890" t="s">
        <v>58</v>
      </c>
      <c r="F890">
        <v>102</v>
      </c>
      <c r="G890" t="s">
        <v>156</v>
      </c>
      <c r="H890" t="s">
        <v>50</v>
      </c>
      <c r="K890" t="s">
        <v>52</v>
      </c>
      <c r="L890">
        <v>1</v>
      </c>
      <c r="M890" t="s">
        <v>53</v>
      </c>
      <c r="N890">
        <v>102</v>
      </c>
      <c r="O890">
        <v>1</v>
      </c>
      <c r="P890" t="s">
        <v>52</v>
      </c>
      <c r="Q890">
        <v>0</v>
      </c>
      <c r="R890">
        <v>0.92</v>
      </c>
      <c r="S890">
        <v>131.69999999999999</v>
      </c>
      <c r="T890" t="s">
        <v>285</v>
      </c>
      <c r="U890">
        <v>170</v>
      </c>
      <c r="V890" t="s">
        <v>284</v>
      </c>
      <c r="AI890" t="s">
        <v>52</v>
      </c>
      <c r="AZ890" t="s">
        <v>52</v>
      </c>
      <c r="BQ890" t="s">
        <v>52</v>
      </c>
      <c r="CH890" t="s">
        <v>52</v>
      </c>
    </row>
    <row r="891" spans="1:86" x14ac:dyDescent="0.25">
      <c r="A891" t="s">
        <v>47</v>
      </c>
      <c r="B891">
        <v>8</v>
      </c>
      <c r="C891" t="s">
        <v>177</v>
      </c>
      <c r="D891">
        <v>81</v>
      </c>
      <c r="E891" t="s">
        <v>49</v>
      </c>
      <c r="F891">
        <v>27</v>
      </c>
      <c r="H891" t="s">
        <v>50</v>
      </c>
      <c r="K891" t="s">
        <v>51</v>
      </c>
      <c r="L891">
        <v>1</v>
      </c>
      <c r="M891" t="s">
        <v>53</v>
      </c>
      <c r="N891">
        <v>27</v>
      </c>
      <c r="O891">
        <v>1</v>
      </c>
      <c r="P891" t="s">
        <v>52</v>
      </c>
      <c r="Q891">
        <v>0</v>
      </c>
      <c r="R891">
        <v>0.75</v>
      </c>
      <c r="S891">
        <v>231</v>
      </c>
      <c r="T891" t="s">
        <v>284</v>
      </c>
      <c r="U891">
        <v>208</v>
      </c>
      <c r="V891" t="s">
        <v>284</v>
      </c>
      <c r="W891">
        <v>224</v>
      </c>
      <c r="X891" t="s">
        <v>284</v>
      </c>
      <c r="Y891">
        <v>225</v>
      </c>
      <c r="Z891" t="s">
        <v>285</v>
      </c>
      <c r="AA891">
        <v>247</v>
      </c>
      <c r="AB891" t="s">
        <v>285</v>
      </c>
      <c r="AC891">
        <v>241</v>
      </c>
      <c r="AD891" t="s">
        <v>285</v>
      </c>
      <c r="AE891">
        <v>219</v>
      </c>
      <c r="AF891" t="s">
        <v>285</v>
      </c>
      <c r="AG891">
        <v>219</v>
      </c>
      <c r="AH891" t="s">
        <v>286</v>
      </c>
      <c r="AI891" t="s">
        <v>287</v>
      </c>
      <c r="AX891">
        <v>263</v>
      </c>
      <c r="AY891" t="s">
        <v>286</v>
      </c>
      <c r="AZ891" t="s">
        <v>287</v>
      </c>
      <c r="BQ891" t="s">
        <v>52</v>
      </c>
      <c r="BR891">
        <v>3.7</v>
      </c>
      <c r="BS891" t="s">
        <v>284</v>
      </c>
      <c r="BT891">
        <v>3.4</v>
      </c>
      <c r="BU891" t="s">
        <v>284</v>
      </c>
      <c r="BV891">
        <v>3.68</v>
      </c>
      <c r="BW891" t="s">
        <v>284</v>
      </c>
      <c r="BX891">
        <v>4.0599999999999996</v>
      </c>
      <c r="BY891" t="s">
        <v>284</v>
      </c>
      <c r="BZ891">
        <v>3.4</v>
      </c>
      <c r="CA891" t="s">
        <v>289</v>
      </c>
      <c r="CF891">
        <v>3.59</v>
      </c>
      <c r="CG891" t="s">
        <v>54</v>
      </c>
      <c r="CH891" t="s">
        <v>52</v>
      </c>
    </row>
    <row r="892" spans="1:86" x14ac:dyDescent="0.25">
      <c r="A892" t="s">
        <v>47</v>
      </c>
      <c r="B892">
        <v>8</v>
      </c>
      <c r="C892" t="s">
        <v>177</v>
      </c>
      <c r="D892">
        <v>81</v>
      </c>
      <c r="E892" t="s">
        <v>49</v>
      </c>
      <c r="F892">
        <v>27</v>
      </c>
      <c r="H892" t="s">
        <v>50</v>
      </c>
      <c r="K892" t="s">
        <v>52</v>
      </c>
      <c r="L892">
        <v>1</v>
      </c>
      <c r="M892" t="s">
        <v>53</v>
      </c>
      <c r="N892">
        <v>27</v>
      </c>
      <c r="O892">
        <v>1</v>
      </c>
      <c r="P892" t="s">
        <v>52</v>
      </c>
      <c r="Q892">
        <v>0</v>
      </c>
      <c r="R892">
        <v>0.75</v>
      </c>
      <c r="S892">
        <v>231</v>
      </c>
      <c r="T892" t="s">
        <v>284</v>
      </c>
      <c r="U892">
        <v>208</v>
      </c>
      <c r="V892" t="s">
        <v>284</v>
      </c>
      <c r="W892">
        <v>224</v>
      </c>
      <c r="X892" t="s">
        <v>284</v>
      </c>
      <c r="Y892">
        <v>225</v>
      </c>
      <c r="Z892" t="s">
        <v>285</v>
      </c>
      <c r="AA892">
        <v>247</v>
      </c>
      <c r="AB892" t="s">
        <v>285</v>
      </c>
      <c r="AC892">
        <v>241</v>
      </c>
      <c r="AD892" t="s">
        <v>285</v>
      </c>
      <c r="AE892">
        <v>219</v>
      </c>
      <c r="AF892" t="s">
        <v>285</v>
      </c>
      <c r="AG892">
        <v>219</v>
      </c>
      <c r="AH892" t="s">
        <v>286</v>
      </c>
      <c r="AI892" t="s">
        <v>287</v>
      </c>
      <c r="AX892">
        <v>263</v>
      </c>
      <c r="AY892" t="s">
        <v>286</v>
      </c>
      <c r="AZ892" t="s">
        <v>287</v>
      </c>
      <c r="BQ892" t="s">
        <v>52</v>
      </c>
      <c r="BR892">
        <v>1.3</v>
      </c>
      <c r="BS892" t="s">
        <v>284</v>
      </c>
      <c r="BT892">
        <v>1.2</v>
      </c>
      <c r="BU892" t="s">
        <v>284</v>
      </c>
      <c r="BV892">
        <v>1.63</v>
      </c>
      <c r="BW892" t="s">
        <v>284</v>
      </c>
      <c r="BX892">
        <v>0.47</v>
      </c>
      <c r="BY892" t="s">
        <v>284</v>
      </c>
      <c r="BZ892">
        <v>1.35</v>
      </c>
      <c r="CA892" t="s">
        <v>288</v>
      </c>
      <c r="CF892">
        <v>1.28</v>
      </c>
      <c r="CG892" t="s">
        <v>54</v>
      </c>
      <c r="CH892" t="s">
        <v>52</v>
      </c>
    </row>
    <row r="893" spans="1:86" x14ac:dyDescent="0.25">
      <c r="A893" t="s">
        <v>47</v>
      </c>
      <c r="B893">
        <v>8</v>
      </c>
      <c r="C893" t="s">
        <v>177</v>
      </c>
      <c r="D893">
        <v>81</v>
      </c>
      <c r="E893" t="s">
        <v>58</v>
      </c>
      <c r="F893">
        <v>102</v>
      </c>
      <c r="G893" t="s">
        <v>59</v>
      </c>
      <c r="H893" t="s">
        <v>50</v>
      </c>
      <c r="K893" t="s">
        <v>51</v>
      </c>
      <c r="L893">
        <v>1</v>
      </c>
      <c r="M893" t="s">
        <v>53</v>
      </c>
      <c r="N893">
        <v>102</v>
      </c>
      <c r="O893">
        <v>1</v>
      </c>
      <c r="P893" t="s">
        <v>52</v>
      </c>
      <c r="Q893">
        <v>0</v>
      </c>
      <c r="R893">
        <v>0.92</v>
      </c>
      <c r="S893">
        <v>131.69999999999999</v>
      </c>
      <c r="T893" t="s">
        <v>284</v>
      </c>
      <c r="U893">
        <v>126.5</v>
      </c>
      <c r="V893" t="s">
        <v>284</v>
      </c>
      <c r="W893">
        <v>170</v>
      </c>
      <c r="X893" t="s">
        <v>284</v>
      </c>
      <c r="Y893">
        <v>207</v>
      </c>
      <c r="Z893" t="s">
        <v>284</v>
      </c>
      <c r="AA893">
        <v>315</v>
      </c>
      <c r="AB893" t="s">
        <v>285</v>
      </c>
      <c r="AG893">
        <v>169.5667</v>
      </c>
      <c r="AH893" t="s">
        <v>54</v>
      </c>
      <c r="AI893" t="s">
        <v>52</v>
      </c>
      <c r="AZ893" t="s">
        <v>52</v>
      </c>
      <c r="BQ893" t="s">
        <v>52</v>
      </c>
      <c r="BR893">
        <v>1.49</v>
      </c>
      <c r="BS893" t="s">
        <v>288</v>
      </c>
      <c r="BT893">
        <v>1.46</v>
      </c>
      <c r="BU893" t="s">
        <v>284</v>
      </c>
      <c r="BV893">
        <v>1.1399999999999999</v>
      </c>
      <c r="BW893" t="s">
        <v>285</v>
      </c>
      <c r="BX893">
        <v>0.79</v>
      </c>
      <c r="BY893" t="s">
        <v>285</v>
      </c>
      <c r="BZ893">
        <v>0.68</v>
      </c>
      <c r="CA893" t="s">
        <v>284</v>
      </c>
      <c r="CF893">
        <v>1.1299999999999999</v>
      </c>
      <c r="CG893" t="s">
        <v>54</v>
      </c>
      <c r="CH893" t="s">
        <v>52</v>
      </c>
    </row>
    <row r="894" spans="1:86" x14ac:dyDescent="0.25">
      <c r="A894" t="s">
        <v>47</v>
      </c>
      <c r="B894">
        <v>8</v>
      </c>
      <c r="C894" t="s">
        <v>177</v>
      </c>
      <c r="D894">
        <v>81</v>
      </c>
      <c r="E894" t="s">
        <v>58</v>
      </c>
      <c r="F894">
        <v>102</v>
      </c>
      <c r="G894" t="s">
        <v>59</v>
      </c>
      <c r="H894" t="s">
        <v>50</v>
      </c>
      <c r="K894" t="s">
        <v>52</v>
      </c>
      <c r="L894">
        <v>1</v>
      </c>
      <c r="M894" t="s">
        <v>53</v>
      </c>
      <c r="N894">
        <v>102</v>
      </c>
      <c r="O894">
        <v>1</v>
      </c>
      <c r="P894" t="s">
        <v>52</v>
      </c>
      <c r="Q894">
        <v>0</v>
      </c>
      <c r="R894">
        <v>0.92</v>
      </c>
      <c r="S894">
        <v>131.69999999999999</v>
      </c>
      <c r="T894" t="s">
        <v>284</v>
      </c>
      <c r="U894">
        <v>126.5</v>
      </c>
      <c r="V894" t="s">
        <v>284</v>
      </c>
      <c r="W894">
        <v>170</v>
      </c>
      <c r="X894" t="s">
        <v>284</v>
      </c>
      <c r="Y894">
        <v>207</v>
      </c>
      <c r="Z894" t="s">
        <v>284</v>
      </c>
      <c r="AA894">
        <v>315</v>
      </c>
      <c r="AB894" t="s">
        <v>285</v>
      </c>
      <c r="AG894">
        <v>169.5667</v>
      </c>
      <c r="AH894" t="s">
        <v>54</v>
      </c>
      <c r="AI894" t="s">
        <v>52</v>
      </c>
      <c r="AZ894" t="s">
        <v>52</v>
      </c>
      <c r="BQ894" t="s">
        <v>52</v>
      </c>
      <c r="BR894">
        <v>0.85</v>
      </c>
      <c r="BS894" t="s">
        <v>285</v>
      </c>
      <c r="BT894">
        <v>0.75</v>
      </c>
      <c r="BU894" t="s">
        <v>284</v>
      </c>
      <c r="BV894">
        <v>0.57999999999999996</v>
      </c>
      <c r="BW894" t="s">
        <v>285</v>
      </c>
      <c r="BX894">
        <v>0.4</v>
      </c>
      <c r="BY894" t="s">
        <v>285</v>
      </c>
      <c r="BZ894">
        <v>0.34</v>
      </c>
      <c r="CA894" t="s">
        <v>284</v>
      </c>
      <c r="CF894">
        <v>0.57999999999999996</v>
      </c>
      <c r="CG894" t="s">
        <v>54</v>
      </c>
      <c r="CH894" t="s">
        <v>52</v>
      </c>
    </row>
    <row r="895" spans="1:86" x14ac:dyDescent="0.25">
      <c r="A895" t="s">
        <v>47</v>
      </c>
      <c r="B895">
        <v>8</v>
      </c>
      <c r="C895" t="s">
        <v>177</v>
      </c>
      <c r="D895">
        <v>81</v>
      </c>
      <c r="E895" t="s">
        <v>58</v>
      </c>
      <c r="F895">
        <v>102</v>
      </c>
      <c r="G895" t="s">
        <v>61</v>
      </c>
      <c r="H895" t="s">
        <v>50</v>
      </c>
      <c r="K895" t="s">
        <v>51</v>
      </c>
      <c r="L895">
        <v>1</v>
      </c>
      <c r="M895" t="s">
        <v>53</v>
      </c>
      <c r="N895">
        <v>102</v>
      </c>
      <c r="O895">
        <v>1</v>
      </c>
      <c r="P895" t="s">
        <v>52</v>
      </c>
      <c r="Q895">
        <v>0</v>
      </c>
      <c r="R895">
        <v>0.92</v>
      </c>
      <c r="S895">
        <v>131.69999999999999</v>
      </c>
      <c r="T895" t="s">
        <v>284</v>
      </c>
      <c r="U895">
        <v>170</v>
      </c>
      <c r="V895" t="s">
        <v>284</v>
      </c>
      <c r="W895">
        <v>191</v>
      </c>
      <c r="X895" t="s">
        <v>284</v>
      </c>
      <c r="Y895">
        <v>207</v>
      </c>
      <c r="Z895" t="s">
        <v>284</v>
      </c>
      <c r="AA895">
        <v>315</v>
      </c>
      <c r="AB895" t="s">
        <v>285</v>
      </c>
      <c r="AG895">
        <v>189.33330000000001</v>
      </c>
      <c r="AH895" t="s">
        <v>54</v>
      </c>
      <c r="AI895" t="s">
        <v>52</v>
      </c>
      <c r="AZ895" t="s">
        <v>52</v>
      </c>
      <c r="BQ895" t="s">
        <v>52</v>
      </c>
      <c r="CH895" t="s">
        <v>52</v>
      </c>
    </row>
    <row r="896" spans="1:86" x14ac:dyDescent="0.25">
      <c r="A896" t="s">
        <v>47</v>
      </c>
      <c r="B896">
        <v>8</v>
      </c>
      <c r="C896" t="s">
        <v>177</v>
      </c>
      <c r="D896">
        <v>81</v>
      </c>
      <c r="E896" t="s">
        <v>58</v>
      </c>
      <c r="F896">
        <v>102</v>
      </c>
      <c r="G896" t="s">
        <v>61</v>
      </c>
      <c r="H896" t="s">
        <v>50</v>
      </c>
      <c r="K896" t="s">
        <v>52</v>
      </c>
      <c r="L896">
        <v>1</v>
      </c>
      <c r="M896" t="s">
        <v>53</v>
      </c>
      <c r="N896">
        <v>102</v>
      </c>
      <c r="O896">
        <v>1</v>
      </c>
      <c r="P896" t="s">
        <v>52</v>
      </c>
      <c r="Q896">
        <v>0</v>
      </c>
      <c r="R896">
        <v>0.92</v>
      </c>
      <c r="S896">
        <v>131.69999999999999</v>
      </c>
      <c r="T896" t="s">
        <v>284</v>
      </c>
      <c r="U896">
        <v>170</v>
      </c>
      <c r="V896" t="s">
        <v>284</v>
      </c>
      <c r="W896">
        <v>191</v>
      </c>
      <c r="X896" t="s">
        <v>284</v>
      </c>
      <c r="Y896">
        <v>207</v>
      </c>
      <c r="Z896" t="s">
        <v>284</v>
      </c>
      <c r="AA896">
        <v>315</v>
      </c>
      <c r="AB896" t="s">
        <v>285</v>
      </c>
      <c r="AG896">
        <v>189.33330000000001</v>
      </c>
      <c r="AH896" t="s">
        <v>54</v>
      </c>
      <c r="AI896" t="s">
        <v>52</v>
      </c>
      <c r="AZ896" t="s">
        <v>52</v>
      </c>
      <c r="BQ896" t="s">
        <v>52</v>
      </c>
      <c r="CH896" t="s">
        <v>52</v>
      </c>
    </row>
    <row r="897" spans="1:86" x14ac:dyDescent="0.25">
      <c r="A897" t="s">
        <v>47</v>
      </c>
      <c r="B897">
        <v>8</v>
      </c>
      <c r="C897" t="s">
        <v>177</v>
      </c>
      <c r="D897">
        <v>81</v>
      </c>
      <c r="E897" t="s">
        <v>58</v>
      </c>
      <c r="F897">
        <v>102</v>
      </c>
      <c r="G897" t="s">
        <v>178</v>
      </c>
      <c r="H897" t="s">
        <v>50</v>
      </c>
      <c r="K897" t="s">
        <v>51</v>
      </c>
      <c r="L897">
        <v>1</v>
      </c>
      <c r="M897" t="s">
        <v>53</v>
      </c>
      <c r="N897">
        <v>102</v>
      </c>
      <c r="O897">
        <v>1</v>
      </c>
      <c r="P897" t="s">
        <v>52</v>
      </c>
      <c r="Q897">
        <v>0</v>
      </c>
      <c r="R897">
        <v>0.92</v>
      </c>
      <c r="S897">
        <v>131.69999999999999</v>
      </c>
      <c r="T897" t="s">
        <v>284</v>
      </c>
      <c r="U897">
        <v>170</v>
      </c>
      <c r="V897" t="s">
        <v>284</v>
      </c>
      <c r="AI897" t="s">
        <v>52</v>
      </c>
      <c r="AZ897" t="s">
        <v>52</v>
      </c>
      <c r="BQ897" t="s">
        <v>52</v>
      </c>
      <c r="CH897" t="s">
        <v>52</v>
      </c>
    </row>
    <row r="898" spans="1:86" x14ac:dyDescent="0.25">
      <c r="A898" t="s">
        <v>47</v>
      </c>
      <c r="B898">
        <v>8</v>
      </c>
      <c r="C898" t="s">
        <v>177</v>
      </c>
      <c r="D898">
        <v>81</v>
      </c>
      <c r="E898" t="s">
        <v>58</v>
      </c>
      <c r="F898">
        <v>102</v>
      </c>
      <c r="G898" t="s">
        <v>178</v>
      </c>
      <c r="H898" t="s">
        <v>50</v>
      </c>
      <c r="K898" t="s">
        <v>52</v>
      </c>
      <c r="L898">
        <v>1</v>
      </c>
      <c r="M898" t="s">
        <v>53</v>
      </c>
      <c r="N898">
        <v>102</v>
      </c>
      <c r="O898">
        <v>1</v>
      </c>
      <c r="P898" t="s">
        <v>52</v>
      </c>
      <c r="Q898">
        <v>0</v>
      </c>
      <c r="R898">
        <v>0.92</v>
      </c>
      <c r="S898">
        <v>131.69999999999999</v>
      </c>
      <c r="T898" t="s">
        <v>284</v>
      </c>
      <c r="U898">
        <v>170</v>
      </c>
      <c r="V898" t="s">
        <v>284</v>
      </c>
      <c r="AI898" t="s">
        <v>52</v>
      </c>
      <c r="AZ898" t="s">
        <v>52</v>
      </c>
      <c r="BQ898" t="s">
        <v>52</v>
      </c>
      <c r="CH898" t="s">
        <v>52</v>
      </c>
    </row>
    <row r="899" spans="1:86" x14ac:dyDescent="0.25">
      <c r="A899" t="s">
        <v>47</v>
      </c>
      <c r="B899">
        <v>8</v>
      </c>
      <c r="C899" t="s">
        <v>177</v>
      </c>
      <c r="D899">
        <v>81</v>
      </c>
      <c r="E899" t="s">
        <v>58</v>
      </c>
      <c r="F899">
        <v>102</v>
      </c>
      <c r="G899" t="s">
        <v>62</v>
      </c>
      <c r="H899" t="s">
        <v>50</v>
      </c>
      <c r="K899" t="s">
        <v>51</v>
      </c>
      <c r="L899">
        <v>1</v>
      </c>
      <c r="M899" t="s">
        <v>53</v>
      </c>
      <c r="N899">
        <v>102</v>
      </c>
      <c r="O899">
        <v>1</v>
      </c>
      <c r="P899" t="s">
        <v>52</v>
      </c>
      <c r="Q899">
        <v>0</v>
      </c>
      <c r="R899">
        <v>0.92</v>
      </c>
      <c r="S899">
        <v>131.69999999999999</v>
      </c>
      <c r="T899" t="s">
        <v>284</v>
      </c>
      <c r="U899">
        <v>170</v>
      </c>
      <c r="V899" t="s">
        <v>284</v>
      </c>
      <c r="W899">
        <v>191</v>
      </c>
      <c r="X899" t="s">
        <v>284</v>
      </c>
      <c r="Y899">
        <v>207</v>
      </c>
      <c r="Z899" t="s">
        <v>284</v>
      </c>
      <c r="AA899">
        <v>205</v>
      </c>
      <c r="AB899" t="s">
        <v>285</v>
      </c>
      <c r="AG899">
        <v>188.66669999999999</v>
      </c>
      <c r="AH899" t="s">
        <v>54</v>
      </c>
      <c r="AI899" t="s">
        <v>52</v>
      </c>
      <c r="AX899">
        <v>271.60000000000002</v>
      </c>
      <c r="AY899" t="s">
        <v>285</v>
      </c>
      <c r="AZ899" t="s">
        <v>287</v>
      </c>
      <c r="BQ899" t="s">
        <v>52</v>
      </c>
      <c r="BR899">
        <v>1.85</v>
      </c>
      <c r="BS899" t="s">
        <v>284</v>
      </c>
      <c r="BT899">
        <v>1.56</v>
      </c>
      <c r="BU899" t="s">
        <v>284</v>
      </c>
      <c r="BV899">
        <v>0.53</v>
      </c>
      <c r="BW899" t="s">
        <v>285</v>
      </c>
      <c r="BX899">
        <v>0.65</v>
      </c>
      <c r="BY899" t="s">
        <v>285</v>
      </c>
      <c r="BZ899">
        <v>0.56000000000000005</v>
      </c>
      <c r="CA899" t="s">
        <v>284</v>
      </c>
      <c r="CF899">
        <v>0.92</v>
      </c>
      <c r="CG899" t="s">
        <v>54</v>
      </c>
      <c r="CH899" t="s">
        <v>52</v>
      </c>
    </row>
    <row r="900" spans="1:86" x14ac:dyDescent="0.25">
      <c r="A900" t="s">
        <v>47</v>
      </c>
      <c r="B900">
        <v>8</v>
      </c>
      <c r="C900" t="s">
        <v>177</v>
      </c>
      <c r="D900">
        <v>81</v>
      </c>
      <c r="E900" t="s">
        <v>58</v>
      </c>
      <c r="F900">
        <v>102</v>
      </c>
      <c r="G900" t="s">
        <v>62</v>
      </c>
      <c r="H900" t="s">
        <v>50</v>
      </c>
      <c r="K900" t="s">
        <v>52</v>
      </c>
      <c r="L900">
        <v>1</v>
      </c>
      <c r="M900" t="s">
        <v>53</v>
      </c>
      <c r="N900">
        <v>102</v>
      </c>
      <c r="O900">
        <v>1</v>
      </c>
      <c r="P900" t="s">
        <v>52</v>
      </c>
      <c r="Q900">
        <v>0</v>
      </c>
      <c r="R900">
        <v>0.92</v>
      </c>
      <c r="S900">
        <v>131.69999999999999</v>
      </c>
      <c r="T900" t="s">
        <v>284</v>
      </c>
      <c r="U900">
        <v>170</v>
      </c>
      <c r="V900" t="s">
        <v>284</v>
      </c>
      <c r="W900">
        <v>191</v>
      </c>
      <c r="X900" t="s">
        <v>284</v>
      </c>
      <c r="Y900">
        <v>207</v>
      </c>
      <c r="Z900" t="s">
        <v>284</v>
      </c>
      <c r="AA900">
        <v>205</v>
      </c>
      <c r="AB900" t="s">
        <v>285</v>
      </c>
      <c r="AG900">
        <v>188.66669999999999</v>
      </c>
      <c r="AH900" t="s">
        <v>54</v>
      </c>
      <c r="AI900" t="s">
        <v>52</v>
      </c>
      <c r="AX900">
        <v>271.60000000000002</v>
      </c>
      <c r="AY900" t="s">
        <v>285</v>
      </c>
      <c r="AZ900" t="s">
        <v>287</v>
      </c>
      <c r="BQ900" t="s">
        <v>52</v>
      </c>
      <c r="BR900">
        <v>0.87</v>
      </c>
      <c r="BS900" t="s">
        <v>285</v>
      </c>
      <c r="BT900">
        <v>0.97</v>
      </c>
      <c r="BU900" t="s">
        <v>285</v>
      </c>
      <c r="BV900">
        <v>0.27</v>
      </c>
      <c r="BW900" t="s">
        <v>285</v>
      </c>
      <c r="BX900">
        <v>0.41</v>
      </c>
      <c r="BY900" t="s">
        <v>285</v>
      </c>
      <c r="BZ900">
        <v>0.35</v>
      </c>
      <c r="CA900" t="s">
        <v>284</v>
      </c>
      <c r="CF900">
        <v>0.54</v>
      </c>
      <c r="CG900" t="s">
        <v>54</v>
      </c>
      <c r="CH900" t="s">
        <v>52</v>
      </c>
    </row>
    <row r="901" spans="1:86" x14ac:dyDescent="0.25">
      <c r="A901" t="s">
        <v>47</v>
      </c>
      <c r="B901">
        <v>8</v>
      </c>
      <c r="C901" t="s">
        <v>177</v>
      </c>
      <c r="D901">
        <v>81</v>
      </c>
      <c r="E901" t="s">
        <v>58</v>
      </c>
      <c r="F901">
        <v>102</v>
      </c>
      <c r="G901" t="s">
        <v>63</v>
      </c>
      <c r="H901" t="s">
        <v>50</v>
      </c>
      <c r="K901" t="s">
        <v>51</v>
      </c>
      <c r="L901">
        <v>1</v>
      </c>
      <c r="M901" t="s">
        <v>53</v>
      </c>
      <c r="N901">
        <v>102</v>
      </c>
      <c r="O901">
        <v>1</v>
      </c>
      <c r="P901" t="s">
        <v>52</v>
      </c>
      <c r="Q901">
        <v>0</v>
      </c>
      <c r="R901">
        <v>0.92</v>
      </c>
      <c r="S901">
        <v>131.69999999999999</v>
      </c>
      <c r="T901" t="s">
        <v>284</v>
      </c>
      <c r="U901">
        <v>170</v>
      </c>
      <c r="V901" t="s">
        <v>284</v>
      </c>
      <c r="W901">
        <v>191</v>
      </c>
      <c r="X901" t="s">
        <v>285</v>
      </c>
      <c r="Y901">
        <v>207</v>
      </c>
      <c r="Z901" t="s">
        <v>285</v>
      </c>
      <c r="AA901">
        <v>265</v>
      </c>
      <c r="AB901" t="s">
        <v>285</v>
      </c>
      <c r="AG901">
        <v>189.33330000000001</v>
      </c>
      <c r="AH901" t="s">
        <v>54</v>
      </c>
      <c r="AI901" t="s">
        <v>52</v>
      </c>
      <c r="AZ901" t="s">
        <v>52</v>
      </c>
      <c r="BQ901" t="s">
        <v>52</v>
      </c>
      <c r="BR901">
        <v>2.1</v>
      </c>
      <c r="BS901" t="s">
        <v>285</v>
      </c>
      <c r="BT901">
        <v>1.46</v>
      </c>
      <c r="BU901" t="s">
        <v>284</v>
      </c>
      <c r="BV901">
        <v>1.1399999999999999</v>
      </c>
      <c r="BW901" t="s">
        <v>285</v>
      </c>
      <c r="BX901">
        <v>0.79</v>
      </c>
      <c r="BY901" t="s">
        <v>285</v>
      </c>
      <c r="BZ901">
        <v>0.68</v>
      </c>
      <c r="CA901" t="s">
        <v>284</v>
      </c>
      <c r="CF901">
        <v>1.1299999999999999</v>
      </c>
      <c r="CG901" t="s">
        <v>54</v>
      </c>
      <c r="CH901" t="s">
        <v>52</v>
      </c>
    </row>
    <row r="902" spans="1:86" x14ac:dyDescent="0.25">
      <c r="A902" t="s">
        <v>47</v>
      </c>
      <c r="B902">
        <v>8</v>
      </c>
      <c r="C902" t="s">
        <v>177</v>
      </c>
      <c r="D902">
        <v>81</v>
      </c>
      <c r="E902" t="s">
        <v>58</v>
      </c>
      <c r="F902">
        <v>102</v>
      </c>
      <c r="G902" t="s">
        <v>63</v>
      </c>
      <c r="H902" t="s">
        <v>50</v>
      </c>
      <c r="K902" t="s">
        <v>52</v>
      </c>
      <c r="L902">
        <v>1</v>
      </c>
      <c r="M902" t="s">
        <v>53</v>
      </c>
      <c r="N902">
        <v>102</v>
      </c>
      <c r="O902">
        <v>1</v>
      </c>
      <c r="P902" t="s">
        <v>52</v>
      </c>
      <c r="Q902">
        <v>0</v>
      </c>
      <c r="R902">
        <v>0.92</v>
      </c>
      <c r="S902">
        <v>131.69999999999999</v>
      </c>
      <c r="T902" t="s">
        <v>284</v>
      </c>
      <c r="U902">
        <v>170</v>
      </c>
      <c r="V902" t="s">
        <v>284</v>
      </c>
      <c r="W902">
        <v>191</v>
      </c>
      <c r="X902" t="s">
        <v>285</v>
      </c>
      <c r="Y902">
        <v>207</v>
      </c>
      <c r="Z902" t="s">
        <v>285</v>
      </c>
      <c r="AA902">
        <v>265</v>
      </c>
      <c r="AB902" t="s">
        <v>285</v>
      </c>
      <c r="AG902">
        <v>189.33330000000001</v>
      </c>
      <c r="AH902" t="s">
        <v>54</v>
      </c>
      <c r="AI902" t="s">
        <v>52</v>
      </c>
      <c r="AZ902" t="s">
        <v>52</v>
      </c>
      <c r="BQ902" t="s">
        <v>52</v>
      </c>
      <c r="BR902">
        <v>0.93</v>
      </c>
      <c r="BS902" t="s">
        <v>285</v>
      </c>
      <c r="BT902">
        <v>0.77</v>
      </c>
      <c r="BU902" t="s">
        <v>284</v>
      </c>
      <c r="BV902">
        <v>0.6</v>
      </c>
      <c r="BW902" t="s">
        <v>285</v>
      </c>
      <c r="BX902">
        <v>0.52</v>
      </c>
      <c r="BY902" t="s">
        <v>285</v>
      </c>
      <c r="BZ902">
        <v>0.45</v>
      </c>
      <c r="CA902" t="s">
        <v>284</v>
      </c>
      <c r="CF902">
        <v>0.63</v>
      </c>
      <c r="CG902" t="s">
        <v>54</v>
      </c>
      <c r="CH902" t="s">
        <v>52</v>
      </c>
    </row>
    <row r="903" spans="1:86" x14ac:dyDescent="0.25">
      <c r="A903" t="s">
        <v>47</v>
      </c>
      <c r="B903">
        <v>8</v>
      </c>
      <c r="C903" t="s">
        <v>177</v>
      </c>
      <c r="D903">
        <v>81</v>
      </c>
      <c r="E903" t="s">
        <v>58</v>
      </c>
      <c r="F903">
        <v>102</v>
      </c>
      <c r="G903" t="s">
        <v>64</v>
      </c>
      <c r="H903" t="s">
        <v>50</v>
      </c>
      <c r="K903" t="s">
        <v>52</v>
      </c>
      <c r="L903">
        <v>1</v>
      </c>
      <c r="M903" t="s">
        <v>53</v>
      </c>
      <c r="N903">
        <v>102</v>
      </c>
      <c r="O903">
        <v>1</v>
      </c>
      <c r="P903" t="s">
        <v>52</v>
      </c>
      <c r="Q903">
        <v>0</v>
      </c>
      <c r="R903">
        <v>0.92</v>
      </c>
      <c r="S903">
        <v>131.69999999999999</v>
      </c>
      <c r="T903" t="s">
        <v>284</v>
      </c>
      <c r="U903">
        <v>170</v>
      </c>
      <c r="V903" t="s">
        <v>284</v>
      </c>
      <c r="W903">
        <v>191</v>
      </c>
      <c r="X903" t="s">
        <v>284</v>
      </c>
      <c r="Y903">
        <v>207</v>
      </c>
      <c r="Z903" t="s">
        <v>284</v>
      </c>
      <c r="AA903">
        <v>205</v>
      </c>
      <c r="AB903" t="s">
        <v>285</v>
      </c>
      <c r="AG903">
        <v>188.66669999999999</v>
      </c>
      <c r="AH903" t="s">
        <v>54</v>
      </c>
      <c r="AI903" t="s">
        <v>52</v>
      </c>
      <c r="AZ903" t="s">
        <v>52</v>
      </c>
      <c r="BQ903" t="s">
        <v>52</v>
      </c>
      <c r="CH903" t="s">
        <v>52</v>
      </c>
    </row>
    <row r="904" spans="1:86" x14ac:dyDescent="0.25">
      <c r="A904" t="s">
        <v>47</v>
      </c>
      <c r="B904">
        <v>8</v>
      </c>
      <c r="C904" t="s">
        <v>177</v>
      </c>
      <c r="D904">
        <v>81</v>
      </c>
      <c r="E904" t="s">
        <v>58</v>
      </c>
      <c r="F904">
        <v>102</v>
      </c>
      <c r="G904" t="s">
        <v>167</v>
      </c>
      <c r="H904" t="s">
        <v>50</v>
      </c>
      <c r="K904" t="s">
        <v>51</v>
      </c>
      <c r="L904">
        <v>1</v>
      </c>
      <c r="M904" t="s">
        <v>53</v>
      </c>
      <c r="N904">
        <v>102</v>
      </c>
      <c r="O904">
        <v>1</v>
      </c>
      <c r="P904" t="s">
        <v>52</v>
      </c>
      <c r="Q904">
        <v>0</v>
      </c>
      <c r="R904">
        <v>0.92</v>
      </c>
      <c r="S904">
        <v>131.69999999999999</v>
      </c>
      <c r="T904" t="s">
        <v>284</v>
      </c>
      <c r="U904">
        <v>170</v>
      </c>
      <c r="V904" t="s">
        <v>284</v>
      </c>
      <c r="AI904" t="s">
        <v>52</v>
      </c>
      <c r="AZ904" t="s">
        <v>52</v>
      </c>
      <c r="BQ904" t="s">
        <v>52</v>
      </c>
      <c r="CH904" t="s">
        <v>52</v>
      </c>
    </row>
    <row r="905" spans="1:86" x14ac:dyDescent="0.25">
      <c r="A905" t="s">
        <v>47</v>
      </c>
      <c r="B905">
        <v>8</v>
      </c>
      <c r="C905" t="s">
        <v>177</v>
      </c>
      <c r="D905">
        <v>81</v>
      </c>
      <c r="E905" t="s">
        <v>58</v>
      </c>
      <c r="F905">
        <v>102</v>
      </c>
      <c r="G905" t="s">
        <v>167</v>
      </c>
      <c r="H905" t="s">
        <v>50</v>
      </c>
      <c r="K905" t="s">
        <v>52</v>
      </c>
      <c r="L905">
        <v>1</v>
      </c>
      <c r="M905" t="s">
        <v>53</v>
      </c>
      <c r="N905">
        <v>102</v>
      </c>
      <c r="O905">
        <v>1</v>
      </c>
      <c r="P905" t="s">
        <v>52</v>
      </c>
      <c r="Q905">
        <v>0</v>
      </c>
      <c r="R905">
        <v>0.92</v>
      </c>
      <c r="S905">
        <v>131.69999999999999</v>
      </c>
      <c r="T905" t="s">
        <v>284</v>
      </c>
      <c r="U905">
        <v>170</v>
      </c>
      <c r="V905" t="s">
        <v>284</v>
      </c>
      <c r="AI905" t="s">
        <v>52</v>
      </c>
      <c r="AZ905" t="s">
        <v>52</v>
      </c>
      <c r="BQ905" t="s">
        <v>52</v>
      </c>
      <c r="CH905" t="s">
        <v>52</v>
      </c>
    </row>
    <row r="906" spans="1:86" x14ac:dyDescent="0.25">
      <c r="A906" t="s">
        <v>47</v>
      </c>
      <c r="B906">
        <v>8</v>
      </c>
      <c r="C906" t="s">
        <v>177</v>
      </c>
      <c r="D906">
        <v>81</v>
      </c>
      <c r="E906" t="s">
        <v>58</v>
      </c>
      <c r="F906">
        <v>102</v>
      </c>
      <c r="G906" t="s">
        <v>136</v>
      </c>
      <c r="H906" t="s">
        <v>50</v>
      </c>
      <c r="K906" t="s">
        <v>51</v>
      </c>
      <c r="L906">
        <v>1</v>
      </c>
      <c r="M906" t="s">
        <v>53</v>
      </c>
      <c r="N906">
        <v>102</v>
      </c>
      <c r="O906">
        <v>1</v>
      </c>
      <c r="P906" t="s">
        <v>52</v>
      </c>
      <c r="Q906">
        <v>0</v>
      </c>
      <c r="R906">
        <v>0.92</v>
      </c>
      <c r="S906">
        <v>131.69999999999999</v>
      </c>
      <c r="T906" t="s">
        <v>284</v>
      </c>
      <c r="U906">
        <v>170</v>
      </c>
      <c r="V906" t="s">
        <v>284</v>
      </c>
      <c r="W906">
        <v>191</v>
      </c>
      <c r="X906" t="s">
        <v>285</v>
      </c>
      <c r="Y906">
        <v>207</v>
      </c>
      <c r="Z906" t="s">
        <v>284</v>
      </c>
      <c r="AA906">
        <v>275</v>
      </c>
      <c r="AB906" t="s">
        <v>285</v>
      </c>
      <c r="AG906">
        <v>189.33330000000001</v>
      </c>
      <c r="AH906" t="s">
        <v>54</v>
      </c>
      <c r="AI906" t="s">
        <v>52</v>
      </c>
      <c r="AZ906" t="s">
        <v>52</v>
      </c>
      <c r="BQ906" t="s">
        <v>52</v>
      </c>
      <c r="BR906">
        <v>1.37</v>
      </c>
      <c r="BS906" t="s">
        <v>285</v>
      </c>
      <c r="BT906">
        <v>1.56</v>
      </c>
      <c r="BU906" t="s">
        <v>284</v>
      </c>
      <c r="BV906">
        <v>1.21</v>
      </c>
      <c r="BW906" t="s">
        <v>285</v>
      </c>
      <c r="BX906">
        <v>1.21</v>
      </c>
      <c r="BY906" t="s">
        <v>285</v>
      </c>
      <c r="BZ906">
        <v>1.21</v>
      </c>
      <c r="CA906" t="s">
        <v>285</v>
      </c>
      <c r="CF906">
        <v>1.26</v>
      </c>
      <c r="CG906" t="s">
        <v>54</v>
      </c>
      <c r="CH906" t="s">
        <v>52</v>
      </c>
    </row>
    <row r="907" spans="1:86" x14ac:dyDescent="0.25">
      <c r="A907" t="s">
        <v>47</v>
      </c>
      <c r="B907">
        <v>8</v>
      </c>
      <c r="C907" t="s">
        <v>177</v>
      </c>
      <c r="D907">
        <v>81</v>
      </c>
      <c r="E907" t="s">
        <v>58</v>
      </c>
      <c r="F907">
        <v>102</v>
      </c>
      <c r="G907" t="s">
        <v>136</v>
      </c>
      <c r="H907" t="s">
        <v>50</v>
      </c>
      <c r="K907" t="s">
        <v>52</v>
      </c>
      <c r="L907">
        <v>1</v>
      </c>
      <c r="M907" t="s">
        <v>53</v>
      </c>
      <c r="N907">
        <v>102</v>
      </c>
      <c r="O907">
        <v>1</v>
      </c>
      <c r="P907" t="s">
        <v>52</v>
      </c>
      <c r="Q907">
        <v>0</v>
      </c>
      <c r="R907">
        <v>0.92</v>
      </c>
      <c r="S907">
        <v>131.69999999999999</v>
      </c>
      <c r="T907" t="s">
        <v>284</v>
      </c>
      <c r="U907">
        <v>170</v>
      </c>
      <c r="V907" t="s">
        <v>284</v>
      </c>
      <c r="W907">
        <v>191</v>
      </c>
      <c r="X907" t="s">
        <v>285</v>
      </c>
      <c r="Y907">
        <v>207</v>
      </c>
      <c r="Z907" t="s">
        <v>284</v>
      </c>
      <c r="AA907">
        <v>275</v>
      </c>
      <c r="AB907" t="s">
        <v>285</v>
      </c>
      <c r="AG907">
        <v>189.33330000000001</v>
      </c>
      <c r="AH907" t="s">
        <v>54</v>
      </c>
      <c r="AI907" t="s">
        <v>52</v>
      </c>
      <c r="AZ907" t="s">
        <v>52</v>
      </c>
      <c r="BQ907" t="s">
        <v>52</v>
      </c>
      <c r="BR907">
        <v>0.93</v>
      </c>
      <c r="BS907" t="s">
        <v>285</v>
      </c>
      <c r="BT907">
        <v>0.77</v>
      </c>
      <c r="BU907" t="s">
        <v>284</v>
      </c>
      <c r="BV907">
        <v>0.23</v>
      </c>
      <c r="BW907" t="s">
        <v>285</v>
      </c>
      <c r="BX907">
        <v>0.42</v>
      </c>
      <c r="BY907" t="s">
        <v>285</v>
      </c>
      <c r="BZ907">
        <v>0.36</v>
      </c>
      <c r="CA907" t="s">
        <v>284</v>
      </c>
      <c r="CF907">
        <v>0.52</v>
      </c>
      <c r="CG907" t="s">
        <v>54</v>
      </c>
      <c r="CH907" t="s">
        <v>52</v>
      </c>
    </row>
    <row r="908" spans="1:86" x14ac:dyDescent="0.25">
      <c r="A908" t="s">
        <v>47</v>
      </c>
      <c r="B908">
        <v>8</v>
      </c>
      <c r="C908" t="s">
        <v>177</v>
      </c>
      <c r="D908">
        <v>81</v>
      </c>
      <c r="E908" t="s">
        <v>58</v>
      </c>
      <c r="F908">
        <v>102</v>
      </c>
      <c r="G908" t="s">
        <v>66</v>
      </c>
      <c r="H908" t="s">
        <v>50</v>
      </c>
      <c r="K908" t="s">
        <v>52</v>
      </c>
      <c r="L908">
        <v>1</v>
      </c>
      <c r="M908" t="s">
        <v>53</v>
      </c>
      <c r="N908">
        <v>102</v>
      </c>
      <c r="O908">
        <v>1</v>
      </c>
      <c r="P908" t="s">
        <v>52</v>
      </c>
      <c r="Q908">
        <v>0</v>
      </c>
      <c r="R908">
        <v>0.92</v>
      </c>
      <c r="S908">
        <v>131.69999999999999</v>
      </c>
      <c r="T908" t="s">
        <v>284</v>
      </c>
      <c r="U908">
        <v>170</v>
      </c>
      <c r="V908" t="s">
        <v>284</v>
      </c>
      <c r="W908">
        <v>191</v>
      </c>
      <c r="X908" t="s">
        <v>284</v>
      </c>
      <c r="Y908">
        <v>207</v>
      </c>
      <c r="Z908" t="s">
        <v>284</v>
      </c>
      <c r="AA908">
        <v>205</v>
      </c>
      <c r="AB908" t="s">
        <v>285</v>
      </c>
      <c r="AG908">
        <v>188.66669999999999</v>
      </c>
      <c r="AH908" t="s">
        <v>54</v>
      </c>
      <c r="AI908" t="s">
        <v>52</v>
      </c>
      <c r="AZ908" t="s">
        <v>52</v>
      </c>
      <c r="BQ908" t="s">
        <v>52</v>
      </c>
      <c r="BR908">
        <v>0.93</v>
      </c>
      <c r="BS908" t="s">
        <v>285</v>
      </c>
      <c r="BT908">
        <v>0.81</v>
      </c>
      <c r="BU908" t="s">
        <v>284</v>
      </c>
      <c r="BV908">
        <v>0.63</v>
      </c>
      <c r="BW908" t="s">
        <v>285</v>
      </c>
      <c r="BX908">
        <v>0.42</v>
      </c>
      <c r="BY908" t="s">
        <v>285</v>
      </c>
      <c r="BZ908">
        <v>0.36</v>
      </c>
      <c r="CA908" t="s">
        <v>284</v>
      </c>
      <c r="CF908">
        <v>0.62</v>
      </c>
      <c r="CG908" t="s">
        <v>54</v>
      </c>
      <c r="CH908" t="s">
        <v>52</v>
      </c>
    </row>
    <row r="909" spans="1:86" x14ac:dyDescent="0.25">
      <c r="A909" t="s">
        <v>47</v>
      </c>
      <c r="B909">
        <v>8</v>
      </c>
      <c r="C909" t="s">
        <v>177</v>
      </c>
      <c r="D909">
        <v>81</v>
      </c>
      <c r="E909" t="s">
        <v>58</v>
      </c>
      <c r="F909">
        <v>102</v>
      </c>
      <c r="G909" t="s">
        <v>118</v>
      </c>
      <c r="H909" t="s">
        <v>50</v>
      </c>
      <c r="K909" t="s">
        <v>51</v>
      </c>
      <c r="L909">
        <v>1</v>
      </c>
      <c r="M909" t="s">
        <v>53</v>
      </c>
      <c r="N909">
        <v>102</v>
      </c>
      <c r="O909">
        <v>1</v>
      </c>
      <c r="P909" t="s">
        <v>52</v>
      </c>
      <c r="Q909">
        <v>0</v>
      </c>
      <c r="R909">
        <v>0.92</v>
      </c>
      <c r="S909">
        <v>131.69999999999999</v>
      </c>
      <c r="T909" t="s">
        <v>284</v>
      </c>
      <c r="U909">
        <v>170</v>
      </c>
      <c r="V909" t="s">
        <v>284</v>
      </c>
      <c r="W909">
        <v>191</v>
      </c>
      <c r="X909" t="s">
        <v>284</v>
      </c>
      <c r="Y909">
        <v>207</v>
      </c>
      <c r="Z909" t="s">
        <v>284</v>
      </c>
      <c r="AA909">
        <v>205</v>
      </c>
      <c r="AB909" t="s">
        <v>285</v>
      </c>
      <c r="AG909">
        <v>188.66669999999999</v>
      </c>
      <c r="AH909" t="s">
        <v>54</v>
      </c>
      <c r="AI909" t="s">
        <v>52</v>
      </c>
      <c r="AZ909" t="s">
        <v>52</v>
      </c>
      <c r="BQ909" t="s">
        <v>52</v>
      </c>
      <c r="BR909">
        <v>1.85</v>
      </c>
      <c r="BS909" t="s">
        <v>284</v>
      </c>
      <c r="BT909">
        <v>1.46</v>
      </c>
      <c r="BU909" t="s">
        <v>284</v>
      </c>
      <c r="BV909">
        <v>1.1399999999999999</v>
      </c>
      <c r="BW909" t="s">
        <v>285</v>
      </c>
      <c r="BX909">
        <v>0.79</v>
      </c>
      <c r="BY909" t="s">
        <v>284</v>
      </c>
      <c r="BZ909">
        <v>0.68</v>
      </c>
      <c r="CA909" t="s">
        <v>284</v>
      </c>
      <c r="CF909">
        <v>1.1299999999999999</v>
      </c>
      <c r="CG909" t="s">
        <v>54</v>
      </c>
      <c r="CH909" t="s">
        <v>52</v>
      </c>
    </row>
    <row r="910" spans="1:86" x14ac:dyDescent="0.25">
      <c r="A910" t="s">
        <v>47</v>
      </c>
      <c r="B910">
        <v>8</v>
      </c>
      <c r="C910" t="s">
        <v>177</v>
      </c>
      <c r="D910">
        <v>81</v>
      </c>
      <c r="E910" t="s">
        <v>58</v>
      </c>
      <c r="F910">
        <v>102</v>
      </c>
      <c r="G910" t="s">
        <v>118</v>
      </c>
      <c r="H910" t="s">
        <v>50</v>
      </c>
      <c r="K910" t="s">
        <v>52</v>
      </c>
      <c r="L910">
        <v>1</v>
      </c>
      <c r="M910" t="s">
        <v>53</v>
      </c>
      <c r="N910">
        <v>102</v>
      </c>
      <c r="O910">
        <v>1</v>
      </c>
      <c r="P910" t="s">
        <v>52</v>
      </c>
      <c r="Q910">
        <v>0</v>
      </c>
      <c r="R910">
        <v>0.92</v>
      </c>
      <c r="S910">
        <v>131.69999999999999</v>
      </c>
      <c r="T910" t="s">
        <v>284</v>
      </c>
      <c r="U910">
        <v>170</v>
      </c>
      <c r="V910" t="s">
        <v>284</v>
      </c>
      <c r="W910">
        <v>191</v>
      </c>
      <c r="X910" t="s">
        <v>284</v>
      </c>
      <c r="Y910">
        <v>207</v>
      </c>
      <c r="Z910" t="s">
        <v>284</v>
      </c>
      <c r="AA910">
        <v>205</v>
      </c>
      <c r="AB910" t="s">
        <v>285</v>
      </c>
      <c r="AG910">
        <v>188.66669999999999</v>
      </c>
      <c r="AH910" t="s">
        <v>54</v>
      </c>
      <c r="AI910" t="s">
        <v>52</v>
      </c>
      <c r="AZ910" t="s">
        <v>52</v>
      </c>
      <c r="BQ910" t="s">
        <v>52</v>
      </c>
      <c r="BR910">
        <v>0.93</v>
      </c>
      <c r="BS910" t="s">
        <v>285</v>
      </c>
      <c r="BT910">
        <v>0.77</v>
      </c>
      <c r="BU910" t="s">
        <v>284</v>
      </c>
      <c r="BV910">
        <v>0.6</v>
      </c>
      <c r="BW910" t="s">
        <v>285</v>
      </c>
      <c r="BX910">
        <v>0.42</v>
      </c>
      <c r="BY910" t="s">
        <v>285</v>
      </c>
      <c r="BZ910">
        <v>0.36</v>
      </c>
      <c r="CA910" t="s">
        <v>284</v>
      </c>
      <c r="CF910">
        <v>0.6</v>
      </c>
      <c r="CG910" t="s">
        <v>54</v>
      </c>
      <c r="CH910" t="s">
        <v>52</v>
      </c>
    </row>
    <row r="911" spans="1:86" x14ac:dyDescent="0.25">
      <c r="A911" t="s">
        <v>47</v>
      </c>
      <c r="B911">
        <v>8</v>
      </c>
      <c r="C911" t="s">
        <v>177</v>
      </c>
      <c r="D911">
        <v>81</v>
      </c>
      <c r="E911" t="s">
        <v>58</v>
      </c>
      <c r="F911">
        <v>102</v>
      </c>
      <c r="G911" t="s">
        <v>67</v>
      </c>
      <c r="H911" t="s">
        <v>50</v>
      </c>
      <c r="K911" t="s">
        <v>52</v>
      </c>
      <c r="L911">
        <v>1</v>
      </c>
      <c r="M911" t="s">
        <v>53</v>
      </c>
      <c r="N911">
        <v>102</v>
      </c>
      <c r="O911">
        <v>1</v>
      </c>
      <c r="P911" t="s">
        <v>52</v>
      </c>
      <c r="Q911">
        <v>0</v>
      </c>
      <c r="R911">
        <v>0.92</v>
      </c>
      <c r="S911">
        <v>131.69999999999999</v>
      </c>
      <c r="T911" t="s">
        <v>284</v>
      </c>
      <c r="U911">
        <v>170</v>
      </c>
      <c r="V911" t="s">
        <v>284</v>
      </c>
      <c r="W911">
        <v>191</v>
      </c>
      <c r="X911" t="s">
        <v>284</v>
      </c>
      <c r="Y911">
        <v>207</v>
      </c>
      <c r="Z911" t="s">
        <v>285</v>
      </c>
      <c r="AA911">
        <v>205</v>
      </c>
      <c r="AB911" t="s">
        <v>285</v>
      </c>
      <c r="AG911">
        <v>188.66669999999999</v>
      </c>
      <c r="AH911" t="s">
        <v>54</v>
      </c>
      <c r="AI911" t="s">
        <v>52</v>
      </c>
      <c r="AZ911" t="s">
        <v>52</v>
      </c>
      <c r="BQ911" t="s">
        <v>52</v>
      </c>
      <c r="BR911">
        <v>0.67</v>
      </c>
      <c r="BS911" t="s">
        <v>285</v>
      </c>
      <c r="BT911">
        <v>0.81</v>
      </c>
      <c r="BU911" t="s">
        <v>284</v>
      </c>
      <c r="BV911">
        <v>0.24</v>
      </c>
      <c r="BW911" t="s">
        <v>285</v>
      </c>
      <c r="BX911">
        <v>0.44</v>
      </c>
      <c r="BY911" t="s">
        <v>285</v>
      </c>
      <c r="BZ911">
        <v>0.38</v>
      </c>
      <c r="CA911" t="s">
        <v>284</v>
      </c>
      <c r="CF911">
        <v>0.5</v>
      </c>
      <c r="CG911" t="s">
        <v>54</v>
      </c>
      <c r="CH911" t="s">
        <v>52</v>
      </c>
    </row>
    <row r="912" spans="1:86" x14ac:dyDescent="0.25">
      <c r="A912" t="s">
        <v>47</v>
      </c>
      <c r="B912">
        <v>8</v>
      </c>
      <c r="C912" t="s">
        <v>177</v>
      </c>
      <c r="D912">
        <v>81</v>
      </c>
      <c r="E912" t="s">
        <v>58</v>
      </c>
      <c r="F912">
        <v>102</v>
      </c>
      <c r="G912" t="s">
        <v>114</v>
      </c>
      <c r="H912" t="s">
        <v>50</v>
      </c>
      <c r="K912" t="s">
        <v>52</v>
      </c>
      <c r="L912">
        <v>1</v>
      </c>
      <c r="M912" t="s">
        <v>53</v>
      </c>
      <c r="N912">
        <v>102</v>
      </c>
      <c r="O912">
        <v>1</v>
      </c>
      <c r="P912" t="s">
        <v>52</v>
      </c>
      <c r="Q912">
        <v>0</v>
      </c>
      <c r="R912">
        <v>0.92</v>
      </c>
      <c r="S912">
        <v>131.69999999999999</v>
      </c>
      <c r="T912" t="s">
        <v>284</v>
      </c>
      <c r="U912">
        <v>170</v>
      </c>
      <c r="V912" t="s">
        <v>284</v>
      </c>
      <c r="W912">
        <v>191</v>
      </c>
      <c r="X912" t="s">
        <v>285</v>
      </c>
      <c r="Y912">
        <v>207</v>
      </c>
      <c r="Z912" t="s">
        <v>285</v>
      </c>
      <c r="AA912">
        <v>205</v>
      </c>
      <c r="AB912" t="s">
        <v>285</v>
      </c>
      <c r="AG912">
        <v>188.66669999999999</v>
      </c>
      <c r="AH912" t="s">
        <v>54</v>
      </c>
      <c r="AI912" t="s">
        <v>52</v>
      </c>
      <c r="AZ912" t="s">
        <v>52</v>
      </c>
      <c r="BQ912" t="s">
        <v>52</v>
      </c>
      <c r="CH912" t="s">
        <v>52</v>
      </c>
    </row>
    <row r="913" spans="1:86" x14ac:dyDescent="0.25">
      <c r="A913" t="s">
        <v>47</v>
      </c>
      <c r="B913">
        <v>8</v>
      </c>
      <c r="C913" t="s">
        <v>177</v>
      </c>
      <c r="D913">
        <v>81</v>
      </c>
      <c r="E913" t="s">
        <v>70</v>
      </c>
      <c r="F913">
        <v>296</v>
      </c>
      <c r="G913" t="s">
        <v>71</v>
      </c>
      <c r="H913" t="s">
        <v>50</v>
      </c>
      <c r="K913" t="s">
        <v>51</v>
      </c>
      <c r="L913">
        <v>1</v>
      </c>
      <c r="M913" t="s">
        <v>53</v>
      </c>
      <c r="N913">
        <v>296</v>
      </c>
      <c r="O913">
        <v>1</v>
      </c>
      <c r="P913" t="s">
        <v>52</v>
      </c>
      <c r="Q913">
        <v>0</v>
      </c>
      <c r="R913">
        <v>0.75</v>
      </c>
      <c r="S913">
        <v>228</v>
      </c>
      <c r="T913" t="s">
        <v>284</v>
      </c>
      <c r="U913">
        <v>190</v>
      </c>
      <c r="V913" t="s">
        <v>285</v>
      </c>
      <c r="W913">
        <v>194</v>
      </c>
      <c r="X913" t="s">
        <v>285</v>
      </c>
      <c r="Y913">
        <v>225</v>
      </c>
      <c r="Z913" t="s">
        <v>285</v>
      </c>
      <c r="AA913">
        <v>247</v>
      </c>
      <c r="AB913" t="s">
        <v>285</v>
      </c>
      <c r="AC913">
        <v>241</v>
      </c>
      <c r="AD913" t="s">
        <v>285</v>
      </c>
      <c r="AE913">
        <v>219</v>
      </c>
      <c r="AF913" t="s">
        <v>285</v>
      </c>
      <c r="AG913">
        <v>219</v>
      </c>
      <c r="AH913" t="s">
        <v>286</v>
      </c>
      <c r="AI913" t="s">
        <v>287</v>
      </c>
      <c r="AX913">
        <v>263</v>
      </c>
      <c r="AY913" t="s">
        <v>286</v>
      </c>
      <c r="AZ913" t="s">
        <v>287</v>
      </c>
      <c r="BQ913" t="s">
        <v>52</v>
      </c>
      <c r="BR913">
        <v>1.85</v>
      </c>
      <c r="BS913" t="s">
        <v>284</v>
      </c>
      <c r="BT913">
        <v>1.56</v>
      </c>
      <c r="BU913" t="s">
        <v>284</v>
      </c>
      <c r="BV913">
        <v>0.93</v>
      </c>
      <c r="BW913" t="s">
        <v>289</v>
      </c>
      <c r="BX913">
        <v>0.55000000000000004</v>
      </c>
      <c r="BY913" t="s">
        <v>288</v>
      </c>
      <c r="BZ913">
        <v>0.55000000000000004</v>
      </c>
      <c r="CA913" t="s">
        <v>284</v>
      </c>
      <c r="CF913">
        <v>1.01</v>
      </c>
      <c r="CG913" t="s">
        <v>54</v>
      </c>
      <c r="CH913" t="s">
        <v>52</v>
      </c>
    </row>
    <row r="914" spans="1:86" x14ac:dyDescent="0.25">
      <c r="A914" t="s">
        <v>47</v>
      </c>
      <c r="B914">
        <v>8</v>
      </c>
      <c r="C914" t="s">
        <v>177</v>
      </c>
      <c r="D914">
        <v>81</v>
      </c>
      <c r="E914" t="s">
        <v>70</v>
      </c>
      <c r="F914">
        <v>296</v>
      </c>
      <c r="G914" t="s">
        <v>71</v>
      </c>
      <c r="H914" t="s">
        <v>50</v>
      </c>
      <c r="K914" t="s">
        <v>52</v>
      </c>
      <c r="L914">
        <v>1</v>
      </c>
      <c r="M914" t="s">
        <v>53</v>
      </c>
      <c r="N914">
        <v>296</v>
      </c>
      <c r="O914">
        <v>1</v>
      </c>
      <c r="P914" t="s">
        <v>52</v>
      </c>
      <c r="Q914">
        <v>0</v>
      </c>
      <c r="R914">
        <v>0.75</v>
      </c>
      <c r="S914">
        <v>228</v>
      </c>
      <c r="T914" t="s">
        <v>284</v>
      </c>
      <c r="U914">
        <v>190</v>
      </c>
      <c r="V914" t="s">
        <v>285</v>
      </c>
      <c r="W914">
        <v>194</v>
      </c>
      <c r="X914" t="s">
        <v>285</v>
      </c>
      <c r="Y914">
        <v>225</v>
      </c>
      <c r="Z914" t="s">
        <v>285</v>
      </c>
      <c r="AA914">
        <v>247</v>
      </c>
      <c r="AB914" t="s">
        <v>285</v>
      </c>
      <c r="AC914">
        <v>241</v>
      </c>
      <c r="AD914" t="s">
        <v>285</v>
      </c>
      <c r="AE914">
        <v>219</v>
      </c>
      <c r="AF914" t="s">
        <v>285</v>
      </c>
      <c r="AG914">
        <v>219</v>
      </c>
      <c r="AH914" t="s">
        <v>286</v>
      </c>
      <c r="AI914" t="s">
        <v>287</v>
      </c>
      <c r="AX914">
        <v>263</v>
      </c>
      <c r="AY914" t="s">
        <v>286</v>
      </c>
      <c r="AZ914" t="s">
        <v>287</v>
      </c>
      <c r="BQ914" t="s">
        <v>52</v>
      </c>
      <c r="BR914">
        <v>0.65</v>
      </c>
      <c r="BS914" t="s">
        <v>284</v>
      </c>
      <c r="BT914">
        <v>1.0900000000000001</v>
      </c>
      <c r="BU914" t="s">
        <v>285</v>
      </c>
      <c r="BV914">
        <v>0.86</v>
      </c>
      <c r="BW914" t="s">
        <v>285</v>
      </c>
      <c r="BX914">
        <v>0.22</v>
      </c>
      <c r="BY914" t="s">
        <v>284</v>
      </c>
      <c r="BZ914">
        <v>0.66</v>
      </c>
      <c r="CA914" t="s">
        <v>288</v>
      </c>
      <c r="CF914">
        <v>0.72</v>
      </c>
      <c r="CG914" t="s">
        <v>54</v>
      </c>
      <c r="CH914" t="s">
        <v>52</v>
      </c>
    </row>
    <row r="915" spans="1:86" x14ac:dyDescent="0.25">
      <c r="A915" t="s">
        <v>47</v>
      </c>
      <c r="B915">
        <v>8</v>
      </c>
      <c r="C915" t="s">
        <v>177</v>
      </c>
      <c r="D915">
        <v>81</v>
      </c>
      <c r="E915" t="s">
        <v>70</v>
      </c>
      <c r="F915">
        <v>296</v>
      </c>
      <c r="G915" t="s">
        <v>74</v>
      </c>
      <c r="H915" t="s">
        <v>50</v>
      </c>
      <c r="K915" t="s">
        <v>51</v>
      </c>
      <c r="L915">
        <v>1</v>
      </c>
      <c r="M915" t="s">
        <v>53</v>
      </c>
      <c r="N915">
        <v>102</v>
      </c>
      <c r="O915">
        <v>1</v>
      </c>
      <c r="P915" t="s">
        <v>52</v>
      </c>
      <c r="Q915">
        <v>0</v>
      </c>
      <c r="R915">
        <v>0.75</v>
      </c>
      <c r="S915">
        <v>135</v>
      </c>
      <c r="T915" t="s">
        <v>284</v>
      </c>
      <c r="U915">
        <v>132</v>
      </c>
      <c r="V915" t="s">
        <v>284</v>
      </c>
      <c r="W915">
        <v>147</v>
      </c>
      <c r="X915" t="s">
        <v>284</v>
      </c>
      <c r="Y915">
        <v>170</v>
      </c>
      <c r="Z915" t="s">
        <v>284</v>
      </c>
      <c r="AA915">
        <v>205</v>
      </c>
      <c r="AB915" t="s">
        <v>285</v>
      </c>
      <c r="AG915">
        <v>150.66669999999999</v>
      </c>
      <c r="AH915" t="s">
        <v>54</v>
      </c>
      <c r="AI915" t="s">
        <v>52</v>
      </c>
      <c r="AZ915" t="s">
        <v>52</v>
      </c>
      <c r="BQ915" t="s">
        <v>52</v>
      </c>
      <c r="BR915">
        <v>1.85</v>
      </c>
      <c r="BS915" t="s">
        <v>284</v>
      </c>
      <c r="BT915">
        <v>2.27</v>
      </c>
      <c r="BU915" t="s">
        <v>284</v>
      </c>
      <c r="BV915">
        <v>2.77</v>
      </c>
      <c r="BW915" t="s">
        <v>288</v>
      </c>
      <c r="BX915">
        <v>1.99</v>
      </c>
      <c r="BY915" t="s">
        <v>288</v>
      </c>
      <c r="BZ915">
        <v>2.84</v>
      </c>
      <c r="CA915" t="s">
        <v>288</v>
      </c>
      <c r="CF915">
        <v>2.34</v>
      </c>
      <c r="CG915" t="s">
        <v>54</v>
      </c>
      <c r="CH915" t="s">
        <v>52</v>
      </c>
    </row>
    <row r="916" spans="1:86" x14ac:dyDescent="0.25">
      <c r="A916" t="s">
        <v>47</v>
      </c>
      <c r="B916">
        <v>8</v>
      </c>
      <c r="C916" t="s">
        <v>177</v>
      </c>
      <c r="D916">
        <v>81</v>
      </c>
      <c r="E916" t="s">
        <v>70</v>
      </c>
      <c r="F916">
        <v>296</v>
      </c>
      <c r="G916" t="s">
        <v>74</v>
      </c>
      <c r="H916" t="s">
        <v>50</v>
      </c>
      <c r="K916" t="s">
        <v>52</v>
      </c>
      <c r="L916">
        <v>1</v>
      </c>
      <c r="M916" t="s">
        <v>53</v>
      </c>
      <c r="N916">
        <v>102</v>
      </c>
      <c r="O916">
        <v>1</v>
      </c>
      <c r="P916" t="s">
        <v>52</v>
      </c>
      <c r="Q916">
        <v>0</v>
      </c>
      <c r="R916">
        <v>0.75</v>
      </c>
      <c r="S916">
        <v>135</v>
      </c>
      <c r="T916" t="s">
        <v>284</v>
      </c>
      <c r="U916">
        <v>132</v>
      </c>
      <c r="V916" t="s">
        <v>284</v>
      </c>
      <c r="W916">
        <v>147</v>
      </c>
      <c r="X916" t="s">
        <v>284</v>
      </c>
      <c r="Y916">
        <v>170</v>
      </c>
      <c r="Z916" t="s">
        <v>284</v>
      </c>
      <c r="AA916">
        <v>205</v>
      </c>
      <c r="AB916" t="s">
        <v>285</v>
      </c>
      <c r="AG916">
        <v>150.66669999999999</v>
      </c>
      <c r="AH916" t="s">
        <v>54</v>
      </c>
      <c r="AI916" t="s">
        <v>52</v>
      </c>
      <c r="AZ916" t="s">
        <v>52</v>
      </c>
      <c r="BQ916" t="s">
        <v>52</v>
      </c>
      <c r="BR916">
        <v>0.65</v>
      </c>
      <c r="BS916" t="s">
        <v>284</v>
      </c>
      <c r="BT916">
        <v>0.51</v>
      </c>
      <c r="BU916" t="s">
        <v>284</v>
      </c>
      <c r="BV916">
        <v>0.22</v>
      </c>
      <c r="BW916" t="s">
        <v>284</v>
      </c>
      <c r="BX916">
        <v>0.25</v>
      </c>
      <c r="BY916" t="s">
        <v>285</v>
      </c>
      <c r="BZ916">
        <v>0.22</v>
      </c>
      <c r="CA916" t="s">
        <v>289</v>
      </c>
      <c r="CF916">
        <v>0.33</v>
      </c>
      <c r="CG916" t="s">
        <v>54</v>
      </c>
      <c r="CH916" t="s">
        <v>52</v>
      </c>
    </row>
    <row r="917" spans="1:86" x14ac:dyDescent="0.25">
      <c r="A917" t="s">
        <v>47</v>
      </c>
      <c r="B917">
        <v>8</v>
      </c>
      <c r="C917" t="s">
        <v>177</v>
      </c>
      <c r="D917">
        <v>81</v>
      </c>
      <c r="E917" t="s">
        <v>70</v>
      </c>
      <c r="F917">
        <v>296</v>
      </c>
      <c r="G917" t="s">
        <v>122</v>
      </c>
      <c r="H917" t="s">
        <v>50</v>
      </c>
      <c r="K917" t="s">
        <v>51</v>
      </c>
      <c r="L917">
        <v>1</v>
      </c>
      <c r="M917" t="s">
        <v>53</v>
      </c>
      <c r="N917">
        <v>102</v>
      </c>
      <c r="O917">
        <v>1</v>
      </c>
      <c r="P917" t="s">
        <v>52</v>
      </c>
      <c r="Q917">
        <v>0</v>
      </c>
      <c r="R917">
        <v>0.75</v>
      </c>
      <c r="S917">
        <v>228</v>
      </c>
      <c r="T917" t="s">
        <v>284</v>
      </c>
      <c r="U917">
        <v>190</v>
      </c>
      <c r="V917" t="s">
        <v>285</v>
      </c>
      <c r="W917">
        <v>194</v>
      </c>
      <c r="X917" t="s">
        <v>285</v>
      </c>
      <c r="Y917">
        <v>213</v>
      </c>
      <c r="Z917" t="s">
        <v>284</v>
      </c>
      <c r="AA917">
        <v>225</v>
      </c>
      <c r="AB917" t="s">
        <v>285</v>
      </c>
      <c r="AG917">
        <v>210.66669999999999</v>
      </c>
      <c r="AH917" t="s">
        <v>54</v>
      </c>
      <c r="AI917" t="s">
        <v>52</v>
      </c>
      <c r="AZ917" t="s">
        <v>52</v>
      </c>
      <c r="BQ917" t="s">
        <v>52</v>
      </c>
      <c r="BR917">
        <v>1.85</v>
      </c>
      <c r="BS917" t="s">
        <v>284</v>
      </c>
      <c r="BT917">
        <v>1.56</v>
      </c>
      <c r="BU917" t="s">
        <v>284</v>
      </c>
      <c r="BV917">
        <v>0.93</v>
      </c>
      <c r="BW917" t="s">
        <v>285</v>
      </c>
      <c r="BX917">
        <v>0.55000000000000004</v>
      </c>
      <c r="BY917" t="s">
        <v>285</v>
      </c>
      <c r="BZ917">
        <v>0.55000000000000004</v>
      </c>
      <c r="CA917" t="s">
        <v>284</v>
      </c>
      <c r="CF917">
        <v>1.01</v>
      </c>
      <c r="CG917" t="s">
        <v>54</v>
      </c>
      <c r="CH917" t="s">
        <v>52</v>
      </c>
    </row>
    <row r="918" spans="1:86" x14ac:dyDescent="0.25">
      <c r="A918" t="s">
        <v>47</v>
      </c>
      <c r="B918">
        <v>8</v>
      </c>
      <c r="C918" t="s">
        <v>177</v>
      </c>
      <c r="D918">
        <v>81</v>
      </c>
      <c r="E918" t="s">
        <v>70</v>
      </c>
      <c r="F918">
        <v>296</v>
      </c>
      <c r="G918" t="s">
        <v>122</v>
      </c>
      <c r="H918" t="s">
        <v>50</v>
      </c>
      <c r="K918" t="s">
        <v>52</v>
      </c>
      <c r="L918">
        <v>1</v>
      </c>
      <c r="M918" t="s">
        <v>53</v>
      </c>
      <c r="N918">
        <v>102</v>
      </c>
      <c r="O918">
        <v>1</v>
      </c>
      <c r="P918" t="s">
        <v>52</v>
      </c>
      <c r="Q918">
        <v>0</v>
      </c>
      <c r="R918">
        <v>0.75</v>
      </c>
      <c r="S918">
        <v>228</v>
      </c>
      <c r="T918" t="s">
        <v>284</v>
      </c>
      <c r="U918">
        <v>190</v>
      </c>
      <c r="V918" t="s">
        <v>285</v>
      </c>
      <c r="W918">
        <v>194</v>
      </c>
      <c r="X918" t="s">
        <v>285</v>
      </c>
      <c r="Y918">
        <v>213</v>
      </c>
      <c r="Z918" t="s">
        <v>284</v>
      </c>
      <c r="AA918">
        <v>225</v>
      </c>
      <c r="AB918" t="s">
        <v>285</v>
      </c>
      <c r="AG918">
        <v>210.66669999999999</v>
      </c>
      <c r="AH918" t="s">
        <v>54</v>
      </c>
      <c r="AI918" t="s">
        <v>52</v>
      </c>
      <c r="AZ918" t="s">
        <v>52</v>
      </c>
      <c r="BQ918" t="s">
        <v>52</v>
      </c>
      <c r="BR918">
        <v>0.65</v>
      </c>
      <c r="BS918" t="s">
        <v>284</v>
      </c>
      <c r="BT918">
        <v>0.78</v>
      </c>
      <c r="BU918" t="s">
        <v>284</v>
      </c>
      <c r="BV918">
        <v>0.33</v>
      </c>
      <c r="BW918" t="s">
        <v>284</v>
      </c>
      <c r="BX918">
        <v>0.22</v>
      </c>
      <c r="BY918" t="s">
        <v>284</v>
      </c>
      <c r="BZ918">
        <v>0.22</v>
      </c>
      <c r="CA918" t="s">
        <v>284</v>
      </c>
      <c r="CF918">
        <v>0.4</v>
      </c>
      <c r="CG918" t="s">
        <v>54</v>
      </c>
      <c r="CH918" t="s">
        <v>52</v>
      </c>
    </row>
    <row r="919" spans="1:86" x14ac:dyDescent="0.25">
      <c r="A919" t="s">
        <v>47</v>
      </c>
      <c r="B919">
        <v>8</v>
      </c>
      <c r="C919" t="s">
        <v>177</v>
      </c>
      <c r="D919">
        <v>81</v>
      </c>
      <c r="E919" t="s">
        <v>75</v>
      </c>
      <c r="F919">
        <v>16</v>
      </c>
      <c r="G919" t="s">
        <v>76</v>
      </c>
      <c r="H919" t="s">
        <v>50</v>
      </c>
      <c r="K919" t="s">
        <v>51</v>
      </c>
      <c r="L919">
        <v>1</v>
      </c>
      <c r="M919" t="s">
        <v>53</v>
      </c>
      <c r="N919">
        <v>16</v>
      </c>
      <c r="O919">
        <v>2</v>
      </c>
      <c r="P919" t="s">
        <v>52</v>
      </c>
      <c r="Q919">
        <v>0.5</v>
      </c>
      <c r="R919">
        <v>0.75</v>
      </c>
      <c r="S919">
        <v>83.35</v>
      </c>
      <c r="T919" t="s">
        <v>285</v>
      </c>
      <c r="U919">
        <v>96.14</v>
      </c>
      <c r="V919" t="s">
        <v>284</v>
      </c>
      <c r="W919">
        <v>103.37</v>
      </c>
      <c r="X919" t="s">
        <v>284</v>
      </c>
      <c r="Y919">
        <v>106.14</v>
      </c>
      <c r="Z919" t="s">
        <v>284</v>
      </c>
      <c r="AA919">
        <v>128</v>
      </c>
      <c r="AB919" t="s">
        <v>285</v>
      </c>
      <c r="AG919">
        <v>101.88330000000001</v>
      </c>
      <c r="AH919" t="s">
        <v>54</v>
      </c>
      <c r="AI919" t="s">
        <v>52</v>
      </c>
      <c r="AX919">
        <v>146.69999999999999</v>
      </c>
      <c r="AY919" t="s">
        <v>285</v>
      </c>
      <c r="AZ919" t="s">
        <v>287</v>
      </c>
      <c r="BQ919" t="s">
        <v>52</v>
      </c>
      <c r="BR919">
        <v>1.85</v>
      </c>
      <c r="BS919" t="s">
        <v>284</v>
      </c>
      <c r="BT919">
        <v>1.56</v>
      </c>
      <c r="BU919" t="s">
        <v>284</v>
      </c>
      <c r="BV919">
        <v>1.3</v>
      </c>
      <c r="BW919" t="s">
        <v>284</v>
      </c>
      <c r="BX919">
        <v>2.13</v>
      </c>
      <c r="BY919" t="s">
        <v>284</v>
      </c>
      <c r="BZ919">
        <v>2.4900000000000002</v>
      </c>
      <c r="CA919" t="s">
        <v>289</v>
      </c>
      <c r="CF919">
        <v>1.85</v>
      </c>
      <c r="CG919" t="s">
        <v>54</v>
      </c>
      <c r="CH919" t="s">
        <v>52</v>
      </c>
    </row>
    <row r="920" spans="1:86" x14ac:dyDescent="0.25">
      <c r="A920" t="s">
        <v>47</v>
      </c>
      <c r="B920">
        <v>8</v>
      </c>
      <c r="C920" t="s">
        <v>177</v>
      </c>
      <c r="D920">
        <v>81</v>
      </c>
      <c r="E920" t="s">
        <v>75</v>
      </c>
      <c r="F920">
        <v>16</v>
      </c>
      <c r="G920" t="s">
        <v>76</v>
      </c>
      <c r="H920" t="s">
        <v>50</v>
      </c>
      <c r="K920" t="s">
        <v>52</v>
      </c>
      <c r="L920">
        <v>1</v>
      </c>
      <c r="M920" t="s">
        <v>53</v>
      </c>
      <c r="N920">
        <v>16</v>
      </c>
      <c r="O920">
        <v>2</v>
      </c>
      <c r="P920" t="s">
        <v>52</v>
      </c>
      <c r="Q920">
        <v>0.5</v>
      </c>
      <c r="R920">
        <v>0.75</v>
      </c>
      <c r="S920">
        <v>83.35</v>
      </c>
      <c r="T920" t="s">
        <v>285</v>
      </c>
      <c r="U920">
        <v>96.14</v>
      </c>
      <c r="V920" t="s">
        <v>284</v>
      </c>
      <c r="W920">
        <v>103.37</v>
      </c>
      <c r="X920" t="s">
        <v>284</v>
      </c>
      <c r="Y920">
        <v>106.14</v>
      </c>
      <c r="Z920" t="s">
        <v>284</v>
      </c>
      <c r="AA920">
        <v>128</v>
      </c>
      <c r="AB920" t="s">
        <v>285</v>
      </c>
      <c r="AG920">
        <v>101.88330000000001</v>
      </c>
      <c r="AH920" t="s">
        <v>54</v>
      </c>
      <c r="AI920" t="s">
        <v>52</v>
      </c>
      <c r="AX920">
        <v>146.69999999999999</v>
      </c>
      <c r="AY920" t="s">
        <v>285</v>
      </c>
      <c r="AZ920" t="s">
        <v>287</v>
      </c>
      <c r="BQ920" t="s">
        <v>52</v>
      </c>
      <c r="BR920">
        <v>0.65</v>
      </c>
      <c r="BS920" t="s">
        <v>284</v>
      </c>
      <c r="BT920">
        <v>0.76</v>
      </c>
      <c r="BU920" t="s">
        <v>284</v>
      </c>
      <c r="BV920">
        <v>1.37</v>
      </c>
      <c r="BW920" t="s">
        <v>284</v>
      </c>
      <c r="BX920">
        <v>1.41</v>
      </c>
      <c r="BY920" t="s">
        <v>284</v>
      </c>
      <c r="BZ920">
        <v>0.28000000000000003</v>
      </c>
      <c r="CA920" t="s">
        <v>289</v>
      </c>
      <c r="CF920">
        <v>0.93</v>
      </c>
      <c r="CG920" t="s">
        <v>54</v>
      </c>
      <c r="CH920" t="s">
        <v>52</v>
      </c>
    </row>
    <row r="921" spans="1:86" x14ac:dyDescent="0.25">
      <c r="A921" t="s">
        <v>47</v>
      </c>
      <c r="B921">
        <v>8</v>
      </c>
      <c r="C921" t="s">
        <v>177</v>
      </c>
      <c r="D921">
        <v>81</v>
      </c>
      <c r="E921" t="s">
        <v>125</v>
      </c>
      <c r="F921">
        <v>67</v>
      </c>
      <c r="G921" t="s">
        <v>111</v>
      </c>
      <c r="H921" t="s">
        <v>50</v>
      </c>
      <c r="K921" t="s">
        <v>52</v>
      </c>
      <c r="L921">
        <v>1</v>
      </c>
      <c r="M921" t="s">
        <v>53</v>
      </c>
      <c r="N921">
        <v>67</v>
      </c>
      <c r="O921">
        <v>1</v>
      </c>
      <c r="P921" t="s">
        <v>52</v>
      </c>
      <c r="Q921">
        <v>0.5</v>
      </c>
      <c r="R921">
        <v>0.87</v>
      </c>
      <c r="S921">
        <v>228</v>
      </c>
      <c r="T921" t="s">
        <v>284</v>
      </c>
      <c r="AI921" t="s">
        <v>52</v>
      </c>
      <c r="AZ921" t="s">
        <v>52</v>
      </c>
      <c r="BQ921" t="s">
        <v>52</v>
      </c>
      <c r="CH921" t="s">
        <v>52</v>
      </c>
    </row>
    <row r="922" spans="1:86" x14ac:dyDescent="0.25">
      <c r="A922" t="s">
        <v>47</v>
      </c>
      <c r="B922">
        <v>8</v>
      </c>
      <c r="C922" t="s">
        <v>177</v>
      </c>
      <c r="D922">
        <v>81</v>
      </c>
      <c r="E922" t="s">
        <v>93</v>
      </c>
      <c r="F922">
        <v>94</v>
      </c>
      <c r="H922" t="s">
        <v>50</v>
      </c>
      <c r="K922" t="s">
        <v>52</v>
      </c>
      <c r="L922">
        <v>1</v>
      </c>
      <c r="M922" t="s">
        <v>53</v>
      </c>
      <c r="N922">
        <v>94</v>
      </c>
      <c r="O922">
        <v>2</v>
      </c>
      <c r="P922" t="s">
        <v>52</v>
      </c>
      <c r="Q922">
        <v>0.77</v>
      </c>
      <c r="R922">
        <v>0.93</v>
      </c>
      <c r="S922">
        <v>205</v>
      </c>
      <c r="T922" t="s">
        <v>284</v>
      </c>
      <c r="U922">
        <v>175</v>
      </c>
      <c r="V922" t="s">
        <v>284</v>
      </c>
      <c r="W922">
        <v>188</v>
      </c>
      <c r="X922" t="s">
        <v>284</v>
      </c>
      <c r="Y922">
        <v>202.32</v>
      </c>
      <c r="Z922" t="s">
        <v>284</v>
      </c>
      <c r="AA922">
        <v>209.16</v>
      </c>
      <c r="AB922" t="s">
        <v>284</v>
      </c>
      <c r="AG922">
        <v>198.44</v>
      </c>
      <c r="AH922" t="s">
        <v>54</v>
      </c>
      <c r="AI922" t="s">
        <v>52</v>
      </c>
      <c r="AZ922" t="s">
        <v>52</v>
      </c>
      <c r="BQ922" t="s">
        <v>52</v>
      </c>
      <c r="BR922">
        <v>0.78</v>
      </c>
      <c r="BS922" t="s">
        <v>285</v>
      </c>
      <c r="BT922">
        <v>0.46</v>
      </c>
      <c r="BU922" t="s">
        <v>284</v>
      </c>
      <c r="BV922">
        <v>0.84</v>
      </c>
      <c r="BW922" t="s">
        <v>284</v>
      </c>
      <c r="BX922">
        <v>0.82</v>
      </c>
      <c r="BY922" t="s">
        <v>284</v>
      </c>
      <c r="BZ922">
        <v>0.6</v>
      </c>
      <c r="CA922" t="s">
        <v>284</v>
      </c>
      <c r="CF922">
        <v>0.73</v>
      </c>
      <c r="CG922" t="s">
        <v>54</v>
      </c>
      <c r="CH922" t="s">
        <v>52</v>
      </c>
    </row>
    <row r="923" spans="1:86" x14ac:dyDescent="0.25">
      <c r="A923" t="s">
        <v>47</v>
      </c>
      <c r="B923">
        <v>8</v>
      </c>
      <c r="C923" t="s">
        <v>177</v>
      </c>
      <c r="D923">
        <v>81</v>
      </c>
      <c r="E923" t="s">
        <v>94</v>
      </c>
      <c r="F923">
        <v>26</v>
      </c>
      <c r="H923" t="s">
        <v>50</v>
      </c>
      <c r="K923" t="s">
        <v>51</v>
      </c>
      <c r="L923">
        <v>1</v>
      </c>
      <c r="M923" t="s">
        <v>53</v>
      </c>
      <c r="N923">
        <v>102</v>
      </c>
      <c r="O923">
        <v>1</v>
      </c>
      <c r="P923" t="s">
        <v>52</v>
      </c>
      <c r="Q923">
        <v>0</v>
      </c>
      <c r="R923">
        <v>0.92</v>
      </c>
      <c r="S923">
        <v>131.69999999999999</v>
      </c>
      <c r="T923" t="s">
        <v>284</v>
      </c>
      <c r="U923">
        <v>170</v>
      </c>
      <c r="V923" t="s">
        <v>284</v>
      </c>
      <c r="W923">
        <v>191</v>
      </c>
      <c r="X923" t="s">
        <v>284</v>
      </c>
      <c r="Y923">
        <v>207</v>
      </c>
      <c r="Z923" t="s">
        <v>284</v>
      </c>
      <c r="AA923">
        <v>186</v>
      </c>
      <c r="AB923" t="s">
        <v>284</v>
      </c>
      <c r="AG923">
        <v>182.33330000000001</v>
      </c>
      <c r="AH923" t="s">
        <v>54</v>
      </c>
      <c r="AI923" t="s">
        <v>52</v>
      </c>
      <c r="AZ923" t="s">
        <v>52</v>
      </c>
      <c r="BQ923" t="s">
        <v>52</v>
      </c>
      <c r="BR923">
        <v>1.53</v>
      </c>
      <c r="BS923" t="s">
        <v>285</v>
      </c>
      <c r="BT923">
        <v>1.46</v>
      </c>
      <c r="BU923" t="s">
        <v>284</v>
      </c>
      <c r="BV923">
        <v>1.4</v>
      </c>
      <c r="BW923" t="s">
        <v>284</v>
      </c>
      <c r="BX923">
        <v>0.78</v>
      </c>
      <c r="BY923" t="s">
        <v>284</v>
      </c>
      <c r="BZ923">
        <v>1.04</v>
      </c>
      <c r="CA923" t="s">
        <v>289</v>
      </c>
      <c r="CF923">
        <v>1.3</v>
      </c>
      <c r="CG923" t="s">
        <v>54</v>
      </c>
      <c r="CH923" t="s">
        <v>52</v>
      </c>
    </row>
    <row r="924" spans="1:86" x14ac:dyDescent="0.25">
      <c r="A924" t="s">
        <v>47</v>
      </c>
      <c r="B924">
        <v>8</v>
      </c>
      <c r="C924" t="s">
        <v>177</v>
      </c>
      <c r="D924">
        <v>81</v>
      </c>
      <c r="E924" t="s">
        <v>94</v>
      </c>
      <c r="F924">
        <v>26</v>
      </c>
      <c r="H924" t="s">
        <v>50</v>
      </c>
      <c r="K924" t="s">
        <v>52</v>
      </c>
      <c r="L924">
        <v>1</v>
      </c>
      <c r="M924" t="s">
        <v>53</v>
      </c>
      <c r="N924">
        <v>102</v>
      </c>
      <c r="O924">
        <v>1</v>
      </c>
      <c r="P924" t="s">
        <v>52</v>
      </c>
      <c r="Q924">
        <v>0</v>
      </c>
      <c r="R924">
        <v>0.92</v>
      </c>
      <c r="S924">
        <v>131.69999999999999</v>
      </c>
      <c r="T924" t="s">
        <v>284</v>
      </c>
      <c r="U924">
        <v>170</v>
      </c>
      <c r="V924" t="s">
        <v>284</v>
      </c>
      <c r="W924">
        <v>191</v>
      </c>
      <c r="X924" t="s">
        <v>284</v>
      </c>
      <c r="Y924">
        <v>207</v>
      </c>
      <c r="Z924" t="s">
        <v>284</v>
      </c>
      <c r="AA924">
        <v>186</v>
      </c>
      <c r="AB924" t="s">
        <v>284</v>
      </c>
      <c r="AG924">
        <v>182.33330000000001</v>
      </c>
      <c r="AH924" t="s">
        <v>54</v>
      </c>
      <c r="AI924" t="s">
        <v>52</v>
      </c>
      <c r="AZ924" t="s">
        <v>52</v>
      </c>
      <c r="BQ924" t="s">
        <v>52</v>
      </c>
      <c r="BR924">
        <v>0.93</v>
      </c>
      <c r="BS924" t="s">
        <v>285</v>
      </c>
      <c r="BT924">
        <v>0.81</v>
      </c>
      <c r="BU924" t="s">
        <v>284</v>
      </c>
      <c r="BV924">
        <v>0.63</v>
      </c>
      <c r="BW924" t="s">
        <v>284</v>
      </c>
      <c r="BX924">
        <v>0.44</v>
      </c>
      <c r="BY924" t="s">
        <v>284</v>
      </c>
      <c r="BZ924">
        <v>0.52</v>
      </c>
      <c r="CA924" t="s">
        <v>285</v>
      </c>
      <c r="CF924">
        <v>0.65</v>
      </c>
      <c r="CG924" t="s">
        <v>54</v>
      </c>
      <c r="CH924" t="s">
        <v>52</v>
      </c>
    </row>
    <row r="925" spans="1:86" x14ac:dyDescent="0.25">
      <c r="A925" t="s">
        <v>47</v>
      </c>
      <c r="B925">
        <v>8</v>
      </c>
      <c r="C925" t="s">
        <v>177</v>
      </c>
      <c r="D925">
        <v>81</v>
      </c>
      <c r="E925" t="s">
        <v>79</v>
      </c>
      <c r="F925">
        <v>50</v>
      </c>
      <c r="G925" t="s">
        <v>65</v>
      </c>
      <c r="H925" t="s">
        <v>50</v>
      </c>
      <c r="K925" t="s">
        <v>51</v>
      </c>
      <c r="L925">
        <v>1</v>
      </c>
      <c r="M925" t="s">
        <v>53</v>
      </c>
      <c r="N925">
        <v>50</v>
      </c>
      <c r="O925">
        <v>1</v>
      </c>
      <c r="P925" t="s">
        <v>52</v>
      </c>
      <c r="Q925">
        <v>0.5</v>
      </c>
      <c r="R925">
        <v>0.75</v>
      </c>
      <c r="S925">
        <v>85</v>
      </c>
      <c r="T925" t="s">
        <v>285</v>
      </c>
      <c r="U925">
        <v>93</v>
      </c>
      <c r="V925" t="s">
        <v>284</v>
      </c>
      <c r="W925">
        <v>89.7</v>
      </c>
      <c r="X925" t="s">
        <v>284</v>
      </c>
      <c r="Y925">
        <v>92.72</v>
      </c>
      <c r="Z925" t="s">
        <v>284</v>
      </c>
      <c r="AA925">
        <v>109</v>
      </c>
      <c r="AB925" t="s">
        <v>285</v>
      </c>
      <c r="AG925">
        <v>91.806700000000006</v>
      </c>
      <c r="AH925" t="s">
        <v>54</v>
      </c>
      <c r="AI925" t="s">
        <v>52</v>
      </c>
      <c r="AZ925" t="s">
        <v>52</v>
      </c>
      <c r="BQ925" t="s">
        <v>52</v>
      </c>
      <c r="CH925" t="s">
        <v>52</v>
      </c>
    </row>
    <row r="926" spans="1:86" x14ac:dyDescent="0.25">
      <c r="A926" t="s">
        <v>47</v>
      </c>
      <c r="B926">
        <v>8</v>
      </c>
      <c r="C926" t="s">
        <v>177</v>
      </c>
      <c r="D926">
        <v>81</v>
      </c>
      <c r="E926" t="s">
        <v>83</v>
      </c>
      <c r="F926">
        <v>158</v>
      </c>
      <c r="H926" t="s">
        <v>50</v>
      </c>
      <c r="K926" t="s">
        <v>51</v>
      </c>
      <c r="L926">
        <v>1</v>
      </c>
      <c r="M926" t="s">
        <v>53</v>
      </c>
      <c r="N926">
        <v>158</v>
      </c>
      <c r="O926">
        <v>2</v>
      </c>
      <c r="P926" t="s">
        <v>52</v>
      </c>
      <c r="Q926">
        <v>0.77</v>
      </c>
      <c r="R926">
        <v>0.93</v>
      </c>
      <c r="S926">
        <v>228</v>
      </c>
      <c r="T926" t="s">
        <v>284</v>
      </c>
      <c r="U926">
        <v>221</v>
      </c>
      <c r="V926" t="s">
        <v>284</v>
      </c>
      <c r="W926">
        <v>236</v>
      </c>
      <c r="X926" t="s">
        <v>284</v>
      </c>
      <c r="Y926">
        <v>244</v>
      </c>
      <c r="Z926" t="s">
        <v>284</v>
      </c>
      <c r="AA926">
        <v>252</v>
      </c>
      <c r="AB926" t="s">
        <v>284</v>
      </c>
      <c r="AG926">
        <v>236</v>
      </c>
      <c r="AH926" t="s">
        <v>54</v>
      </c>
      <c r="AI926" t="s">
        <v>52</v>
      </c>
      <c r="AX926">
        <v>339</v>
      </c>
      <c r="AY926" t="s">
        <v>285</v>
      </c>
      <c r="AZ926" t="s">
        <v>287</v>
      </c>
      <c r="BQ926" t="s">
        <v>52</v>
      </c>
      <c r="BR926">
        <v>1.85</v>
      </c>
      <c r="BS926" t="s">
        <v>284</v>
      </c>
      <c r="BT926">
        <v>1.35</v>
      </c>
      <c r="BU926" t="s">
        <v>284</v>
      </c>
      <c r="BV926">
        <v>1.03</v>
      </c>
      <c r="BW926" t="s">
        <v>288</v>
      </c>
      <c r="BX926">
        <v>1.34</v>
      </c>
      <c r="BY926" t="s">
        <v>289</v>
      </c>
      <c r="BZ926">
        <v>1.22</v>
      </c>
      <c r="CA926" t="s">
        <v>289</v>
      </c>
      <c r="CF926">
        <v>1.3</v>
      </c>
      <c r="CG926" t="s">
        <v>54</v>
      </c>
      <c r="CH926" t="s">
        <v>52</v>
      </c>
    </row>
    <row r="927" spans="1:86" x14ac:dyDescent="0.25">
      <c r="A927" t="s">
        <v>47</v>
      </c>
      <c r="B927">
        <v>8</v>
      </c>
      <c r="C927" t="s">
        <v>177</v>
      </c>
      <c r="D927">
        <v>81</v>
      </c>
      <c r="E927" t="s">
        <v>83</v>
      </c>
      <c r="F927">
        <v>158</v>
      </c>
      <c r="H927" t="s">
        <v>50</v>
      </c>
      <c r="K927" t="s">
        <v>52</v>
      </c>
      <c r="L927">
        <v>1</v>
      </c>
      <c r="M927" t="s">
        <v>53</v>
      </c>
      <c r="N927">
        <v>158</v>
      </c>
      <c r="O927">
        <v>2</v>
      </c>
      <c r="P927" t="s">
        <v>52</v>
      </c>
      <c r="Q927">
        <v>0.77</v>
      </c>
      <c r="R927">
        <v>0.93</v>
      </c>
      <c r="S927">
        <v>228</v>
      </c>
      <c r="T927" t="s">
        <v>284</v>
      </c>
      <c r="U927">
        <v>221</v>
      </c>
      <c r="V927" t="s">
        <v>284</v>
      </c>
      <c r="W927">
        <v>236</v>
      </c>
      <c r="X927" t="s">
        <v>284</v>
      </c>
      <c r="Y927">
        <v>244</v>
      </c>
      <c r="Z927" t="s">
        <v>284</v>
      </c>
      <c r="AA927">
        <v>252</v>
      </c>
      <c r="AB927" t="s">
        <v>284</v>
      </c>
      <c r="AG927">
        <v>236</v>
      </c>
      <c r="AH927" t="s">
        <v>54</v>
      </c>
      <c r="AI927" t="s">
        <v>52</v>
      </c>
      <c r="AX927">
        <v>339</v>
      </c>
      <c r="AY927" t="s">
        <v>285</v>
      </c>
      <c r="AZ927" t="s">
        <v>287</v>
      </c>
      <c r="BQ927" t="s">
        <v>52</v>
      </c>
      <c r="BR927">
        <v>1.31</v>
      </c>
      <c r="BS927" t="s">
        <v>285</v>
      </c>
      <c r="BT927">
        <v>1.01</v>
      </c>
      <c r="BU927" t="s">
        <v>284</v>
      </c>
      <c r="BV927">
        <v>0.33</v>
      </c>
      <c r="BW927" t="s">
        <v>288</v>
      </c>
      <c r="BX927">
        <v>0.56999999999999995</v>
      </c>
      <c r="BY927" t="s">
        <v>285</v>
      </c>
      <c r="BZ927">
        <v>0.1</v>
      </c>
      <c r="CA927" t="s">
        <v>289</v>
      </c>
      <c r="CF927">
        <v>0.64</v>
      </c>
      <c r="CG927" t="s">
        <v>54</v>
      </c>
      <c r="CH927" t="s">
        <v>52</v>
      </c>
    </row>
    <row r="928" spans="1:86" x14ac:dyDescent="0.25">
      <c r="A928" t="s">
        <v>47</v>
      </c>
      <c r="B928">
        <v>8</v>
      </c>
      <c r="C928" t="s">
        <v>177</v>
      </c>
      <c r="D928">
        <v>81</v>
      </c>
      <c r="E928" t="s">
        <v>84</v>
      </c>
      <c r="F928">
        <v>11</v>
      </c>
      <c r="G928" t="s">
        <v>96</v>
      </c>
      <c r="H928" t="s">
        <v>50</v>
      </c>
      <c r="K928" t="s">
        <v>52</v>
      </c>
      <c r="L928">
        <v>1</v>
      </c>
      <c r="M928" t="s">
        <v>53</v>
      </c>
      <c r="N928">
        <v>11</v>
      </c>
      <c r="O928">
        <v>2</v>
      </c>
      <c r="P928" t="s">
        <v>52</v>
      </c>
      <c r="Q928">
        <v>0.5</v>
      </c>
      <c r="R928">
        <v>0.75</v>
      </c>
      <c r="S928">
        <v>124</v>
      </c>
      <c r="T928" t="s">
        <v>284</v>
      </c>
      <c r="U928">
        <v>110</v>
      </c>
      <c r="V928" t="s">
        <v>284</v>
      </c>
      <c r="W928">
        <v>118</v>
      </c>
      <c r="X928" t="s">
        <v>284</v>
      </c>
      <c r="Y928">
        <v>122</v>
      </c>
      <c r="Z928" t="s">
        <v>284</v>
      </c>
      <c r="AA928">
        <v>126</v>
      </c>
      <c r="AB928" t="s">
        <v>284</v>
      </c>
      <c r="AG928">
        <v>121.33329999999999</v>
      </c>
      <c r="AH928" t="s">
        <v>54</v>
      </c>
      <c r="AI928" t="s">
        <v>52</v>
      </c>
      <c r="AZ928" t="s">
        <v>52</v>
      </c>
      <c r="BQ928" t="s">
        <v>52</v>
      </c>
      <c r="BR928">
        <v>0.42</v>
      </c>
      <c r="BS928" t="s">
        <v>285</v>
      </c>
      <c r="BT928">
        <v>0.38</v>
      </c>
      <c r="BU928" t="s">
        <v>284</v>
      </c>
      <c r="BV928">
        <v>0.44</v>
      </c>
      <c r="BW928" t="s">
        <v>284</v>
      </c>
      <c r="BX928">
        <v>0.38</v>
      </c>
      <c r="BY928" t="s">
        <v>284</v>
      </c>
      <c r="BZ928">
        <v>0.34</v>
      </c>
      <c r="CA928" t="s">
        <v>284</v>
      </c>
      <c r="CF928">
        <v>0.39</v>
      </c>
      <c r="CG928" t="s">
        <v>54</v>
      </c>
      <c r="CH928" t="s">
        <v>52</v>
      </c>
    </row>
    <row r="929" spans="1:86" x14ac:dyDescent="0.25">
      <c r="A929" t="s">
        <v>47</v>
      </c>
      <c r="B929">
        <v>8</v>
      </c>
      <c r="C929" t="s">
        <v>179</v>
      </c>
      <c r="D929">
        <v>83</v>
      </c>
      <c r="E929" t="s">
        <v>49</v>
      </c>
      <c r="F929">
        <v>27</v>
      </c>
      <c r="H929" t="s">
        <v>50</v>
      </c>
      <c r="K929" t="s">
        <v>51</v>
      </c>
      <c r="L929">
        <v>1</v>
      </c>
      <c r="M929" t="s">
        <v>53</v>
      </c>
      <c r="N929">
        <v>27</v>
      </c>
      <c r="O929">
        <v>1</v>
      </c>
      <c r="P929" t="s">
        <v>52</v>
      </c>
      <c r="Q929">
        <v>0</v>
      </c>
      <c r="R929">
        <v>0.75</v>
      </c>
      <c r="S929">
        <v>231</v>
      </c>
      <c r="T929" t="s">
        <v>284</v>
      </c>
      <c r="U929">
        <v>208</v>
      </c>
      <c r="V929" t="s">
        <v>284</v>
      </c>
      <c r="W929">
        <v>224</v>
      </c>
      <c r="X929" t="s">
        <v>284</v>
      </c>
      <c r="Y929">
        <v>225</v>
      </c>
      <c r="Z929" t="s">
        <v>285</v>
      </c>
      <c r="AA929">
        <v>247</v>
      </c>
      <c r="AB929" t="s">
        <v>285</v>
      </c>
      <c r="AC929">
        <v>241</v>
      </c>
      <c r="AD929" t="s">
        <v>285</v>
      </c>
      <c r="AE929">
        <v>219</v>
      </c>
      <c r="AF929" t="s">
        <v>285</v>
      </c>
      <c r="AG929">
        <v>219</v>
      </c>
      <c r="AH929" t="s">
        <v>286</v>
      </c>
      <c r="AI929" t="s">
        <v>287</v>
      </c>
      <c r="AX929">
        <v>263</v>
      </c>
      <c r="AY929" t="s">
        <v>286</v>
      </c>
      <c r="AZ929" t="s">
        <v>287</v>
      </c>
      <c r="BQ929" t="s">
        <v>52</v>
      </c>
      <c r="BR929">
        <v>3.7</v>
      </c>
      <c r="BS929" t="s">
        <v>284</v>
      </c>
      <c r="BT929">
        <v>3.4</v>
      </c>
      <c r="BU929" t="s">
        <v>284</v>
      </c>
      <c r="BV929">
        <v>4.3499999999999996</v>
      </c>
      <c r="BW929" t="s">
        <v>284</v>
      </c>
      <c r="BX929">
        <v>1</v>
      </c>
      <c r="BY929" t="s">
        <v>284</v>
      </c>
      <c r="BZ929">
        <v>1.48</v>
      </c>
      <c r="CA929" t="s">
        <v>288</v>
      </c>
      <c r="CF929">
        <v>2.86</v>
      </c>
      <c r="CG929" t="s">
        <v>54</v>
      </c>
      <c r="CH929" t="s">
        <v>52</v>
      </c>
    </row>
    <row r="930" spans="1:86" x14ac:dyDescent="0.25">
      <c r="A930" t="s">
        <v>47</v>
      </c>
      <c r="B930">
        <v>8</v>
      </c>
      <c r="C930" t="s">
        <v>179</v>
      </c>
      <c r="D930">
        <v>83</v>
      </c>
      <c r="E930" t="s">
        <v>49</v>
      </c>
      <c r="F930">
        <v>27</v>
      </c>
      <c r="H930" t="s">
        <v>50</v>
      </c>
      <c r="K930" t="s">
        <v>52</v>
      </c>
      <c r="L930">
        <v>1</v>
      </c>
      <c r="M930" t="s">
        <v>53</v>
      </c>
      <c r="N930">
        <v>27</v>
      </c>
      <c r="O930">
        <v>1</v>
      </c>
      <c r="P930" t="s">
        <v>52</v>
      </c>
      <c r="Q930">
        <v>0</v>
      </c>
      <c r="R930">
        <v>0.75</v>
      </c>
      <c r="S930">
        <v>231</v>
      </c>
      <c r="T930" t="s">
        <v>284</v>
      </c>
      <c r="U930">
        <v>208</v>
      </c>
      <c r="V930" t="s">
        <v>284</v>
      </c>
      <c r="W930">
        <v>224</v>
      </c>
      <c r="X930" t="s">
        <v>284</v>
      </c>
      <c r="Y930">
        <v>225</v>
      </c>
      <c r="Z930" t="s">
        <v>285</v>
      </c>
      <c r="AA930">
        <v>247</v>
      </c>
      <c r="AB930" t="s">
        <v>285</v>
      </c>
      <c r="AC930">
        <v>241</v>
      </c>
      <c r="AD930" t="s">
        <v>285</v>
      </c>
      <c r="AE930">
        <v>219</v>
      </c>
      <c r="AF930" t="s">
        <v>285</v>
      </c>
      <c r="AG930">
        <v>219</v>
      </c>
      <c r="AH930" t="s">
        <v>286</v>
      </c>
      <c r="AI930" t="s">
        <v>287</v>
      </c>
      <c r="AX930">
        <v>263</v>
      </c>
      <c r="AY930" t="s">
        <v>286</v>
      </c>
      <c r="AZ930" t="s">
        <v>287</v>
      </c>
      <c r="BQ930" t="s">
        <v>52</v>
      </c>
      <c r="BR930">
        <v>1.3</v>
      </c>
      <c r="BS930" t="s">
        <v>284</v>
      </c>
      <c r="BT930">
        <v>1.2</v>
      </c>
      <c r="BU930" t="s">
        <v>284</v>
      </c>
      <c r="BV930">
        <v>0.15</v>
      </c>
      <c r="BW930" t="s">
        <v>284</v>
      </c>
      <c r="BX930">
        <v>0.15</v>
      </c>
      <c r="BY930" t="s">
        <v>284</v>
      </c>
      <c r="BZ930">
        <v>0.1</v>
      </c>
      <c r="CA930" t="s">
        <v>288</v>
      </c>
      <c r="CF930">
        <v>0.5</v>
      </c>
      <c r="CG930" t="s">
        <v>54</v>
      </c>
      <c r="CH930" t="s">
        <v>52</v>
      </c>
    </row>
    <row r="931" spans="1:86" x14ac:dyDescent="0.25">
      <c r="A931" t="s">
        <v>47</v>
      </c>
      <c r="B931">
        <v>8</v>
      </c>
      <c r="C931" t="s">
        <v>179</v>
      </c>
      <c r="D931">
        <v>83</v>
      </c>
      <c r="E931" t="s">
        <v>87</v>
      </c>
      <c r="F931">
        <v>91</v>
      </c>
      <c r="G931" t="s">
        <v>76</v>
      </c>
      <c r="H931" t="s">
        <v>50</v>
      </c>
      <c r="K931" t="s">
        <v>51</v>
      </c>
      <c r="L931">
        <v>1</v>
      </c>
      <c r="M931" t="s">
        <v>53</v>
      </c>
      <c r="N931">
        <v>91</v>
      </c>
      <c r="O931">
        <v>2</v>
      </c>
      <c r="P931" t="s">
        <v>52</v>
      </c>
      <c r="Q931">
        <v>0.77</v>
      </c>
      <c r="R931">
        <v>0.93</v>
      </c>
      <c r="S931">
        <v>135</v>
      </c>
      <c r="T931" t="s">
        <v>284</v>
      </c>
      <c r="U931">
        <v>133</v>
      </c>
      <c r="V931" t="s">
        <v>284</v>
      </c>
      <c r="W931">
        <v>147</v>
      </c>
      <c r="X931" t="s">
        <v>284</v>
      </c>
      <c r="Y931">
        <v>170</v>
      </c>
      <c r="Z931" t="s">
        <v>284</v>
      </c>
      <c r="AA931">
        <v>167</v>
      </c>
      <c r="AB931" t="s">
        <v>284</v>
      </c>
      <c r="AG931">
        <v>149.66669999999999</v>
      </c>
      <c r="AH931" t="s">
        <v>54</v>
      </c>
      <c r="AI931" t="s">
        <v>52</v>
      </c>
      <c r="AZ931" t="s">
        <v>52</v>
      </c>
      <c r="BQ931" t="s">
        <v>52</v>
      </c>
      <c r="BR931">
        <v>1.42</v>
      </c>
      <c r="BS931" t="s">
        <v>285</v>
      </c>
      <c r="BT931">
        <v>1.35</v>
      </c>
      <c r="BU931" t="s">
        <v>284</v>
      </c>
      <c r="BV931">
        <v>0.83</v>
      </c>
      <c r="BW931" t="s">
        <v>288</v>
      </c>
      <c r="BX931">
        <v>1.85</v>
      </c>
      <c r="BY931" t="s">
        <v>284</v>
      </c>
      <c r="BZ931">
        <v>1.01</v>
      </c>
      <c r="CA931" t="s">
        <v>285</v>
      </c>
      <c r="CF931">
        <v>1.26</v>
      </c>
      <c r="CG931" t="s">
        <v>54</v>
      </c>
      <c r="CH931" t="s">
        <v>52</v>
      </c>
    </row>
    <row r="932" spans="1:86" x14ac:dyDescent="0.25">
      <c r="A932" t="s">
        <v>47</v>
      </c>
      <c r="B932">
        <v>8</v>
      </c>
      <c r="C932" t="s">
        <v>179</v>
      </c>
      <c r="D932">
        <v>83</v>
      </c>
      <c r="E932" t="s">
        <v>87</v>
      </c>
      <c r="F932">
        <v>91</v>
      </c>
      <c r="G932" t="s">
        <v>76</v>
      </c>
      <c r="H932" t="s">
        <v>50</v>
      </c>
      <c r="K932" t="s">
        <v>52</v>
      </c>
      <c r="L932">
        <v>1</v>
      </c>
      <c r="M932" t="s">
        <v>53</v>
      </c>
      <c r="N932">
        <v>91</v>
      </c>
      <c r="O932">
        <v>2</v>
      </c>
      <c r="P932" t="s">
        <v>52</v>
      </c>
      <c r="Q932">
        <v>0.77</v>
      </c>
      <c r="R932">
        <v>0.93</v>
      </c>
      <c r="S932">
        <v>135</v>
      </c>
      <c r="T932" t="s">
        <v>284</v>
      </c>
      <c r="U932">
        <v>133</v>
      </c>
      <c r="V932" t="s">
        <v>284</v>
      </c>
      <c r="W932">
        <v>147</v>
      </c>
      <c r="X932" t="s">
        <v>284</v>
      </c>
      <c r="Y932">
        <v>170</v>
      </c>
      <c r="Z932" t="s">
        <v>284</v>
      </c>
      <c r="AA932">
        <v>167</v>
      </c>
      <c r="AB932" t="s">
        <v>284</v>
      </c>
      <c r="AG932">
        <v>149.66669999999999</v>
      </c>
      <c r="AH932" t="s">
        <v>54</v>
      </c>
      <c r="AI932" t="s">
        <v>52</v>
      </c>
      <c r="AZ932" t="s">
        <v>52</v>
      </c>
      <c r="BQ932" t="s">
        <v>52</v>
      </c>
      <c r="BR932">
        <v>0.57999999999999996</v>
      </c>
      <c r="BS932" t="s">
        <v>285</v>
      </c>
      <c r="BT932">
        <v>0.38</v>
      </c>
      <c r="BU932" t="s">
        <v>284</v>
      </c>
      <c r="BV932">
        <v>0.54</v>
      </c>
      <c r="BW932" t="s">
        <v>284</v>
      </c>
      <c r="BX932">
        <v>0.52</v>
      </c>
      <c r="BY932" t="s">
        <v>284</v>
      </c>
      <c r="BZ932">
        <v>0.45</v>
      </c>
      <c r="CA932" t="s">
        <v>284</v>
      </c>
      <c r="CF932">
        <v>0.5</v>
      </c>
      <c r="CG932" t="s">
        <v>54</v>
      </c>
      <c r="CH932" t="s">
        <v>52</v>
      </c>
    </row>
    <row r="933" spans="1:86" x14ac:dyDescent="0.25">
      <c r="A933" t="s">
        <v>47</v>
      </c>
      <c r="B933">
        <v>8</v>
      </c>
      <c r="C933" t="s">
        <v>179</v>
      </c>
      <c r="D933">
        <v>83</v>
      </c>
      <c r="E933" t="s">
        <v>58</v>
      </c>
      <c r="F933">
        <v>102</v>
      </c>
      <c r="G933" t="s">
        <v>59</v>
      </c>
      <c r="H933" t="s">
        <v>50</v>
      </c>
      <c r="K933" t="s">
        <v>51</v>
      </c>
      <c r="L933">
        <v>1</v>
      </c>
      <c r="M933" t="s">
        <v>53</v>
      </c>
      <c r="N933">
        <v>102</v>
      </c>
      <c r="O933">
        <v>1</v>
      </c>
      <c r="P933" t="s">
        <v>52</v>
      </c>
      <c r="Q933">
        <v>0</v>
      </c>
      <c r="R933">
        <v>0.92</v>
      </c>
      <c r="S933">
        <v>131.69999999999999</v>
      </c>
      <c r="T933" t="s">
        <v>284</v>
      </c>
      <c r="U933">
        <v>126.5</v>
      </c>
      <c r="V933" t="s">
        <v>284</v>
      </c>
      <c r="W933">
        <v>170</v>
      </c>
      <c r="X933" t="s">
        <v>284</v>
      </c>
      <c r="Y933">
        <v>207</v>
      </c>
      <c r="Z933" t="s">
        <v>284</v>
      </c>
      <c r="AA933">
        <v>315</v>
      </c>
      <c r="AB933" t="s">
        <v>285</v>
      </c>
      <c r="AG933">
        <v>169.5667</v>
      </c>
      <c r="AH933" t="s">
        <v>54</v>
      </c>
      <c r="AI933" t="s">
        <v>52</v>
      </c>
      <c r="AZ933" t="s">
        <v>52</v>
      </c>
      <c r="BQ933" t="s">
        <v>52</v>
      </c>
      <c r="BR933">
        <v>1.49</v>
      </c>
      <c r="BS933" t="s">
        <v>288</v>
      </c>
      <c r="BT933">
        <v>1.95</v>
      </c>
      <c r="BU933" t="s">
        <v>284</v>
      </c>
      <c r="BV933">
        <v>1.52</v>
      </c>
      <c r="BW933" t="s">
        <v>285</v>
      </c>
      <c r="BX933">
        <v>1.05</v>
      </c>
      <c r="BY933" t="s">
        <v>285</v>
      </c>
      <c r="BZ933">
        <v>0.9</v>
      </c>
      <c r="CA933" t="s">
        <v>284</v>
      </c>
      <c r="CF933">
        <v>1.35</v>
      </c>
      <c r="CG933" t="s">
        <v>54</v>
      </c>
      <c r="CH933" t="s">
        <v>52</v>
      </c>
    </row>
    <row r="934" spans="1:86" x14ac:dyDescent="0.25">
      <c r="A934" t="s">
        <v>47</v>
      </c>
      <c r="B934">
        <v>8</v>
      </c>
      <c r="C934" t="s">
        <v>179</v>
      </c>
      <c r="D934">
        <v>83</v>
      </c>
      <c r="E934" t="s">
        <v>58</v>
      </c>
      <c r="F934">
        <v>102</v>
      </c>
      <c r="G934" t="s">
        <v>59</v>
      </c>
      <c r="H934" t="s">
        <v>50</v>
      </c>
      <c r="K934" t="s">
        <v>52</v>
      </c>
      <c r="L934">
        <v>1</v>
      </c>
      <c r="M934" t="s">
        <v>53</v>
      </c>
      <c r="N934">
        <v>102</v>
      </c>
      <c r="O934">
        <v>1</v>
      </c>
      <c r="P934" t="s">
        <v>52</v>
      </c>
      <c r="Q934">
        <v>0</v>
      </c>
      <c r="R934">
        <v>0.92</v>
      </c>
      <c r="S934">
        <v>131.69999999999999</v>
      </c>
      <c r="T934" t="s">
        <v>284</v>
      </c>
      <c r="U934">
        <v>126.5</v>
      </c>
      <c r="V934" t="s">
        <v>284</v>
      </c>
      <c r="W934">
        <v>170</v>
      </c>
      <c r="X934" t="s">
        <v>284</v>
      </c>
      <c r="Y934">
        <v>207</v>
      </c>
      <c r="Z934" t="s">
        <v>284</v>
      </c>
      <c r="AA934">
        <v>315</v>
      </c>
      <c r="AB934" t="s">
        <v>285</v>
      </c>
      <c r="AG934">
        <v>169.5667</v>
      </c>
      <c r="AH934" t="s">
        <v>54</v>
      </c>
      <c r="AI934" t="s">
        <v>52</v>
      </c>
      <c r="AZ934" t="s">
        <v>52</v>
      </c>
      <c r="BQ934" t="s">
        <v>52</v>
      </c>
      <c r="BR934">
        <v>0.85</v>
      </c>
      <c r="BS934" t="s">
        <v>285</v>
      </c>
      <c r="BT934">
        <v>0.77</v>
      </c>
      <c r="BU934" t="s">
        <v>284</v>
      </c>
      <c r="BV934">
        <v>0.79</v>
      </c>
      <c r="BW934" t="s">
        <v>285</v>
      </c>
      <c r="BX934">
        <v>0.42</v>
      </c>
      <c r="BY934" t="s">
        <v>285</v>
      </c>
      <c r="BZ934">
        <v>0.36</v>
      </c>
      <c r="CA934" t="s">
        <v>284</v>
      </c>
      <c r="CF934">
        <v>0.66</v>
      </c>
      <c r="CG934" t="s">
        <v>54</v>
      </c>
      <c r="CH934" t="s">
        <v>52</v>
      </c>
    </row>
    <row r="935" spans="1:86" x14ac:dyDescent="0.25">
      <c r="A935" t="s">
        <v>47</v>
      </c>
      <c r="B935">
        <v>8</v>
      </c>
      <c r="C935" t="s">
        <v>179</v>
      </c>
      <c r="D935">
        <v>83</v>
      </c>
      <c r="E935" t="s">
        <v>58</v>
      </c>
      <c r="F935">
        <v>102</v>
      </c>
      <c r="G935" t="s">
        <v>62</v>
      </c>
      <c r="H935" t="s">
        <v>50</v>
      </c>
      <c r="K935" t="s">
        <v>51</v>
      </c>
      <c r="L935">
        <v>1</v>
      </c>
      <c r="M935" t="s">
        <v>53</v>
      </c>
      <c r="N935">
        <v>102</v>
      </c>
      <c r="O935">
        <v>1</v>
      </c>
      <c r="P935" t="s">
        <v>52</v>
      </c>
      <c r="Q935">
        <v>0</v>
      </c>
      <c r="R935">
        <v>0.92</v>
      </c>
      <c r="S935">
        <v>131.69999999999999</v>
      </c>
      <c r="T935" t="s">
        <v>284</v>
      </c>
      <c r="U935">
        <v>170</v>
      </c>
      <c r="V935" t="s">
        <v>284</v>
      </c>
      <c r="W935">
        <v>191</v>
      </c>
      <c r="X935" t="s">
        <v>284</v>
      </c>
      <c r="Y935">
        <v>207</v>
      </c>
      <c r="Z935" t="s">
        <v>284</v>
      </c>
      <c r="AA935">
        <v>205</v>
      </c>
      <c r="AB935" t="s">
        <v>285</v>
      </c>
      <c r="AG935">
        <v>188.66669999999999</v>
      </c>
      <c r="AH935" t="s">
        <v>54</v>
      </c>
      <c r="AI935" t="s">
        <v>52</v>
      </c>
      <c r="AX935">
        <v>271.60000000000002</v>
      </c>
      <c r="AY935" t="s">
        <v>285</v>
      </c>
      <c r="AZ935" t="s">
        <v>287</v>
      </c>
      <c r="BQ935" t="s">
        <v>52</v>
      </c>
      <c r="BR935">
        <v>1.85</v>
      </c>
      <c r="BS935" t="s">
        <v>284</v>
      </c>
      <c r="BT935">
        <v>1.52</v>
      </c>
      <c r="BU935" t="s">
        <v>285</v>
      </c>
      <c r="BV935">
        <v>0.53</v>
      </c>
      <c r="BW935" t="s">
        <v>285</v>
      </c>
      <c r="BX935">
        <v>0.71</v>
      </c>
      <c r="BY935" t="s">
        <v>285</v>
      </c>
      <c r="BZ935">
        <v>0.61</v>
      </c>
      <c r="CA935" t="s">
        <v>284</v>
      </c>
      <c r="CF935">
        <v>0.95</v>
      </c>
      <c r="CG935" t="s">
        <v>54</v>
      </c>
      <c r="CH935" t="s">
        <v>52</v>
      </c>
    </row>
    <row r="936" spans="1:86" x14ac:dyDescent="0.25">
      <c r="A936" t="s">
        <v>47</v>
      </c>
      <c r="B936">
        <v>8</v>
      </c>
      <c r="C936" t="s">
        <v>179</v>
      </c>
      <c r="D936">
        <v>83</v>
      </c>
      <c r="E936" t="s">
        <v>58</v>
      </c>
      <c r="F936">
        <v>102</v>
      </c>
      <c r="G936" t="s">
        <v>62</v>
      </c>
      <c r="H936" t="s">
        <v>50</v>
      </c>
      <c r="K936" t="s">
        <v>52</v>
      </c>
      <c r="L936">
        <v>1</v>
      </c>
      <c r="M936" t="s">
        <v>53</v>
      </c>
      <c r="N936">
        <v>102</v>
      </c>
      <c r="O936">
        <v>1</v>
      </c>
      <c r="P936" t="s">
        <v>52</v>
      </c>
      <c r="Q936">
        <v>0</v>
      </c>
      <c r="R936">
        <v>0.92</v>
      </c>
      <c r="S936">
        <v>131.69999999999999</v>
      </c>
      <c r="T936" t="s">
        <v>284</v>
      </c>
      <c r="U936">
        <v>170</v>
      </c>
      <c r="V936" t="s">
        <v>284</v>
      </c>
      <c r="W936">
        <v>191</v>
      </c>
      <c r="X936" t="s">
        <v>284</v>
      </c>
      <c r="Y936">
        <v>207</v>
      </c>
      <c r="Z936" t="s">
        <v>284</v>
      </c>
      <c r="AA936">
        <v>205</v>
      </c>
      <c r="AB936" t="s">
        <v>285</v>
      </c>
      <c r="AG936">
        <v>188.66669999999999</v>
      </c>
      <c r="AH936" t="s">
        <v>54</v>
      </c>
      <c r="AI936" t="s">
        <v>52</v>
      </c>
      <c r="AX936">
        <v>271.60000000000002</v>
      </c>
      <c r="AY936" t="s">
        <v>285</v>
      </c>
      <c r="AZ936" t="s">
        <v>287</v>
      </c>
      <c r="BQ936" t="s">
        <v>52</v>
      </c>
      <c r="BR936">
        <v>0.83</v>
      </c>
      <c r="BS936" t="s">
        <v>285</v>
      </c>
      <c r="BT936">
        <v>1.04</v>
      </c>
      <c r="BU936" t="s">
        <v>284</v>
      </c>
      <c r="BV936">
        <v>0.31</v>
      </c>
      <c r="BW936" t="s">
        <v>285</v>
      </c>
      <c r="BX936">
        <v>0.56000000000000005</v>
      </c>
      <c r="BY936" t="s">
        <v>285</v>
      </c>
      <c r="BZ936">
        <v>0.48</v>
      </c>
      <c r="CA936" t="s">
        <v>284</v>
      </c>
      <c r="CF936">
        <v>0.62</v>
      </c>
      <c r="CG936" t="s">
        <v>54</v>
      </c>
      <c r="CH936" t="s">
        <v>52</v>
      </c>
    </row>
    <row r="937" spans="1:86" x14ac:dyDescent="0.25">
      <c r="A937" t="s">
        <v>47</v>
      </c>
      <c r="B937">
        <v>8</v>
      </c>
      <c r="C937" t="s">
        <v>179</v>
      </c>
      <c r="D937">
        <v>83</v>
      </c>
      <c r="E937" t="s">
        <v>58</v>
      </c>
      <c r="F937">
        <v>102</v>
      </c>
      <c r="G937" t="s">
        <v>63</v>
      </c>
      <c r="H937" t="s">
        <v>50</v>
      </c>
      <c r="K937" t="s">
        <v>51</v>
      </c>
      <c r="L937">
        <v>1</v>
      </c>
      <c r="M937" t="s">
        <v>53</v>
      </c>
      <c r="N937">
        <v>102</v>
      </c>
      <c r="O937">
        <v>1</v>
      </c>
      <c r="P937" t="s">
        <v>52</v>
      </c>
      <c r="Q937">
        <v>0</v>
      </c>
      <c r="R937">
        <v>0.92</v>
      </c>
      <c r="S937">
        <v>131.69999999999999</v>
      </c>
      <c r="T937" t="s">
        <v>284</v>
      </c>
      <c r="U937">
        <v>170</v>
      </c>
      <c r="V937" t="s">
        <v>284</v>
      </c>
      <c r="W937">
        <v>191</v>
      </c>
      <c r="X937" t="s">
        <v>285</v>
      </c>
      <c r="Y937">
        <v>207</v>
      </c>
      <c r="Z937" t="s">
        <v>285</v>
      </c>
      <c r="AA937">
        <v>265</v>
      </c>
      <c r="AB937" t="s">
        <v>285</v>
      </c>
      <c r="AG937">
        <v>189.33330000000001</v>
      </c>
      <c r="AH937" t="s">
        <v>54</v>
      </c>
      <c r="AI937" t="s">
        <v>52</v>
      </c>
      <c r="AZ937" t="s">
        <v>52</v>
      </c>
      <c r="BQ937" t="s">
        <v>52</v>
      </c>
      <c r="BR937">
        <v>2.1</v>
      </c>
      <c r="BS937" t="s">
        <v>285</v>
      </c>
      <c r="BT937">
        <v>1.91</v>
      </c>
      <c r="BU937" t="s">
        <v>285</v>
      </c>
      <c r="BV937">
        <v>2.2000000000000002</v>
      </c>
      <c r="BW937" t="s">
        <v>285</v>
      </c>
      <c r="BX937">
        <v>1.28</v>
      </c>
      <c r="BY937" t="s">
        <v>285</v>
      </c>
      <c r="BZ937">
        <v>1.1000000000000001</v>
      </c>
      <c r="CA937" t="s">
        <v>284</v>
      </c>
      <c r="CF937">
        <v>1.76</v>
      </c>
      <c r="CG937" t="s">
        <v>54</v>
      </c>
      <c r="CH937" t="s">
        <v>52</v>
      </c>
    </row>
    <row r="938" spans="1:86" x14ac:dyDescent="0.25">
      <c r="A938" t="s">
        <v>47</v>
      </c>
      <c r="B938">
        <v>8</v>
      </c>
      <c r="C938" t="s">
        <v>179</v>
      </c>
      <c r="D938">
        <v>83</v>
      </c>
      <c r="E938" t="s">
        <v>58</v>
      </c>
      <c r="F938">
        <v>102</v>
      </c>
      <c r="G938" t="s">
        <v>64</v>
      </c>
      <c r="H938" t="s">
        <v>50</v>
      </c>
      <c r="K938" t="s">
        <v>51</v>
      </c>
      <c r="L938">
        <v>1</v>
      </c>
      <c r="M938" t="s">
        <v>53</v>
      </c>
      <c r="N938">
        <v>102</v>
      </c>
      <c r="O938">
        <v>1</v>
      </c>
      <c r="P938" t="s">
        <v>52</v>
      </c>
      <c r="Q938">
        <v>0</v>
      </c>
      <c r="R938">
        <v>0.92</v>
      </c>
      <c r="S938">
        <v>131.69999999999999</v>
      </c>
      <c r="T938" t="s">
        <v>284</v>
      </c>
      <c r="U938">
        <v>170</v>
      </c>
      <c r="V938" t="s">
        <v>284</v>
      </c>
      <c r="W938">
        <v>191</v>
      </c>
      <c r="X938" t="s">
        <v>284</v>
      </c>
      <c r="Y938">
        <v>207</v>
      </c>
      <c r="Z938" t="s">
        <v>284</v>
      </c>
      <c r="AA938">
        <v>205</v>
      </c>
      <c r="AB938" t="s">
        <v>285</v>
      </c>
      <c r="AG938">
        <v>188.66669999999999</v>
      </c>
      <c r="AH938" t="s">
        <v>54</v>
      </c>
      <c r="AI938" t="s">
        <v>52</v>
      </c>
      <c r="AZ938" t="s">
        <v>52</v>
      </c>
      <c r="BQ938" t="s">
        <v>52</v>
      </c>
      <c r="BR938">
        <v>1.85</v>
      </c>
      <c r="BS938" t="s">
        <v>284</v>
      </c>
      <c r="BT938">
        <v>1.95</v>
      </c>
      <c r="BU938" t="s">
        <v>284</v>
      </c>
      <c r="BV938">
        <v>1.52</v>
      </c>
      <c r="BW938" t="s">
        <v>285</v>
      </c>
      <c r="BX938">
        <v>1.05</v>
      </c>
      <c r="BY938" t="s">
        <v>289</v>
      </c>
      <c r="BZ938">
        <v>0.9</v>
      </c>
      <c r="CA938" t="s">
        <v>284</v>
      </c>
      <c r="CF938">
        <v>1.47</v>
      </c>
      <c r="CG938" t="s">
        <v>54</v>
      </c>
      <c r="CH938" t="s">
        <v>52</v>
      </c>
    </row>
    <row r="939" spans="1:86" x14ac:dyDescent="0.25">
      <c r="A939" t="s">
        <v>47</v>
      </c>
      <c r="B939">
        <v>8</v>
      </c>
      <c r="C939" t="s">
        <v>179</v>
      </c>
      <c r="D939">
        <v>83</v>
      </c>
      <c r="E939" t="s">
        <v>58</v>
      </c>
      <c r="F939">
        <v>102</v>
      </c>
      <c r="G939" t="s">
        <v>64</v>
      </c>
      <c r="H939" t="s">
        <v>50</v>
      </c>
      <c r="K939" t="s">
        <v>52</v>
      </c>
      <c r="L939">
        <v>1</v>
      </c>
      <c r="M939" t="s">
        <v>53</v>
      </c>
      <c r="N939">
        <v>102</v>
      </c>
      <c r="O939">
        <v>1</v>
      </c>
      <c r="P939" t="s">
        <v>52</v>
      </c>
      <c r="Q939">
        <v>0</v>
      </c>
      <c r="R939">
        <v>0.92</v>
      </c>
      <c r="S939">
        <v>131.69999999999999</v>
      </c>
      <c r="T939" t="s">
        <v>284</v>
      </c>
      <c r="U939">
        <v>170</v>
      </c>
      <c r="V939" t="s">
        <v>284</v>
      </c>
      <c r="W939">
        <v>191</v>
      </c>
      <c r="X939" t="s">
        <v>284</v>
      </c>
      <c r="Y939">
        <v>207</v>
      </c>
      <c r="Z939" t="s">
        <v>284</v>
      </c>
      <c r="AA939">
        <v>205</v>
      </c>
      <c r="AB939" t="s">
        <v>285</v>
      </c>
      <c r="AG939">
        <v>188.66669999999999</v>
      </c>
      <c r="AH939" t="s">
        <v>54</v>
      </c>
      <c r="AI939" t="s">
        <v>52</v>
      </c>
      <c r="AZ939" t="s">
        <v>52</v>
      </c>
      <c r="BQ939" t="s">
        <v>52</v>
      </c>
      <c r="BR939">
        <v>0.93</v>
      </c>
      <c r="BS939" t="s">
        <v>285</v>
      </c>
      <c r="BT939">
        <v>1.02</v>
      </c>
      <c r="BU939" t="s">
        <v>284</v>
      </c>
      <c r="BV939">
        <v>0.3</v>
      </c>
      <c r="BW939" t="s">
        <v>285</v>
      </c>
      <c r="BX939">
        <v>0.55000000000000004</v>
      </c>
      <c r="BY939" t="s">
        <v>285</v>
      </c>
      <c r="BZ939">
        <v>0.47</v>
      </c>
      <c r="CA939" t="s">
        <v>284</v>
      </c>
      <c r="CF939">
        <v>0.65</v>
      </c>
      <c r="CG939" t="s">
        <v>54</v>
      </c>
      <c r="CH939" t="s">
        <v>52</v>
      </c>
    </row>
    <row r="940" spans="1:86" x14ac:dyDescent="0.25">
      <c r="A940" t="s">
        <v>47</v>
      </c>
      <c r="B940">
        <v>8</v>
      </c>
      <c r="C940" t="s">
        <v>179</v>
      </c>
      <c r="D940">
        <v>83</v>
      </c>
      <c r="E940" t="s">
        <v>58</v>
      </c>
      <c r="F940">
        <v>102</v>
      </c>
      <c r="G940" t="s">
        <v>180</v>
      </c>
      <c r="H940" t="s">
        <v>50</v>
      </c>
      <c r="K940" t="s">
        <v>51</v>
      </c>
      <c r="L940">
        <v>1</v>
      </c>
      <c r="M940" t="s">
        <v>53</v>
      </c>
      <c r="N940">
        <v>102</v>
      </c>
      <c r="O940">
        <v>1</v>
      </c>
      <c r="P940" t="s">
        <v>52</v>
      </c>
      <c r="Q940">
        <v>0</v>
      </c>
      <c r="R940">
        <v>0.92</v>
      </c>
      <c r="S940">
        <v>131.69999999999999</v>
      </c>
      <c r="T940" t="s">
        <v>284</v>
      </c>
      <c r="U940">
        <v>170</v>
      </c>
      <c r="V940" t="s">
        <v>284</v>
      </c>
      <c r="W940">
        <v>191</v>
      </c>
      <c r="X940" t="s">
        <v>284</v>
      </c>
      <c r="Y940">
        <v>207</v>
      </c>
      <c r="Z940" t="s">
        <v>284</v>
      </c>
      <c r="AA940">
        <v>205</v>
      </c>
      <c r="AB940" t="s">
        <v>285</v>
      </c>
      <c r="AG940">
        <v>188.66669999999999</v>
      </c>
      <c r="AH940" t="s">
        <v>54</v>
      </c>
      <c r="AI940" t="s">
        <v>52</v>
      </c>
      <c r="AZ940" t="s">
        <v>52</v>
      </c>
      <c r="BQ940" t="s">
        <v>52</v>
      </c>
      <c r="BR940">
        <v>1.85</v>
      </c>
      <c r="BS940" t="s">
        <v>284</v>
      </c>
      <c r="BT940">
        <v>1.95</v>
      </c>
      <c r="BU940" t="s">
        <v>284</v>
      </c>
      <c r="BV940">
        <v>1.52</v>
      </c>
      <c r="BW940" t="s">
        <v>285</v>
      </c>
      <c r="CH940" t="s">
        <v>52</v>
      </c>
    </row>
    <row r="941" spans="1:86" x14ac:dyDescent="0.25">
      <c r="A941" t="s">
        <v>47</v>
      </c>
      <c r="B941">
        <v>8</v>
      </c>
      <c r="C941" t="s">
        <v>179</v>
      </c>
      <c r="D941">
        <v>83</v>
      </c>
      <c r="E941" t="s">
        <v>58</v>
      </c>
      <c r="F941">
        <v>102</v>
      </c>
      <c r="G941" t="s">
        <v>180</v>
      </c>
      <c r="H941" t="s">
        <v>50</v>
      </c>
      <c r="K941" t="s">
        <v>52</v>
      </c>
      <c r="L941">
        <v>1</v>
      </c>
      <c r="M941" t="s">
        <v>53</v>
      </c>
      <c r="N941">
        <v>102</v>
      </c>
      <c r="O941">
        <v>1</v>
      </c>
      <c r="P941" t="s">
        <v>52</v>
      </c>
      <c r="Q941">
        <v>0</v>
      </c>
      <c r="R941">
        <v>0.92</v>
      </c>
      <c r="S941">
        <v>131.69999999999999</v>
      </c>
      <c r="T941" t="s">
        <v>284</v>
      </c>
      <c r="U941">
        <v>170</v>
      </c>
      <c r="V941" t="s">
        <v>284</v>
      </c>
      <c r="W941">
        <v>191</v>
      </c>
      <c r="X941" t="s">
        <v>284</v>
      </c>
      <c r="Y941">
        <v>207</v>
      </c>
      <c r="Z941" t="s">
        <v>284</v>
      </c>
      <c r="AA941">
        <v>205</v>
      </c>
      <c r="AB941" t="s">
        <v>285</v>
      </c>
      <c r="AG941">
        <v>188.66669999999999</v>
      </c>
      <c r="AH941" t="s">
        <v>54</v>
      </c>
      <c r="AI941" t="s">
        <v>52</v>
      </c>
      <c r="AZ941" t="s">
        <v>52</v>
      </c>
      <c r="BQ941" t="s">
        <v>52</v>
      </c>
      <c r="BR941">
        <v>0.93</v>
      </c>
      <c r="BS941" t="s">
        <v>285</v>
      </c>
      <c r="BT941">
        <v>1.02</v>
      </c>
      <c r="BU941" t="s">
        <v>284</v>
      </c>
      <c r="BV941">
        <v>0.79</v>
      </c>
      <c r="BW941" t="s">
        <v>285</v>
      </c>
      <c r="BX941">
        <v>0.55000000000000004</v>
      </c>
      <c r="BY941" t="s">
        <v>285</v>
      </c>
      <c r="BZ941">
        <v>0.47</v>
      </c>
      <c r="CA941" t="s">
        <v>284</v>
      </c>
      <c r="CF941">
        <v>0.76</v>
      </c>
      <c r="CG941" t="s">
        <v>54</v>
      </c>
      <c r="CH941" t="s">
        <v>52</v>
      </c>
    </row>
    <row r="942" spans="1:86" x14ac:dyDescent="0.25">
      <c r="A942" t="s">
        <v>47</v>
      </c>
      <c r="B942">
        <v>8</v>
      </c>
      <c r="C942" t="s">
        <v>179</v>
      </c>
      <c r="D942">
        <v>83</v>
      </c>
      <c r="E942" t="s">
        <v>58</v>
      </c>
      <c r="F942">
        <v>102</v>
      </c>
      <c r="G942" t="s">
        <v>127</v>
      </c>
      <c r="H942" t="s">
        <v>50</v>
      </c>
      <c r="K942" t="s">
        <v>51</v>
      </c>
      <c r="L942">
        <v>1</v>
      </c>
      <c r="M942" t="s">
        <v>53</v>
      </c>
      <c r="N942">
        <v>102</v>
      </c>
      <c r="O942">
        <v>1</v>
      </c>
      <c r="P942" t="s">
        <v>52</v>
      </c>
      <c r="Q942">
        <v>0</v>
      </c>
      <c r="R942">
        <v>0.92</v>
      </c>
      <c r="S942">
        <v>131.69999999999999</v>
      </c>
      <c r="T942" t="s">
        <v>284</v>
      </c>
      <c r="U942">
        <v>170</v>
      </c>
      <c r="V942" t="s">
        <v>284</v>
      </c>
      <c r="W942">
        <v>191</v>
      </c>
      <c r="X942" t="s">
        <v>284</v>
      </c>
      <c r="Y942">
        <v>207</v>
      </c>
      <c r="Z942" t="s">
        <v>284</v>
      </c>
      <c r="AA942">
        <v>205</v>
      </c>
      <c r="AB942" t="s">
        <v>285</v>
      </c>
      <c r="AG942">
        <v>188.66669999999999</v>
      </c>
      <c r="AH942" t="s">
        <v>54</v>
      </c>
      <c r="AI942" t="s">
        <v>52</v>
      </c>
      <c r="AZ942" t="s">
        <v>52</v>
      </c>
      <c r="BQ942" t="s">
        <v>52</v>
      </c>
      <c r="BR942">
        <v>1.85</v>
      </c>
      <c r="BS942" t="s">
        <v>284</v>
      </c>
      <c r="BT942">
        <v>1.91</v>
      </c>
      <c r="BU942" t="s">
        <v>284</v>
      </c>
      <c r="BV942">
        <v>1.48</v>
      </c>
      <c r="BW942" t="s">
        <v>284</v>
      </c>
      <c r="BX942">
        <v>1.03</v>
      </c>
      <c r="BY942" t="s">
        <v>289</v>
      </c>
      <c r="BZ942">
        <v>0.89</v>
      </c>
      <c r="CA942" t="s">
        <v>284</v>
      </c>
      <c r="CF942">
        <v>1.45</v>
      </c>
      <c r="CG942" t="s">
        <v>54</v>
      </c>
      <c r="CH942" t="s">
        <v>52</v>
      </c>
    </row>
    <row r="943" spans="1:86" x14ac:dyDescent="0.25">
      <c r="A943" t="s">
        <v>47</v>
      </c>
      <c r="B943">
        <v>8</v>
      </c>
      <c r="C943" t="s">
        <v>179</v>
      </c>
      <c r="D943">
        <v>83</v>
      </c>
      <c r="E943" t="s">
        <v>58</v>
      </c>
      <c r="F943">
        <v>102</v>
      </c>
      <c r="G943" t="s">
        <v>65</v>
      </c>
      <c r="H943" t="s">
        <v>50</v>
      </c>
      <c r="K943" t="s">
        <v>52</v>
      </c>
      <c r="L943">
        <v>1</v>
      </c>
      <c r="M943" t="s">
        <v>53</v>
      </c>
      <c r="N943">
        <v>102</v>
      </c>
      <c r="O943">
        <v>1</v>
      </c>
      <c r="P943" t="s">
        <v>52</v>
      </c>
      <c r="Q943">
        <v>0</v>
      </c>
      <c r="R943">
        <v>0.92</v>
      </c>
      <c r="S943">
        <v>131.69999999999999</v>
      </c>
      <c r="T943" t="s">
        <v>284</v>
      </c>
      <c r="U943">
        <v>170</v>
      </c>
      <c r="V943" t="s">
        <v>284</v>
      </c>
      <c r="W943">
        <v>191</v>
      </c>
      <c r="X943" t="s">
        <v>284</v>
      </c>
      <c r="Y943">
        <v>207</v>
      </c>
      <c r="Z943" t="s">
        <v>284</v>
      </c>
      <c r="AA943">
        <v>155</v>
      </c>
      <c r="AB943" t="s">
        <v>285</v>
      </c>
      <c r="AG943">
        <v>172</v>
      </c>
      <c r="AH943" t="s">
        <v>54</v>
      </c>
      <c r="AI943" t="s">
        <v>52</v>
      </c>
      <c r="AZ943" t="s">
        <v>52</v>
      </c>
      <c r="BQ943" t="s">
        <v>52</v>
      </c>
      <c r="BR943">
        <v>0.93</v>
      </c>
      <c r="BS943" t="s">
        <v>285</v>
      </c>
      <c r="BT943">
        <v>1.02</v>
      </c>
      <c r="BU943" t="s">
        <v>284</v>
      </c>
      <c r="BV943">
        <v>0.79</v>
      </c>
      <c r="BW943" t="s">
        <v>285</v>
      </c>
      <c r="BX943">
        <v>0.54</v>
      </c>
      <c r="BY943" t="s">
        <v>285</v>
      </c>
      <c r="BZ943">
        <v>0.46</v>
      </c>
      <c r="CA943" t="s">
        <v>284</v>
      </c>
      <c r="CF943">
        <v>0.75</v>
      </c>
      <c r="CG943" t="s">
        <v>54</v>
      </c>
      <c r="CH943" t="s">
        <v>52</v>
      </c>
    </row>
    <row r="944" spans="1:86" x14ac:dyDescent="0.25">
      <c r="A944" t="s">
        <v>47</v>
      </c>
      <c r="B944">
        <v>8</v>
      </c>
      <c r="C944" t="s">
        <v>179</v>
      </c>
      <c r="D944">
        <v>83</v>
      </c>
      <c r="E944" t="s">
        <v>58</v>
      </c>
      <c r="F944">
        <v>102</v>
      </c>
      <c r="G944" t="s">
        <v>66</v>
      </c>
      <c r="H944" t="s">
        <v>50</v>
      </c>
      <c r="K944" t="s">
        <v>51</v>
      </c>
      <c r="L944">
        <v>1</v>
      </c>
      <c r="M944" t="s">
        <v>53</v>
      </c>
      <c r="N944">
        <v>102</v>
      </c>
      <c r="O944">
        <v>1</v>
      </c>
      <c r="P944" t="s">
        <v>52</v>
      </c>
      <c r="Q944">
        <v>0</v>
      </c>
      <c r="R944">
        <v>0.92</v>
      </c>
      <c r="S944">
        <v>131.69999999999999</v>
      </c>
      <c r="T944" t="s">
        <v>284</v>
      </c>
      <c r="U944">
        <v>170</v>
      </c>
      <c r="V944" t="s">
        <v>284</v>
      </c>
      <c r="W944">
        <v>191</v>
      </c>
      <c r="X944" t="s">
        <v>284</v>
      </c>
      <c r="Y944">
        <v>207</v>
      </c>
      <c r="Z944" t="s">
        <v>284</v>
      </c>
      <c r="AA944">
        <v>205</v>
      </c>
      <c r="AB944" t="s">
        <v>285</v>
      </c>
      <c r="AG944">
        <v>188.66669999999999</v>
      </c>
      <c r="AH944" t="s">
        <v>54</v>
      </c>
      <c r="AI944" t="s">
        <v>52</v>
      </c>
      <c r="AZ944" t="s">
        <v>52</v>
      </c>
      <c r="BQ944" t="s">
        <v>52</v>
      </c>
      <c r="BR944">
        <v>1.32</v>
      </c>
      <c r="BS944" t="s">
        <v>285</v>
      </c>
      <c r="BT944">
        <v>1.95</v>
      </c>
      <c r="BU944" t="s">
        <v>284</v>
      </c>
      <c r="BV944">
        <v>1.52</v>
      </c>
      <c r="BW944" t="s">
        <v>285</v>
      </c>
      <c r="BX944">
        <v>1.05</v>
      </c>
      <c r="BY944" t="s">
        <v>289</v>
      </c>
      <c r="BZ944">
        <v>1.05</v>
      </c>
      <c r="CA944" t="s">
        <v>285</v>
      </c>
      <c r="CF944">
        <v>1.3</v>
      </c>
      <c r="CG944" t="s">
        <v>54</v>
      </c>
      <c r="CH944" t="s">
        <v>52</v>
      </c>
    </row>
    <row r="945" spans="1:86" x14ac:dyDescent="0.25">
      <c r="A945" t="s">
        <v>47</v>
      </c>
      <c r="B945">
        <v>8</v>
      </c>
      <c r="C945" t="s">
        <v>179</v>
      </c>
      <c r="D945">
        <v>83</v>
      </c>
      <c r="E945" t="s">
        <v>58</v>
      </c>
      <c r="F945">
        <v>102</v>
      </c>
      <c r="G945" t="s">
        <v>66</v>
      </c>
      <c r="H945" t="s">
        <v>50</v>
      </c>
      <c r="K945" t="s">
        <v>52</v>
      </c>
      <c r="L945">
        <v>1</v>
      </c>
      <c r="M945" t="s">
        <v>53</v>
      </c>
      <c r="N945">
        <v>102</v>
      </c>
      <c r="O945">
        <v>1</v>
      </c>
      <c r="P945" t="s">
        <v>52</v>
      </c>
      <c r="Q945">
        <v>0</v>
      </c>
      <c r="R945">
        <v>0.92</v>
      </c>
      <c r="S945">
        <v>131.69999999999999</v>
      </c>
      <c r="T945" t="s">
        <v>284</v>
      </c>
      <c r="U945">
        <v>170</v>
      </c>
      <c r="V945" t="s">
        <v>284</v>
      </c>
      <c r="W945">
        <v>191</v>
      </c>
      <c r="X945" t="s">
        <v>284</v>
      </c>
      <c r="Y945">
        <v>207</v>
      </c>
      <c r="Z945" t="s">
        <v>284</v>
      </c>
      <c r="AA945">
        <v>205</v>
      </c>
      <c r="AB945" t="s">
        <v>285</v>
      </c>
      <c r="AG945">
        <v>188.66669999999999</v>
      </c>
      <c r="AH945" t="s">
        <v>54</v>
      </c>
      <c r="AI945" t="s">
        <v>52</v>
      </c>
      <c r="AZ945" t="s">
        <v>52</v>
      </c>
      <c r="BQ945" t="s">
        <v>52</v>
      </c>
      <c r="BR945">
        <v>0.93</v>
      </c>
      <c r="BS945" t="s">
        <v>285</v>
      </c>
      <c r="BT945">
        <v>1.02</v>
      </c>
      <c r="BU945" t="s">
        <v>284</v>
      </c>
      <c r="BV945">
        <v>0.79</v>
      </c>
      <c r="BW945" t="s">
        <v>285</v>
      </c>
      <c r="BX945">
        <v>0.55000000000000004</v>
      </c>
      <c r="BY945" t="s">
        <v>285</v>
      </c>
      <c r="BZ945">
        <v>0.47</v>
      </c>
      <c r="CA945" t="s">
        <v>284</v>
      </c>
      <c r="CF945">
        <v>0.76</v>
      </c>
      <c r="CG945" t="s">
        <v>54</v>
      </c>
      <c r="CH945" t="s">
        <v>52</v>
      </c>
    </row>
    <row r="946" spans="1:86" x14ac:dyDescent="0.25">
      <c r="A946" t="s">
        <v>47</v>
      </c>
      <c r="B946">
        <v>8</v>
      </c>
      <c r="C946" t="s">
        <v>179</v>
      </c>
      <c r="D946">
        <v>83</v>
      </c>
      <c r="E946" t="s">
        <v>58</v>
      </c>
      <c r="F946">
        <v>102</v>
      </c>
      <c r="G946" t="s">
        <v>118</v>
      </c>
      <c r="H946" t="s">
        <v>50</v>
      </c>
      <c r="K946" t="s">
        <v>51</v>
      </c>
      <c r="L946">
        <v>1</v>
      </c>
      <c r="M946" t="s">
        <v>53</v>
      </c>
      <c r="N946">
        <v>102</v>
      </c>
      <c r="O946">
        <v>1</v>
      </c>
      <c r="P946" t="s">
        <v>52</v>
      </c>
      <c r="Q946">
        <v>0</v>
      </c>
      <c r="R946">
        <v>0.92</v>
      </c>
      <c r="S946">
        <v>131.69999999999999</v>
      </c>
      <c r="T946" t="s">
        <v>284</v>
      </c>
      <c r="U946">
        <v>170</v>
      </c>
      <c r="V946" t="s">
        <v>284</v>
      </c>
      <c r="W946">
        <v>191</v>
      </c>
      <c r="X946" t="s">
        <v>284</v>
      </c>
      <c r="Y946">
        <v>207</v>
      </c>
      <c r="Z946" t="s">
        <v>284</v>
      </c>
      <c r="AA946">
        <v>205</v>
      </c>
      <c r="AB946" t="s">
        <v>285</v>
      </c>
      <c r="AG946">
        <v>188.66669999999999</v>
      </c>
      <c r="AH946" t="s">
        <v>54</v>
      </c>
      <c r="AI946" t="s">
        <v>52</v>
      </c>
      <c r="AZ946" t="s">
        <v>52</v>
      </c>
      <c r="BQ946" t="s">
        <v>52</v>
      </c>
      <c r="BR946">
        <v>1.85</v>
      </c>
      <c r="BS946" t="s">
        <v>284</v>
      </c>
      <c r="BT946">
        <v>1.95</v>
      </c>
      <c r="BU946" t="s">
        <v>284</v>
      </c>
      <c r="BV946">
        <v>1.52</v>
      </c>
      <c r="BW946" t="s">
        <v>285</v>
      </c>
      <c r="BX946">
        <v>1.05</v>
      </c>
      <c r="BY946" t="s">
        <v>284</v>
      </c>
      <c r="BZ946">
        <v>0.9</v>
      </c>
      <c r="CA946" t="s">
        <v>284</v>
      </c>
      <c r="CF946">
        <v>1.47</v>
      </c>
      <c r="CG946" t="s">
        <v>54</v>
      </c>
      <c r="CH946" t="s">
        <v>52</v>
      </c>
    </row>
    <row r="947" spans="1:86" x14ac:dyDescent="0.25">
      <c r="A947" t="s">
        <v>47</v>
      </c>
      <c r="B947">
        <v>8</v>
      </c>
      <c r="C947" t="s">
        <v>179</v>
      </c>
      <c r="D947">
        <v>83</v>
      </c>
      <c r="E947" t="s">
        <v>58</v>
      </c>
      <c r="F947">
        <v>102</v>
      </c>
      <c r="G947" t="s">
        <v>118</v>
      </c>
      <c r="H947" t="s">
        <v>50</v>
      </c>
      <c r="K947" t="s">
        <v>52</v>
      </c>
      <c r="L947">
        <v>1</v>
      </c>
      <c r="M947" t="s">
        <v>53</v>
      </c>
      <c r="N947">
        <v>102</v>
      </c>
      <c r="O947">
        <v>1</v>
      </c>
      <c r="P947" t="s">
        <v>52</v>
      </c>
      <c r="Q947">
        <v>0</v>
      </c>
      <c r="R947">
        <v>0.92</v>
      </c>
      <c r="S947">
        <v>131.69999999999999</v>
      </c>
      <c r="T947" t="s">
        <v>284</v>
      </c>
      <c r="U947">
        <v>170</v>
      </c>
      <c r="V947" t="s">
        <v>284</v>
      </c>
      <c r="W947">
        <v>191</v>
      </c>
      <c r="X947" t="s">
        <v>284</v>
      </c>
      <c r="Y947">
        <v>207</v>
      </c>
      <c r="Z947" t="s">
        <v>284</v>
      </c>
      <c r="AA947">
        <v>205</v>
      </c>
      <c r="AB947" t="s">
        <v>285</v>
      </c>
      <c r="AG947">
        <v>188.66669999999999</v>
      </c>
      <c r="AH947" t="s">
        <v>54</v>
      </c>
      <c r="AI947" t="s">
        <v>52</v>
      </c>
      <c r="AZ947" t="s">
        <v>52</v>
      </c>
      <c r="BQ947" t="s">
        <v>52</v>
      </c>
      <c r="BR947">
        <v>0.93</v>
      </c>
      <c r="BS947" t="s">
        <v>285</v>
      </c>
      <c r="BT947">
        <v>1.02</v>
      </c>
      <c r="BU947" t="s">
        <v>284</v>
      </c>
      <c r="BV947">
        <v>0.79</v>
      </c>
      <c r="BW947" t="s">
        <v>285</v>
      </c>
      <c r="BX947">
        <v>0.55000000000000004</v>
      </c>
      <c r="BY947" t="s">
        <v>285</v>
      </c>
      <c r="BZ947">
        <v>0.47</v>
      </c>
      <c r="CA947" t="s">
        <v>284</v>
      </c>
      <c r="CF947">
        <v>0.76</v>
      </c>
      <c r="CG947" t="s">
        <v>54</v>
      </c>
      <c r="CH947" t="s">
        <v>52</v>
      </c>
    </row>
    <row r="948" spans="1:86" x14ac:dyDescent="0.25">
      <c r="A948" t="s">
        <v>47</v>
      </c>
      <c r="B948">
        <v>8</v>
      </c>
      <c r="C948" t="s">
        <v>179</v>
      </c>
      <c r="D948">
        <v>83</v>
      </c>
      <c r="E948" t="s">
        <v>58</v>
      </c>
      <c r="F948">
        <v>102</v>
      </c>
      <c r="G948" t="s">
        <v>67</v>
      </c>
      <c r="H948" t="s">
        <v>50</v>
      </c>
      <c r="K948" t="s">
        <v>51</v>
      </c>
      <c r="L948">
        <v>1</v>
      </c>
      <c r="M948" t="s">
        <v>53</v>
      </c>
      <c r="N948">
        <v>102</v>
      </c>
      <c r="O948">
        <v>1</v>
      </c>
      <c r="P948" t="s">
        <v>52</v>
      </c>
      <c r="Q948">
        <v>0</v>
      </c>
      <c r="R948">
        <v>0.92</v>
      </c>
      <c r="S948">
        <v>131.69999999999999</v>
      </c>
      <c r="T948" t="s">
        <v>284</v>
      </c>
      <c r="U948">
        <v>170</v>
      </c>
      <c r="V948" t="s">
        <v>284</v>
      </c>
      <c r="W948">
        <v>191</v>
      </c>
      <c r="X948" t="s">
        <v>284</v>
      </c>
      <c r="Y948">
        <v>207</v>
      </c>
      <c r="Z948" t="s">
        <v>285</v>
      </c>
      <c r="AA948">
        <v>205</v>
      </c>
      <c r="AB948" t="s">
        <v>285</v>
      </c>
      <c r="AG948">
        <v>188.66669999999999</v>
      </c>
      <c r="AH948" t="s">
        <v>54</v>
      </c>
      <c r="AI948" t="s">
        <v>52</v>
      </c>
      <c r="AZ948" t="s">
        <v>52</v>
      </c>
      <c r="BQ948" t="s">
        <v>52</v>
      </c>
      <c r="BR948">
        <v>1.85</v>
      </c>
      <c r="BS948" t="s">
        <v>284</v>
      </c>
      <c r="BT948">
        <v>1.95</v>
      </c>
      <c r="BU948" t="s">
        <v>284</v>
      </c>
      <c r="BV948">
        <v>1.52</v>
      </c>
      <c r="BW948" t="s">
        <v>285</v>
      </c>
      <c r="CH948" t="s">
        <v>52</v>
      </c>
    </row>
    <row r="949" spans="1:86" x14ac:dyDescent="0.25">
      <c r="A949" t="s">
        <v>47</v>
      </c>
      <c r="B949">
        <v>8</v>
      </c>
      <c r="C949" t="s">
        <v>179</v>
      </c>
      <c r="D949">
        <v>83</v>
      </c>
      <c r="E949" t="s">
        <v>58</v>
      </c>
      <c r="F949">
        <v>102</v>
      </c>
      <c r="G949" t="s">
        <v>67</v>
      </c>
      <c r="H949" t="s">
        <v>50</v>
      </c>
      <c r="K949" t="s">
        <v>52</v>
      </c>
      <c r="L949">
        <v>1</v>
      </c>
      <c r="M949" t="s">
        <v>53</v>
      </c>
      <c r="N949">
        <v>102</v>
      </c>
      <c r="O949">
        <v>1</v>
      </c>
      <c r="P949" t="s">
        <v>52</v>
      </c>
      <c r="Q949">
        <v>0</v>
      </c>
      <c r="R949">
        <v>0.92</v>
      </c>
      <c r="S949">
        <v>131.69999999999999</v>
      </c>
      <c r="T949" t="s">
        <v>284</v>
      </c>
      <c r="U949">
        <v>170</v>
      </c>
      <c r="V949" t="s">
        <v>284</v>
      </c>
      <c r="W949">
        <v>191</v>
      </c>
      <c r="X949" t="s">
        <v>284</v>
      </c>
      <c r="Y949">
        <v>207</v>
      </c>
      <c r="Z949" t="s">
        <v>285</v>
      </c>
      <c r="AA949">
        <v>205</v>
      </c>
      <c r="AB949" t="s">
        <v>285</v>
      </c>
      <c r="AG949">
        <v>188.66669999999999</v>
      </c>
      <c r="AH949" t="s">
        <v>54</v>
      </c>
      <c r="AI949" t="s">
        <v>52</v>
      </c>
      <c r="AZ949" t="s">
        <v>52</v>
      </c>
      <c r="BQ949" t="s">
        <v>52</v>
      </c>
      <c r="BR949">
        <v>0.67</v>
      </c>
      <c r="BS949" t="s">
        <v>285</v>
      </c>
      <c r="BT949">
        <v>1.02</v>
      </c>
      <c r="BU949" t="s">
        <v>284</v>
      </c>
      <c r="BV949">
        <v>0.3</v>
      </c>
      <c r="BW949" t="s">
        <v>285</v>
      </c>
      <c r="BX949">
        <v>0.55000000000000004</v>
      </c>
      <c r="BY949" t="s">
        <v>285</v>
      </c>
      <c r="BZ949">
        <v>0.47</v>
      </c>
      <c r="CA949" t="s">
        <v>284</v>
      </c>
      <c r="CF949">
        <v>0.56000000000000005</v>
      </c>
      <c r="CG949" t="s">
        <v>54</v>
      </c>
      <c r="CH949" t="s">
        <v>52</v>
      </c>
    </row>
    <row r="950" spans="1:86" x14ac:dyDescent="0.25">
      <c r="A950" t="s">
        <v>47</v>
      </c>
      <c r="B950">
        <v>8</v>
      </c>
      <c r="C950" t="s">
        <v>179</v>
      </c>
      <c r="D950">
        <v>83</v>
      </c>
      <c r="E950" t="s">
        <v>68</v>
      </c>
      <c r="F950">
        <v>80</v>
      </c>
      <c r="G950" t="s">
        <v>69</v>
      </c>
      <c r="H950" t="s">
        <v>50</v>
      </c>
      <c r="K950" t="s">
        <v>51</v>
      </c>
      <c r="L950">
        <v>1</v>
      </c>
      <c r="M950" t="s">
        <v>53</v>
      </c>
      <c r="N950">
        <v>80</v>
      </c>
      <c r="O950">
        <v>1</v>
      </c>
      <c r="P950" t="s">
        <v>52</v>
      </c>
      <c r="Q950">
        <v>0.5</v>
      </c>
      <c r="R950">
        <v>0.75</v>
      </c>
      <c r="S950">
        <v>202.92</v>
      </c>
      <c r="T950" t="s">
        <v>284</v>
      </c>
      <c r="U950">
        <v>198.9</v>
      </c>
      <c r="V950" t="s">
        <v>284</v>
      </c>
      <c r="W950">
        <v>212.4</v>
      </c>
      <c r="X950" t="s">
        <v>284</v>
      </c>
      <c r="Y950">
        <v>219.6</v>
      </c>
      <c r="Z950" t="s">
        <v>284</v>
      </c>
      <c r="AA950">
        <v>178</v>
      </c>
      <c r="AB950" t="s">
        <v>284</v>
      </c>
      <c r="AG950">
        <v>204.74</v>
      </c>
      <c r="AH950" t="s">
        <v>54</v>
      </c>
      <c r="AI950" t="s">
        <v>52</v>
      </c>
      <c r="AZ950" t="s">
        <v>52</v>
      </c>
      <c r="BQ950" t="s">
        <v>52</v>
      </c>
      <c r="CH950" t="s">
        <v>52</v>
      </c>
    </row>
    <row r="951" spans="1:86" x14ac:dyDescent="0.25">
      <c r="A951" t="s">
        <v>47</v>
      </c>
      <c r="B951">
        <v>8</v>
      </c>
      <c r="C951" t="s">
        <v>179</v>
      </c>
      <c r="D951">
        <v>83</v>
      </c>
      <c r="E951" t="s">
        <v>68</v>
      </c>
      <c r="F951">
        <v>80</v>
      </c>
      <c r="G951" t="s">
        <v>69</v>
      </c>
      <c r="H951" t="s">
        <v>50</v>
      </c>
      <c r="K951" t="s">
        <v>52</v>
      </c>
      <c r="L951">
        <v>1</v>
      </c>
      <c r="M951" t="s">
        <v>53</v>
      </c>
      <c r="N951">
        <v>80</v>
      </c>
      <c r="O951">
        <v>1</v>
      </c>
      <c r="P951" t="s">
        <v>52</v>
      </c>
      <c r="Q951">
        <v>0.5</v>
      </c>
      <c r="R951">
        <v>0.75</v>
      </c>
      <c r="S951">
        <v>202.92</v>
      </c>
      <c r="T951" t="s">
        <v>284</v>
      </c>
      <c r="U951">
        <v>198.9</v>
      </c>
      <c r="V951" t="s">
        <v>284</v>
      </c>
      <c r="W951">
        <v>212.4</v>
      </c>
      <c r="X951" t="s">
        <v>284</v>
      </c>
      <c r="Y951">
        <v>219.6</v>
      </c>
      <c r="Z951" t="s">
        <v>284</v>
      </c>
      <c r="AA951">
        <v>178</v>
      </c>
      <c r="AB951" t="s">
        <v>284</v>
      </c>
      <c r="AG951">
        <v>204.74</v>
      </c>
      <c r="AH951" t="s">
        <v>54</v>
      </c>
      <c r="AI951" t="s">
        <v>52</v>
      </c>
      <c r="AZ951" t="s">
        <v>52</v>
      </c>
      <c r="BQ951" t="s">
        <v>52</v>
      </c>
      <c r="CH951" t="s">
        <v>52</v>
      </c>
    </row>
    <row r="952" spans="1:86" x14ac:dyDescent="0.25">
      <c r="A952" t="s">
        <v>47</v>
      </c>
      <c r="B952">
        <v>8</v>
      </c>
      <c r="C952" t="s">
        <v>179</v>
      </c>
      <c r="D952">
        <v>83</v>
      </c>
      <c r="E952" t="s">
        <v>70</v>
      </c>
      <c r="F952">
        <v>296</v>
      </c>
      <c r="G952" t="s">
        <v>71</v>
      </c>
      <c r="H952" t="s">
        <v>50</v>
      </c>
      <c r="K952" t="s">
        <v>51</v>
      </c>
      <c r="L952">
        <v>1</v>
      </c>
      <c r="M952" t="s">
        <v>53</v>
      </c>
      <c r="N952">
        <v>296</v>
      </c>
      <c r="O952">
        <v>1</v>
      </c>
      <c r="P952" t="s">
        <v>52</v>
      </c>
      <c r="Q952">
        <v>0</v>
      </c>
      <c r="R952">
        <v>0.75</v>
      </c>
      <c r="S952">
        <v>228</v>
      </c>
      <c r="T952" t="s">
        <v>284</v>
      </c>
      <c r="U952">
        <v>190</v>
      </c>
      <c r="V952" t="s">
        <v>285</v>
      </c>
      <c r="W952">
        <v>194</v>
      </c>
      <c r="X952" t="s">
        <v>285</v>
      </c>
      <c r="Y952">
        <v>225</v>
      </c>
      <c r="Z952" t="s">
        <v>285</v>
      </c>
      <c r="AA952">
        <v>247</v>
      </c>
      <c r="AB952" t="s">
        <v>285</v>
      </c>
      <c r="AC952">
        <v>241</v>
      </c>
      <c r="AD952" t="s">
        <v>285</v>
      </c>
      <c r="AE952">
        <v>219</v>
      </c>
      <c r="AF952" t="s">
        <v>285</v>
      </c>
      <c r="AG952">
        <v>219</v>
      </c>
      <c r="AH952" t="s">
        <v>286</v>
      </c>
      <c r="AI952" t="s">
        <v>287</v>
      </c>
      <c r="AX952">
        <v>263</v>
      </c>
      <c r="AY952" t="s">
        <v>286</v>
      </c>
      <c r="AZ952" t="s">
        <v>287</v>
      </c>
      <c r="BQ952" t="s">
        <v>52</v>
      </c>
      <c r="BR952">
        <v>1.85</v>
      </c>
      <c r="BS952" t="s">
        <v>284</v>
      </c>
      <c r="BT952">
        <v>1.95</v>
      </c>
      <c r="BU952" t="s">
        <v>284</v>
      </c>
      <c r="BV952">
        <v>1.17</v>
      </c>
      <c r="BW952" t="s">
        <v>285</v>
      </c>
      <c r="BX952">
        <v>1.17</v>
      </c>
      <c r="BY952" t="s">
        <v>285</v>
      </c>
      <c r="BZ952">
        <v>0.64</v>
      </c>
      <c r="CA952" t="s">
        <v>285</v>
      </c>
      <c r="CF952">
        <v>1.4</v>
      </c>
      <c r="CG952" t="s">
        <v>54</v>
      </c>
      <c r="CH952" t="s">
        <v>52</v>
      </c>
    </row>
    <row r="953" spans="1:86" x14ac:dyDescent="0.25">
      <c r="A953" t="s">
        <v>47</v>
      </c>
      <c r="B953">
        <v>8</v>
      </c>
      <c r="C953" t="s">
        <v>179</v>
      </c>
      <c r="D953">
        <v>83</v>
      </c>
      <c r="E953" t="s">
        <v>70</v>
      </c>
      <c r="F953">
        <v>296</v>
      </c>
      <c r="G953" t="s">
        <v>71</v>
      </c>
      <c r="H953" t="s">
        <v>50</v>
      </c>
      <c r="K953" t="s">
        <v>52</v>
      </c>
      <c r="L953">
        <v>1</v>
      </c>
      <c r="M953" t="s">
        <v>53</v>
      </c>
      <c r="N953">
        <v>296</v>
      </c>
      <c r="O953">
        <v>1</v>
      </c>
      <c r="P953" t="s">
        <v>52</v>
      </c>
      <c r="Q953">
        <v>0</v>
      </c>
      <c r="R953">
        <v>0.75</v>
      </c>
      <c r="S953">
        <v>228</v>
      </c>
      <c r="T953" t="s">
        <v>284</v>
      </c>
      <c r="U953">
        <v>190</v>
      </c>
      <c r="V953" t="s">
        <v>285</v>
      </c>
      <c r="W953">
        <v>194</v>
      </c>
      <c r="X953" t="s">
        <v>285</v>
      </c>
      <c r="Y953">
        <v>225</v>
      </c>
      <c r="Z953" t="s">
        <v>285</v>
      </c>
      <c r="AA953">
        <v>247</v>
      </c>
      <c r="AB953" t="s">
        <v>285</v>
      </c>
      <c r="AC953">
        <v>241</v>
      </c>
      <c r="AD953" t="s">
        <v>285</v>
      </c>
      <c r="AE953">
        <v>219</v>
      </c>
      <c r="AF953" t="s">
        <v>285</v>
      </c>
      <c r="AG953">
        <v>219</v>
      </c>
      <c r="AH953" t="s">
        <v>286</v>
      </c>
      <c r="AI953" t="s">
        <v>287</v>
      </c>
      <c r="AX953">
        <v>263</v>
      </c>
      <c r="AY953" t="s">
        <v>286</v>
      </c>
      <c r="AZ953" t="s">
        <v>287</v>
      </c>
      <c r="BQ953" t="s">
        <v>52</v>
      </c>
      <c r="BR953">
        <v>0.65</v>
      </c>
      <c r="BS953" t="s">
        <v>284</v>
      </c>
      <c r="BT953">
        <v>1.0900000000000001</v>
      </c>
      <c r="BU953" t="s">
        <v>285</v>
      </c>
      <c r="BV953">
        <v>0.33</v>
      </c>
      <c r="BW953" t="s">
        <v>285</v>
      </c>
      <c r="BX953">
        <v>0.22</v>
      </c>
      <c r="BY953" t="s">
        <v>284</v>
      </c>
      <c r="BZ953">
        <v>0.05</v>
      </c>
      <c r="CA953" t="s">
        <v>289</v>
      </c>
      <c r="CF953">
        <v>0.4</v>
      </c>
      <c r="CG953" t="s">
        <v>54</v>
      </c>
      <c r="CH953" t="s">
        <v>52</v>
      </c>
    </row>
    <row r="954" spans="1:86" x14ac:dyDescent="0.25">
      <c r="A954" t="s">
        <v>47</v>
      </c>
      <c r="B954">
        <v>8</v>
      </c>
      <c r="C954" t="s">
        <v>179</v>
      </c>
      <c r="D954">
        <v>83</v>
      </c>
      <c r="E954" t="s">
        <v>70</v>
      </c>
      <c r="F954">
        <v>296</v>
      </c>
      <c r="G954" t="s">
        <v>72</v>
      </c>
      <c r="H954" t="s">
        <v>50</v>
      </c>
      <c r="K954" t="s">
        <v>51</v>
      </c>
      <c r="L954">
        <v>1</v>
      </c>
      <c r="M954" t="s">
        <v>53</v>
      </c>
      <c r="N954">
        <v>296</v>
      </c>
      <c r="O954">
        <v>1</v>
      </c>
      <c r="P954" t="s">
        <v>52</v>
      </c>
      <c r="Q954">
        <v>0.5</v>
      </c>
      <c r="R954">
        <v>0.75</v>
      </c>
      <c r="S954">
        <v>228</v>
      </c>
      <c r="T954" t="s">
        <v>284</v>
      </c>
      <c r="U954">
        <v>221</v>
      </c>
      <c r="V954" t="s">
        <v>284</v>
      </c>
      <c r="W954">
        <v>236</v>
      </c>
      <c r="X954" t="s">
        <v>284</v>
      </c>
      <c r="Y954">
        <v>244</v>
      </c>
      <c r="Z954" t="s">
        <v>284</v>
      </c>
      <c r="AA954">
        <v>215</v>
      </c>
      <c r="AB954" t="s">
        <v>285</v>
      </c>
      <c r="AG954">
        <v>228.33330000000001</v>
      </c>
      <c r="AH954" t="s">
        <v>54</v>
      </c>
      <c r="AI954" t="s">
        <v>52</v>
      </c>
      <c r="AZ954" t="s">
        <v>52</v>
      </c>
      <c r="BQ954" t="s">
        <v>52</v>
      </c>
      <c r="BR954">
        <v>1.85</v>
      </c>
      <c r="BS954" t="s">
        <v>284</v>
      </c>
      <c r="BT954">
        <v>1.74</v>
      </c>
      <c r="BU954" t="s">
        <v>284</v>
      </c>
      <c r="BV954">
        <v>2.13</v>
      </c>
      <c r="BW954" t="s">
        <v>284</v>
      </c>
      <c r="BX954">
        <v>1.32</v>
      </c>
      <c r="BY954" t="s">
        <v>284</v>
      </c>
      <c r="BZ954">
        <v>1.32</v>
      </c>
      <c r="CA954" t="s">
        <v>284</v>
      </c>
      <c r="CF954">
        <v>1.64</v>
      </c>
      <c r="CG954" t="s">
        <v>54</v>
      </c>
      <c r="CH954" t="s">
        <v>52</v>
      </c>
    </row>
    <row r="955" spans="1:86" x14ac:dyDescent="0.25">
      <c r="A955" t="s">
        <v>47</v>
      </c>
      <c r="B955">
        <v>8</v>
      </c>
      <c r="C955" t="s">
        <v>179</v>
      </c>
      <c r="D955">
        <v>83</v>
      </c>
      <c r="E955" t="s">
        <v>70</v>
      </c>
      <c r="F955">
        <v>296</v>
      </c>
      <c r="G955" t="s">
        <v>72</v>
      </c>
      <c r="H955" t="s">
        <v>50</v>
      </c>
      <c r="K955" t="s">
        <v>52</v>
      </c>
      <c r="L955">
        <v>1</v>
      </c>
      <c r="M955" t="s">
        <v>53</v>
      </c>
      <c r="N955">
        <v>296</v>
      </c>
      <c r="O955">
        <v>1</v>
      </c>
      <c r="P955" t="s">
        <v>52</v>
      </c>
      <c r="Q955">
        <v>0.5</v>
      </c>
      <c r="R955">
        <v>0.75</v>
      </c>
      <c r="S955">
        <v>228</v>
      </c>
      <c r="T955" t="s">
        <v>284</v>
      </c>
      <c r="U955">
        <v>221</v>
      </c>
      <c r="V955" t="s">
        <v>284</v>
      </c>
      <c r="W955">
        <v>236</v>
      </c>
      <c r="X955" t="s">
        <v>284</v>
      </c>
      <c r="Y955">
        <v>244</v>
      </c>
      <c r="Z955" t="s">
        <v>284</v>
      </c>
      <c r="AA955">
        <v>215</v>
      </c>
      <c r="AB955" t="s">
        <v>285</v>
      </c>
      <c r="AG955">
        <v>228.33330000000001</v>
      </c>
      <c r="AH955" t="s">
        <v>54</v>
      </c>
      <c r="AI955" t="s">
        <v>52</v>
      </c>
      <c r="AZ955" t="s">
        <v>52</v>
      </c>
      <c r="BQ955" t="s">
        <v>52</v>
      </c>
      <c r="BR955">
        <v>0.65</v>
      </c>
      <c r="BS955" t="s">
        <v>284</v>
      </c>
      <c r="BT955">
        <v>0.95</v>
      </c>
      <c r="BU955" t="s">
        <v>284</v>
      </c>
      <c r="BV955">
        <v>0.28000000000000003</v>
      </c>
      <c r="BW955" t="s">
        <v>284</v>
      </c>
      <c r="BX955">
        <v>0.25</v>
      </c>
      <c r="BY955" t="s">
        <v>285</v>
      </c>
      <c r="BZ955">
        <v>0.25</v>
      </c>
      <c r="CA955" t="s">
        <v>284</v>
      </c>
      <c r="CF955">
        <v>0.39</v>
      </c>
      <c r="CG955" t="s">
        <v>54</v>
      </c>
      <c r="CH955" t="s">
        <v>52</v>
      </c>
    </row>
    <row r="956" spans="1:86" x14ac:dyDescent="0.25">
      <c r="A956" t="s">
        <v>47</v>
      </c>
      <c r="B956">
        <v>8</v>
      </c>
      <c r="C956" t="s">
        <v>179</v>
      </c>
      <c r="D956">
        <v>83</v>
      </c>
      <c r="E956" t="s">
        <v>70</v>
      </c>
      <c r="F956">
        <v>296</v>
      </c>
      <c r="G956" t="s">
        <v>73</v>
      </c>
      <c r="H956" t="s">
        <v>50</v>
      </c>
      <c r="K956" t="s">
        <v>51</v>
      </c>
      <c r="L956">
        <v>1</v>
      </c>
      <c r="M956" t="s">
        <v>53</v>
      </c>
      <c r="N956">
        <v>296</v>
      </c>
      <c r="O956">
        <v>1</v>
      </c>
      <c r="P956" t="s">
        <v>52</v>
      </c>
      <c r="Q956">
        <v>0</v>
      </c>
      <c r="R956">
        <v>0.75</v>
      </c>
      <c r="S956">
        <v>228</v>
      </c>
      <c r="T956" t="s">
        <v>284</v>
      </c>
      <c r="U956">
        <v>221</v>
      </c>
      <c r="V956" t="s">
        <v>284</v>
      </c>
      <c r="W956">
        <v>236</v>
      </c>
      <c r="X956" t="s">
        <v>284</v>
      </c>
      <c r="Y956">
        <v>244</v>
      </c>
      <c r="Z956" t="s">
        <v>284</v>
      </c>
      <c r="AA956">
        <v>225</v>
      </c>
      <c r="AB956" t="s">
        <v>285</v>
      </c>
      <c r="AG956">
        <v>229.66669999999999</v>
      </c>
      <c r="AH956" t="s">
        <v>54</v>
      </c>
      <c r="AI956" t="s">
        <v>52</v>
      </c>
      <c r="AZ956" t="s">
        <v>52</v>
      </c>
      <c r="BQ956" t="s">
        <v>52</v>
      </c>
      <c r="BR956">
        <v>1.85</v>
      </c>
      <c r="BS956" t="s">
        <v>284</v>
      </c>
      <c r="BT956">
        <v>1.95</v>
      </c>
      <c r="BU956" t="s">
        <v>284</v>
      </c>
      <c r="BV956">
        <v>3.12</v>
      </c>
      <c r="BW956" t="s">
        <v>285</v>
      </c>
      <c r="BX956">
        <v>1.64</v>
      </c>
      <c r="BY956" t="s">
        <v>285</v>
      </c>
      <c r="BZ956">
        <v>0.6</v>
      </c>
      <c r="CA956" t="s">
        <v>288</v>
      </c>
      <c r="CF956">
        <v>1.81</v>
      </c>
      <c r="CG956" t="s">
        <v>54</v>
      </c>
      <c r="CH956" t="s">
        <v>52</v>
      </c>
    </row>
    <row r="957" spans="1:86" x14ac:dyDescent="0.25">
      <c r="A957" t="s">
        <v>47</v>
      </c>
      <c r="B957">
        <v>8</v>
      </c>
      <c r="C957" t="s">
        <v>179</v>
      </c>
      <c r="D957">
        <v>83</v>
      </c>
      <c r="E957" t="s">
        <v>70</v>
      </c>
      <c r="F957">
        <v>296</v>
      </c>
      <c r="G957" t="s">
        <v>73</v>
      </c>
      <c r="H957" t="s">
        <v>50</v>
      </c>
      <c r="K957" t="s">
        <v>52</v>
      </c>
      <c r="L957">
        <v>1</v>
      </c>
      <c r="M957" t="s">
        <v>53</v>
      </c>
      <c r="N957">
        <v>296</v>
      </c>
      <c r="O957">
        <v>1</v>
      </c>
      <c r="P957" t="s">
        <v>52</v>
      </c>
      <c r="Q957">
        <v>0</v>
      </c>
      <c r="R957">
        <v>0.75</v>
      </c>
      <c r="S957">
        <v>228</v>
      </c>
      <c r="T957" t="s">
        <v>284</v>
      </c>
      <c r="U957">
        <v>221</v>
      </c>
      <c r="V957" t="s">
        <v>284</v>
      </c>
      <c r="W957">
        <v>236</v>
      </c>
      <c r="X957" t="s">
        <v>284</v>
      </c>
      <c r="Y957">
        <v>244</v>
      </c>
      <c r="Z957" t="s">
        <v>284</v>
      </c>
      <c r="AA957">
        <v>225</v>
      </c>
      <c r="AB957" t="s">
        <v>285</v>
      </c>
      <c r="AG957">
        <v>229.66669999999999</v>
      </c>
      <c r="AH957" t="s">
        <v>54</v>
      </c>
      <c r="AI957" t="s">
        <v>52</v>
      </c>
      <c r="AZ957" t="s">
        <v>52</v>
      </c>
      <c r="BQ957" t="s">
        <v>52</v>
      </c>
      <c r="BR957">
        <v>0.65</v>
      </c>
      <c r="BS957" t="s">
        <v>284</v>
      </c>
      <c r="BT957">
        <v>1.01</v>
      </c>
      <c r="BU957" t="s">
        <v>284</v>
      </c>
      <c r="BV957">
        <v>0.31</v>
      </c>
      <c r="BW957" t="s">
        <v>284</v>
      </c>
      <c r="BX957">
        <v>0.2</v>
      </c>
      <c r="BY957" t="s">
        <v>284</v>
      </c>
      <c r="BZ957">
        <v>0.2</v>
      </c>
      <c r="CA957" t="s">
        <v>284</v>
      </c>
      <c r="CF957">
        <v>0.39</v>
      </c>
      <c r="CG957" t="s">
        <v>54</v>
      </c>
      <c r="CH957" t="s">
        <v>52</v>
      </c>
    </row>
    <row r="958" spans="1:86" x14ac:dyDescent="0.25">
      <c r="A958" t="s">
        <v>47</v>
      </c>
      <c r="B958">
        <v>8</v>
      </c>
      <c r="C958" t="s">
        <v>179</v>
      </c>
      <c r="D958">
        <v>83</v>
      </c>
      <c r="E958" t="s">
        <v>70</v>
      </c>
      <c r="F958">
        <v>296</v>
      </c>
      <c r="G958" t="s">
        <v>74</v>
      </c>
      <c r="H958" t="s">
        <v>50</v>
      </c>
      <c r="K958" t="s">
        <v>51</v>
      </c>
      <c r="L958">
        <v>1</v>
      </c>
      <c r="M958" t="s">
        <v>53</v>
      </c>
      <c r="N958">
        <v>102</v>
      </c>
      <c r="O958">
        <v>1</v>
      </c>
      <c r="P958" t="s">
        <v>52</v>
      </c>
      <c r="Q958">
        <v>0</v>
      </c>
      <c r="R958">
        <v>0.75</v>
      </c>
      <c r="S958">
        <v>135</v>
      </c>
      <c r="T958" t="s">
        <v>284</v>
      </c>
      <c r="U958">
        <v>132</v>
      </c>
      <c r="V958" t="s">
        <v>284</v>
      </c>
      <c r="W958">
        <v>147</v>
      </c>
      <c r="X958" t="s">
        <v>284</v>
      </c>
      <c r="Y958">
        <v>170</v>
      </c>
      <c r="Z958" t="s">
        <v>284</v>
      </c>
      <c r="AA958">
        <v>205</v>
      </c>
      <c r="AB958" t="s">
        <v>285</v>
      </c>
      <c r="AG958">
        <v>150.66669999999999</v>
      </c>
      <c r="AH958" t="s">
        <v>54</v>
      </c>
      <c r="AI958" t="s">
        <v>52</v>
      </c>
      <c r="AZ958" t="s">
        <v>52</v>
      </c>
      <c r="BQ958" t="s">
        <v>52</v>
      </c>
      <c r="BR958">
        <v>1.85</v>
      </c>
      <c r="BS958" t="s">
        <v>284</v>
      </c>
      <c r="BT958">
        <v>1.95</v>
      </c>
      <c r="BU958" t="s">
        <v>284</v>
      </c>
      <c r="BV958">
        <v>2.5499999999999998</v>
      </c>
      <c r="BW958" t="s">
        <v>285</v>
      </c>
      <c r="BX958">
        <v>1.29</v>
      </c>
      <c r="BY958" t="s">
        <v>285</v>
      </c>
      <c r="BZ958">
        <v>0.76</v>
      </c>
      <c r="CA958" t="s">
        <v>288</v>
      </c>
      <c r="CF958">
        <v>1.7</v>
      </c>
      <c r="CG958" t="s">
        <v>54</v>
      </c>
      <c r="CH958" t="s">
        <v>52</v>
      </c>
    </row>
    <row r="959" spans="1:86" x14ac:dyDescent="0.25">
      <c r="A959" t="s">
        <v>47</v>
      </c>
      <c r="B959">
        <v>8</v>
      </c>
      <c r="C959" t="s">
        <v>179</v>
      </c>
      <c r="D959">
        <v>83</v>
      </c>
      <c r="E959" t="s">
        <v>70</v>
      </c>
      <c r="F959">
        <v>296</v>
      </c>
      <c r="G959" t="s">
        <v>74</v>
      </c>
      <c r="H959" t="s">
        <v>50</v>
      </c>
      <c r="K959" t="s">
        <v>52</v>
      </c>
      <c r="L959">
        <v>1</v>
      </c>
      <c r="M959" t="s">
        <v>53</v>
      </c>
      <c r="N959">
        <v>102</v>
      </c>
      <c r="O959">
        <v>1</v>
      </c>
      <c r="P959" t="s">
        <v>52</v>
      </c>
      <c r="Q959">
        <v>0</v>
      </c>
      <c r="R959">
        <v>0.75</v>
      </c>
      <c r="S959">
        <v>135</v>
      </c>
      <c r="T959" t="s">
        <v>284</v>
      </c>
      <c r="U959">
        <v>132</v>
      </c>
      <c r="V959" t="s">
        <v>284</v>
      </c>
      <c r="W959">
        <v>147</v>
      </c>
      <c r="X959" t="s">
        <v>284</v>
      </c>
      <c r="Y959">
        <v>170</v>
      </c>
      <c r="Z959" t="s">
        <v>284</v>
      </c>
      <c r="AA959">
        <v>205</v>
      </c>
      <c r="AB959" t="s">
        <v>285</v>
      </c>
      <c r="AG959">
        <v>150.66669999999999</v>
      </c>
      <c r="AH959" t="s">
        <v>54</v>
      </c>
      <c r="AI959" t="s">
        <v>52</v>
      </c>
      <c r="AZ959" t="s">
        <v>52</v>
      </c>
      <c r="BQ959" t="s">
        <v>52</v>
      </c>
      <c r="BR959">
        <v>0.65</v>
      </c>
      <c r="BS959" t="s">
        <v>284</v>
      </c>
      <c r="BT959">
        <v>0.52</v>
      </c>
      <c r="BU959" t="s">
        <v>284</v>
      </c>
      <c r="BV959">
        <v>0.11</v>
      </c>
      <c r="BW959" t="s">
        <v>284</v>
      </c>
      <c r="BX959">
        <v>0.25</v>
      </c>
      <c r="BY959" t="s">
        <v>285</v>
      </c>
      <c r="BZ959">
        <v>0.05</v>
      </c>
      <c r="CA959" t="s">
        <v>288</v>
      </c>
      <c r="CF959">
        <v>0.28999999999999998</v>
      </c>
      <c r="CG959" t="s">
        <v>54</v>
      </c>
      <c r="CH959" t="s">
        <v>52</v>
      </c>
    </row>
    <row r="960" spans="1:86" x14ac:dyDescent="0.25">
      <c r="A960" t="s">
        <v>47</v>
      </c>
      <c r="B960">
        <v>8</v>
      </c>
      <c r="C960" t="s">
        <v>179</v>
      </c>
      <c r="D960">
        <v>83</v>
      </c>
      <c r="E960" t="s">
        <v>70</v>
      </c>
      <c r="F960">
        <v>296</v>
      </c>
      <c r="G960" t="s">
        <v>129</v>
      </c>
      <c r="H960" t="s">
        <v>50</v>
      </c>
      <c r="K960" t="s">
        <v>51</v>
      </c>
      <c r="L960">
        <v>1</v>
      </c>
      <c r="M960" t="s">
        <v>53</v>
      </c>
      <c r="N960">
        <v>102</v>
      </c>
      <c r="O960">
        <v>1</v>
      </c>
      <c r="P960" t="s">
        <v>52</v>
      </c>
      <c r="Q960">
        <v>0</v>
      </c>
      <c r="R960">
        <v>0.75</v>
      </c>
      <c r="S960">
        <v>228</v>
      </c>
      <c r="T960" t="s">
        <v>284</v>
      </c>
      <c r="U960">
        <v>190</v>
      </c>
      <c r="V960" t="s">
        <v>284</v>
      </c>
      <c r="W960">
        <v>194</v>
      </c>
      <c r="X960" t="s">
        <v>284</v>
      </c>
      <c r="Y960">
        <v>213</v>
      </c>
      <c r="Z960" t="s">
        <v>284</v>
      </c>
      <c r="AA960">
        <v>225</v>
      </c>
      <c r="AB960" t="s">
        <v>285</v>
      </c>
      <c r="AG960">
        <v>210.66669999999999</v>
      </c>
      <c r="AH960" t="s">
        <v>54</v>
      </c>
      <c r="AI960" t="s">
        <v>52</v>
      </c>
      <c r="AZ960" t="s">
        <v>52</v>
      </c>
      <c r="BQ960" t="s">
        <v>52</v>
      </c>
      <c r="BR960">
        <v>1.85</v>
      </c>
      <c r="BS960" t="s">
        <v>284</v>
      </c>
      <c r="BT960">
        <v>1.95</v>
      </c>
      <c r="BU960" t="s">
        <v>284</v>
      </c>
      <c r="BV960">
        <v>1.17</v>
      </c>
      <c r="BW960" t="s">
        <v>285</v>
      </c>
      <c r="BX960">
        <v>1.17</v>
      </c>
      <c r="BY960" t="s">
        <v>285</v>
      </c>
      <c r="BZ960">
        <v>0.64</v>
      </c>
      <c r="CA960" t="s">
        <v>285</v>
      </c>
      <c r="CF960">
        <v>1.4</v>
      </c>
      <c r="CG960" t="s">
        <v>54</v>
      </c>
      <c r="CH960" t="s">
        <v>52</v>
      </c>
    </row>
    <row r="961" spans="1:86" x14ac:dyDescent="0.25">
      <c r="A961" t="s">
        <v>47</v>
      </c>
      <c r="B961">
        <v>8</v>
      </c>
      <c r="C961" t="s">
        <v>179</v>
      </c>
      <c r="D961">
        <v>83</v>
      </c>
      <c r="E961" t="s">
        <v>70</v>
      </c>
      <c r="F961">
        <v>296</v>
      </c>
      <c r="G961" t="s">
        <v>129</v>
      </c>
      <c r="H961" t="s">
        <v>50</v>
      </c>
      <c r="K961" t="s">
        <v>52</v>
      </c>
      <c r="L961">
        <v>1</v>
      </c>
      <c r="M961" t="s">
        <v>53</v>
      </c>
      <c r="N961">
        <v>102</v>
      </c>
      <c r="O961">
        <v>1</v>
      </c>
      <c r="P961" t="s">
        <v>52</v>
      </c>
      <c r="Q961">
        <v>0</v>
      </c>
      <c r="R961">
        <v>0.75</v>
      </c>
      <c r="S961">
        <v>228</v>
      </c>
      <c r="T961" t="s">
        <v>284</v>
      </c>
      <c r="U961">
        <v>190</v>
      </c>
      <c r="V961" t="s">
        <v>284</v>
      </c>
      <c r="W961">
        <v>194</v>
      </c>
      <c r="X961" t="s">
        <v>284</v>
      </c>
      <c r="Y961">
        <v>213</v>
      </c>
      <c r="Z961" t="s">
        <v>284</v>
      </c>
      <c r="AA961">
        <v>225</v>
      </c>
      <c r="AB961" t="s">
        <v>285</v>
      </c>
      <c r="AG961">
        <v>210.66669999999999</v>
      </c>
      <c r="AH961" t="s">
        <v>54</v>
      </c>
      <c r="AI961" t="s">
        <v>52</v>
      </c>
      <c r="AZ961" t="s">
        <v>52</v>
      </c>
      <c r="BQ961" t="s">
        <v>52</v>
      </c>
      <c r="BR961">
        <v>0.65</v>
      </c>
      <c r="BS961" t="s">
        <v>284</v>
      </c>
      <c r="BT961">
        <v>1.0900000000000001</v>
      </c>
      <c r="BU961" t="s">
        <v>284</v>
      </c>
      <c r="BV961">
        <v>0.33</v>
      </c>
      <c r="BW961" t="s">
        <v>284</v>
      </c>
      <c r="BX961">
        <v>0.22</v>
      </c>
      <c r="BY961" t="s">
        <v>284</v>
      </c>
      <c r="BZ961">
        <v>0.22</v>
      </c>
      <c r="CA961" t="s">
        <v>284</v>
      </c>
      <c r="CF961">
        <v>0.4</v>
      </c>
      <c r="CG961" t="s">
        <v>54</v>
      </c>
      <c r="CH961" t="s">
        <v>52</v>
      </c>
    </row>
    <row r="962" spans="1:86" x14ac:dyDescent="0.25">
      <c r="A962" t="s">
        <v>47</v>
      </c>
      <c r="B962">
        <v>8</v>
      </c>
      <c r="C962" t="s">
        <v>179</v>
      </c>
      <c r="D962">
        <v>83</v>
      </c>
      <c r="E962" t="s">
        <v>70</v>
      </c>
      <c r="F962">
        <v>296</v>
      </c>
      <c r="G962" t="s">
        <v>89</v>
      </c>
      <c r="H962" t="s">
        <v>50</v>
      </c>
      <c r="K962" t="s">
        <v>51</v>
      </c>
      <c r="L962">
        <v>1</v>
      </c>
      <c r="M962" t="s">
        <v>53</v>
      </c>
      <c r="N962">
        <v>102</v>
      </c>
      <c r="O962">
        <v>1</v>
      </c>
      <c r="P962" t="s">
        <v>52</v>
      </c>
      <c r="Q962">
        <v>0.25</v>
      </c>
      <c r="R962">
        <v>0.75</v>
      </c>
      <c r="S962">
        <v>228</v>
      </c>
      <c r="T962" t="s">
        <v>284</v>
      </c>
      <c r="U962">
        <v>168</v>
      </c>
      <c r="V962" t="s">
        <v>285</v>
      </c>
      <c r="W962">
        <v>202</v>
      </c>
      <c r="X962" t="s">
        <v>285</v>
      </c>
      <c r="Y962">
        <v>206</v>
      </c>
      <c r="Z962" t="s">
        <v>285</v>
      </c>
      <c r="AA962">
        <v>215</v>
      </c>
      <c r="AB962" t="s">
        <v>285</v>
      </c>
      <c r="AG962">
        <v>207.66669999999999</v>
      </c>
      <c r="AH962" t="s">
        <v>54</v>
      </c>
      <c r="AI962" t="s">
        <v>52</v>
      </c>
      <c r="AZ962" t="s">
        <v>52</v>
      </c>
      <c r="BQ962" t="s">
        <v>52</v>
      </c>
      <c r="BR962">
        <v>2.12</v>
      </c>
      <c r="BS962" t="s">
        <v>289</v>
      </c>
      <c r="BT962">
        <v>3.33</v>
      </c>
      <c r="BU962" t="s">
        <v>289</v>
      </c>
      <c r="BV962">
        <v>2.2799999999999998</v>
      </c>
      <c r="BW962" t="s">
        <v>289</v>
      </c>
      <c r="BX962">
        <v>0.42</v>
      </c>
      <c r="BY962" t="s">
        <v>289</v>
      </c>
      <c r="BZ962">
        <v>0.42</v>
      </c>
      <c r="CA962" t="s">
        <v>284</v>
      </c>
      <c r="CF962">
        <v>1.61</v>
      </c>
      <c r="CG962" t="s">
        <v>54</v>
      </c>
      <c r="CH962" t="s">
        <v>52</v>
      </c>
    </row>
    <row r="963" spans="1:86" x14ac:dyDescent="0.25">
      <c r="A963" t="s">
        <v>47</v>
      </c>
      <c r="B963">
        <v>8</v>
      </c>
      <c r="C963" t="s">
        <v>179</v>
      </c>
      <c r="D963">
        <v>83</v>
      </c>
      <c r="E963" t="s">
        <v>70</v>
      </c>
      <c r="F963">
        <v>296</v>
      </c>
      <c r="G963" t="s">
        <v>122</v>
      </c>
      <c r="H963" t="s">
        <v>50</v>
      </c>
      <c r="K963" t="s">
        <v>51</v>
      </c>
      <c r="L963">
        <v>1</v>
      </c>
      <c r="M963" t="s">
        <v>53</v>
      </c>
      <c r="N963">
        <v>102</v>
      </c>
      <c r="O963">
        <v>1</v>
      </c>
      <c r="P963" t="s">
        <v>52</v>
      </c>
      <c r="Q963">
        <v>0</v>
      </c>
      <c r="R963">
        <v>0.75</v>
      </c>
      <c r="S963">
        <v>228</v>
      </c>
      <c r="T963" t="s">
        <v>284</v>
      </c>
      <c r="U963">
        <v>190</v>
      </c>
      <c r="V963" t="s">
        <v>285</v>
      </c>
      <c r="W963">
        <v>194</v>
      </c>
      <c r="X963" t="s">
        <v>285</v>
      </c>
      <c r="Y963">
        <v>213</v>
      </c>
      <c r="Z963" t="s">
        <v>284</v>
      </c>
      <c r="AA963">
        <v>225</v>
      </c>
      <c r="AB963" t="s">
        <v>285</v>
      </c>
      <c r="AG963">
        <v>210.66669999999999</v>
      </c>
      <c r="AH963" t="s">
        <v>54</v>
      </c>
      <c r="AI963" t="s">
        <v>52</v>
      </c>
      <c r="AZ963" t="s">
        <v>52</v>
      </c>
      <c r="BQ963" t="s">
        <v>52</v>
      </c>
      <c r="BR963">
        <v>1.85</v>
      </c>
      <c r="BS963" t="s">
        <v>284</v>
      </c>
      <c r="BT963">
        <v>1.95</v>
      </c>
      <c r="BU963" t="s">
        <v>284</v>
      </c>
      <c r="BV963">
        <v>1.17</v>
      </c>
      <c r="BW963" t="s">
        <v>285</v>
      </c>
      <c r="BX963">
        <v>1.17</v>
      </c>
      <c r="BY963" t="s">
        <v>285</v>
      </c>
      <c r="BZ963">
        <v>0.64</v>
      </c>
      <c r="CA963" t="s">
        <v>285</v>
      </c>
      <c r="CF963">
        <v>1.4</v>
      </c>
      <c r="CG963" t="s">
        <v>54</v>
      </c>
      <c r="CH963" t="s">
        <v>52</v>
      </c>
    </row>
    <row r="964" spans="1:86" x14ac:dyDescent="0.25">
      <c r="A964" t="s">
        <v>47</v>
      </c>
      <c r="B964">
        <v>8</v>
      </c>
      <c r="C964" t="s">
        <v>179</v>
      </c>
      <c r="D964">
        <v>83</v>
      </c>
      <c r="E964" t="s">
        <v>70</v>
      </c>
      <c r="F964">
        <v>296</v>
      </c>
      <c r="G964" t="s">
        <v>122</v>
      </c>
      <c r="H964" t="s">
        <v>50</v>
      </c>
      <c r="K964" t="s">
        <v>52</v>
      </c>
      <c r="L964">
        <v>1</v>
      </c>
      <c r="M964" t="s">
        <v>53</v>
      </c>
      <c r="N964">
        <v>102</v>
      </c>
      <c r="O964">
        <v>1</v>
      </c>
      <c r="P964" t="s">
        <v>52</v>
      </c>
      <c r="Q964">
        <v>0</v>
      </c>
      <c r="R964">
        <v>0.75</v>
      </c>
      <c r="S964">
        <v>228</v>
      </c>
      <c r="T964" t="s">
        <v>284</v>
      </c>
      <c r="U964">
        <v>190</v>
      </c>
      <c r="V964" t="s">
        <v>285</v>
      </c>
      <c r="W964">
        <v>194</v>
      </c>
      <c r="X964" t="s">
        <v>285</v>
      </c>
      <c r="Y964">
        <v>213</v>
      </c>
      <c r="Z964" t="s">
        <v>284</v>
      </c>
      <c r="AA964">
        <v>225</v>
      </c>
      <c r="AB964" t="s">
        <v>285</v>
      </c>
      <c r="AG964">
        <v>210.66669999999999</v>
      </c>
      <c r="AH964" t="s">
        <v>54</v>
      </c>
      <c r="AI964" t="s">
        <v>52</v>
      </c>
      <c r="AZ964" t="s">
        <v>52</v>
      </c>
      <c r="BQ964" t="s">
        <v>52</v>
      </c>
      <c r="BR964">
        <v>0.65</v>
      </c>
      <c r="BS964" t="s">
        <v>284</v>
      </c>
      <c r="BT964">
        <v>0.98</v>
      </c>
      <c r="BU964" t="s">
        <v>284</v>
      </c>
      <c r="BV964">
        <v>0.33</v>
      </c>
      <c r="BW964" t="s">
        <v>284</v>
      </c>
      <c r="BX964">
        <v>0.22</v>
      </c>
      <c r="BY964" t="s">
        <v>284</v>
      </c>
      <c r="BZ964">
        <v>0.22</v>
      </c>
      <c r="CA964" t="s">
        <v>284</v>
      </c>
      <c r="CF964">
        <v>0.4</v>
      </c>
      <c r="CG964" t="s">
        <v>54</v>
      </c>
      <c r="CH964" t="s">
        <v>52</v>
      </c>
    </row>
    <row r="965" spans="1:86" x14ac:dyDescent="0.25">
      <c r="A965" t="s">
        <v>47</v>
      </c>
      <c r="B965">
        <v>8</v>
      </c>
      <c r="C965" t="s">
        <v>179</v>
      </c>
      <c r="D965">
        <v>83</v>
      </c>
      <c r="E965" t="s">
        <v>70</v>
      </c>
      <c r="F965">
        <v>296</v>
      </c>
      <c r="G965" t="s">
        <v>90</v>
      </c>
      <c r="H965" t="s">
        <v>50</v>
      </c>
      <c r="K965" t="s">
        <v>51</v>
      </c>
      <c r="L965">
        <v>1</v>
      </c>
      <c r="M965" t="s">
        <v>53</v>
      </c>
      <c r="N965">
        <v>102</v>
      </c>
      <c r="O965">
        <v>1</v>
      </c>
      <c r="P965" t="s">
        <v>52</v>
      </c>
      <c r="Q965">
        <v>0.5</v>
      </c>
      <c r="R965">
        <v>0.75</v>
      </c>
      <c r="S965">
        <v>228</v>
      </c>
      <c r="T965" t="s">
        <v>284</v>
      </c>
      <c r="U965">
        <v>190</v>
      </c>
      <c r="V965" t="s">
        <v>285</v>
      </c>
      <c r="W965">
        <v>236</v>
      </c>
      <c r="X965" t="s">
        <v>284</v>
      </c>
      <c r="Y965">
        <v>244</v>
      </c>
      <c r="Z965" t="s">
        <v>284</v>
      </c>
      <c r="AA965">
        <v>215</v>
      </c>
      <c r="AB965" t="s">
        <v>285</v>
      </c>
      <c r="AG965">
        <v>226.33330000000001</v>
      </c>
      <c r="AH965" t="s">
        <v>54</v>
      </c>
      <c r="AI965" t="s">
        <v>52</v>
      </c>
      <c r="AZ965" t="s">
        <v>52</v>
      </c>
      <c r="BQ965" t="s">
        <v>52</v>
      </c>
      <c r="BR965">
        <v>0.65</v>
      </c>
      <c r="BS965" t="s">
        <v>284</v>
      </c>
      <c r="BT965">
        <v>1.74</v>
      </c>
      <c r="BU965" t="s">
        <v>284</v>
      </c>
      <c r="BV965">
        <v>2.13</v>
      </c>
      <c r="BW965" t="s">
        <v>284</v>
      </c>
      <c r="BX965">
        <v>1.32</v>
      </c>
      <c r="BY965" t="s">
        <v>284</v>
      </c>
      <c r="BZ965">
        <v>1.32</v>
      </c>
      <c r="CA965" t="s">
        <v>284</v>
      </c>
      <c r="CF965">
        <v>1.46</v>
      </c>
      <c r="CG965" t="s">
        <v>54</v>
      </c>
      <c r="CH965" t="s">
        <v>52</v>
      </c>
    </row>
    <row r="966" spans="1:86" x14ac:dyDescent="0.25">
      <c r="A966" t="s">
        <v>47</v>
      </c>
      <c r="B966">
        <v>8</v>
      </c>
      <c r="C966" t="s">
        <v>179</v>
      </c>
      <c r="D966">
        <v>83</v>
      </c>
      <c r="E966" t="s">
        <v>70</v>
      </c>
      <c r="F966">
        <v>296</v>
      </c>
      <c r="G966" t="s">
        <v>90</v>
      </c>
      <c r="H966" t="s">
        <v>50</v>
      </c>
      <c r="K966" t="s">
        <v>52</v>
      </c>
      <c r="L966">
        <v>1</v>
      </c>
      <c r="M966" t="s">
        <v>53</v>
      </c>
      <c r="N966">
        <v>102</v>
      </c>
      <c r="O966">
        <v>1</v>
      </c>
      <c r="P966" t="s">
        <v>52</v>
      </c>
      <c r="Q966">
        <v>0.5</v>
      </c>
      <c r="R966">
        <v>0.75</v>
      </c>
      <c r="S966">
        <v>228</v>
      </c>
      <c r="T966" t="s">
        <v>284</v>
      </c>
      <c r="U966">
        <v>190</v>
      </c>
      <c r="V966" t="s">
        <v>285</v>
      </c>
      <c r="W966">
        <v>236</v>
      </c>
      <c r="X966" t="s">
        <v>284</v>
      </c>
      <c r="Y966">
        <v>244</v>
      </c>
      <c r="Z966" t="s">
        <v>284</v>
      </c>
      <c r="AA966">
        <v>215</v>
      </c>
      <c r="AB966" t="s">
        <v>285</v>
      </c>
      <c r="AG966">
        <v>226.33330000000001</v>
      </c>
      <c r="AH966" t="s">
        <v>54</v>
      </c>
      <c r="AI966" t="s">
        <v>52</v>
      </c>
      <c r="AZ966" t="s">
        <v>52</v>
      </c>
      <c r="BQ966" t="s">
        <v>52</v>
      </c>
      <c r="BR966">
        <v>0.65</v>
      </c>
      <c r="BS966" t="s">
        <v>284</v>
      </c>
      <c r="BT966">
        <v>0.91</v>
      </c>
      <c r="BU966" t="s">
        <v>284</v>
      </c>
      <c r="BV966">
        <v>0.28000000000000003</v>
      </c>
      <c r="BW966" t="s">
        <v>284</v>
      </c>
      <c r="BX966">
        <v>0.25</v>
      </c>
      <c r="BY966" t="s">
        <v>285</v>
      </c>
      <c r="BZ966">
        <v>0.25</v>
      </c>
      <c r="CA966" t="s">
        <v>284</v>
      </c>
      <c r="CF966">
        <v>0.39</v>
      </c>
      <c r="CG966" t="s">
        <v>54</v>
      </c>
      <c r="CH966" t="s">
        <v>52</v>
      </c>
    </row>
    <row r="967" spans="1:86" x14ac:dyDescent="0.25">
      <c r="A967" t="s">
        <v>47</v>
      </c>
      <c r="B967">
        <v>8</v>
      </c>
      <c r="C967" t="s">
        <v>179</v>
      </c>
      <c r="D967">
        <v>83</v>
      </c>
      <c r="E967" t="s">
        <v>70</v>
      </c>
      <c r="F967">
        <v>296</v>
      </c>
      <c r="G967" t="s">
        <v>91</v>
      </c>
      <c r="H967" t="s">
        <v>50</v>
      </c>
      <c r="K967" t="s">
        <v>51</v>
      </c>
      <c r="L967">
        <v>1</v>
      </c>
      <c r="M967" t="s">
        <v>53</v>
      </c>
      <c r="N967">
        <v>102</v>
      </c>
      <c r="O967">
        <v>1</v>
      </c>
      <c r="P967" t="s">
        <v>52</v>
      </c>
      <c r="Q967">
        <v>0.5</v>
      </c>
      <c r="R967">
        <v>0.75</v>
      </c>
      <c r="S967">
        <v>228</v>
      </c>
      <c r="T967" t="s">
        <v>284</v>
      </c>
      <c r="U967">
        <v>190</v>
      </c>
      <c r="V967" t="s">
        <v>285</v>
      </c>
      <c r="W967">
        <v>236</v>
      </c>
      <c r="X967" t="s">
        <v>284</v>
      </c>
      <c r="Y967">
        <v>244</v>
      </c>
      <c r="Z967" t="s">
        <v>284</v>
      </c>
      <c r="AA967">
        <v>215</v>
      </c>
      <c r="AB967" t="s">
        <v>285</v>
      </c>
      <c r="AG967">
        <v>226.33330000000001</v>
      </c>
      <c r="AH967" t="s">
        <v>54</v>
      </c>
      <c r="AI967" t="s">
        <v>52</v>
      </c>
      <c r="AZ967" t="s">
        <v>52</v>
      </c>
      <c r="BQ967" t="s">
        <v>52</v>
      </c>
      <c r="BR967">
        <v>1.85</v>
      </c>
      <c r="BS967" t="s">
        <v>284</v>
      </c>
      <c r="BT967">
        <v>1.74</v>
      </c>
      <c r="BU967" t="s">
        <v>284</v>
      </c>
      <c r="BV967">
        <v>2.13</v>
      </c>
      <c r="BW967" t="s">
        <v>284</v>
      </c>
      <c r="BX967">
        <v>1.32</v>
      </c>
      <c r="BY967" t="s">
        <v>284</v>
      </c>
      <c r="BZ967">
        <v>1.32</v>
      </c>
      <c r="CA967" t="s">
        <v>284</v>
      </c>
      <c r="CF967">
        <v>1.64</v>
      </c>
      <c r="CG967" t="s">
        <v>54</v>
      </c>
      <c r="CH967" t="s">
        <v>52</v>
      </c>
    </row>
    <row r="968" spans="1:86" x14ac:dyDescent="0.25">
      <c r="A968" t="s">
        <v>47</v>
      </c>
      <c r="B968">
        <v>8</v>
      </c>
      <c r="C968" t="s">
        <v>179</v>
      </c>
      <c r="D968">
        <v>83</v>
      </c>
      <c r="E968" t="s">
        <v>70</v>
      </c>
      <c r="F968">
        <v>296</v>
      </c>
      <c r="G968" t="s">
        <v>91</v>
      </c>
      <c r="H968" t="s">
        <v>50</v>
      </c>
      <c r="K968" t="s">
        <v>52</v>
      </c>
      <c r="L968">
        <v>1</v>
      </c>
      <c r="M968" t="s">
        <v>53</v>
      </c>
      <c r="N968">
        <v>102</v>
      </c>
      <c r="O968">
        <v>1</v>
      </c>
      <c r="P968" t="s">
        <v>52</v>
      </c>
      <c r="Q968">
        <v>0.5</v>
      </c>
      <c r="R968">
        <v>0.75</v>
      </c>
      <c r="S968">
        <v>228</v>
      </c>
      <c r="T968" t="s">
        <v>284</v>
      </c>
      <c r="U968">
        <v>190</v>
      </c>
      <c r="V968" t="s">
        <v>285</v>
      </c>
      <c r="W968">
        <v>236</v>
      </c>
      <c r="X968" t="s">
        <v>284</v>
      </c>
      <c r="Y968">
        <v>244</v>
      </c>
      <c r="Z968" t="s">
        <v>284</v>
      </c>
      <c r="AA968">
        <v>215</v>
      </c>
      <c r="AB968" t="s">
        <v>285</v>
      </c>
      <c r="AG968">
        <v>226.33330000000001</v>
      </c>
      <c r="AH968" t="s">
        <v>54</v>
      </c>
      <c r="AI968" t="s">
        <v>52</v>
      </c>
      <c r="AZ968" t="s">
        <v>52</v>
      </c>
      <c r="BQ968" t="s">
        <v>52</v>
      </c>
      <c r="BR968">
        <v>0.65</v>
      </c>
      <c r="BS968" t="s">
        <v>285</v>
      </c>
      <c r="BT968">
        <v>0.91</v>
      </c>
      <c r="BU968" t="s">
        <v>284</v>
      </c>
      <c r="BV968">
        <v>0.28000000000000003</v>
      </c>
      <c r="BW968" t="s">
        <v>284</v>
      </c>
      <c r="BX968">
        <v>0.25</v>
      </c>
      <c r="BY968" t="s">
        <v>285</v>
      </c>
      <c r="BZ968">
        <v>0.25</v>
      </c>
      <c r="CA968" t="s">
        <v>284</v>
      </c>
      <c r="CF968">
        <v>0.39</v>
      </c>
      <c r="CG968" t="s">
        <v>54</v>
      </c>
      <c r="CH968" t="s">
        <v>52</v>
      </c>
    </row>
    <row r="969" spans="1:86" x14ac:dyDescent="0.25">
      <c r="A969" t="s">
        <v>47</v>
      </c>
      <c r="B969">
        <v>8</v>
      </c>
      <c r="C969" t="s">
        <v>179</v>
      </c>
      <c r="D969">
        <v>83</v>
      </c>
      <c r="E969" t="s">
        <v>70</v>
      </c>
      <c r="F969">
        <v>296</v>
      </c>
      <c r="G969" t="s">
        <v>124</v>
      </c>
      <c r="H969" t="s">
        <v>50</v>
      </c>
      <c r="K969" t="s">
        <v>51</v>
      </c>
      <c r="L969">
        <v>1</v>
      </c>
      <c r="M969" t="s">
        <v>53</v>
      </c>
      <c r="N969">
        <v>102</v>
      </c>
      <c r="O969">
        <v>1</v>
      </c>
      <c r="P969" t="s">
        <v>52</v>
      </c>
      <c r="Q969">
        <v>0</v>
      </c>
      <c r="R969">
        <v>0.75</v>
      </c>
      <c r="S969">
        <v>228</v>
      </c>
      <c r="T969" t="s">
        <v>284</v>
      </c>
      <c r="U969">
        <v>177</v>
      </c>
      <c r="V969" t="s">
        <v>284</v>
      </c>
      <c r="W969">
        <v>147</v>
      </c>
      <c r="X969" t="s">
        <v>284</v>
      </c>
      <c r="Y969">
        <v>170</v>
      </c>
      <c r="Z969" t="s">
        <v>284</v>
      </c>
      <c r="AA969">
        <v>205</v>
      </c>
      <c r="AB969" t="s">
        <v>285</v>
      </c>
      <c r="AG969">
        <v>184</v>
      </c>
      <c r="AH969" t="s">
        <v>54</v>
      </c>
      <c r="AI969" t="s">
        <v>52</v>
      </c>
      <c r="AZ969" t="s">
        <v>52</v>
      </c>
      <c r="BQ969" t="s">
        <v>52</v>
      </c>
      <c r="BR969">
        <v>1.85</v>
      </c>
      <c r="BS969" t="s">
        <v>284</v>
      </c>
      <c r="BT969">
        <v>1.95</v>
      </c>
      <c r="BU969" t="s">
        <v>284</v>
      </c>
      <c r="BV969">
        <v>2.5499999999999998</v>
      </c>
      <c r="BW969" t="s">
        <v>284</v>
      </c>
      <c r="BX969">
        <v>1.29</v>
      </c>
      <c r="BY969" t="s">
        <v>284</v>
      </c>
      <c r="BZ969">
        <v>0.76</v>
      </c>
      <c r="CA969" t="s">
        <v>288</v>
      </c>
      <c r="CF969">
        <v>1.7</v>
      </c>
      <c r="CG969" t="s">
        <v>54</v>
      </c>
      <c r="CH969" t="s">
        <v>52</v>
      </c>
    </row>
    <row r="970" spans="1:86" x14ac:dyDescent="0.25">
      <c r="A970" t="s">
        <v>47</v>
      </c>
      <c r="B970">
        <v>8</v>
      </c>
      <c r="C970" t="s">
        <v>179</v>
      </c>
      <c r="D970">
        <v>83</v>
      </c>
      <c r="E970" t="s">
        <v>70</v>
      </c>
      <c r="F970">
        <v>296</v>
      </c>
      <c r="G970" t="s">
        <v>124</v>
      </c>
      <c r="H970" t="s">
        <v>50</v>
      </c>
      <c r="K970" t="s">
        <v>52</v>
      </c>
      <c r="L970">
        <v>1</v>
      </c>
      <c r="M970" t="s">
        <v>53</v>
      </c>
      <c r="N970">
        <v>102</v>
      </c>
      <c r="O970">
        <v>1</v>
      </c>
      <c r="P970" t="s">
        <v>52</v>
      </c>
      <c r="Q970">
        <v>0</v>
      </c>
      <c r="R970">
        <v>0.75</v>
      </c>
      <c r="S970">
        <v>228</v>
      </c>
      <c r="T970" t="s">
        <v>284</v>
      </c>
      <c r="U970">
        <v>177</v>
      </c>
      <c r="V970" t="s">
        <v>284</v>
      </c>
      <c r="W970">
        <v>147</v>
      </c>
      <c r="X970" t="s">
        <v>284</v>
      </c>
      <c r="Y970">
        <v>170</v>
      </c>
      <c r="Z970" t="s">
        <v>284</v>
      </c>
      <c r="AA970">
        <v>205</v>
      </c>
      <c r="AB970" t="s">
        <v>285</v>
      </c>
      <c r="AG970">
        <v>184</v>
      </c>
      <c r="AH970" t="s">
        <v>54</v>
      </c>
      <c r="AI970" t="s">
        <v>52</v>
      </c>
      <c r="AZ970" t="s">
        <v>52</v>
      </c>
      <c r="BQ970" t="s">
        <v>52</v>
      </c>
      <c r="BR970">
        <v>0.65</v>
      </c>
      <c r="BS970" t="s">
        <v>285</v>
      </c>
      <c r="BT970">
        <v>0.52</v>
      </c>
      <c r="BU970" t="s">
        <v>284</v>
      </c>
      <c r="BV970">
        <v>0.11</v>
      </c>
      <c r="BW970" t="s">
        <v>284</v>
      </c>
      <c r="BX970">
        <v>0.25</v>
      </c>
      <c r="BY970" t="s">
        <v>285</v>
      </c>
      <c r="BZ970">
        <v>0.05</v>
      </c>
      <c r="CA970" t="s">
        <v>288</v>
      </c>
      <c r="CF970">
        <v>0.28999999999999998</v>
      </c>
      <c r="CG970" t="s">
        <v>54</v>
      </c>
      <c r="CH970" t="s">
        <v>52</v>
      </c>
    </row>
    <row r="971" spans="1:86" x14ac:dyDescent="0.25">
      <c r="A971" t="s">
        <v>47</v>
      </c>
      <c r="B971">
        <v>8</v>
      </c>
      <c r="C971" t="s">
        <v>179</v>
      </c>
      <c r="D971">
        <v>83</v>
      </c>
      <c r="E971" t="s">
        <v>70</v>
      </c>
      <c r="F971">
        <v>296</v>
      </c>
      <c r="G971" t="s">
        <v>92</v>
      </c>
      <c r="H971" t="s">
        <v>50</v>
      </c>
      <c r="K971" t="s">
        <v>51</v>
      </c>
      <c r="L971">
        <v>1</v>
      </c>
      <c r="M971" t="s">
        <v>53</v>
      </c>
      <c r="N971">
        <v>102</v>
      </c>
      <c r="O971">
        <v>1</v>
      </c>
      <c r="P971" t="s">
        <v>52</v>
      </c>
      <c r="Q971">
        <v>0.5</v>
      </c>
      <c r="R971">
        <v>0.75</v>
      </c>
      <c r="S971">
        <v>228</v>
      </c>
      <c r="T971" t="s">
        <v>284</v>
      </c>
      <c r="U971">
        <v>189</v>
      </c>
      <c r="V971" t="s">
        <v>285</v>
      </c>
      <c r="W971">
        <v>199</v>
      </c>
      <c r="X971" t="s">
        <v>285</v>
      </c>
      <c r="Y971">
        <v>206</v>
      </c>
      <c r="Z971" t="s">
        <v>285</v>
      </c>
      <c r="AA971">
        <v>128</v>
      </c>
      <c r="AB971" t="s">
        <v>285</v>
      </c>
      <c r="AG971">
        <v>198</v>
      </c>
      <c r="AH971" t="s">
        <v>54</v>
      </c>
      <c r="AI971" t="s">
        <v>52</v>
      </c>
      <c r="AZ971" t="s">
        <v>52</v>
      </c>
      <c r="BQ971" t="s">
        <v>52</v>
      </c>
      <c r="BR971">
        <v>1.85</v>
      </c>
      <c r="BS971" t="s">
        <v>284</v>
      </c>
      <c r="BT971">
        <v>1.95</v>
      </c>
      <c r="BU971" t="s">
        <v>284</v>
      </c>
      <c r="BV971">
        <v>1.95</v>
      </c>
      <c r="BW971" t="s">
        <v>284</v>
      </c>
      <c r="BX971">
        <v>1.95</v>
      </c>
      <c r="BY971" t="s">
        <v>284</v>
      </c>
      <c r="BZ971">
        <v>1.95</v>
      </c>
      <c r="CA971" t="s">
        <v>285</v>
      </c>
      <c r="CF971">
        <v>1.95</v>
      </c>
      <c r="CG971" t="s">
        <v>54</v>
      </c>
      <c r="CH971" t="s">
        <v>52</v>
      </c>
    </row>
    <row r="972" spans="1:86" x14ac:dyDescent="0.25">
      <c r="A972" t="s">
        <v>47</v>
      </c>
      <c r="B972">
        <v>8</v>
      </c>
      <c r="C972" t="s">
        <v>179</v>
      </c>
      <c r="D972">
        <v>83</v>
      </c>
      <c r="E972" t="s">
        <v>70</v>
      </c>
      <c r="F972">
        <v>296</v>
      </c>
      <c r="G972" t="s">
        <v>92</v>
      </c>
      <c r="H972" t="s">
        <v>50</v>
      </c>
      <c r="K972" t="s">
        <v>52</v>
      </c>
      <c r="L972">
        <v>1</v>
      </c>
      <c r="M972" t="s">
        <v>53</v>
      </c>
      <c r="N972">
        <v>102</v>
      </c>
      <c r="O972">
        <v>1</v>
      </c>
      <c r="P972" t="s">
        <v>52</v>
      </c>
      <c r="Q972">
        <v>0.5</v>
      </c>
      <c r="R972">
        <v>0.75</v>
      </c>
      <c r="S972">
        <v>228</v>
      </c>
      <c r="T972" t="s">
        <v>284</v>
      </c>
      <c r="U972">
        <v>189</v>
      </c>
      <c r="V972" t="s">
        <v>285</v>
      </c>
      <c r="W972">
        <v>199</v>
      </c>
      <c r="X972" t="s">
        <v>285</v>
      </c>
      <c r="Y972">
        <v>206</v>
      </c>
      <c r="Z972" t="s">
        <v>285</v>
      </c>
      <c r="AA972">
        <v>128</v>
      </c>
      <c r="AB972" t="s">
        <v>285</v>
      </c>
      <c r="AG972">
        <v>198</v>
      </c>
      <c r="AH972" t="s">
        <v>54</v>
      </c>
      <c r="AI972" t="s">
        <v>52</v>
      </c>
      <c r="AZ972" t="s">
        <v>52</v>
      </c>
      <c r="BQ972" t="s">
        <v>52</v>
      </c>
      <c r="BR972">
        <v>1.85</v>
      </c>
      <c r="BS972" t="s">
        <v>284</v>
      </c>
      <c r="BT972">
        <v>1.0900000000000001</v>
      </c>
      <c r="BU972" t="s">
        <v>284</v>
      </c>
      <c r="BV972">
        <v>0.32</v>
      </c>
      <c r="BW972" t="s">
        <v>284</v>
      </c>
      <c r="BX972">
        <v>0.44</v>
      </c>
      <c r="BY972" t="s">
        <v>284</v>
      </c>
      <c r="CH972" t="s">
        <v>52</v>
      </c>
    </row>
    <row r="973" spans="1:86" x14ac:dyDescent="0.25">
      <c r="A973" t="s">
        <v>47</v>
      </c>
      <c r="B973">
        <v>8</v>
      </c>
      <c r="C973" t="s">
        <v>179</v>
      </c>
      <c r="D973">
        <v>83</v>
      </c>
      <c r="E973" t="s">
        <v>70</v>
      </c>
      <c r="F973">
        <v>296</v>
      </c>
      <c r="G973" t="s">
        <v>116</v>
      </c>
      <c r="H973" t="s">
        <v>50</v>
      </c>
      <c r="K973" t="s">
        <v>51</v>
      </c>
      <c r="L973">
        <v>1</v>
      </c>
      <c r="M973" t="s">
        <v>53</v>
      </c>
      <c r="N973">
        <v>102</v>
      </c>
      <c r="O973">
        <v>1</v>
      </c>
      <c r="P973" t="s">
        <v>52</v>
      </c>
      <c r="Q973">
        <v>0.5</v>
      </c>
      <c r="R973">
        <v>0.75</v>
      </c>
      <c r="S973">
        <v>228</v>
      </c>
      <c r="T973" t="s">
        <v>284</v>
      </c>
      <c r="U973">
        <v>190</v>
      </c>
      <c r="V973" t="s">
        <v>285</v>
      </c>
      <c r="W973">
        <v>236</v>
      </c>
      <c r="X973" t="s">
        <v>284</v>
      </c>
      <c r="Y973">
        <v>244</v>
      </c>
      <c r="Z973" t="s">
        <v>284</v>
      </c>
      <c r="AA973">
        <v>215</v>
      </c>
      <c r="AB973" t="s">
        <v>285</v>
      </c>
      <c r="AG973">
        <v>226.33330000000001</v>
      </c>
      <c r="AH973" t="s">
        <v>54</v>
      </c>
      <c r="AI973" t="s">
        <v>52</v>
      </c>
      <c r="AZ973" t="s">
        <v>52</v>
      </c>
      <c r="BQ973" t="s">
        <v>52</v>
      </c>
      <c r="BR973">
        <v>1.85</v>
      </c>
      <c r="BS973" t="s">
        <v>285</v>
      </c>
      <c r="BT973">
        <v>1.74</v>
      </c>
      <c r="BU973" t="s">
        <v>284</v>
      </c>
      <c r="BV973">
        <v>2.13</v>
      </c>
      <c r="BW973" t="s">
        <v>284</v>
      </c>
      <c r="BX973">
        <v>1.32</v>
      </c>
      <c r="BY973" t="s">
        <v>284</v>
      </c>
      <c r="BZ973">
        <v>1.32</v>
      </c>
      <c r="CA973" t="s">
        <v>284</v>
      </c>
      <c r="CF973">
        <v>1.64</v>
      </c>
      <c r="CG973" t="s">
        <v>54</v>
      </c>
      <c r="CH973" t="s">
        <v>52</v>
      </c>
    </row>
    <row r="974" spans="1:86" x14ac:dyDescent="0.25">
      <c r="A974" t="s">
        <v>47</v>
      </c>
      <c r="B974">
        <v>8</v>
      </c>
      <c r="C974" t="s">
        <v>179</v>
      </c>
      <c r="D974">
        <v>83</v>
      </c>
      <c r="E974" t="s">
        <v>70</v>
      </c>
      <c r="F974">
        <v>296</v>
      </c>
      <c r="G974" t="s">
        <v>116</v>
      </c>
      <c r="H974" t="s">
        <v>50</v>
      </c>
      <c r="K974" t="s">
        <v>52</v>
      </c>
      <c r="L974">
        <v>1</v>
      </c>
      <c r="M974" t="s">
        <v>53</v>
      </c>
      <c r="N974">
        <v>102</v>
      </c>
      <c r="O974">
        <v>1</v>
      </c>
      <c r="P974" t="s">
        <v>52</v>
      </c>
      <c r="Q974">
        <v>0.5</v>
      </c>
      <c r="R974">
        <v>0.75</v>
      </c>
      <c r="S974">
        <v>228</v>
      </c>
      <c r="T974" t="s">
        <v>284</v>
      </c>
      <c r="U974">
        <v>190</v>
      </c>
      <c r="V974" t="s">
        <v>285</v>
      </c>
      <c r="W974">
        <v>236</v>
      </c>
      <c r="X974" t="s">
        <v>284</v>
      </c>
      <c r="Y974">
        <v>244</v>
      </c>
      <c r="Z974" t="s">
        <v>284</v>
      </c>
      <c r="AA974">
        <v>215</v>
      </c>
      <c r="AB974" t="s">
        <v>285</v>
      </c>
      <c r="AG974">
        <v>226.33330000000001</v>
      </c>
      <c r="AH974" t="s">
        <v>54</v>
      </c>
      <c r="AI974" t="s">
        <v>52</v>
      </c>
      <c r="AZ974" t="s">
        <v>52</v>
      </c>
      <c r="BQ974" t="s">
        <v>52</v>
      </c>
      <c r="BR974">
        <v>0.65</v>
      </c>
      <c r="BS974" t="s">
        <v>285</v>
      </c>
      <c r="BT974">
        <v>0.91</v>
      </c>
      <c r="BU974" t="s">
        <v>284</v>
      </c>
      <c r="BV974">
        <v>0.28000000000000003</v>
      </c>
      <c r="BW974" t="s">
        <v>284</v>
      </c>
      <c r="BX974">
        <v>0.25</v>
      </c>
      <c r="BY974" t="s">
        <v>284</v>
      </c>
      <c r="BZ974">
        <v>0.25</v>
      </c>
      <c r="CA974" t="s">
        <v>284</v>
      </c>
      <c r="CF974">
        <v>0.39</v>
      </c>
      <c r="CG974" t="s">
        <v>54</v>
      </c>
      <c r="CH974" t="s">
        <v>52</v>
      </c>
    </row>
    <row r="975" spans="1:86" x14ac:dyDescent="0.25">
      <c r="A975" t="s">
        <v>47</v>
      </c>
      <c r="B975">
        <v>8</v>
      </c>
      <c r="C975" t="s">
        <v>179</v>
      </c>
      <c r="D975">
        <v>83</v>
      </c>
      <c r="E975" t="s">
        <v>75</v>
      </c>
      <c r="F975">
        <v>16</v>
      </c>
      <c r="G975" t="s">
        <v>76</v>
      </c>
      <c r="H975" t="s">
        <v>50</v>
      </c>
      <c r="K975" t="s">
        <v>51</v>
      </c>
      <c r="L975">
        <v>1</v>
      </c>
      <c r="M975" t="s">
        <v>53</v>
      </c>
      <c r="N975">
        <v>16</v>
      </c>
      <c r="O975">
        <v>2</v>
      </c>
      <c r="P975" t="s">
        <v>52</v>
      </c>
      <c r="Q975">
        <v>0.5</v>
      </c>
      <c r="R975">
        <v>0.75</v>
      </c>
      <c r="S975">
        <v>83.35</v>
      </c>
      <c r="T975" t="s">
        <v>285</v>
      </c>
      <c r="U975">
        <v>96.14</v>
      </c>
      <c r="V975" t="s">
        <v>284</v>
      </c>
      <c r="W975">
        <v>103.37</v>
      </c>
      <c r="X975" t="s">
        <v>284</v>
      </c>
      <c r="Y975">
        <v>106.14</v>
      </c>
      <c r="Z975" t="s">
        <v>284</v>
      </c>
      <c r="AA975">
        <v>128</v>
      </c>
      <c r="AB975" t="s">
        <v>285</v>
      </c>
      <c r="AG975">
        <v>101.88330000000001</v>
      </c>
      <c r="AH975" t="s">
        <v>54</v>
      </c>
      <c r="AI975" t="s">
        <v>52</v>
      </c>
      <c r="AX975">
        <v>146.69999999999999</v>
      </c>
      <c r="AY975" t="s">
        <v>285</v>
      </c>
      <c r="AZ975" t="s">
        <v>287</v>
      </c>
      <c r="BQ975" t="s">
        <v>52</v>
      </c>
      <c r="BR975">
        <v>1.85</v>
      </c>
      <c r="BS975" t="s">
        <v>284</v>
      </c>
      <c r="BT975">
        <v>1.95</v>
      </c>
      <c r="BU975" t="s">
        <v>284</v>
      </c>
      <c r="BV975">
        <v>1.64</v>
      </c>
      <c r="BW975" t="s">
        <v>284</v>
      </c>
      <c r="BX975">
        <v>2.67</v>
      </c>
      <c r="BY975" t="s">
        <v>284</v>
      </c>
      <c r="BZ975">
        <v>3.12</v>
      </c>
      <c r="CA975" t="s">
        <v>289</v>
      </c>
      <c r="CF975">
        <v>2.16</v>
      </c>
      <c r="CG975" t="s">
        <v>54</v>
      </c>
      <c r="CH975" t="s">
        <v>52</v>
      </c>
    </row>
    <row r="976" spans="1:86" x14ac:dyDescent="0.25">
      <c r="A976" t="s">
        <v>47</v>
      </c>
      <c r="B976">
        <v>8</v>
      </c>
      <c r="C976" t="s">
        <v>179</v>
      </c>
      <c r="D976">
        <v>83</v>
      </c>
      <c r="E976" t="s">
        <v>75</v>
      </c>
      <c r="F976">
        <v>16</v>
      </c>
      <c r="G976" t="s">
        <v>76</v>
      </c>
      <c r="H976" t="s">
        <v>50</v>
      </c>
      <c r="K976" t="s">
        <v>52</v>
      </c>
      <c r="L976">
        <v>1</v>
      </c>
      <c r="M976" t="s">
        <v>53</v>
      </c>
      <c r="N976">
        <v>16</v>
      </c>
      <c r="O976">
        <v>2</v>
      </c>
      <c r="P976" t="s">
        <v>52</v>
      </c>
      <c r="Q976">
        <v>0.5</v>
      </c>
      <c r="R976">
        <v>0.75</v>
      </c>
      <c r="S976">
        <v>83.35</v>
      </c>
      <c r="T976" t="s">
        <v>285</v>
      </c>
      <c r="U976">
        <v>96.14</v>
      </c>
      <c r="V976" t="s">
        <v>284</v>
      </c>
      <c r="W976">
        <v>103.37</v>
      </c>
      <c r="X976" t="s">
        <v>284</v>
      </c>
      <c r="Y976">
        <v>106.14</v>
      </c>
      <c r="Z976" t="s">
        <v>284</v>
      </c>
      <c r="AA976">
        <v>128</v>
      </c>
      <c r="AB976" t="s">
        <v>285</v>
      </c>
      <c r="AG976">
        <v>101.88330000000001</v>
      </c>
      <c r="AH976" t="s">
        <v>54</v>
      </c>
      <c r="AI976" t="s">
        <v>52</v>
      </c>
      <c r="AX976">
        <v>146.69999999999999</v>
      </c>
      <c r="AY976" t="s">
        <v>285</v>
      </c>
      <c r="AZ976" t="s">
        <v>287</v>
      </c>
      <c r="BQ976" t="s">
        <v>52</v>
      </c>
      <c r="BR976">
        <v>0.65</v>
      </c>
      <c r="BS976" t="s">
        <v>284</v>
      </c>
      <c r="BT976">
        <v>0.94</v>
      </c>
      <c r="BU976" t="s">
        <v>284</v>
      </c>
      <c r="BV976">
        <v>1.7</v>
      </c>
      <c r="BW976" t="s">
        <v>284</v>
      </c>
      <c r="BX976">
        <v>1.75</v>
      </c>
      <c r="BY976" t="s">
        <v>284</v>
      </c>
      <c r="BZ976">
        <v>0.35</v>
      </c>
      <c r="CA976" t="s">
        <v>289</v>
      </c>
      <c r="CF976">
        <v>1.1000000000000001</v>
      </c>
      <c r="CG976" t="s">
        <v>54</v>
      </c>
      <c r="CH976" t="s">
        <v>52</v>
      </c>
    </row>
    <row r="977" spans="1:86" x14ac:dyDescent="0.25">
      <c r="A977" t="s">
        <v>47</v>
      </c>
      <c r="B977">
        <v>8</v>
      </c>
      <c r="C977" t="s">
        <v>179</v>
      </c>
      <c r="D977">
        <v>83</v>
      </c>
      <c r="E977" t="s">
        <v>94</v>
      </c>
      <c r="F977">
        <v>26</v>
      </c>
      <c r="H977" t="s">
        <v>50</v>
      </c>
      <c r="K977" t="s">
        <v>51</v>
      </c>
      <c r="L977">
        <v>1</v>
      </c>
      <c r="M977" t="s">
        <v>53</v>
      </c>
      <c r="N977">
        <v>102</v>
      </c>
      <c r="O977">
        <v>1</v>
      </c>
      <c r="P977" t="s">
        <v>52</v>
      </c>
      <c r="Q977">
        <v>0</v>
      </c>
      <c r="R977">
        <v>0.92</v>
      </c>
      <c r="S977">
        <v>131.69999999999999</v>
      </c>
      <c r="T977" t="s">
        <v>284</v>
      </c>
      <c r="U977">
        <v>170</v>
      </c>
      <c r="V977" t="s">
        <v>284</v>
      </c>
      <c r="W977">
        <v>191</v>
      </c>
      <c r="X977" t="s">
        <v>284</v>
      </c>
      <c r="Y977">
        <v>207</v>
      </c>
      <c r="Z977" t="s">
        <v>284</v>
      </c>
      <c r="AA977">
        <v>186</v>
      </c>
      <c r="AB977" t="s">
        <v>284</v>
      </c>
      <c r="AG977">
        <v>182.33330000000001</v>
      </c>
      <c r="AH977" t="s">
        <v>54</v>
      </c>
      <c r="AI977" t="s">
        <v>52</v>
      </c>
      <c r="AZ977" t="s">
        <v>52</v>
      </c>
      <c r="BQ977" t="s">
        <v>52</v>
      </c>
      <c r="BR977">
        <v>1.53</v>
      </c>
      <c r="BS977" t="s">
        <v>289</v>
      </c>
      <c r="BT977">
        <v>1.79</v>
      </c>
      <c r="BU977" t="s">
        <v>289</v>
      </c>
      <c r="BV977">
        <v>1.39</v>
      </c>
      <c r="BW977" t="s">
        <v>289</v>
      </c>
      <c r="BX977">
        <v>0.96</v>
      </c>
      <c r="BY977" t="s">
        <v>289</v>
      </c>
      <c r="BZ977">
        <v>1.04</v>
      </c>
      <c r="CA977" t="s">
        <v>289</v>
      </c>
      <c r="CF977">
        <v>1.32</v>
      </c>
      <c r="CG977" t="s">
        <v>54</v>
      </c>
      <c r="CH977" t="s">
        <v>52</v>
      </c>
    </row>
    <row r="978" spans="1:86" x14ac:dyDescent="0.25">
      <c r="A978" t="s">
        <v>47</v>
      </c>
      <c r="B978">
        <v>8</v>
      </c>
      <c r="C978" t="s">
        <v>179</v>
      </c>
      <c r="D978">
        <v>83</v>
      </c>
      <c r="E978" t="s">
        <v>79</v>
      </c>
      <c r="F978">
        <v>50</v>
      </c>
      <c r="G978" t="s">
        <v>65</v>
      </c>
      <c r="H978" t="s">
        <v>50</v>
      </c>
      <c r="K978" t="s">
        <v>51</v>
      </c>
      <c r="L978">
        <v>1</v>
      </c>
      <c r="M978" t="s">
        <v>53</v>
      </c>
      <c r="N978">
        <v>50</v>
      </c>
      <c r="O978">
        <v>1</v>
      </c>
      <c r="P978" t="s">
        <v>52</v>
      </c>
      <c r="Q978">
        <v>0.5</v>
      </c>
      <c r="R978">
        <v>0.75</v>
      </c>
      <c r="S978">
        <v>85</v>
      </c>
      <c r="T978" t="s">
        <v>285</v>
      </c>
      <c r="U978">
        <v>93</v>
      </c>
      <c r="V978" t="s">
        <v>284</v>
      </c>
      <c r="W978">
        <v>89.7</v>
      </c>
      <c r="X978" t="s">
        <v>284</v>
      </c>
      <c r="Y978">
        <v>92.72</v>
      </c>
      <c r="Z978" t="s">
        <v>284</v>
      </c>
      <c r="AA978">
        <v>109</v>
      </c>
      <c r="AB978" t="s">
        <v>285</v>
      </c>
      <c r="AG978">
        <v>91.806700000000006</v>
      </c>
      <c r="AH978" t="s">
        <v>54</v>
      </c>
      <c r="AI978" t="s">
        <v>52</v>
      </c>
      <c r="AZ978" t="s">
        <v>52</v>
      </c>
      <c r="BQ978" t="s">
        <v>52</v>
      </c>
      <c r="BR978">
        <v>3.57</v>
      </c>
      <c r="BS978" t="s">
        <v>289</v>
      </c>
      <c r="BT978">
        <v>2.11</v>
      </c>
      <c r="BU978" t="s">
        <v>284</v>
      </c>
      <c r="BV978">
        <v>3.05</v>
      </c>
      <c r="BW978" t="s">
        <v>284</v>
      </c>
      <c r="BX978">
        <v>2.89</v>
      </c>
      <c r="BY978" t="s">
        <v>284</v>
      </c>
      <c r="BZ978">
        <v>3.79</v>
      </c>
      <c r="CA978" t="s">
        <v>289</v>
      </c>
      <c r="CF978">
        <v>3.17</v>
      </c>
      <c r="CG978" t="s">
        <v>54</v>
      </c>
      <c r="CH978" t="s">
        <v>52</v>
      </c>
    </row>
    <row r="979" spans="1:86" x14ac:dyDescent="0.25">
      <c r="A979" t="s">
        <v>47</v>
      </c>
      <c r="B979">
        <v>8</v>
      </c>
      <c r="C979" t="s">
        <v>179</v>
      </c>
      <c r="D979">
        <v>83</v>
      </c>
      <c r="E979" t="s">
        <v>79</v>
      </c>
      <c r="F979">
        <v>50</v>
      </c>
      <c r="G979" t="s">
        <v>65</v>
      </c>
      <c r="H979" t="s">
        <v>50</v>
      </c>
      <c r="K979" t="s">
        <v>52</v>
      </c>
      <c r="L979">
        <v>1</v>
      </c>
      <c r="M979" t="s">
        <v>53</v>
      </c>
      <c r="N979">
        <v>50</v>
      </c>
      <c r="O979">
        <v>1</v>
      </c>
      <c r="P979" t="s">
        <v>52</v>
      </c>
      <c r="Q979">
        <v>0.5</v>
      </c>
      <c r="R979">
        <v>0.75</v>
      </c>
      <c r="S979">
        <v>85</v>
      </c>
      <c r="T979" t="s">
        <v>285</v>
      </c>
      <c r="U979">
        <v>93</v>
      </c>
      <c r="V979" t="s">
        <v>284</v>
      </c>
      <c r="W979">
        <v>89.7</v>
      </c>
      <c r="X979" t="s">
        <v>284</v>
      </c>
      <c r="Y979">
        <v>92.72</v>
      </c>
      <c r="Z979" t="s">
        <v>284</v>
      </c>
      <c r="AA979">
        <v>109</v>
      </c>
      <c r="AB979" t="s">
        <v>285</v>
      </c>
      <c r="AG979">
        <v>91.806700000000006</v>
      </c>
      <c r="AH979" t="s">
        <v>54</v>
      </c>
      <c r="AI979" t="s">
        <v>52</v>
      </c>
      <c r="AZ979" t="s">
        <v>52</v>
      </c>
      <c r="BQ979" t="s">
        <v>52</v>
      </c>
      <c r="BR979">
        <v>0.43</v>
      </c>
      <c r="BS979" t="s">
        <v>289</v>
      </c>
      <c r="BT979">
        <v>0.84</v>
      </c>
      <c r="BU979" t="s">
        <v>284</v>
      </c>
      <c r="BV979">
        <v>1.21</v>
      </c>
      <c r="BW979" t="s">
        <v>284</v>
      </c>
      <c r="BX979">
        <v>1.1499999999999999</v>
      </c>
      <c r="BY979" t="s">
        <v>284</v>
      </c>
      <c r="BZ979">
        <v>0.63</v>
      </c>
      <c r="CA979" t="s">
        <v>289</v>
      </c>
      <c r="CF979">
        <v>0.87</v>
      </c>
      <c r="CG979" t="s">
        <v>54</v>
      </c>
      <c r="CH979" t="s">
        <v>52</v>
      </c>
    </row>
    <row r="980" spans="1:86" x14ac:dyDescent="0.25">
      <c r="A980" t="s">
        <v>47</v>
      </c>
      <c r="B980">
        <v>8</v>
      </c>
      <c r="C980" t="s">
        <v>179</v>
      </c>
      <c r="D980">
        <v>83</v>
      </c>
      <c r="E980" t="s">
        <v>79</v>
      </c>
      <c r="F980">
        <v>50</v>
      </c>
      <c r="G980" t="s">
        <v>81</v>
      </c>
      <c r="H980" t="s">
        <v>50</v>
      </c>
      <c r="K980" t="s">
        <v>51</v>
      </c>
      <c r="L980">
        <v>1</v>
      </c>
      <c r="M980" t="s">
        <v>53</v>
      </c>
      <c r="N980">
        <v>50</v>
      </c>
      <c r="O980">
        <v>1</v>
      </c>
      <c r="P980" t="s">
        <v>52</v>
      </c>
      <c r="Q980">
        <v>0.5</v>
      </c>
      <c r="R980">
        <v>0.75</v>
      </c>
      <c r="S980">
        <v>85</v>
      </c>
      <c r="T980" t="s">
        <v>285</v>
      </c>
      <c r="U980">
        <v>93</v>
      </c>
      <c r="V980" t="s">
        <v>284</v>
      </c>
      <c r="W980">
        <v>89.7</v>
      </c>
      <c r="X980" t="s">
        <v>284</v>
      </c>
      <c r="Y980">
        <v>92.72</v>
      </c>
      <c r="Z980" t="s">
        <v>284</v>
      </c>
      <c r="AA980">
        <v>109</v>
      </c>
      <c r="AB980" t="s">
        <v>285</v>
      </c>
      <c r="AG980">
        <v>91.806700000000006</v>
      </c>
      <c r="AH980" t="s">
        <v>54</v>
      </c>
      <c r="AI980" t="s">
        <v>52</v>
      </c>
      <c r="AZ980" t="s">
        <v>52</v>
      </c>
      <c r="BQ980" t="s">
        <v>52</v>
      </c>
      <c r="BR980">
        <v>2.74</v>
      </c>
      <c r="BS980" t="s">
        <v>289</v>
      </c>
      <c r="BT980">
        <v>1.96</v>
      </c>
      <c r="BU980" t="s">
        <v>284</v>
      </c>
      <c r="BV980">
        <v>2.83</v>
      </c>
      <c r="BW980" t="s">
        <v>284</v>
      </c>
      <c r="BX980">
        <v>2.69</v>
      </c>
      <c r="BY980" t="s">
        <v>284</v>
      </c>
      <c r="BZ980">
        <v>3.52</v>
      </c>
      <c r="CA980" t="s">
        <v>289</v>
      </c>
      <c r="CF980">
        <v>2.75</v>
      </c>
      <c r="CG980" t="s">
        <v>54</v>
      </c>
      <c r="CH980" t="s">
        <v>52</v>
      </c>
    </row>
    <row r="981" spans="1:86" x14ac:dyDescent="0.25">
      <c r="A981" t="s">
        <v>47</v>
      </c>
      <c r="B981">
        <v>8</v>
      </c>
      <c r="C981" t="s">
        <v>179</v>
      </c>
      <c r="D981">
        <v>83</v>
      </c>
      <c r="E981" t="s">
        <v>79</v>
      </c>
      <c r="F981">
        <v>50</v>
      </c>
      <c r="G981" t="s">
        <v>81</v>
      </c>
      <c r="H981" t="s">
        <v>50</v>
      </c>
      <c r="K981" t="s">
        <v>52</v>
      </c>
      <c r="L981">
        <v>1</v>
      </c>
      <c r="M981" t="s">
        <v>53</v>
      </c>
      <c r="N981">
        <v>50</v>
      </c>
      <c r="O981">
        <v>1</v>
      </c>
      <c r="P981" t="s">
        <v>52</v>
      </c>
      <c r="Q981">
        <v>0.5</v>
      </c>
      <c r="R981">
        <v>0.75</v>
      </c>
      <c r="S981">
        <v>85</v>
      </c>
      <c r="T981" t="s">
        <v>285</v>
      </c>
      <c r="U981">
        <v>93</v>
      </c>
      <c r="V981" t="s">
        <v>284</v>
      </c>
      <c r="W981">
        <v>89.7</v>
      </c>
      <c r="X981" t="s">
        <v>284</v>
      </c>
      <c r="Y981">
        <v>92.72</v>
      </c>
      <c r="Z981" t="s">
        <v>284</v>
      </c>
      <c r="AA981">
        <v>109</v>
      </c>
      <c r="AB981" t="s">
        <v>285</v>
      </c>
      <c r="AG981">
        <v>91.806700000000006</v>
      </c>
      <c r="AH981" t="s">
        <v>54</v>
      </c>
      <c r="AI981" t="s">
        <v>52</v>
      </c>
      <c r="AZ981" t="s">
        <v>52</v>
      </c>
      <c r="BQ981" t="s">
        <v>52</v>
      </c>
      <c r="BR981">
        <v>2.74</v>
      </c>
      <c r="BS981" t="s">
        <v>289</v>
      </c>
      <c r="BT981">
        <v>0.88</v>
      </c>
      <c r="BU981" t="s">
        <v>284</v>
      </c>
      <c r="BV981">
        <v>1.26</v>
      </c>
      <c r="BW981" t="s">
        <v>284</v>
      </c>
      <c r="BX981">
        <v>1.2</v>
      </c>
      <c r="BY981" t="s">
        <v>284</v>
      </c>
      <c r="BZ981">
        <v>0.66</v>
      </c>
      <c r="CA981" t="s">
        <v>289</v>
      </c>
      <c r="CF981">
        <v>1.1100000000000001</v>
      </c>
      <c r="CG981" t="s">
        <v>54</v>
      </c>
      <c r="CH981" t="s">
        <v>52</v>
      </c>
    </row>
    <row r="982" spans="1:86" x14ac:dyDescent="0.25">
      <c r="A982" t="s">
        <v>47</v>
      </c>
      <c r="B982">
        <v>8</v>
      </c>
      <c r="C982" t="s">
        <v>179</v>
      </c>
      <c r="D982">
        <v>83</v>
      </c>
      <c r="E982" t="s">
        <v>83</v>
      </c>
      <c r="F982">
        <v>158</v>
      </c>
      <c r="H982" t="s">
        <v>50</v>
      </c>
      <c r="K982" t="s">
        <v>51</v>
      </c>
      <c r="L982">
        <v>1</v>
      </c>
      <c r="M982" t="s">
        <v>53</v>
      </c>
      <c r="N982">
        <v>158</v>
      </c>
      <c r="O982">
        <v>2</v>
      </c>
      <c r="P982" t="s">
        <v>52</v>
      </c>
      <c r="Q982">
        <v>0.77</v>
      </c>
      <c r="R982">
        <v>0.93</v>
      </c>
      <c r="S982">
        <v>228</v>
      </c>
      <c r="T982" t="s">
        <v>284</v>
      </c>
      <c r="U982">
        <v>221</v>
      </c>
      <c r="V982" t="s">
        <v>284</v>
      </c>
      <c r="W982">
        <v>236</v>
      </c>
      <c r="X982" t="s">
        <v>284</v>
      </c>
      <c r="Y982">
        <v>244</v>
      </c>
      <c r="Z982" t="s">
        <v>284</v>
      </c>
      <c r="AA982">
        <v>252</v>
      </c>
      <c r="AB982" t="s">
        <v>284</v>
      </c>
      <c r="AG982">
        <v>236</v>
      </c>
      <c r="AH982" t="s">
        <v>54</v>
      </c>
      <c r="AI982" t="s">
        <v>52</v>
      </c>
      <c r="AX982">
        <v>339</v>
      </c>
      <c r="AY982" t="s">
        <v>285</v>
      </c>
      <c r="AZ982" t="s">
        <v>287</v>
      </c>
      <c r="BQ982" t="s">
        <v>52</v>
      </c>
      <c r="BR982">
        <v>1.85</v>
      </c>
      <c r="BS982" t="s">
        <v>284</v>
      </c>
      <c r="BT982">
        <v>1.35</v>
      </c>
      <c r="BU982" t="s">
        <v>284</v>
      </c>
      <c r="BV982">
        <v>1.03</v>
      </c>
      <c r="BW982" t="s">
        <v>288</v>
      </c>
      <c r="BX982">
        <v>1.34</v>
      </c>
      <c r="BY982" t="s">
        <v>289</v>
      </c>
      <c r="BZ982">
        <v>1.22</v>
      </c>
      <c r="CA982" t="s">
        <v>289</v>
      </c>
      <c r="CF982">
        <v>1.3</v>
      </c>
      <c r="CG982" t="s">
        <v>54</v>
      </c>
      <c r="CH982" t="s">
        <v>52</v>
      </c>
    </row>
    <row r="983" spans="1:86" x14ac:dyDescent="0.25">
      <c r="A983" t="s">
        <v>47</v>
      </c>
      <c r="B983">
        <v>8</v>
      </c>
      <c r="C983" t="s">
        <v>179</v>
      </c>
      <c r="D983">
        <v>83</v>
      </c>
      <c r="E983" t="s">
        <v>83</v>
      </c>
      <c r="F983">
        <v>158</v>
      </c>
      <c r="H983" t="s">
        <v>50</v>
      </c>
      <c r="K983" t="s">
        <v>52</v>
      </c>
      <c r="L983">
        <v>1</v>
      </c>
      <c r="M983" t="s">
        <v>53</v>
      </c>
      <c r="N983">
        <v>158</v>
      </c>
      <c r="O983">
        <v>2</v>
      </c>
      <c r="P983" t="s">
        <v>52</v>
      </c>
      <c r="Q983">
        <v>0.77</v>
      </c>
      <c r="R983">
        <v>0.93</v>
      </c>
      <c r="S983">
        <v>228</v>
      </c>
      <c r="T983" t="s">
        <v>284</v>
      </c>
      <c r="U983">
        <v>221</v>
      </c>
      <c r="V983" t="s">
        <v>284</v>
      </c>
      <c r="W983">
        <v>236</v>
      </c>
      <c r="X983" t="s">
        <v>284</v>
      </c>
      <c r="Y983">
        <v>244</v>
      </c>
      <c r="Z983" t="s">
        <v>284</v>
      </c>
      <c r="AA983">
        <v>252</v>
      </c>
      <c r="AB983" t="s">
        <v>284</v>
      </c>
      <c r="AG983">
        <v>236</v>
      </c>
      <c r="AH983" t="s">
        <v>54</v>
      </c>
      <c r="AI983" t="s">
        <v>52</v>
      </c>
      <c r="AX983">
        <v>339</v>
      </c>
      <c r="AY983" t="s">
        <v>285</v>
      </c>
      <c r="AZ983" t="s">
        <v>287</v>
      </c>
      <c r="BQ983" t="s">
        <v>52</v>
      </c>
      <c r="BR983">
        <v>1.31</v>
      </c>
      <c r="BS983" t="s">
        <v>289</v>
      </c>
      <c r="BT983">
        <v>1.01</v>
      </c>
      <c r="BU983" t="s">
        <v>284</v>
      </c>
      <c r="BV983">
        <v>0.33</v>
      </c>
      <c r="BW983" t="s">
        <v>289</v>
      </c>
      <c r="BX983">
        <v>0.56999999999999995</v>
      </c>
      <c r="BY983" t="s">
        <v>285</v>
      </c>
      <c r="BZ983">
        <v>0.1</v>
      </c>
      <c r="CA983" t="s">
        <v>289</v>
      </c>
      <c r="CF983">
        <v>0.64</v>
      </c>
      <c r="CG983" t="s">
        <v>54</v>
      </c>
      <c r="CH983" t="s">
        <v>52</v>
      </c>
    </row>
    <row r="984" spans="1:86" x14ac:dyDescent="0.25">
      <c r="A984" t="s">
        <v>47</v>
      </c>
      <c r="B984">
        <v>8</v>
      </c>
      <c r="C984" t="s">
        <v>179</v>
      </c>
      <c r="D984">
        <v>83</v>
      </c>
      <c r="E984" t="s">
        <v>84</v>
      </c>
      <c r="F984">
        <v>11</v>
      </c>
      <c r="G984" t="s">
        <v>85</v>
      </c>
      <c r="H984" t="s">
        <v>50</v>
      </c>
      <c r="K984" t="s">
        <v>51</v>
      </c>
      <c r="L984">
        <v>1</v>
      </c>
      <c r="M984" t="s">
        <v>53</v>
      </c>
      <c r="N984">
        <v>11</v>
      </c>
      <c r="O984">
        <v>2</v>
      </c>
      <c r="P984" t="s">
        <v>52</v>
      </c>
      <c r="Q984">
        <v>0.5</v>
      </c>
      <c r="R984">
        <v>0.75</v>
      </c>
      <c r="S984">
        <v>155</v>
      </c>
      <c r="T984" t="s">
        <v>284</v>
      </c>
      <c r="U984">
        <v>110</v>
      </c>
      <c r="V984" t="s">
        <v>284</v>
      </c>
      <c r="W984">
        <v>118</v>
      </c>
      <c r="X984" t="s">
        <v>284</v>
      </c>
      <c r="Y984">
        <v>122</v>
      </c>
      <c r="Z984" t="s">
        <v>284</v>
      </c>
      <c r="AA984">
        <v>126</v>
      </c>
      <c r="AB984" t="s">
        <v>284</v>
      </c>
      <c r="AG984">
        <v>122</v>
      </c>
      <c r="AH984" t="s">
        <v>54</v>
      </c>
      <c r="AI984" t="s">
        <v>52</v>
      </c>
      <c r="AZ984" t="s">
        <v>52</v>
      </c>
      <c r="BQ984" t="s">
        <v>52</v>
      </c>
      <c r="BR984">
        <v>2.2200000000000002</v>
      </c>
      <c r="BS984" t="s">
        <v>285</v>
      </c>
      <c r="BT984">
        <v>1.91</v>
      </c>
      <c r="BU984" t="s">
        <v>284</v>
      </c>
      <c r="BV984">
        <v>2.34</v>
      </c>
      <c r="BW984" t="s">
        <v>284</v>
      </c>
      <c r="BX984">
        <v>2.0299999999999998</v>
      </c>
      <c r="BY984" t="s">
        <v>284</v>
      </c>
      <c r="BZ984">
        <v>1.92</v>
      </c>
      <c r="CA984" t="s">
        <v>284</v>
      </c>
      <c r="CF984">
        <v>2.06</v>
      </c>
      <c r="CG984" t="s">
        <v>54</v>
      </c>
      <c r="CH984" t="s">
        <v>52</v>
      </c>
    </row>
    <row r="985" spans="1:86" x14ac:dyDescent="0.25">
      <c r="A985" t="s">
        <v>47</v>
      </c>
      <c r="B985">
        <v>8</v>
      </c>
      <c r="C985" t="s">
        <v>179</v>
      </c>
      <c r="D985">
        <v>83</v>
      </c>
      <c r="E985" t="s">
        <v>84</v>
      </c>
      <c r="F985">
        <v>11</v>
      </c>
      <c r="G985" t="s">
        <v>85</v>
      </c>
      <c r="H985" t="s">
        <v>50</v>
      </c>
      <c r="K985" t="s">
        <v>52</v>
      </c>
      <c r="L985">
        <v>1</v>
      </c>
      <c r="M985" t="s">
        <v>53</v>
      </c>
      <c r="N985">
        <v>11</v>
      </c>
      <c r="O985">
        <v>2</v>
      </c>
      <c r="P985" t="s">
        <v>52</v>
      </c>
      <c r="Q985">
        <v>0.5</v>
      </c>
      <c r="R985">
        <v>0.75</v>
      </c>
      <c r="S985">
        <v>155</v>
      </c>
      <c r="T985" t="s">
        <v>284</v>
      </c>
      <c r="U985">
        <v>110</v>
      </c>
      <c r="V985" t="s">
        <v>284</v>
      </c>
      <c r="W985">
        <v>118</v>
      </c>
      <c r="X985" t="s">
        <v>284</v>
      </c>
      <c r="Y985">
        <v>122</v>
      </c>
      <c r="Z985" t="s">
        <v>284</v>
      </c>
      <c r="AA985">
        <v>126</v>
      </c>
      <c r="AB985" t="s">
        <v>284</v>
      </c>
      <c r="AG985">
        <v>122</v>
      </c>
      <c r="AH985" t="s">
        <v>54</v>
      </c>
      <c r="AI985" t="s">
        <v>52</v>
      </c>
      <c r="AZ985" t="s">
        <v>52</v>
      </c>
      <c r="BQ985" t="s">
        <v>52</v>
      </c>
      <c r="BR985">
        <v>0.51</v>
      </c>
      <c r="BS985" t="s">
        <v>285</v>
      </c>
      <c r="BT985">
        <v>0.43</v>
      </c>
      <c r="BU985" t="s">
        <v>284</v>
      </c>
      <c r="BV985">
        <v>0.53</v>
      </c>
      <c r="BW985" t="s">
        <v>284</v>
      </c>
      <c r="BX985">
        <v>0.46</v>
      </c>
      <c r="BY985" t="s">
        <v>284</v>
      </c>
      <c r="BZ985">
        <v>0.41</v>
      </c>
      <c r="CA985" t="s">
        <v>284</v>
      </c>
      <c r="CF985">
        <v>0.47</v>
      </c>
      <c r="CG985" t="s">
        <v>54</v>
      </c>
      <c r="CH985" t="s">
        <v>52</v>
      </c>
    </row>
    <row r="986" spans="1:86" x14ac:dyDescent="0.25">
      <c r="A986" t="s">
        <v>47</v>
      </c>
      <c r="B986">
        <v>8</v>
      </c>
      <c r="C986" t="s">
        <v>179</v>
      </c>
      <c r="D986">
        <v>83</v>
      </c>
      <c r="E986" t="s">
        <v>84</v>
      </c>
      <c r="F986">
        <v>11</v>
      </c>
      <c r="G986" t="s">
        <v>96</v>
      </c>
      <c r="H986" t="s">
        <v>50</v>
      </c>
      <c r="K986" t="s">
        <v>51</v>
      </c>
      <c r="L986">
        <v>1</v>
      </c>
      <c r="M986" t="s">
        <v>53</v>
      </c>
      <c r="N986">
        <v>11</v>
      </c>
      <c r="O986">
        <v>2</v>
      </c>
      <c r="P986" t="s">
        <v>52</v>
      </c>
      <c r="Q986">
        <v>0.5</v>
      </c>
      <c r="R986">
        <v>0.75</v>
      </c>
      <c r="S986">
        <v>124</v>
      </c>
      <c r="T986" t="s">
        <v>284</v>
      </c>
      <c r="U986">
        <v>110</v>
      </c>
      <c r="V986" t="s">
        <v>284</v>
      </c>
      <c r="W986">
        <v>118</v>
      </c>
      <c r="X986" t="s">
        <v>284</v>
      </c>
      <c r="Y986">
        <v>122</v>
      </c>
      <c r="Z986" t="s">
        <v>284</v>
      </c>
      <c r="AA986">
        <v>126</v>
      </c>
      <c r="AB986" t="s">
        <v>284</v>
      </c>
      <c r="AG986">
        <v>121.33329999999999</v>
      </c>
      <c r="AH986" t="s">
        <v>54</v>
      </c>
      <c r="AI986" t="s">
        <v>52</v>
      </c>
      <c r="AZ986" t="s">
        <v>52</v>
      </c>
      <c r="BQ986" t="s">
        <v>52</v>
      </c>
      <c r="BR986">
        <v>2.2200000000000002</v>
      </c>
      <c r="BS986" t="s">
        <v>285</v>
      </c>
      <c r="BT986">
        <v>1.91</v>
      </c>
      <c r="BU986" t="s">
        <v>284</v>
      </c>
      <c r="BV986">
        <v>2.34</v>
      </c>
      <c r="BW986" t="s">
        <v>284</v>
      </c>
      <c r="BX986">
        <v>2.0299999999999998</v>
      </c>
      <c r="BY986" t="s">
        <v>284</v>
      </c>
      <c r="BZ986">
        <v>1.75</v>
      </c>
      <c r="CA986" t="s">
        <v>284</v>
      </c>
      <c r="CF986">
        <v>2.0499999999999998</v>
      </c>
      <c r="CG986" t="s">
        <v>54</v>
      </c>
      <c r="CH986" t="s">
        <v>52</v>
      </c>
    </row>
    <row r="987" spans="1:86" x14ac:dyDescent="0.25">
      <c r="A987" t="s">
        <v>47</v>
      </c>
      <c r="B987">
        <v>8</v>
      </c>
      <c r="C987" t="s">
        <v>179</v>
      </c>
      <c r="D987">
        <v>83</v>
      </c>
      <c r="E987" t="s">
        <v>84</v>
      </c>
      <c r="F987">
        <v>11</v>
      </c>
      <c r="G987" t="s">
        <v>96</v>
      </c>
      <c r="H987" t="s">
        <v>50</v>
      </c>
      <c r="K987" t="s">
        <v>52</v>
      </c>
      <c r="L987">
        <v>1</v>
      </c>
      <c r="M987" t="s">
        <v>53</v>
      </c>
      <c r="N987">
        <v>11</v>
      </c>
      <c r="O987">
        <v>2</v>
      </c>
      <c r="P987" t="s">
        <v>52</v>
      </c>
      <c r="Q987">
        <v>0.5</v>
      </c>
      <c r="R987">
        <v>0.75</v>
      </c>
      <c r="S987">
        <v>124</v>
      </c>
      <c r="T987" t="s">
        <v>284</v>
      </c>
      <c r="U987">
        <v>110</v>
      </c>
      <c r="V987" t="s">
        <v>284</v>
      </c>
      <c r="W987">
        <v>118</v>
      </c>
      <c r="X987" t="s">
        <v>284</v>
      </c>
      <c r="Y987">
        <v>122</v>
      </c>
      <c r="Z987" t="s">
        <v>284</v>
      </c>
      <c r="AA987">
        <v>126</v>
      </c>
      <c r="AB987" t="s">
        <v>284</v>
      </c>
      <c r="AG987">
        <v>121.33329999999999</v>
      </c>
      <c r="AH987" t="s">
        <v>54</v>
      </c>
      <c r="AI987" t="s">
        <v>52</v>
      </c>
      <c r="AZ987" t="s">
        <v>52</v>
      </c>
      <c r="BQ987" t="s">
        <v>52</v>
      </c>
      <c r="BR987">
        <v>0.51</v>
      </c>
      <c r="BS987" t="s">
        <v>285</v>
      </c>
      <c r="BT987">
        <v>0.43</v>
      </c>
      <c r="BU987" t="s">
        <v>284</v>
      </c>
      <c r="BV987">
        <v>0.53</v>
      </c>
      <c r="BW987" t="s">
        <v>284</v>
      </c>
      <c r="BX987">
        <v>0.46</v>
      </c>
      <c r="BY987" t="s">
        <v>284</v>
      </c>
      <c r="BZ987">
        <v>0.41</v>
      </c>
      <c r="CA987" t="s">
        <v>284</v>
      </c>
      <c r="CF987">
        <v>0.47</v>
      </c>
      <c r="CG987" t="s">
        <v>54</v>
      </c>
      <c r="CH987" t="s">
        <v>52</v>
      </c>
    </row>
    <row r="988" spans="1:86" x14ac:dyDescent="0.25">
      <c r="A988" t="s">
        <v>47</v>
      </c>
      <c r="B988">
        <v>8</v>
      </c>
      <c r="C988" t="s">
        <v>179</v>
      </c>
      <c r="D988">
        <v>83</v>
      </c>
      <c r="E988" t="s">
        <v>84</v>
      </c>
      <c r="F988">
        <v>11</v>
      </c>
      <c r="G988" t="s">
        <v>108</v>
      </c>
      <c r="H988" t="s">
        <v>50</v>
      </c>
      <c r="K988" t="s">
        <v>51</v>
      </c>
      <c r="L988">
        <v>1</v>
      </c>
      <c r="M988" t="s">
        <v>53</v>
      </c>
      <c r="N988">
        <v>11</v>
      </c>
      <c r="O988">
        <v>2</v>
      </c>
      <c r="P988" t="s">
        <v>52</v>
      </c>
      <c r="Q988">
        <v>0.5</v>
      </c>
      <c r="R988">
        <v>0.75</v>
      </c>
      <c r="S988">
        <v>124</v>
      </c>
      <c r="T988" t="s">
        <v>284</v>
      </c>
      <c r="U988">
        <v>110</v>
      </c>
      <c r="V988" t="s">
        <v>284</v>
      </c>
      <c r="AI988" t="s">
        <v>52</v>
      </c>
      <c r="AZ988" t="s">
        <v>52</v>
      </c>
      <c r="BQ988" t="s">
        <v>52</v>
      </c>
      <c r="BR988">
        <v>2.2200000000000002</v>
      </c>
      <c r="BS988" t="s">
        <v>285</v>
      </c>
      <c r="BT988">
        <v>1.91</v>
      </c>
      <c r="BU988" t="s">
        <v>284</v>
      </c>
      <c r="CH988" t="s">
        <v>52</v>
      </c>
    </row>
    <row r="989" spans="1:86" x14ac:dyDescent="0.25">
      <c r="A989" t="s">
        <v>47</v>
      </c>
      <c r="B989">
        <v>8</v>
      </c>
      <c r="C989" t="s">
        <v>179</v>
      </c>
      <c r="D989">
        <v>83</v>
      </c>
      <c r="E989" t="s">
        <v>84</v>
      </c>
      <c r="F989">
        <v>11</v>
      </c>
      <c r="G989" t="s">
        <v>108</v>
      </c>
      <c r="H989" t="s">
        <v>50</v>
      </c>
      <c r="K989" t="s">
        <v>52</v>
      </c>
      <c r="L989">
        <v>1</v>
      </c>
      <c r="M989" t="s">
        <v>53</v>
      </c>
      <c r="N989">
        <v>11</v>
      </c>
      <c r="O989">
        <v>2</v>
      </c>
      <c r="P989" t="s">
        <v>52</v>
      </c>
      <c r="Q989">
        <v>0.5</v>
      </c>
      <c r="R989">
        <v>0.75</v>
      </c>
      <c r="S989">
        <v>124</v>
      </c>
      <c r="T989" t="s">
        <v>284</v>
      </c>
      <c r="U989">
        <v>110</v>
      </c>
      <c r="V989" t="s">
        <v>284</v>
      </c>
      <c r="AI989" t="s">
        <v>52</v>
      </c>
      <c r="AZ989" t="s">
        <v>52</v>
      </c>
      <c r="BQ989" t="s">
        <v>52</v>
      </c>
      <c r="BR989">
        <v>0.51</v>
      </c>
      <c r="BS989" t="s">
        <v>285</v>
      </c>
      <c r="BT989">
        <v>0.43</v>
      </c>
      <c r="BU989" t="s">
        <v>284</v>
      </c>
      <c r="CH989" t="s">
        <v>52</v>
      </c>
    </row>
    <row r="990" spans="1:86" x14ac:dyDescent="0.25">
      <c r="A990" t="s">
        <v>47</v>
      </c>
      <c r="B990">
        <v>8</v>
      </c>
      <c r="C990" t="s">
        <v>181</v>
      </c>
      <c r="D990">
        <v>85</v>
      </c>
      <c r="E990" t="s">
        <v>49</v>
      </c>
      <c r="F990">
        <v>27</v>
      </c>
      <c r="H990" t="s">
        <v>50</v>
      </c>
      <c r="K990" t="s">
        <v>51</v>
      </c>
      <c r="L990">
        <v>1</v>
      </c>
      <c r="M990" t="s">
        <v>53</v>
      </c>
      <c r="N990">
        <v>27</v>
      </c>
      <c r="O990">
        <v>1</v>
      </c>
      <c r="P990" t="s">
        <v>52</v>
      </c>
      <c r="Q990">
        <v>0</v>
      </c>
      <c r="R990">
        <v>0.75</v>
      </c>
      <c r="S990">
        <v>231</v>
      </c>
      <c r="T990" t="s">
        <v>284</v>
      </c>
      <c r="U990">
        <v>208</v>
      </c>
      <c r="V990" t="s">
        <v>284</v>
      </c>
      <c r="W990">
        <v>224</v>
      </c>
      <c r="X990" t="s">
        <v>284</v>
      </c>
      <c r="Y990">
        <v>225</v>
      </c>
      <c r="Z990" t="s">
        <v>285</v>
      </c>
      <c r="AA990">
        <v>247</v>
      </c>
      <c r="AB990" t="s">
        <v>285</v>
      </c>
      <c r="AC990">
        <v>241</v>
      </c>
      <c r="AD990" t="s">
        <v>285</v>
      </c>
      <c r="AE990">
        <v>219</v>
      </c>
      <c r="AF990" t="s">
        <v>285</v>
      </c>
      <c r="AG990">
        <v>219</v>
      </c>
      <c r="AH990" t="s">
        <v>286</v>
      </c>
      <c r="AI990" t="s">
        <v>287</v>
      </c>
      <c r="AX990">
        <v>263</v>
      </c>
      <c r="AY990" t="s">
        <v>286</v>
      </c>
      <c r="AZ990" t="s">
        <v>287</v>
      </c>
      <c r="BQ990" t="s">
        <v>52</v>
      </c>
      <c r="BR990">
        <v>3.7</v>
      </c>
      <c r="BS990" t="s">
        <v>284</v>
      </c>
      <c r="BT990">
        <v>3.4</v>
      </c>
      <c r="BU990" t="s">
        <v>284</v>
      </c>
      <c r="BV990">
        <v>1.27</v>
      </c>
      <c r="BW990" t="s">
        <v>284</v>
      </c>
      <c r="BX990">
        <v>1.56</v>
      </c>
      <c r="BY990" t="s">
        <v>284</v>
      </c>
      <c r="BZ990">
        <v>1.1200000000000001</v>
      </c>
      <c r="CA990" t="s">
        <v>288</v>
      </c>
      <c r="CF990">
        <v>2.08</v>
      </c>
      <c r="CG990" t="s">
        <v>54</v>
      </c>
      <c r="CH990" t="s">
        <v>52</v>
      </c>
    </row>
    <row r="991" spans="1:86" x14ac:dyDescent="0.25">
      <c r="A991" t="s">
        <v>47</v>
      </c>
      <c r="B991">
        <v>8</v>
      </c>
      <c r="C991" t="s">
        <v>181</v>
      </c>
      <c r="D991">
        <v>85</v>
      </c>
      <c r="E991" t="s">
        <v>49</v>
      </c>
      <c r="F991">
        <v>27</v>
      </c>
      <c r="H991" t="s">
        <v>50</v>
      </c>
      <c r="K991" t="s">
        <v>52</v>
      </c>
      <c r="L991">
        <v>1</v>
      </c>
      <c r="M991" t="s">
        <v>53</v>
      </c>
      <c r="N991">
        <v>27</v>
      </c>
      <c r="O991">
        <v>1</v>
      </c>
      <c r="P991" t="s">
        <v>52</v>
      </c>
      <c r="Q991">
        <v>0</v>
      </c>
      <c r="R991">
        <v>0.75</v>
      </c>
      <c r="S991">
        <v>231</v>
      </c>
      <c r="T991" t="s">
        <v>284</v>
      </c>
      <c r="U991">
        <v>208</v>
      </c>
      <c r="V991" t="s">
        <v>284</v>
      </c>
      <c r="W991">
        <v>224</v>
      </c>
      <c r="X991" t="s">
        <v>284</v>
      </c>
      <c r="Y991">
        <v>225</v>
      </c>
      <c r="Z991" t="s">
        <v>285</v>
      </c>
      <c r="AA991">
        <v>247</v>
      </c>
      <c r="AB991" t="s">
        <v>285</v>
      </c>
      <c r="AC991">
        <v>241</v>
      </c>
      <c r="AD991" t="s">
        <v>285</v>
      </c>
      <c r="AE991">
        <v>219</v>
      </c>
      <c r="AF991" t="s">
        <v>285</v>
      </c>
      <c r="AG991">
        <v>219</v>
      </c>
      <c r="AH991" t="s">
        <v>286</v>
      </c>
      <c r="AI991" t="s">
        <v>287</v>
      </c>
      <c r="AX991">
        <v>263</v>
      </c>
      <c r="AY991" t="s">
        <v>286</v>
      </c>
      <c r="AZ991" t="s">
        <v>287</v>
      </c>
      <c r="BQ991" t="s">
        <v>52</v>
      </c>
      <c r="BR991">
        <v>1.3</v>
      </c>
      <c r="BS991" t="s">
        <v>284</v>
      </c>
      <c r="BT991">
        <v>1.2</v>
      </c>
      <c r="BU991" t="s">
        <v>284</v>
      </c>
      <c r="BV991">
        <v>0.75</v>
      </c>
      <c r="BW991" t="s">
        <v>284</v>
      </c>
      <c r="BX991">
        <v>0.17</v>
      </c>
      <c r="BY991" t="s">
        <v>284</v>
      </c>
      <c r="BZ991">
        <v>0.2</v>
      </c>
      <c r="CA991" t="s">
        <v>289</v>
      </c>
      <c r="CF991">
        <v>0.72</v>
      </c>
      <c r="CG991" t="s">
        <v>54</v>
      </c>
      <c r="CH991" t="s">
        <v>52</v>
      </c>
    </row>
    <row r="992" spans="1:86" x14ac:dyDescent="0.25">
      <c r="A992" t="s">
        <v>47</v>
      </c>
      <c r="B992">
        <v>8</v>
      </c>
      <c r="C992" t="s">
        <v>181</v>
      </c>
      <c r="D992">
        <v>85</v>
      </c>
      <c r="E992" t="s">
        <v>58</v>
      </c>
      <c r="F992">
        <v>102</v>
      </c>
      <c r="G992" t="s">
        <v>62</v>
      </c>
      <c r="H992" t="s">
        <v>50</v>
      </c>
      <c r="K992" t="s">
        <v>51</v>
      </c>
      <c r="L992">
        <v>1</v>
      </c>
      <c r="M992" t="s">
        <v>53</v>
      </c>
      <c r="N992">
        <v>102</v>
      </c>
      <c r="O992">
        <v>1</v>
      </c>
      <c r="P992" t="s">
        <v>52</v>
      </c>
      <c r="Q992">
        <v>0</v>
      </c>
      <c r="R992">
        <v>0.92</v>
      </c>
      <c r="S992">
        <v>131.69999999999999</v>
      </c>
      <c r="T992" t="s">
        <v>284</v>
      </c>
      <c r="U992">
        <v>170</v>
      </c>
      <c r="V992" t="s">
        <v>284</v>
      </c>
      <c r="W992">
        <v>191</v>
      </c>
      <c r="X992" t="s">
        <v>284</v>
      </c>
      <c r="Y992">
        <v>207</v>
      </c>
      <c r="Z992" t="s">
        <v>284</v>
      </c>
      <c r="AA992">
        <v>205</v>
      </c>
      <c r="AB992" t="s">
        <v>285</v>
      </c>
      <c r="AG992">
        <v>188.66669999999999</v>
      </c>
      <c r="AH992" t="s">
        <v>54</v>
      </c>
      <c r="AI992" t="s">
        <v>52</v>
      </c>
      <c r="AX992">
        <v>271.60000000000002</v>
      </c>
      <c r="AY992" t="s">
        <v>285</v>
      </c>
      <c r="AZ992" t="s">
        <v>287</v>
      </c>
      <c r="BQ992" t="s">
        <v>52</v>
      </c>
      <c r="BR992">
        <v>1.85</v>
      </c>
      <c r="BS992" t="s">
        <v>284</v>
      </c>
      <c r="BT992">
        <v>1.95</v>
      </c>
      <c r="BU992" t="s">
        <v>284</v>
      </c>
      <c r="BV992">
        <v>0.57999999999999996</v>
      </c>
      <c r="BW992" t="s">
        <v>285</v>
      </c>
      <c r="BX992">
        <v>0.57999999999999996</v>
      </c>
      <c r="BY992" t="s">
        <v>285</v>
      </c>
      <c r="BZ992">
        <v>0.5</v>
      </c>
      <c r="CA992" t="s">
        <v>284</v>
      </c>
      <c r="CF992">
        <v>1</v>
      </c>
      <c r="CG992" t="s">
        <v>54</v>
      </c>
      <c r="CH992" t="s">
        <v>52</v>
      </c>
    </row>
    <row r="993" spans="1:86" x14ac:dyDescent="0.25">
      <c r="A993" t="s">
        <v>47</v>
      </c>
      <c r="B993">
        <v>8</v>
      </c>
      <c r="C993" t="s">
        <v>181</v>
      </c>
      <c r="D993">
        <v>85</v>
      </c>
      <c r="E993" t="s">
        <v>58</v>
      </c>
      <c r="F993">
        <v>102</v>
      </c>
      <c r="G993" t="s">
        <v>62</v>
      </c>
      <c r="H993" t="s">
        <v>50</v>
      </c>
      <c r="K993" t="s">
        <v>52</v>
      </c>
      <c r="L993">
        <v>1</v>
      </c>
      <c r="M993" t="s">
        <v>53</v>
      </c>
      <c r="N993">
        <v>102</v>
      </c>
      <c r="O993">
        <v>1</v>
      </c>
      <c r="P993" t="s">
        <v>52</v>
      </c>
      <c r="Q993">
        <v>0</v>
      </c>
      <c r="R993">
        <v>0.92</v>
      </c>
      <c r="S993">
        <v>131.69999999999999</v>
      </c>
      <c r="T993" t="s">
        <v>284</v>
      </c>
      <c r="U993">
        <v>170</v>
      </c>
      <c r="V993" t="s">
        <v>284</v>
      </c>
      <c r="W993">
        <v>191</v>
      </c>
      <c r="X993" t="s">
        <v>284</v>
      </c>
      <c r="Y993">
        <v>207</v>
      </c>
      <c r="Z993" t="s">
        <v>284</v>
      </c>
      <c r="AA993">
        <v>205</v>
      </c>
      <c r="AB993" t="s">
        <v>285</v>
      </c>
      <c r="AG993">
        <v>188.66669999999999</v>
      </c>
      <c r="AH993" t="s">
        <v>54</v>
      </c>
      <c r="AI993" t="s">
        <v>52</v>
      </c>
      <c r="AX993">
        <v>271.60000000000002</v>
      </c>
      <c r="AY993" t="s">
        <v>285</v>
      </c>
      <c r="AZ993" t="s">
        <v>287</v>
      </c>
      <c r="BQ993" t="s">
        <v>52</v>
      </c>
      <c r="BR993">
        <v>0.83</v>
      </c>
      <c r="BS993" t="s">
        <v>285</v>
      </c>
      <c r="BT993">
        <v>1.04</v>
      </c>
      <c r="BU993" t="s">
        <v>284</v>
      </c>
      <c r="BV993">
        <v>0.31</v>
      </c>
      <c r="BW993" t="s">
        <v>285</v>
      </c>
      <c r="BX993">
        <v>0.56000000000000005</v>
      </c>
      <c r="BY993" t="s">
        <v>285</v>
      </c>
      <c r="BZ993">
        <v>0.48</v>
      </c>
      <c r="CA993" t="s">
        <v>284</v>
      </c>
      <c r="CF993">
        <v>0.62</v>
      </c>
      <c r="CG993" t="s">
        <v>54</v>
      </c>
      <c r="CH993" t="s">
        <v>52</v>
      </c>
    </row>
    <row r="994" spans="1:86" x14ac:dyDescent="0.25">
      <c r="A994" t="s">
        <v>47</v>
      </c>
      <c r="B994">
        <v>8</v>
      </c>
      <c r="C994" t="s">
        <v>181</v>
      </c>
      <c r="D994">
        <v>85</v>
      </c>
      <c r="E994" t="s">
        <v>58</v>
      </c>
      <c r="F994">
        <v>102</v>
      </c>
      <c r="G994" t="s">
        <v>136</v>
      </c>
      <c r="H994" t="s">
        <v>50</v>
      </c>
      <c r="K994" t="s">
        <v>51</v>
      </c>
      <c r="L994">
        <v>1</v>
      </c>
      <c r="M994" t="s">
        <v>53</v>
      </c>
      <c r="N994">
        <v>102</v>
      </c>
      <c r="O994">
        <v>1</v>
      </c>
      <c r="P994" t="s">
        <v>52</v>
      </c>
      <c r="Q994">
        <v>0</v>
      </c>
      <c r="R994">
        <v>0.92</v>
      </c>
      <c r="S994">
        <v>131.69999999999999</v>
      </c>
      <c r="T994" t="s">
        <v>284</v>
      </c>
      <c r="U994">
        <v>170</v>
      </c>
      <c r="V994" t="s">
        <v>284</v>
      </c>
      <c r="W994">
        <v>191</v>
      </c>
      <c r="X994" t="s">
        <v>285</v>
      </c>
      <c r="Y994">
        <v>207</v>
      </c>
      <c r="Z994" t="s">
        <v>284</v>
      </c>
      <c r="AA994">
        <v>275</v>
      </c>
      <c r="AB994" t="s">
        <v>285</v>
      </c>
      <c r="AG994">
        <v>189.33330000000001</v>
      </c>
      <c r="AH994" t="s">
        <v>54</v>
      </c>
      <c r="AI994" t="s">
        <v>52</v>
      </c>
      <c r="AZ994" t="s">
        <v>52</v>
      </c>
      <c r="BQ994" t="s">
        <v>52</v>
      </c>
      <c r="BR994">
        <v>1.37</v>
      </c>
      <c r="BS994" t="s">
        <v>285</v>
      </c>
      <c r="BT994">
        <v>1.41</v>
      </c>
      <c r="BU994" t="s">
        <v>284</v>
      </c>
      <c r="BV994">
        <v>1.1000000000000001</v>
      </c>
      <c r="BW994" t="s">
        <v>289</v>
      </c>
      <c r="BX994">
        <v>0.75</v>
      </c>
      <c r="BY994" t="s">
        <v>288</v>
      </c>
      <c r="CH994" t="s">
        <v>52</v>
      </c>
    </row>
    <row r="995" spans="1:86" x14ac:dyDescent="0.25">
      <c r="A995" t="s">
        <v>47</v>
      </c>
      <c r="B995">
        <v>8</v>
      </c>
      <c r="C995" t="s">
        <v>181</v>
      </c>
      <c r="D995">
        <v>85</v>
      </c>
      <c r="E995" t="s">
        <v>70</v>
      </c>
      <c r="F995">
        <v>296</v>
      </c>
      <c r="G995" t="s">
        <v>71</v>
      </c>
      <c r="H995" t="s">
        <v>50</v>
      </c>
      <c r="K995" t="s">
        <v>51</v>
      </c>
      <c r="L995">
        <v>1</v>
      </c>
      <c r="M995" t="s">
        <v>53</v>
      </c>
      <c r="N995">
        <v>296</v>
      </c>
      <c r="O995">
        <v>1</v>
      </c>
      <c r="P995" t="s">
        <v>52</v>
      </c>
      <c r="Q995">
        <v>0</v>
      </c>
      <c r="R995">
        <v>0.75</v>
      </c>
      <c r="S995">
        <v>228</v>
      </c>
      <c r="T995" t="s">
        <v>284</v>
      </c>
      <c r="U995">
        <v>190</v>
      </c>
      <c r="V995" t="s">
        <v>285</v>
      </c>
      <c r="W995">
        <v>194</v>
      </c>
      <c r="X995" t="s">
        <v>285</v>
      </c>
      <c r="Y995">
        <v>225</v>
      </c>
      <c r="Z995" t="s">
        <v>285</v>
      </c>
      <c r="AA995">
        <v>247</v>
      </c>
      <c r="AB995" t="s">
        <v>285</v>
      </c>
      <c r="AC995">
        <v>241</v>
      </c>
      <c r="AD995" t="s">
        <v>285</v>
      </c>
      <c r="AE995">
        <v>219</v>
      </c>
      <c r="AF995" t="s">
        <v>285</v>
      </c>
      <c r="AG995">
        <v>219</v>
      </c>
      <c r="AH995" t="s">
        <v>286</v>
      </c>
      <c r="AI995" t="s">
        <v>287</v>
      </c>
      <c r="AX995">
        <v>263</v>
      </c>
      <c r="AY995" t="s">
        <v>286</v>
      </c>
      <c r="AZ995" t="s">
        <v>287</v>
      </c>
      <c r="BQ995" t="s">
        <v>52</v>
      </c>
      <c r="BR995">
        <v>1.85</v>
      </c>
      <c r="BS995" t="s">
        <v>284</v>
      </c>
      <c r="BT995">
        <v>2.02</v>
      </c>
      <c r="BU995" t="s">
        <v>284</v>
      </c>
      <c r="BV995">
        <v>1.21</v>
      </c>
      <c r="BW995" t="s">
        <v>289</v>
      </c>
      <c r="BX995">
        <v>0.44</v>
      </c>
      <c r="BY995" t="s">
        <v>289</v>
      </c>
      <c r="BZ995">
        <v>0.18</v>
      </c>
      <c r="CA995" t="s">
        <v>288</v>
      </c>
      <c r="CF995">
        <v>1.17</v>
      </c>
      <c r="CG995" t="s">
        <v>54</v>
      </c>
      <c r="CH995" t="s">
        <v>52</v>
      </c>
    </row>
    <row r="996" spans="1:86" x14ac:dyDescent="0.25">
      <c r="A996" t="s">
        <v>47</v>
      </c>
      <c r="B996">
        <v>8</v>
      </c>
      <c r="C996" t="s">
        <v>181</v>
      </c>
      <c r="D996">
        <v>85</v>
      </c>
      <c r="E996" t="s">
        <v>70</v>
      </c>
      <c r="F996">
        <v>296</v>
      </c>
      <c r="G996" t="s">
        <v>71</v>
      </c>
      <c r="H996" t="s">
        <v>50</v>
      </c>
      <c r="K996" t="s">
        <v>52</v>
      </c>
      <c r="L996">
        <v>1</v>
      </c>
      <c r="M996" t="s">
        <v>53</v>
      </c>
      <c r="N996">
        <v>296</v>
      </c>
      <c r="O996">
        <v>1</v>
      </c>
      <c r="P996" t="s">
        <v>52</v>
      </c>
      <c r="Q996">
        <v>0</v>
      </c>
      <c r="R996">
        <v>0.75</v>
      </c>
      <c r="S996">
        <v>228</v>
      </c>
      <c r="T996" t="s">
        <v>284</v>
      </c>
      <c r="U996">
        <v>190</v>
      </c>
      <c r="V996" t="s">
        <v>285</v>
      </c>
      <c r="W996">
        <v>194</v>
      </c>
      <c r="X996" t="s">
        <v>285</v>
      </c>
      <c r="Y996">
        <v>225</v>
      </c>
      <c r="Z996" t="s">
        <v>285</v>
      </c>
      <c r="AA996">
        <v>247</v>
      </c>
      <c r="AB996" t="s">
        <v>285</v>
      </c>
      <c r="AC996">
        <v>241</v>
      </c>
      <c r="AD996" t="s">
        <v>285</v>
      </c>
      <c r="AE996">
        <v>219</v>
      </c>
      <c r="AF996" t="s">
        <v>285</v>
      </c>
      <c r="AG996">
        <v>219</v>
      </c>
      <c r="AH996" t="s">
        <v>286</v>
      </c>
      <c r="AI996" t="s">
        <v>287</v>
      </c>
      <c r="AX996">
        <v>263</v>
      </c>
      <c r="AY996" t="s">
        <v>286</v>
      </c>
      <c r="AZ996" t="s">
        <v>287</v>
      </c>
      <c r="BQ996" t="s">
        <v>52</v>
      </c>
      <c r="BR996">
        <v>0.65</v>
      </c>
      <c r="BS996" t="s">
        <v>284</v>
      </c>
      <c r="BT996">
        <v>1.01</v>
      </c>
      <c r="BU996" t="s">
        <v>285</v>
      </c>
      <c r="BV996">
        <v>0.31</v>
      </c>
      <c r="BW996" t="s">
        <v>285</v>
      </c>
      <c r="BX996">
        <v>0.22</v>
      </c>
      <c r="BY996" t="s">
        <v>284</v>
      </c>
      <c r="BZ996">
        <v>0.22</v>
      </c>
      <c r="CA996" t="s">
        <v>284</v>
      </c>
      <c r="CF996">
        <v>0.39</v>
      </c>
      <c r="CG996" t="s">
        <v>54</v>
      </c>
      <c r="CH996" t="s">
        <v>52</v>
      </c>
    </row>
    <row r="997" spans="1:86" x14ac:dyDescent="0.25">
      <c r="A997" t="s">
        <v>47</v>
      </c>
      <c r="B997">
        <v>8</v>
      </c>
      <c r="C997" t="s">
        <v>181</v>
      </c>
      <c r="D997">
        <v>85</v>
      </c>
      <c r="E997" t="s">
        <v>70</v>
      </c>
      <c r="F997">
        <v>296</v>
      </c>
      <c r="G997" t="s">
        <v>73</v>
      </c>
      <c r="H997" t="s">
        <v>50</v>
      </c>
      <c r="K997" t="s">
        <v>51</v>
      </c>
      <c r="L997">
        <v>1</v>
      </c>
      <c r="M997" t="s">
        <v>53</v>
      </c>
      <c r="N997">
        <v>296</v>
      </c>
      <c r="O997">
        <v>1</v>
      </c>
      <c r="P997" t="s">
        <v>52</v>
      </c>
      <c r="Q997">
        <v>0</v>
      </c>
      <c r="R997">
        <v>0.75</v>
      </c>
      <c r="S997">
        <v>228</v>
      </c>
      <c r="T997" t="s">
        <v>284</v>
      </c>
      <c r="U997">
        <v>221</v>
      </c>
      <c r="V997" t="s">
        <v>284</v>
      </c>
      <c r="W997">
        <v>236</v>
      </c>
      <c r="X997" t="s">
        <v>284</v>
      </c>
      <c r="Y997">
        <v>244</v>
      </c>
      <c r="Z997" t="s">
        <v>284</v>
      </c>
      <c r="AA997">
        <v>225</v>
      </c>
      <c r="AB997" t="s">
        <v>285</v>
      </c>
      <c r="AG997">
        <v>229.66669999999999</v>
      </c>
      <c r="AH997" t="s">
        <v>54</v>
      </c>
      <c r="AI997" t="s">
        <v>52</v>
      </c>
      <c r="AZ997" t="s">
        <v>52</v>
      </c>
      <c r="BQ997" t="s">
        <v>52</v>
      </c>
      <c r="BR997">
        <v>1.85</v>
      </c>
      <c r="BS997" t="s">
        <v>284</v>
      </c>
      <c r="BT997">
        <v>1.77</v>
      </c>
      <c r="BU997" t="s">
        <v>284</v>
      </c>
      <c r="BV997">
        <v>1.06</v>
      </c>
      <c r="BW997" t="s">
        <v>284</v>
      </c>
      <c r="BX997">
        <v>1.49</v>
      </c>
      <c r="BY997" t="s">
        <v>284</v>
      </c>
      <c r="BZ997">
        <v>1.49</v>
      </c>
      <c r="CA997" t="s">
        <v>284</v>
      </c>
      <c r="CF997">
        <v>1.58</v>
      </c>
      <c r="CG997" t="s">
        <v>54</v>
      </c>
      <c r="CH997" t="s">
        <v>52</v>
      </c>
    </row>
    <row r="998" spans="1:86" x14ac:dyDescent="0.25">
      <c r="A998" t="s">
        <v>47</v>
      </c>
      <c r="B998">
        <v>8</v>
      </c>
      <c r="C998" t="s">
        <v>181</v>
      </c>
      <c r="D998">
        <v>85</v>
      </c>
      <c r="E998" t="s">
        <v>70</v>
      </c>
      <c r="F998">
        <v>296</v>
      </c>
      <c r="G998" t="s">
        <v>74</v>
      </c>
      <c r="H998" t="s">
        <v>50</v>
      </c>
      <c r="K998" t="s">
        <v>51</v>
      </c>
      <c r="L998">
        <v>1</v>
      </c>
      <c r="M998" t="s">
        <v>53</v>
      </c>
      <c r="N998">
        <v>102</v>
      </c>
      <c r="O998">
        <v>1</v>
      </c>
      <c r="P998" t="s">
        <v>52</v>
      </c>
      <c r="Q998">
        <v>0</v>
      </c>
      <c r="R998">
        <v>0.75</v>
      </c>
      <c r="S998">
        <v>135</v>
      </c>
      <c r="T998" t="s">
        <v>284</v>
      </c>
      <c r="U998">
        <v>132</v>
      </c>
      <c r="V998" t="s">
        <v>284</v>
      </c>
      <c r="W998">
        <v>147</v>
      </c>
      <c r="X998" t="s">
        <v>284</v>
      </c>
      <c r="Y998">
        <v>170</v>
      </c>
      <c r="Z998" t="s">
        <v>284</v>
      </c>
      <c r="AA998">
        <v>205</v>
      </c>
      <c r="AB998" t="s">
        <v>285</v>
      </c>
      <c r="AG998">
        <v>150.66669999999999</v>
      </c>
      <c r="AH998" t="s">
        <v>54</v>
      </c>
      <c r="AI998" t="s">
        <v>52</v>
      </c>
      <c r="AZ998" t="s">
        <v>52</v>
      </c>
      <c r="BQ998" t="s">
        <v>52</v>
      </c>
      <c r="BR998">
        <v>1.85</v>
      </c>
      <c r="BS998" t="s">
        <v>284</v>
      </c>
      <c r="BT998">
        <v>1.79</v>
      </c>
      <c r="BU998" t="s">
        <v>284</v>
      </c>
      <c r="BV998">
        <v>1.18</v>
      </c>
      <c r="BW998" t="s">
        <v>289</v>
      </c>
      <c r="BX998">
        <v>1.18</v>
      </c>
      <c r="BY998" t="s">
        <v>285</v>
      </c>
      <c r="BZ998">
        <v>1.1200000000000001</v>
      </c>
      <c r="CA998" t="s">
        <v>289</v>
      </c>
      <c r="CF998">
        <v>1.38</v>
      </c>
      <c r="CG998" t="s">
        <v>54</v>
      </c>
      <c r="CH998" t="s">
        <v>52</v>
      </c>
    </row>
    <row r="999" spans="1:86" x14ac:dyDescent="0.25">
      <c r="A999" t="s">
        <v>47</v>
      </c>
      <c r="B999">
        <v>8</v>
      </c>
      <c r="C999" t="s">
        <v>181</v>
      </c>
      <c r="D999">
        <v>85</v>
      </c>
      <c r="E999" t="s">
        <v>75</v>
      </c>
      <c r="F999">
        <v>16</v>
      </c>
      <c r="G999" t="s">
        <v>76</v>
      </c>
      <c r="H999" t="s">
        <v>50</v>
      </c>
      <c r="K999" t="s">
        <v>51</v>
      </c>
      <c r="L999">
        <v>1</v>
      </c>
      <c r="M999" t="s">
        <v>53</v>
      </c>
      <c r="N999">
        <v>16</v>
      </c>
      <c r="O999">
        <v>2</v>
      </c>
      <c r="P999" t="s">
        <v>52</v>
      </c>
      <c r="Q999">
        <v>0.5</v>
      </c>
      <c r="R999">
        <v>0.75</v>
      </c>
      <c r="S999">
        <v>83.35</v>
      </c>
      <c r="T999" t="s">
        <v>285</v>
      </c>
      <c r="U999">
        <v>96.14</v>
      </c>
      <c r="V999" t="s">
        <v>284</v>
      </c>
      <c r="W999">
        <v>103.37</v>
      </c>
      <c r="X999" t="s">
        <v>284</v>
      </c>
      <c r="Y999">
        <v>106.14</v>
      </c>
      <c r="Z999" t="s">
        <v>284</v>
      </c>
      <c r="AA999">
        <v>128</v>
      </c>
      <c r="AB999" t="s">
        <v>285</v>
      </c>
      <c r="AG999">
        <v>101.88330000000001</v>
      </c>
      <c r="AH999" t="s">
        <v>54</v>
      </c>
      <c r="AI999" t="s">
        <v>52</v>
      </c>
      <c r="AX999">
        <v>146.69999999999999</v>
      </c>
      <c r="AY999" t="s">
        <v>285</v>
      </c>
      <c r="AZ999" t="s">
        <v>287</v>
      </c>
      <c r="BQ999" t="s">
        <v>52</v>
      </c>
      <c r="CH999" t="s">
        <v>52</v>
      </c>
    </row>
    <row r="1000" spans="1:86" x14ac:dyDescent="0.25">
      <c r="A1000" t="s">
        <v>47</v>
      </c>
      <c r="B1000">
        <v>8</v>
      </c>
      <c r="C1000" t="s">
        <v>181</v>
      </c>
      <c r="D1000">
        <v>85</v>
      </c>
      <c r="E1000" t="s">
        <v>94</v>
      </c>
      <c r="F1000">
        <v>26</v>
      </c>
      <c r="H1000" t="s">
        <v>50</v>
      </c>
      <c r="K1000" t="s">
        <v>51</v>
      </c>
      <c r="L1000">
        <v>1</v>
      </c>
      <c r="M1000" t="s">
        <v>53</v>
      </c>
      <c r="N1000">
        <v>102</v>
      </c>
      <c r="O1000">
        <v>1</v>
      </c>
      <c r="P1000" t="s">
        <v>52</v>
      </c>
      <c r="Q1000">
        <v>0</v>
      </c>
      <c r="R1000">
        <v>0.92</v>
      </c>
      <c r="S1000">
        <v>131.69999999999999</v>
      </c>
      <c r="T1000" t="s">
        <v>284</v>
      </c>
      <c r="U1000">
        <v>170</v>
      </c>
      <c r="V1000" t="s">
        <v>284</v>
      </c>
      <c r="W1000">
        <v>191</v>
      </c>
      <c r="X1000" t="s">
        <v>284</v>
      </c>
      <c r="Y1000">
        <v>207</v>
      </c>
      <c r="Z1000" t="s">
        <v>284</v>
      </c>
      <c r="AA1000">
        <v>186</v>
      </c>
      <c r="AB1000" t="s">
        <v>284</v>
      </c>
      <c r="AG1000">
        <v>182.33330000000001</v>
      </c>
      <c r="AH1000" t="s">
        <v>54</v>
      </c>
      <c r="AI1000" t="s">
        <v>52</v>
      </c>
      <c r="AZ1000" t="s">
        <v>52</v>
      </c>
      <c r="BQ1000" t="s">
        <v>52</v>
      </c>
      <c r="BR1000">
        <v>1.53</v>
      </c>
      <c r="BS1000" t="s">
        <v>285</v>
      </c>
      <c r="BT1000">
        <v>1.95</v>
      </c>
      <c r="BU1000" t="s">
        <v>284</v>
      </c>
      <c r="BV1000">
        <v>1.52</v>
      </c>
      <c r="BW1000" t="s">
        <v>284</v>
      </c>
      <c r="BX1000">
        <v>1.05</v>
      </c>
      <c r="BY1000" t="s">
        <v>284</v>
      </c>
      <c r="BZ1000">
        <v>1.04</v>
      </c>
      <c r="CA1000" t="s">
        <v>289</v>
      </c>
      <c r="CF1000">
        <v>1.37</v>
      </c>
      <c r="CG1000" t="s">
        <v>54</v>
      </c>
      <c r="CH1000" t="s">
        <v>52</v>
      </c>
    </row>
    <row r="1001" spans="1:86" x14ac:dyDescent="0.25">
      <c r="A1001" t="s">
        <v>47</v>
      </c>
      <c r="B1001">
        <v>8</v>
      </c>
      <c r="C1001" t="s">
        <v>181</v>
      </c>
      <c r="D1001">
        <v>85</v>
      </c>
      <c r="E1001" t="s">
        <v>79</v>
      </c>
      <c r="F1001">
        <v>50</v>
      </c>
      <c r="G1001" t="s">
        <v>100</v>
      </c>
      <c r="H1001" t="s">
        <v>50</v>
      </c>
      <c r="K1001" t="s">
        <v>51</v>
      </c>
      <c r="L1001">
        <v>1</v>
      </c>
      <c r="M1001" t="s">
        <v>53</v>
      </c>
      <c r="N1001">
        <v>50</v>
      </c>
      <c r="O1001">
        <v>1</v>
      </c>
      <c r="P1001" t="s">
        <v>52</v>
      </c>
      <c r="Q1001">
        <v>0.5</v>
      </c>
      <c r="R1001">
        <v>0.75</v>
      </c>
      <c r="S1001">
        <v>85</v>
      </c>
      <c r="T1001" t="s">
        <v>285</v>
      </c>
      <c r="U1001">
        <v>93</v>
      </c>
      <c r="V1001" t="s">
        <v>284</v>
      </c>
      <c r="W1001">
        <v>89.7</v>
      </c>
      <c r="X1001" t="s">
        <v>284</v>
      </c>
      <c r="Y1001">
        <v>92.72</v>
      </c>
      <c r="Z1001" t="s">
        <v>284</v>
      </c>
      <c r="AA1001">
        <v>109</v>
      </c>
      <c r="AB1001" t="s">
        <v>285</v>
      </c>
      <c r="AG1001">
        <v>91.806700000000006</v>
      </c>
      <c r="AH1001" t="s">
        <v>54</v>
      </c>
      <c r="AI1001" t="s">
        <v>52</v>
      </c>
      <c r="AZ1001" t="s">
        <v>52</v>
      </c>
      <c r="BQ1001" t="s">
        <v>52</v>
      </c>
      <c r="CH1001" t="s">
        <v>52</v>
      </c>
    </row>
    <row r="1002" spans="1:86" x14ac:dyDescent="0.25">
      <c r="A1002" t="s">
        <v>47</v>
      </c>
      <c r="B1002">
        <v>8</v>
      </c>
      <c r="C1002" t="s">
        <v>181</v>
      </c>
      <c r="D1002">
        <v>85</v>
      </c>
      <c r="E1002" t="s">
        <v>79</v>
      </c>
      <c r="F1002">
        <v>50</v>
      </c>
      <c r="G1002" t="s">
        <v>65</v>
      </c>
      <c r="H1002" t="s">
        <v>50</v>
      </c>
      <c r="K1002" t="s">
        <v>51</v>
      </c>
      <c r="L1002">
        <v>1</v>
      </c>
      <c r="M1002" t="s">
        <v>53</v>
      </c>
      <c r="N1002">
        <v>50</v>
      </c>
      <c r="O1002">
        <v>1</v>
      </c>
      <c r="P1002" t="s">
        <v>52</v>
      </c>
      <c r="Q1002">
        <v>0.5</v>
      </c>
      <c r="R1002">
        <v>0.75</v>
      </c>
      <c r="S1002">
        <v>85</v>
      </c>
      <c r="T1002" t="s">
        <v>285</v>
      </c>
      <c r="U1002">
        <v>93</v>
      </c>
      <c r="V1002" t="s">
        <v>284</v>
      </c>
      <c r="W1002">
        <v>89.7</v>
      </c>
      <c r="X1002" t="s">
        <v>284</v>
      </c>
      <c r="Y1002">
        <v>92.72</v>
      </c>
      <c r="Z1002" t="s">
        <v>284</v>
      </c>
      <c r="AA1002">
        <v>109</v>
      </c>
      <c r="AB1002" t="s">
        <v>285</v>
      </c>
      <c r="AG1002">
        <v>91.806700000000006</v>
      </c>
      <c r="AH1002" t="s">
        <v>54</v>
      </c>
      <c r="AI1002" t="s">
        <v>52</v>
      </c>
      <c r="AZ1002" t="s">
        <v>52</v>
      </c>
      <c r="BQ1002" t="s">
        <v>52</v>
      </c>
      <c r="CH1002" t="s">
        <v>52</v>
      </c>
    </row>
    <row r="1003" spans="1:86" x14ac:dyDescent="0.25">
      <c r="A1003" t="s">
        <v>47</v>
      </c>
      <c r="B1003">
        <v>8</v>
      </c>
      <c r="C1003" t="s">
        <v>181</v>
      </c>
      <c r="D1003">
        <v>85</v>
      </c>
      <c r="E1003" t="s">
        <v>79</v>
      </c>
      <c r="F1003">
        <v>50</v>
      </c>
      <c r="G1003" t="s">
        <v>81</v>
      </c>
      <c r="H1003" t="s">
        <v>50</v>
      </c>
      <c r="K1003" t="s">
        <v>51</v>
      </c>
      <c r="L1003">
        <v>1</v>
      </c>
      <c r="M1003" t="s">
        <v>53</v>
      </c>
      <c r="N1003">
        <v>50</v>
      </c>
      <c r="O1003">
        <v>1</v>
      </c>
      <c r="P1003" t="s">
        <v>52</v>
      </c>
      <c r="Q1003">
        <v>0.5</v>
      </c>
      <c r="R1003">
        <v>0.75</v>
      </c>
      <c r="S1003">
        <v>85</v>
      </c>
      <c r="T1003" t="s">
        <v>285</v>
      </c>
      <c r="U1003">
        <v>93</v>
      </c>
      <c r="V1003" t="s">
        <v>284</v>
      </c>
      <c r="W1003">
        <v>89.7</v>
      </c>
      <c r="X1003" t="s">
        <v>284</v>
      </c>
      <c r="Y1003">
        <v>92.72</v>
      </c>
      <c r="Z1003" t="s">
        <v>284</v>
      </c>
      <c r="AA1003">
        <v>109</v>
      </c>
      <c r="AB1003" t="s">
        <v>285</v>
      </c>
      <c r="AG1003">
        <v>91.806700000000006</v>
      </c>
      <c r="AH1003" t="s">
        <v>54</v>
      </c>
      <c r="AI1003" t="s">
        <v>52</v>
      </c>
      <c r="AZ1003" t="s">
        <v>52</v>
      </c>
      <c r="BQ1003" t="s">
        <v>52</v>
      </c>
      <c r="CH1003" t="s">
        <v>52</v>
      </c>
    </row>
    <row r="1004" spans="1:86" x14ac:dyDescent="0.25">
      <c r="A1004" t="s">
        <v>47</v>
      </c>
      <c r="B1004">
        <v>8</v>
      </c>
      <c r="C1004" t="s">
        <v>181</v>
      </c>
      <c r="D1004">
        <v>85</v>
      </c>
      <c r="E1004" t="s">
        <v>182</v>
      </c>
      <c r="F1004">
        <v>131</v>
      </c>
      <c r="H1004" t="s">
        <v>50</v>
      </c>
      <c r="K1004" t="s">
        <v>51</v>
      </c>
      <c r="L1004">
        <v>1</v>
      </c>
      <c r="M1004" t="s">
        <v>53</v>
      </c>
      <c r="N1004">
        <v>131</v>
      </c>
      <c r="O1004">
        <v>1</v>
      </c>
      <c r="P1004" t="s">
        <v>52</v>
      </c>
      <c r="Q1004">
        <v>0.6</v>
      </c>
      <c r="R1004">
        <v>0.84</v>
      </c>
      <c r="S1004">
        <v>124</v>
      </c>
      <c r="T1004" t="s">
        <v>285</v>
      </c>
      <c r="U1004">
        <v>110</v>
      </c>
      <c r="V1004" t="s">
        <v>285</v>
      </c>
      <c r="W1004">
        <v>123</v>
      </c>
      <c r="X1004" t="s">
        <v>284</v>
      </c>
      <c r="Y1004">
        <v>124</v>
      </c>
      <c r="Z1004" t="s">
        <v>284</v>
      </c>
      <c r="AA1004">
        <v>131</v>
      </c>
      <c r="AB1004" t="s">
        <v>284</v>
      </c>
      <c r="AG1004">
        <v>123.66670000000001</v>
      </c>
      <c r="AH1004" t="s">
        <v>54</v>
      </c>
      <c r="AI1004" t="s">
        <v>52</v>
      </c>
      <c r="AZ1004" t="s">
        <v>52</v>
      </c>
      <c r="BQ1004" t="s">
        <v>52</v>
      </c>
      <c r="BR1004">
        <v>1.41</v>
      </c>
      <c r="BS1004" t="s">
        <v>285</v>
      </c>
      <c r="BT1004">
        <v>1.36</v>
      </c>
      <c r="BU1004" t="s">
        <v>285</v>
      </c>
      <c r="BV1004">
        <v>1.81</v>
      </c>
      <c r="BW1004" t="s">
        <v>284</v>
      </c>
      <c r="BX1004">
        <v>1.58</v>
      </c>
      <c r="BY1004" t="s">
        <v>284</v>
      </c>
      <c r="BZ1004">
        <v>1.1100000000000001</v>
      </c>
      <c r="CA1004" t="s">
        <v>285</v>
      </c>
      <c r="CF1004">
        <v>1.45</v>
      </c>
      <c r="CG1004" t="s">
        <v>54</v>
      </c>
      <c r="CH1004" t="s">
        <v>52</v>
      </c>
    </row>
    <row r="1005" spans="1:86" x14ac:dyDescent="0.25">
      <c r="A1005" t="s">
        <v>47</v>
      </c>
      <c r="B1005">
        <v>8</v>
      </c>
      <c r="C1005" t="s">
        <v>181</v>
      </c>
      <c r="D1005">
        <v>85</v>
      </c>
      <c r="E1005" t="s">
        <v>83</v>
      </c>
      <c r="F1005">
        <v>158</v>
      </c>
      <c r="H1005" t="s">
        <v>50</v>
      </c>
      <c r="K1005" t="s">
        <v>51</v>
      </c>
      <c r="L1005">
        <v>1</v>
      </c>
      <c r="M1005" t="s">
        <v>53</v>
      </c>
      <c r="N1005">
        <v>158</v>
      </c>
      <c r="O1005">
        <v>2</v>
      </c>
      <c r="P1005" t="s">
        <v>52</v>
      </c>
      <c r="Q1005">
        <v>0.77</v>
      </c>
      <c r="R1005">
        <v>0.93</v>
      </c>
      <c r="S1005">
        <v>228</v>
      </c>
      <c r="T1005" t="s">
        <v>284</v>
      </c>
      <c r="U1005">
        <v>221</v>
      </c>
      <c r="V1005" t="s">
        <v>284</v>
      </c>
      <c r="W1005">
        <v>236</v>
      </c>
      <c r="X1005" t="s">
        <v>284</v>
      </c>
      <c r="Y1005">
        <v>244</v>
      </c>
      <c r="Z1005" t="s">
        <v>284</v>
      </c>
      <c r="AA1005">
        <v>252</v>
      </c>
      <c r="AB1005" t="s">
        <v>284</v>
      </c>
      <c r="AG1005">
        <v>236</v>
      </c>
      <c r="AH1005" t="s">
        <v>54</v>
      </c>
      <c r="AI1005" t="s">
        <v>52</v>
      </c>
      <c r="AX1005">
        <v>339</v>
      </c>
      <c r="AY1005" t="s">
        <v>285</v>
      </c>
      <c r="AZ1005" t="s">
        <v>287</v>
      </c>
      <c r="BQ1005" t="s">
        <v>52</v>
      </c>
      <c r="CH1005" t="s">
        <v>52</v>
      </c>
    </row>
    <row r="1006" spans="1:86" x14ac:dyDescent="0.25">
      <c r="A1006" t="s">
        <v>47</v>
      </c>
      <c r="B1006">
        <v>8</v>
      </c>
      <c r="C1006" t="s">
        <v>183</v>
      </c>
      <c r="D1006">
        <v>87</v>
      </c>
      <c r="E1006" t="s">
        <v>49</v>
      </c>
      <c r="F1006">
        <v>27</v>
      </c>
      <c r="H1006" t="s">
        <v>50</v>
      </c>
      <c r="K1006" t="s">
        <v>51</v>
      </c>
      <c r="L1006">
        <v>1</v>
      </c>
      <c r="M1006" t="s">
        <v>53</v>
      </c>
      <c r="N1006">
        <v>27</v>
      </c>
      <c r="O1006">
        <v>1</v>
      </c>
      <c r="P1006" t="s">
        <v>52</v>
      </c>
      <c r="Q1006">
        <v>0</v>
      </c>
      <c r="R1006">
        <v>0.75</v>
      </c>
      <c r="S1006">
        <v>231</v>
      </c>
      <c r="T1006" t="s">
        <v>284</v>
      </c>
      <c r="U1006">
        <v>208</v>
      </c>
      <c r="V1006" t="s">
        <v>284</v>
      </c>
      <c r="W1006">
        <v>224</v>
      </c>
      <c r="X1006" t="s">
        <v>284</v>
      </c>
      <c r="Y1006">
        <v>225</v>
      </c>
      <c r="Z1006" t="s">
        <v>285</v>
      </c>
      <c r="AA1006">
        <v>247</v>
      </c>
      <c r="AB1006" t="s">
        <v>285</v>
      </c>
      <c r="AC1006">
        <v>241</v>
      </c>
      <c r="AD1006" t="s">
        <v>285</v>
      </c>
      <c r="AE1006">
        <v>219</v>
      </c>
      <c r="AF1006" t="s">
        <v>285</v>
      </c>
      <c r="AG1006">
        <v>219</v>
      </c>
      <c r="AH1006" t="s">
        <v>286</v>
      </c>
      <c r="AI1006" t="s">
        <v>287</v>
      </c>
      <c r="AX1006">
        <v>263</v>
      </c>
      <c r="AY1006" t="s">
        <v>286</v>
      </c>
      <c r="AZ1006" t="s">
        <v>287</v>
      </c>
      <c r="BQ1006" t="s">
        <v>52</v>
      </c>
      <c r="BR1006">
        <v>3.7</v>
      </c>
      <c r="BS1006" t="s">
        <v>284</v>
      </c>
      <c r="BT1006">
        <v>3.4</v>
      </c>
      <c r="BU1006" t="s">
        <v>284</v>
      </c>
      <c r="BV1006">
        <v>2.63</v>
      </c>
      <c r="BW1006" t="s">
        <v>284</v>
      </c>
      <c r="BX1006">
        <v>3.63</v>
      </c>
      <c r="BY1006" t="s">
        <v>284</v>
      </c>
      <c r="BZ1006">
        <v>2.88</v>
      </c>
      <c r="CA1006" t="s">
        <v>288</v>
      </c>
      <c r="CF1006">
        <v>3.3</v>
      </c>
      <c r="CG1006" t="s">
        <v>54</v>
      </c>
      <c r="CH1006" t="s">
        <v>52</v>
      </c>
    </row>
    <row r="1007" spans="1:86" x14ac:dyDescent="0.25">
      <c r="A1007" t="s">
        <v>47</v>
      </c>
      <c r="B1007">
        <v>8</v>
      </c>
      <c r="C1007" t="s">
        <v>183</v>
      </c>
      <c r="D1007">
        <v>87</v>
      </c>
      <c r="E1007" t="s">
        <v>49</v>
      </c>
      <c r="F1007">
        <v>27</v>
      </c>
      <c r="H1007" t="s">
        <v>50</v>
      </c>
      <c r="K1007" t="s">
        <v>52</v>
      </c>
      <c r="L1007">
        <v>1</v>
      </c>
      <c r="M1007" t="s">
        <v>53</v>
      </c>
      <c r="N1007">
        <v>27</v>
      </c>
      <c r="O1007">
        <v>1</v>
      </c>
      <c r="P1007" t="s">
        <v>52</v>
      </c>
      <c r="Q1007">
        <v>0</v>
      </c>
      <c r="R1007">
        <v>0.75</v>
      </c>
      <c r="S1007">
        <v>231</v>
      </c>
      <c r="T1007" t="s">
        <v>284</v>
      </c>
      <c r="U1007">
        <v>208</v>
      </c>
      <c r="V1007" t="s">
        <v>284</v>
      </c>
      <c r="W1007">
        <v>224</v>
      </c>
      <c r="X1007" t="s">
        <v>284</v>
      </c>
      <c r="Y1007">
        <v>225</v>
      </c>
      <c r="Z1007" t="s">
        <v>285</v>
      </c>
      <c r="AA1007">
        <v>247</v>
      </c>
      <c r="AB1007" t="s">
        <v>285</v>
      </c>
      <c r="AC1007">
        <v>241</v>
      </c>
      <c r="AD1007" t="s">
        <v>285</v>
      </c>
      <c r="AE1007">
        <v>219</v>
      </c>
      <c r="AF1007" t="s">
        <v>285</v>
      </c>
      <c r="AG1007">
        <v>219</v>
      </c>
      <c r="AH1007" t="s">
        <v>286</v>
      </c>
      <c r="AI1007" t="s">
        <v>287</v>
      </c>
      <c r="AX1007">
        <v>263</v>
      </c>
      <c r="AY1007" t="s">
        <v>286</v>
      </c>
      <c r="AZ1007" t="s">
        <v>287</v>
      </c>
      <c r="BQ1007" t="s">
        <v>52</v>
      </c>
      <c r="BR1007">
        <v>1.3</v>
      </c>
      <c r="BS1007" t="s">
        <v>284</v>
      </c>
      <c r="BT1007">
        <v>1.2</v>
      </c>
      <c r="BU1007" t="s">
        <v>284</v>
      </c>
      <c r="BV1007">
        <v>1.65</v>
      </c>
      <c r="BW1007" t="s">
        <v>284</v>
      </c>
      <c r="BX1007">
        <v>2.56</v>
      </c>
      <c r="BY1007" t="s">
        <v>284</v>
      </c>
      <c r="BZ1007">
        <v>2.6</v>
      </c>
      <c r="CA1007" t="s">
        <v>289</v>
      </c>
      <c r="CF1007">
        <v>1.84</v>
      </c>
      <c r="CG1007" t="s">
        <v>54</v>
      </c>
      <c r="CH1007" t="s">
        <v>52</v>
      </c>
    </row>
    <row r="1008" spans="1:86" x14ac:dyDescent="0.25">
      <c r="A1008" t="s">
        <v>47</v>
      </c>
      <c r="B1008">
        <v>8</v>
      </c>
      <c r="C1008" t="s">
        <v>183</v>
      </c>
      <c r="D1008">
        <v>87</v>
      </c>
      <c r="E1008" t="s">
        <v>87</v>
      </c>
      <c r="F1008">
        <v>91</v>
      </c>
      <c r="G1008" t="s">
        <v>103</v>
      </c>
      <c r="H1008" t="s">
        <v>50</v>
      </c>
      <c r="K1008" t="s">
        <v>51</v>
      </c>
      <c r="L1008">
        <v>1</v>
      </c>
      <c r="M1008" t="s">
        <v>53</v>
      </c>
      <c r="N1008">
        <v>91</v>
      </c>
      <c r="O1008">
        <v>2</v>
      </c>
      <c r="P1008" t="s">
        <v>52</v>
      </c>
      <c r="Q1008">
        <v>0.77</v>
      </c>
      <c r="R1008">
        <v>0.93</v>
      </c>
      <c r="S1008">
        <v>135</v>
      </c>
      <c r="T1008" t="s">
        <v>284</v>
      </c>
      <c r="U1008">
        <v>133</v>
      </c>
      <c r="V1008" t="s">
        <v>284</v>
      </c>
      <c r="W1008">
        <v>147</v>
      </c>
      <c r="X1008" t="s">
        <v>284</v>
      </c>
      <c r="Y1008">
        <v>170</v>
      </c>
      <c r="Z1008" t="s">
        <v>284</v>
      </c>
      <c r="AA1008">
        <v>167</v>
      </c>
      <c r="AB1008" t="s">
        <v>284</v>
      </c>
      <c r="AG1008">
        <v>149.66669999999999</v>
      </c>
      <c r="AH1008" t="s">
        <v>54</v>
      </c>
      <c r="AI1008" t="s">
        <v>52</v>
      </c>
      <c r="AZ1008" t="s">
        <v>52</v>
      </c>
      <c r="BQ1008" t="s">
        <v>52</v>
      </c>
      <c r="CH1008" t="s">
        <v>52</v>
      </c>
    </row>
    <row r="1009" spans="1:86" x14ac:dyDescent="0.25">
      <c r="A1009" t="s">
        <v>47</v>
      </c>
      <c r="B1009">
        <v>8</v>
      </c>
      <c r="C1009" t="s">
        <v>183</v>
      </c>
      <c r="D1009">
        <v>87</v>
      </c>
      <c r="E1009" t="s">
        <v>87</v>
      </c>
      <c r="F1009">
        <v>91</v>
      </c>
      <c r="G1009" t="s">
        <v>103</v>
      </c>
      <c r="H1009" t="s">
        <v>50</v>
      </c>
      <c r="K1009" t="s">
        <v>52</v>
      </c>
      <c r="L1009">
        <v>1</v>
      </c>
      <c r="M1009" t="s">
        <v>53</v>
      </c>
      <c r="N1009">
        <v>91</v>
      </c>
      <c r="O1009">
        <v>2</v>
      </c>
      <c r="P1009" t="s">
        <v>52</v>
      </c>
      <c r="Q1009">
        <v>0.77</v>
      </c>
      <c r="R1009">
        <v>0.93</v>
      </c>
      <c r="S1009">
        <v>135</v>
      </c>
      <c r="T1009" t="s">
        <v>284</v>
      </c>
      <c r="U1009">
        <v>133</v>
      </c>
      <c r="V1009" t="s">
        <v>284</v>
      </c>
      <c r="W1009">
        <v>147</v>
      </c>
      <c r="X1009" t="s">
        <v>284</v>
      </c>
      <c r="Y1009">
        <v>170</v>
      </c>
      <c r="Z1009" t="s">
        <v>284</v>
      </c>
      <c r="AA1009">
        <v>167</v>
      </c>
      <c r="AB1009" t="s">
        <v>284</v>
      </c>
      <c r="AG1009">
        <v>149.66669999999999</v>
      </c>
      <c r="AH1009" t="s">
        <v>54</v>
      </c>
      <c r="AI1009" t="s">
        <v>52</v>
      </c>
      <c r="AZ1009" t="s">
        <v>52</v>
      </c>
      <c r="BQ1009" t="s">
        <v>52</v>
      </c>
      <c r="BR1009">
        <v>0.57999999999999996</v>
      </c>
      <c r="BS1009" t="s">
        <v>285</v>
      </c>
      <c r="BT1009">
        <v>0.38</v>
      </c>
      <c r="BU1009" t="s">
        <v>284</v>
      </c>
      <c r="BV1009">
        <v>0.54</v>
      </c>
      <c r="BW1009" t="s">
        <v>284</v>
      </c>
      <c r="BX1009">
        <v>0.52</v>
      </c>
      <c r="BY1009" t="s">
        <v>284</v>
      </c>
      <c r="BZ1009">
        <v>0.45</v>
      </c>
      <c r="CA1009" t="s">
        <v>284</v>
      </c>
      <c r="CF1009">
        <v>0.5</v>
      </c>
      <c r="CG1009" t="s">
        <v>54</v>
      </c>
      <c r="CH1009" t="s">
        <v>52</v>
      </c>
    </row>
    <row r="1010" spans="1:86" x14ac:dyDescent="0.25">
      <c r="A1010" t="s">
        <v>47</v>
      </c>
      <c r="B1010">
        <v>8</v>
      </c>
      <c r="C1010" t="s">
        <v>183</v>
      </c>
      <c r="D1010">
        <v>87</v>
      </c>
      <c r="E1010" t="s">
        <v>58</v>
      </c>
      <c r="F1010">
        <v>102</v>
      </c>
      <c r="G1010" t="s">
        <v>61</v>
      </c>
      <c r="H1010" t="s">
        <v>50</v>
      </c>
      <c r="K1010" t="s">
        <v>51</v>
      </c>
      <c r="L1010">
        <v>1</v>
      </c>
      <c r="M1010" t="s">
        <v>53</v>
      </c>
      <c r="N1010">
        <v>102</v>
      </c>
      <c r="O1010">
        <v>1</v>
      </c>
      <c r="P1010" t="s">
        <v>52</v>
      </c>
      <c r="Q1010">
        <v>0</v>
      </c>
      <c r="R1010">
        <v>0.92</v>
      </c>
      <c r="S1010">
        <v>131.69999999999999</v>
      </c>
      <c r="T1010" t="s">
        <v>284</v>
      </c>
      <c r="U1010">
        <v>170</v>
      </c>
      <c r="V1010" t="s">
        <v>284</v>
      </c>
      <c r="W1010">
        <v>191</v>
      </c>
      <c r="X1010" t="s">
        <v>284</v>
      </c>
      <c r="Y1010">
        <v>207</v>
      </c>
      <c r="Z1010" t="s">
        <v>284</v>
      </c>
      <c r="AA1010">
        <v>315</v>
      </c>
      <c r="AB1010" t="s">
        <v>285</v>
      </c>
      <c r="AG1010">
        <v>189.33330000000001</v>
      </c>
      <c r="AH1010" t="s">
        <v>54</v>
      </c>
      <c r="AI1010" t="s">
        <v>52</v>
      </c>
      <c r="AZ1010" t="s">
        <v>52</v>
      </c>
      <c r="BQ1010" t="s">
        <v>52</v>
      </c>
      <c r="BR1010">
        <v>1.85</v>
      </c>
      <c r="BS1010" t="s">
        <v>284</v>
      </c>
      <c r="BT1010">
        <v>1.43</v>
      </c>
      <c r="BU1010" t="s">
        <v>284</v>
      </c>
      <c r="BV1010">
        <v>1.1100000000000001</v>
      </c>
      <c r="BW1010" t="s">
        <v>285</v>
      </c>
      <c r="CH1010" t="s">
        <v>52</v>
      </c>
    </row>
    <row r="1011" spans="1:86" x14ac:dyDescent="0.25">
      <c r="A1011" t="s">
        <v>47</v>
      </c>
      <c r="B1011">
        <v>8</v>
      </c>
      <c r="C1011" t="s">
        <v>183</v>
      </c>
      <c r="D1011">
        <v>87</v>
      </c>
      <c r="E1011" t="s">
        <v>58</v>
      </c>
      <c r="F1011">
        <v>102</v>
      </c>
      <c r="G1011" t="s">
        <v>61</v>
      </c>
      <c r="H1011" t="s">
        <v>50</v>
      </c>
      <c r="K1011" t="s">
        <v>52</v>
      </c>
      <c r="L1011">
        <v>1</v>
      </c>
      <c r="M1011" t="s">
        <v>53</v>
      </c>
      <c r="N1011">
        <v>102</v>
      </c>
      <c r="O1011">
        <v>1</v>
      </c>
      <c r="P1011" t="s">
        <v>52</v>
      </c>
      <c r="Q1011">
        <v>0</v>
      </c>
      <c r="R1011">
        <v>0.92</v>
      </c>
      <c r="S1011">
        <v>131.69999999999999</v>
      </c>
      <c r="T1011" t="s">
        <v>284</v>
      </c>
      <c r="U1011">
        <v>170</v>
      </c>
      <c r="V1011" t="s">
        <v>284</v>
      </c>
      <c r="W1011">
        <v>191</v>
      </c>
      <c r="X1011" t="s">
        <v>284</v>
      </c>
      <c r="Y1011">
        <v>207</v>
      </c>
      <c r="Z1011" t="s">
        <v>284</v>
      </c>
      <c r="AA1011">
        <v>315</v>
      </c>
      <c r="AB1011" t="s">
        <v>285</v>
      </c>
      <c r="AG1011">
        <v>189.33330000000001</v>
      </c>
      <c r="AH1011" t="s">
        <v>54</v>
      </c>
      <c r="AI1011" t="s">
        <v>52</v>
      </c>
      <c r="AZ1011" t="s">
        <v>52</v>
      </c>
      <c r="BQ1011" t="s">
        <v>52</v>
      </c>
      <c r="BR1011">
        <v>0.93</v>
      </c>
      <c r="BS1011" t="s">
        <v>285</v>
      </c>
      <c r="BT1011">
        <v>0.75</v>
      </c>
      <c r="BU1011" t="s">
        <v>284</v>
      </c>
      <c r="BV1011">
        <v>0.57999999999999996</v>
      </c>
      <c r="BW1011" t="s">
        <v>285</v>
      </c>
      <c r="BX1011">
        <v>0.4</v>
      </c>
      <c r="BY1011" t="s">
        <v>285</v>
      </c>
      <c r="BZ1011">
        <v>0.34</v>
      </c>
      <c r="CA1011" t="s">
        <v>284</v>
      </c>
      <c r="CF1011">
        <v>0.57999999999999996</v>
      </c>
      <c r="CG1011" t="s">
        <v>54</v>
      </c>
      <c r="CH1011" t="s">
        <v>52</v>
      </c>
    </row>
    <row r="1012" spans="1:86" x14ac:dyDescent="0.25">
      <c r="A1012" t="s">
        <v>47</v>
      </c>
      <c r="B1012">
        <v>8</v>
      </c>
      <c r="C1012" t="s">
        <v>183</v>
      </c>
      <c r="D1012">
        <v>87</v>
      </c>
      <c r="E1012" t="s">
        <v>58</v>
      </c>
      <c r="F1012">
        <v>102</v>
      </c>
      <c r="G1012" t="s">
        <v>62</v>
      </c>
      <c r="H1012" t="s">
        <v>50</v>
      </c>
      <c r="K1012" t="s">
        <v>52</v>
      </c>
      <c r="L1012">
        <v>1</v>
      </c>
      <c r="M1012" t="s">
        <v>53</v>
      </c>
      <c r="N1012">
        <v>102</v>
      </c>
      <c r="O1012">
        <v>1</v>
      </c>
      <c r="P1012" t="s">
        <v>52</v>
      </c>
      <c r="Q1012">
        <v>0</v>
      </c>
      <c r="R1012">
        <v>0.92</v>
      </c>
      <c r="S1012">
        <v>131.69999999999999</v>
      </c>
      <c r="T1012" t="s">
        <v>284</v>
      </c>
      <c r="U1012">
        <v>170</v>
      </c>
      <c r="V1012" t="s">
        <v>284</v>
      </c>
      <c r="W1012">
        <v>191</v>
      </c>
      <c r="X1012" t="s">
        <v>284</v>
      </c>
      <c r="Y1012">
        <v>207</v>
      </c>
      <c r="Z1012" t="s">
        <v>284</v>
      </c>
      <c r="AA1012">
        <v>205</v>
      </c>
      <c r="AB1012" t="s">
        <v>285</v>
      </c>
      <c r="AG1012">
        <v>188.66669999999999</v>
      </c>
      <c r="AH1012" t="s">
        <v>54</v>
      </c>
      <c r="AI1012" t="s">
        <v>52</v>
      </c>
      <c r="AX1012">
        <v>271.60000000000002</v>
      </c>
      <c r="AY1012" t="s">
        <v>285</v>
      </c>
      <c r="AZ1012" t="s">
        <v>287</v>
      </c>
      <c r="BQ1012" t="s">
        <v>52</v>
      </c>
      <c r="BR1012">
        <v>0.83</v>
      </c>
      <c r="BS1012" t="s">
        <v>285</v>
      </c>
      <c r="BT1012">
        <v>0.84</v>
      </c>
      <c r="BU1012" t="s">
        <v>284</v>
      </c>
      <c r="BV1012">
        <v>0.25</v>
      </c>
      <c r="BW1012" t="s">
        <v>285</v>
      </c>
      <c r="BX1012">
        <v>0.45</v>
      </c>
      <c r="BY1012" t="s">
        <v>285</v>
      </c>
      <c r="BZ1012">
        <v>0.39</v>
      </c>
      <c r="CA1012" t="s">
        <v>284</v>
      </c>
      <c r="CF1012">
        <v>0.56000000000000005</v>
      </c>
      <c r="CG1012" t="s">
        <v>54</v>
      </c>
      <c r="CH1012" t="s">
        <v>52</v>
      </c>
    </row>
    <row r="1013" spans="1:86" x14ac:dyDescent="0.25">
      <c r="A1013" t="s">
        <v>47</v>
      </c>
      <c r="B1013">
        <v>8</v>
      </c>
      <c r="C1013" t="s">
        <v>183</v>
      </c>
      <c r="D1013">
        <v>87</v>
      </c>
      <c r="E1013" t="s">
        <v>58</v>
      </c>
      <c r="F1013">
        <v>102</v>
      </c>
      <c r="G1013" t="s">
        <v>184</v>
      </c>
      <c r="H1013" t="s">
        <v>50</v>
      </c>
      <c r="K1013" t="s">
        <v>52</v>
      </c>
      <c r="L1013">
        <v>1</v>
      </c>
      <c r="M1013" t="s">
        <v>53</v>
      </c>
      <c r="N1013">
        <v>102</v>
      </c>
      <c r="O1013">
        <v>1</v>
      </c>
      <c r="P1013" t="s">
        <v>52</v>
      </c>
      <c r="Q1013">
        <v>0</v>
      </c>
      <c r="R1013">
        <v>0.92</v>
      </c>
      <c r="S1013">
        <v>131.69999999999999</v>
      </c>
      <c r="T1013" t="s">
        <v>284</v>
      </c>
      <c r="U1013">
        <v>170</v>
      </c>
      <c r="V1013" t="s">
        <v>284</v>
      </c>
      <c r="AI1013" t="s">
        <v>52</v>
      </c>
      <c r="AZ1013" t="s">
        <v>52</v>
      </c>
      <c r="BQ1013" t="s">
        <v>52</v>
      </c>
      <c r="CH1013" t="s">
        <v>52</v>
      </c>
    </row>
    <row r="1014" spans="1:86" x14ac:dyDescent="0.25">
      <c r="A1014" t="s">
        <v>47</v>
      </c>
      <c r="B1014">
        <v>8</v>
      </c>
      <c r="C1014" t="s">
        <v>183</v>
      </c>
      <c r="D1014">
        <v>87</v>
      </c>
      <c r="E1014" t="s">
        <v>68</v>
      </c>
      <c r="F1014">
        <v>80</v>
      </c>
      <c r="G1014" t="s">
        <v>69</v>
      </c>
      <c r="H1014" t="s">
        <v>50</v>
      </c>
      <c r="K1014" t="s">
        <v>51</v>
      </c>
      <c r="L1014">
        <v>1</v>
      </c>
      <c r="M1014" t="s">
        <v>53</v>
      </c>
      <c r="N1014">
        <v>80</v>
      </c>
      <c r="O1014">
        <v>1</v>
      </c>
      <c r="P1014" t="s">
        <v>52</v>
      </c>
      <c r="Q1014">
        <v>0.5</v>
      </c>
      <c r="R1014">
        <v>0.75</v>
      </c>
      <c r="S1014">
        <v>202.92</v>
      </c>
      <c r="T1014" t="s">
        <v>284</v>
      </c>
      <c r="U1014">
        <v>198.9</v>
      </c>
      <c r="V1014" t="s">
        <v>284</v>
      </c>
      <c r="W1014">
        <v>212.4</v>
      </c>
      <c r="X1014" t="s">
        <v>284</v>
      </c>
      <c r="Y1014">
        <v>219.6</v>
      </c>
      <c r="Z1014" t="s">
        <v>284</v>
      </c>
      <c r="AA1014">
        <v>178</v>
      </c>
      <c r="AB1014" t="s">
        <v>284</v>
      </c>
      <c r="AG1014">
        <v>204.74</v>
      </c>
      <c r="AH1014" t="s">
        <v>54</v>
      </c>
      <c r="AI1014" t="s">
        <v>52</v>
      </c>
      <c r="AZ1014" t="s">
        <v>52</v>
      </c>
      <c r="BQ1014" t="s">
        <v>52</v>
      </c>
      <c r="BR1014">
        <v>1.85</v>
      </c>
      <c r="BS1014" t="s">
        <v>284</v>
      </c>
      <c r="BT1014">
        <v>1.43</v>
      </c>
      <c r="BU1014" t="s">
        <v>284</v>
      </c>
      <c r="BV1014">
        <v>1.57</v>
      </c>
      <c r="BW1014" t="s">
        <v>284</v>
      </c>
      <c r="BX1014">
        <v>2</v>
      </c>
      <c r="BY1014" t="s">
        <v>284</v>
      </c>
      <c r="BZ1014">
        <v>1.74</v>
      </c>
      <c r="CA1014" t="s">
        <v>285</v>
      </c>
      <c r="CF1014">
        <v>1.72</v>
      </c>
      <c r="CG1014" t="s">
        <v>54</v>
      </c>
      <c r="CH1014" t="s">
        <v>52</v>
      </c>
    </row>
    <row r="1015" spans="1:86" x14ac:dyDescent="0.25">
      <c r="A1015" t="s">
        <v>47</v>
      </c>
      <c r="B1015">
        <v>8</v>
      </c>
      <c r="C1015" t="s">
        <v>183</v>
      </c>
      <c r="D1015">
        <v>87</v>
      </c>
      <c r="E1015" t="s">
        <v>68</v>
      </c>
      <c r="F1015">
        <v>80</v>
      </c>
      <c r="G1015" t="s">
        <v>69</v>
      </c>
      <c r="H1015" t="s">
        <v>50</v>
      </c>
      <c r="K1015" t="s">
        <v>52</v>
      </c>
      <c r="L1015">
        <v>1</v>
      </c>
      <c r="M1015" t="s">
        <v>53</v>
      </c>
      <c r="N1015">
        <v>80</v>
      </c>
      <c r="O1015">
        <v>1</v>
      </c>
      <c r="P1015" t="s">
        <v>52</v>
      </c>
      <c r="Q1015">
        <v>0.5</v>
      </c>
      <c r="R1015">
        <v>0.75</v>
      </c>
      <c r="S1015">
        <v>202.92</v>
      </c>
      <c r="T1015" t="s">
        <v>284</v>
      </c>
      <c r="U1015">
        <v>198.9</v>
      </c>
      <c r="V1015" t="s">
        <v>284</v>
      </c>
      <c r="W1015">
        <v>212.4</v>
      </c>
      <c r="X1015" t="s">
        <v>284</v>
      </c>
      <c r="Y1015">
        <v>219.6</v>
      </c>
      <c r="Z1015" t="s">
        <v>284</v>
      </c>
      <c r="AA1015">
        <v>178</v>
      </c>
      <c r="AB1015" t="s">
        <v>284</v>
      </c>
      <c r="AG1015">
        <v>204.74</v>
      </c>
      <c r="AH1015" t="s">
        <v>54</v>
      </c>
      <c r="AI1015" t="s">
        <v>52</v>
      </c>
      <c r="AZ1015" t="s">
        <v>52</v>
      </c>
      <c r="BQ1015" t="s">
        <v>52</v>
      </c>
      <c r="BR1015">
        <v>0.65</v>
      </c>
      <c r="BS1015" t="s">
        <v>285</v>
      </c>
      <c r="BT1015">
        <v>0.84</v>
      </c>
      <c r="BU1015" t="s">
        <v>284</v>
      </c>
      <c r="BV1015">
        <v>0.76</v>
      </c>
      <c r="BW1015" t="s">
        <v>284</v>
      </c>
      <c r="BX1015">
        <v>0.77</v>
      </c>
      <c r="BY1015" t="s">
        <v>284</v>
      </c>
      <c r="BZ1015">
        <v>0.9</v>
      </c>
      <c r="CA1015" t="s">
        <v>285</v>
      </c>
      <c r="CF1015">
        <v>0.79</v>
      </c>
      <c r="CG1015" t="s">
        <v>54</v>
      </c>
      <c r="CH1015" t="s">
        <v>52</v>
      </c>
    </row>
    <row r="1016" spans="1:86" x14ac:dyDescent="0.25">
      <c r="A1016" t="s">
        <v>47</v>
      </c>
      <c r="B1016">
        <v>8</v>
      </c>
      <c r="C1016" t="s">
        <v>183</v>
      </c>
      <c r="D1016">
        <v>87</v>
      </c>
      <c r="E1016" t="s">
        <v>70</v>
      </c>
      <c r="F1016">
        <v>296</v>
      </c>
      <c r="G1016" t="s">
        <v>71</v>
      </c>
      <c r="H1016" t="s">
        <v>50</v>
      </c>
      <c r="K1016" t="s">
        <v>51</v>
      </c>
      <c r="L1016">
        <v>1</v>
      </c>
      <c r="M1016" t="s">
        <v>53</v>
      </c>
      <c r="N1016">
        <v>296</v>
      </c>
      <c r="O1016">
        <v>1</v>
      </c>
      <c r="P1016" t="s">
        <v>52</v>
      </c>
      <c r="Q1016">
        <v>0</v>
      </c>
      <c r="R1016">
        <v>0.75</v>
      </c>
      <c r="S1016">
        <v>228</v>
      </c>
      <c r="T1016" t="s">
        <v>284</v>
      </c>
      <c r="U1016">
        <v>190</v>
      </c>
      <c r="V1016" t="s">
        <v>285</v>
      </c>
      <c r="W1016">
        <v>194</v>
      </c>
      <c r="X1016" t="s">
        <v>285</v>
      </c>
      <c r="Y1016">
        <v>225</v>
      </c>
      <c r="Z1016" t="s">
        <v>285</v>
      </c>
      <c r="AA1016">
        <v>247</v>
      </c>
      <c r="AB1016" t="s">
        <v>285</v>
      </c>
      <c r="AC1016">
        <v>241</v>
      </c>
      <c r="AD1016" t="s">
        <v>285</v>
      </c>
      <c r="AE1016">
        <v>219</v>
      </c>
      <c r="AF1016" t="s">
        <v>285</v>
      </c>
      <c r="AG1016">
        <v>219</v>
      </c>
      <c r="AH1016" t="s">
        <v>286</v>
      </c>
      <c r="AI1016" t="s">
        <v>287</v>
      </c>
      <c r="AX1016">
        <v>263</v>
      </c>
      <c r="AY1016" t="s">
        <v>286</v>
      </c>
      <c r="AZ1016" t="s">
        <v>287</v>
      </c>
      <c r="BQ1016" t="s">
        <v>52</v>
      </c>
      <c r="BR1016">
        <v>1.85</v>
      </c>
      <c r="BS1016" t="s">
        <v>284</v>
      </c>
      <c r="BT1016">
        <v>1.43</v>
      </c>
      <c r="BU1016" t="s">
        <v>284</v>
      </c>
      <c r="BV1016">
        <v>1.99</v>
      </c>
      <c r="BW1016" t="s">
        <v>285</v>
      </c>
      <c r="BX1016">
        <v>2.64</v>
      </c>
      <c r="BY1016" t="s">
        <v>288</v>
      </c>
      <c r="BZ1016">
        <v>1.75</v>
      </c>
      <c r="CA1016" t="s">
        <v>288</v>
      </c>
      <c r="CF1016">
        <v>1.86</v>
      </c>
      <c r="CG1016" t="s">
        <v>54</v>
      </c>
      <c r="CH1016" t="s">
        <v>52</v>
      </c>
    </row>
    <row r="1017" spans="1:86" x14ac:dyDescent="0.25">
      <c r="A1017" t="s">
        <v>47</v>
      </c>
      <c r="B1017">
        <v>8</v>
      </c>
      <c r="C1017" t="s">
        <v>183</v>
      </c>
      <c r="D1017">
        <v>87</v>
      </c>
      <c r="E1017" t="s">
        <v>70</v>
      </c>
      <c r="F1017">
        <v>296</v>
      </c>
      <c r="G1017" t="s">
        <v>71</v>
      </c>
      <c r="H1017" t="s">
        <v>50</v>
      </c>
      <c r="K1017" t="s">
        <v>52</v>
      </c>
      <c r="L1017">
        <v>1</v>
      </c>
      <c r="M1017" t="s">
        <v>53</v>
      </c>
      <c r="N1017">
        <v>296</v>
      </c>
      <c r="O1017">
        <v>1</v>
      </c>
      <c r="P1017" t="s">
        <v>52</v>
      </c>
      <c r="Q1017">
        <v>0</v>
      </c>
      <c r="R1017">
        <v>0.75</v>
      </c>
      <c r="S1017">
        <v>228</v>
      </c>
      <c r="T1017" t="s">
        <v>284</v>
      </c>
      <c r="U1017">
        <v>190</v>
      </c>
      <c r="V1017" t="s">
        <v>285</v>
      </c>
      <c r="W1017">
        <v>194</v>
      </c>
      <c r="X1017" t="s">
        <v>285</v>
      </c>
      <c r="Y1017">
        <v>225</v>
      </c>
      <c r="Z1017" t="s">
        <v>285</v>
      </c>
      <c r="AA1017">
        <v>247</v>
      </c>
      <c r="AB1017" t="s">
        <v>285</v>
      </c>
      <c r="AC1017">
        <v>241</v>
      </c>
      <c r="AD1017" t="s">
        <v>285</v>
      </c>
      <c r="AE1017">
        <v>219</v>
      </c>
      <c r="AF1017" t="s">
        <v>285</v>
      </c>
      <c r="AG1017">
        <v>219</v>
      </c>
      <c r="AH1017" t="s">
        <v>286</v>
      </c>
      <c r="AI1017" t="s">
        <v>287</v>
      </c>
      <c r="AX1017">
        <v>263</v>
      </c>
      <c r="AY1017" t="s">
        <v>286</v>
      </c>
      <c r="AZ1017" t="s">
        <v>287</v>
      </c>
      <c r="BQ1017" t="s">
        <v>52</v>
      </c>
      <c r="BR1017">
        <v>0.65</v>
      </c>
      <c r="BS1017" t="s">
        <v>284</v>
      </c>
      <c r="BT1017">
        <v>0.72</v>
      </c>
      <c r="BU1017" t="s">
        <v>285</v>
      </c>
      <c r="BV1017">
        <v>0.22</v>
      </c>
      <c r="BW1017" t="s">
        <v>285</v>
      </c>
      <c r="BX1017">
        <v>0.54</v>
      </c>
      <c r="BY1017" t="s">
        <v>285</v>
      </c>
      <c r="BZ1017">
        <v>0.05</v>
      </c>
      <c r="CA1017" t="s">
        <v>289</v>
      </c>
      <c r="CF1017">
        <v>0.47</v>
      </c>
      <c r="CG1017" t="s">
        <v>54</v>
      </c>
      <c r="CH1017" t="s">
        <v>52</v>
      </c>
    </row>
    <row r="1018" spans="1:86" x14ac:dyDescent="0.25">
      <c r="A1018" t="s">
        <v>47</v>
      </c>
      <c r="B1018">
        <v>8</v>
      </c>
      <c r="C1018" t="s">
        <v>183</v>
      </c>
      <c r="D1018">
        <v>87</v>
      </c>
      <c r="E1018" t="s">
        <v>70</v>
      </c>
      <c r="F1018">
        <v>296</v>
      </c>
      <c r="G1018" t="s">
        <v>74</v>
      </c>
      <c r="H1018" t="s">
        <v>50</v>
      </c>
      <c r="K1018" t="s">
        <v>51</v>
      </c>
      <c r="L1018">
        <v>1</v>
      </c>
      <c r="M1018" t="s">
        <v>53</v>
      </c>
      <c r="N1018">
        <v>102</v>
      </c>
      <c r="O1018">
        <v>1</v>
      </c>
      <c r="P1018" t="s">
        <v>52</v>
      </c>
      <c r="Q1018">
        <v>0</v>
      </c>
      <c r="R1018">
        <v>0.75</v>
      </c>
      <c r="S1018">
        <v>135</v>
      </c>
      <c r="T1018" t="s">
        <v>284</v>
      </c>
      <c r="U1018">
        <v>132</v>
      </c>
      <c r="V1018" t="s">
        <v>284</v>
      </c>
      <c r="W1018">
        <v>147</v>
      </c>
      <c r="X1018" t="s">
        <v>284</v>
      </c>
      <c r="Y1018">
        <v>170</v>
      </c>
      <c r="Z1018" t="s">
        <v>284</v>
      </c>
      <c r="AA1018">
        <v>205</v>
      </c>
      <c r="AB1018" t="s">
        <v>285</v>
      </c>
      <c r="AG1018">
        <v>150.66669999999999</v>
      </c>
      <c r="AH1018" t="s">
        <v>54</v>
      </c>
      <c r="AI1018" t="s">
        <v>52</v>
      </c>
      <c r="AZ1018" t="s">
        <v>52</v>
      </c>
      <c r="BQ1018" t="s">
        <v>52</v>
      </c>
      <c r="BR1018">
        <v>1.85</v>
      </c>
      <c r="BS1018" t="s">
        <v>284</v>
      </c>
      <c r="BT1018">
        <v>1.45</v>
      </c>
      <c r="BU1018" t="s">
        <v>284</v>
      </c>
      <c r="BV1018">
        <v>0.95</v>
      </c>
      <c r="BW1018" t="s">
        <v>284</v>
      </c>
      <c r="BX1018">
        <v>0.95</v>
      </c>
      <c r="BY1018" t="s">
        <v>284</v>
      </c>
      <c r="BZ1018">
        <v>0.9</v>
      </c>
      <c r="CA1018" t="s">
        <v>289</v>
      </c>
      <c r="CF1018">
        <v>1.1200000000000001</v>
      </c>
      <c r="CG1018" t="s">
        <v>54</v>
      </c>
      <c r="CH1018" t="s">
        <v>52</v>
      </c>
    </row>
    <row r="1019" spans="1:86" x14ac:dyDescent="0.25">
      <c r="A1019" t="s">
        <v>47</v>
      </c>
      <c r="B1019">
        <v>8</v>
      </c>
      <c r="C1019" t="s">
        <v>183</v>
      </c>
      <c r="D1019">
        <v>87</v>
      </c>
      <c r="E1019" t="s">
        <v>70</v>
      </c>
      <c r="F1019">
        <v>296</v>
      </c>
      <c r="G1019" t="s">
        <v>74</v>
      </c>
      <c r="H1019" t="s">
        <v>50</v>
      </c>
      <c r="K1019" t="s">
        <v>52</v>
      </c>
      <c r="L1019">
        <v>1</v>
      </c>
      <c r="M1019" t="s">
        <v>53</v>
      </c>
      <c r="N1019">
        <v>102</v>
      </c>
      <c r="O1019">
        <v>1</v>
      </c>
      <c r="P1019" t="s">
        <v>52</v>
      </c>
      <c r="Q1019">
        <v>0</v>
      </c>
      <c r="R1019">
        <v>0.75</v>
      </c>
      <c r="S1019">
        <v>135</v>
      </c>
      <c r="T1019" t="s">
        <v>284</v>
      </c>
      <c r="U1019">
        <v>132</v>
      </c>
      <c r="V1019" t="s">
        <v>284</v>
      </c>
      <c r="W1019">
        <v>147</v>
      </c>
      <c r="X1019" t="s">
        <v>284</v>
      </c>
      <c r="Y1019">
        <v>170</v>
      </c>
      <c r="Z1019" t="s">
        <v>284</v>
      </c>
      <c r="AA1019">
        <v>205</v>
      </c>
      <c r="AB1019" t="s">
        <v>285</v>
      </c>
      <c r="AG1019">
        <v>150.66669999999999</v>
      </c>
      <c r="AH1019" t="s">
        <v>54</v>
      </c>
      <c r="AI1019" t="s">
        <v>52</v>
      </c>
      <c r="AZ1019" t="s">
        <v>52</v>
      </c>
      <c r="BQ1019" t="s">
        <v>52</v>
      </c>
      <c r="BR1019">
        <v>0.65</v>
      </c>
      <c r="BS1019" t="s">
        <v>284</v>
      </c>
      <c r="BT1019">
        <v>0.48</v>
      </c>
      <c r="BU1019" t="s">
        <v>284</v>
      </c>
      <c r="BV1019">
        <v>0.11</v>
      </c>
      <c r="BW1019" t="s">
        <v>284</v>
      </c>
      <c r="BX1019">
        <v>0.25</v>
      </c>
      <c r="BY1019" t="s">
        <v>285</v>
      </c>
      <c r="BZ1019">
        <v>0.22</v>
      </c>
      <c r="CA1019" t="s">
        <v>289</v>
      </c>
      <c r="CF1019">
        <v>0.32</v>
      </c>
      <c r="CG1019" t="s">
        <v>54</v>
      </c>
      <c r="CH1019" t="s">
        <v>52</v>
      </c>
    </row>
    <row r="1020" spans="1:86" x14ac:dyDescent="0.25">
      <c r="A1020" t="s">
        <v>47</v>
      </c>
      <c r="B1020">
        <v>8</v>
      </c>
      <c r="C1020" t="s">
        <v>183</v>
      </c>
      <c r="D1020">
        <v>87</v>
      </c>
      <c r="E1020" t="s">
        <v>75</v>
      </c>
      <c r="F1020">
        <v>16</v>
      </c>
      <c r="G1020" t="s">
        <v>76</v>
      </c>
      <c r="H1020" t="s">
        <v>50</v>
      </c>
      <c r="K1020" t="s">
        <v>51</v>
      </c>
      <c r="L1020">
        <v>1</v>
      </c>
      <c r="M1020" t="s">
        <v>53</v>
      </c>
      <c r="N1020">
        <v>16</v>
      </c>
      <c r="O1020">
        <v>2</v>
      </c>
      <c r="P1020" t="s">
        <v>52</v>
      </c>
      <c r="Q1020">
        <v>0.5</v>
      </c>
      <c r="R1020">
        <v>0.75</v>
      </c>
      <c r="S1020">
        <v>83.35</v>
      </c>
      <c r="T1020" t="s">
        <v>285</v>
      </c>
      <c r="U1020">
        <v>96.14</v>
      </c>
      <c r="V1020" t="s">
        <v>284</v>
      </c>
      <c r="W1020">
        <v>103.37</v>
      </c>
      <c r="X1020" t="s">
        <v>284</v>
      </c>
      <c r="Y1020">
        <v>106.14</v>
      </c>
      <c r="Z1020" t="s">
        <v>284</v>
      </c>
      <c r="AA1020">
        <v>128</v>
      </c>
      <c r="AB1020" t="s">
        <v>285</v>
      </c>
      <c r="AG1020">
        <v>101.88330000000001</v>
      </c>
      <c r="AH1020" t="s">
        <v>54</v>
      </c>
      <c r="AI1020" t="s">
        <v>52</v>
      </c>
      <c r="AX1020">
        <v>146.69999999999999</v>
      </c>
      <c r="AY1020" t="s">
        <v>285</v>
      </c>
      <c r="AZ1020" t="s">
        <v>287</v>
      </c>
      <c r="BQ1020" t="s">
        <v>52</v>
      </c>
      <c r="BR1020">
        <v>1.85</v>
      </c>
      <c r="BS1020" t="s">
        <v>284</v>
      </c>
      <c r="BT1020">
        <v>1.43</v>
      </c>
      <c r="BU1020" t="s">
        <v>284</v>
      </c>
      <c r="BV1020">
        <v>1.2</v>
      </c>
      <c r="BW1020" t="s">
        <v>284</v>
      </c>
      <c r="BX1020">
        <v>1.97</v>
      </c>
      <c r="BY1020" t="s">
        <v>284</v>
      </c>
      <c r="BZ1020">
        <v>2.2999999999999998</v>
      </c>
      <c r="CA1020" t="s">
        <v>289</v>
      </c>
      <c r="CF1020">
        <v>1.75</v>
      </c>
      <c r="CG1020" t="s">
        <v>54</v>
      </c>
      <c r="CH1020" t="s">
        <v>52</v>
      </c>
    </row>
    <row r="1021" spans="1:86" x14ac:dyDescent="0.25">
      <c r="A1021" t="s">
        <v>47</v>
      </c>
      <c r="B1021">
        <v>8</v>
      </c>
      <c r="C1021" t="s">
        <v>183</v>
      </c>
      <c r="D1021">
        <v>87</v>
      </c>
      <c r="E1021" t="s">
        <v>75</v>
      </c>
      <c r="F1021">
        <v>16</v>
      </c>
      <c r="G1021" t="s">
        <v>76</v>
      </c>
      <c r="H1021" t="s">
        <v>50</v>
      </c>
      <c r="K1021" t="s">
        <v>52</v>
      </c>
      <c r="L1021">
        <v>1</v>
      </c>
      <c r="M1021" t="s">
        <v>53</v>
      </c>
      <c r="N1021">
        <v>16</v>
      </c>
      <c r="O1021">
        <v>2</v>
      </c>
      <c r="P1021" t="s">
        <v>52</v>
      </c>
      <c r="Q1021">
        <v>0.5</v>
      </c>
      <c r="R1021">
        <v>0.75</v>
      </c>
      <c r="S1021">
        <v>83.35</v>
      </c>
      <c r="T1021" t="s">
        <v>285</v>
      </c>
      <c r="U1021">
        <v>96.14</v>
      </c>
      <c r="V1021" t="s">
        <v>284</v>
      </c>
      <c r="W1021">
        <v>103.37</v>
      </c>
      <c r="X1021" t="s">
        <v>284</v>
      </c>
      <c r="Y1021">
        <v>106.14</v>
      </c>
      <c r="Z1021" t="s">
        <v>284</v>
      </c>
      <c r="AA1021">
        <v>128</v>
      </c>
      <c r="AB1021" t="s">
        <v>285</v>
      </c>
      <c r="AG1021">
        <v>101.88330000000001</v>
      </c>
      <c r="AH1021" t="s">
        <v>54</v>
      </c>
      <c r="AI1021" t="s">
        <v>52</v>
      </c>
      <c r="AX1021">
        <v>146.69999999999999</v>
      </c>
      <c r="AY1021" t="s">
        <v>285</v>
      </c>
      <c r="AZ1021" t="s">
        <v>287</v>
      </c>
      <c r="BQ1021" t="s">
        <v>52</v>
      </c>
      <c r="BR1021">
        <v>0.65</v>
      </c>
      <c r="BS1021" t="s">
        <v>284</v>
      </c>
      <c r="BT1021">
        <v>0.5</v>
      </c>
      <c r="BU1021" t="s">
        <v>285</v>
      </c>
      <c r="BV1021">
        <v>0.68</v>
      </c>
      <c r="BW1021" t="s">
        <v>285</v>
      </c>
      <c r="BX1021">
        <v>1.02</v>
      </c>
      <c r="BY1021" t="s">
        <v>285</v>
      </c>
      <c r="BZ1021">
        <v>0.1</v>
      </c>
      <c r="CA1021" t="s">
        <v>288</v>
      </c>
      <c r="CF1021">
        <v>0.61</v>
      </c>
      <c r="CG1021" t="s">
        <v>54</v>
      </c>
      <c r="CH1021" t="s">
        <v>52</v>
      </c>
    </row>
    <row r="1022" spans="1:86" x14ac:dyDescent="0.25">
      <c r="A1022" t="s">
        <v>47</v>
      </c>
      <c r="B1022">
        <v>8</v>
      </c>
      <c r="C1022" t="s">
        <v>183</v>
      </c>
      <c r="D1022">
        <v>87</v>
      </c>
      <c r="E1022" t="s">
        <v>125</v>
      </c>
      <c r="F1022">
        <v>67</v>
      </c>
      <c r="G1022" t="s">
        <v>111</v>
      </c>
      <c r="H1022" t="s">
        <v>50</v>
      </c>
      <c r="K1022" t="s">
        <v>52</v>
      </c>
      <c r="L1022">
        <v>1</v>
      </c>
      <c r="M1022" t="s">
        <v>53</v>
      </c>
      <c r="N1022">
        <v>67</v>
      </c>
      <c r="O1022">
        <v>1</v>
      </c>
      <c r="P1022" t="s">
        <v>52</v>
      </c>
      <c r="Q1022">
        <v>0.5</v>
      </c>
      <c r="R1022">
        <v>0.87</v>
      </c>
      <c r="S1022">
        <v>228</v>
      </c>
      <c r="T1022" t="s">
        <v>284</v>
      </c>
      <c r="AI1022" t="s">
        <v>52</v>
      </c>
      <c r="AZ1022" t="s">
        <v>52</v>
      </c>
      <c r="BQ1022" t="s">
        <v>52</v>
      </c>
      <c r="CH1022" t="s">
        <v>52</v>
      </c>
    </row>
    <row r="1023" spans="1:86" x14ac:dyDescent="0.25">
      <c r="A1023" t="s">
        <v>47</v>
      </c>
      <c r="B1023">
        <v>8</v>
      </c>
      <c r="C1023" t="s">
        <v>183</v>
      </c>
      <c r="D1023">
        <v>87</v>
      </c>
      <c r="E1023" t="s">
        <v>93</v>
      </c>
      <c r="F1023">
        <v>94</v>
      </c>
      <c r="H1023" t="s">
        <v>50</v>
      </c>
      <c r="K1023" t="s">
        <v>52</v>
      </c>
      <c r="L1023">
        <v>1</v>
      </c>
      <c r="M1023" t="s">
        <v>53</v>
      </c>
      <c r="N1023">
        <v>94</v>
      </c>
      <c r="O1023">
        <v>2</v>
      </c>
      <c r="P1023" t="s">
        <v>52</v>
      </c>
      <c r="Q1023">
        <v>0.77</v>
      </c>
      <c r="R1023">
        <v>0.93</v>
      </c>
      <c r="S1023">
        <v>205</v>
      </c>
      <c r="T1023" t="s">
        <v>284</v>
      </c>
      <c r="U1023">
        <v>175</v>
      </c>
      <c r="V1023" t="s">
        <v>284</v>
      </c>
      <c r="W1023">
        <v>188</v>
      </c>
      <c r="X1023" t="s">
        <v>284</v>
      </c>
      <c r="Y1023">
        <v>202.32</v>
      </c>
      <c r="Z1023" t="s">
        <v>284</v>
      </c>
      <c r="AA1023">
        <v>209.16</v>
      </c>
      <c r="AB1023" t="s">
        <v>284</v>
      </c>
      <c r="AG1023">
        <v>198.44</v>
      </c>
      <c r="AH1023" t="s">
        <v>54</v>
      </c>
      <c r="AI1023" t="s">
        <v>52</v>
      </c>
      <c r="AZ1023" t="s">
        <v>52</v>
      </c>
      <c r="BQ1023" t="s">
        <v>52</v>
      </c>
      <c r="CH1023" t="s">
        <v>52</v>
      </c>
    </row>
    <row r="1024" spans="1:86" x14ac:dyDescent="0.25">
      <c r="A1024" t="s">
        <v>47</v>
      </c>
      <c r="B1024">
        <v>8</v>
      </c>
      <c r="C1024" t="s">
        <v>183</v>
      </c>
      <c r="D1024">
        <v>87</v>
      </c>
      <c r="E1024" t="s">
        <v>79</v>
      </c>
      <c r="F1024">
        <v>50</v>
      </c>
      <c r="G1024" t="s">
        <v>65</v>
      </c>
      <c r="H1024" t="s">
        <v>50</v>
      </c>
      <c r="K1024" t="s">
        <v>51</v>
      </c>
      <c r="L1024">
        <v>1</v>
      </c>
      <c r="M1024" t="s">
        <v>53</v>
      </c>
      <c r="N1024">
        <v>50</v>
      </c>
      <c r="O1024">
        <v>1</v>
      </c>
      <c r="P1024" t="s">
        <v>52</v>
      </c>
      <c r="Q1024">
        <v>0.5</v>
      </c>
      <c r="R1024">
        <v>0.75</v>
      </c>
      <c r="S1024">
        <v>85</v>
      </c>
      <c r="T1024" t="s">
        <v>285</v>
      </c>
      <c r="U1024">
        <v>93</v>
      </c>
      <c r="V1024" t="s">
        <v>284</v>
      </c>
      <c r="W1024">
        <v>89.7</v>
      </c>
      <c r="X1024" t="s">
        <v>284</v>
      </c>
      <c r="Y1024">
        <v>92.72</v>
      </c>
      <c r="Z1024" t="s">
        <v>284</v>
      </c>
      <c r="AA1024">
        <v>109</v>
      </c>
      <c r="AB1024" t="s">
        <v>285</v>
      </c>
      <c r="AG1024">
        <v>91.806700000000006</v>
      </c>
      <c r="AH1024" t="s">
        <v>54</v>
      </c>
      <c r="AI1024" t="s">
        <v>52</v>
      </c>
      <c r="AZ1024" t="s">
        <v>52</v>
      </c>
      <c r="BQ1024" t="s">
        <v>52</v>
      </c>
      <c r="BR1024">
        <v>3.57</v>
      </c>
      <c r="BS1024" t="s">
        <v>289</v>
      </c>
      <c r="BT1024">
        <v>2.0699999999999998</v>
      </c>
      <c r="BU1024" t="s">
        <v>284</v>
      </c>
      <c r="BV1024">
        <v>2.98</v>
      </c>
      <c r="BW1024" t="s">
        <v>284</v>
      </c>
      <c r="BX1024">
        <v>2.83</v>
      </c>
      <c r="BY1024" t="s">
        <v>284</v>
      </c>
      <c r="BZ1024">
        <v>3.68</v>
      </c>
      <c r="CA1024" t="s">
        <v>288</v>
      </c>
      <c r="CF1024">
        <v>3.13</v>
      </c>
      <c r="CG1024" t="s">
        <v>54</v>
      </c>
      <c r="CH1024" t="s">
        <v>52</v>
      </c>
    </row>
    <row r="1025" spans="1:86" x14ac:dyDescent="0.25">
      <c r="A1025" t="s">
        <v>47</v>
      </c>
      <c r="B1025">
        <v>8</v>
      </c>
      <c r="C1025" t="s">
        <v>183</v>
      </c>
      <c r="D1025">
        <v>87</v>
      </c>
      <c r="E1025" t="s">
        <v>79</v>
      </c>
      <c r="F1025">
        <v>50</v>
      </c>
      <c r="G1025" t="s">
        <v>65</v>
      </c>
      <c r="H1025" t="s">
        <v>50</v>
      </c>
      <c r="K1025" t="s">
        <v>52</v>
      </c>
      <c r="L1025">
        <v>1</v>
      </c>
      <c r="M1025" t="s">
        <v>53</v>
      </c>
      <c r="N1025">
        <v>50</v>
      </c>
      <c r="O1025">
        <v>1</v>
      </c>
      <c r="P1025" t="s">
        <v>52</v>
      </c>
      <c r="Q1025">
        <v>0.5</v>
      </c>
      <c r="R1025">
        <v>0.75</v>
      </c>
      <c r="S1025">
        <v>85</v>
      </c>
      <c r="T1025" t="s">
        <v>285</v>
      </c>
      <c r="U1025">
        <v>93</v>
      </c>
      <c r="V1025" t="s">
        <v>284</v>
      </c>
      <c r="W1025">
        <v>89.7</v>
      </c>
      <c r="X1025" t="s">
        <v>284</v>
      </c>
      <c r="Y1025">
        <v>92.72</v>
      </c>
      <c r="Z1025" t="s">
        <v>284</v>
      </c>
      <c r="AA1025">
        <v>109</v>
      </c>
      <c r="AB1025" t="s">
        <v>285</v>
      </c>
      <c r="AG1025">
        <v>91.806700000000006</v>
      </c>
      <c r="AH1025" t="s">
        <v>54</v>
      </c>
      <c r="AI1025" t="s">
        <v>52</v>
      </c>
      <c r="AZ1025" t="s">
        <v>52</v>
      </c>
      <c r="BQ1025" t="s">
        <v>52</v>
      </c>
      <c r="BR1025">
        <v>0.43</v>
      </c>
      <c r="BS1025" t="s">
        <v>289</v>
      </c>
      <c r="BT1025">
        <v>0.73</v>
      </c>
      <c r="BU1025" t="s">
        <v>285</v>
      </c>
      <c r="BV1025">
        <v>1.18</v>
      </c>
      <c r="BW1025" t="s">
        <v>284</v>
      </c>
      <c r="BX1025">
        <v>1.0900000000000001</v>
      </c>
      <c r="BY1025" t="s">
        <v>285</v>
      </c>
      <c r="BZ1025">
        <v>0.05</v>
      </c>
      <c r="CA1025" t="s">
        <v>289</v>
      </c>
      <c r="CF1025">
        <v>0.75</v>
      </c>
      <c r="CG1025" t="s">
        <v>54</v>
      </c>
      <c r="CH1025" t="s">
        <v>52</v>
      </c>
    </row>
    <row r="1026" spans="1:86" x14ac:dyDescent="0.25">
      <c r="A1026" t="s">
        <v>47</v>
      </c>
      <c r="B1026">
        <v>8</v>
      </c>
      <c r="C1026" t="s">
        <v>183</v>
      </c>
      <c r="D1026">
        <v>87</v>
      </c>
      <c r="E1026" t="s">
        <v>82</v>
      </c>
      <c r="F1026">
        <v>52</v>
      </c>
      <c r="H1026" t="s">
        <v>50</v>
      </c>
      <c r="K1026" t="s">
        <v>52</v>
      </c>
      <c r="L1026">
        <v>1</v>
      </c>
      <c r="M1026" t="s">
        <v>53</v>
      </c>
      <c r="N1026">
        <v>50</v>
      </c>
      <c r="O1026">
        <v>1</v>
      </c>
      <c r="P1026" t="s">
        <v>52</v>
      </c>
      <c r="Q1026">
        <v>0.5</v>
      </c>
      <c r="R1026">
        <v>0.75</v>
      </c>
      <c r="S1026">
        <v>85</v>
      </c>
      <c r="T1026" t="s">
        <v>285</v>
      </c>
      <c r="U1026">
        <v>93</v>
      </c>
      <c r="V1026" t="s">
        <v>284</v>
      </c>
      <c r="W1026">
        <v>191.5</v>
      </c>
      <c r="X1026" t="s">
        <v>284</v>
      </c>
      <c r="Y1026">
        <v>198</v>
      </c>
      <c r="Z1026" t="s">
        <v>284</v>
      </c>
      <c r="AA1026">
        <v>109</v>
      </c>
      <c r="AB1026" t="s">
        <v>285</v>
      </c>
      <c r="AG1026">
        <v>131.16669999999999</v>
      </c>
      <c r="AH1026" t="s">
        <v>54</v>
      </c>
      <c r="AI1026" t="s">
        <v>52</v>
      </c>
      <c r="AZ1026" t="s">
        <v>52</v>
      </c>
      <c r="BQ1026" t="s">
        <v>52</v>
      </c>
      <c r="BR1026">
        <v>2.36</v>
      </c>
      <c r="BS1026" t="s">
        <v>289</v>
      </c>
      <c r="BT1026">
        <v>1.42</v>
      </c>
      <c r="BU1026" t="s">
        <v>284</v>
      </c>
      <c r="CH1026" t="s">
        <v>52</v>
      </c>
    </row>
    <row r="1027" spans="1:86" x14ac:dyDescent="0.25">
      <c r="A1027" t="s">
        <v>47</v>
      </c>
      <c r="B1027">
        <v>8</v>
      </c>
      <c r="C1027" t="s">
        <v>183</v>
      </c>
      <c r="D1027">
        <v>87</v>
      </c>
      <c r="E1027" t="s">
        <v>83</v>
      </c>
      <c r="F1027">
        <v>158</v>
      </c>
      <c r="H1027" t="s">
        <v>50</v>
      </c>
      <c r="K1027" t="s">
        <v>51</v>
      </c>
      <c r="L1027">
        <v>1</v>
      </c>
      <c r="M1027" t="s">
        <v>53</v>
      </c>
      <c r="N1027">
        <v>158</v>
      </c>
      <c r="O1027">
        <v>2</v>
      </c>
      <c r="P1027" t="s">
        <v>52</v>
      </c>
      <c r="Q1027">
        <v>0.77</v>
      </c>
      <c r="R1027">
        <v>0.93</v>
      </c>
      <c r="S1027">
        <v>228</v>
      </c>
      <c r="T1027" t="s">
        <v>284</v>
      </c>
      <c r="U1027">
        <v>221</v>
      </c>
      <c r="V1027" t="s">
        <v>284</v>
      </c>
      <c r="W1027">
        <v>236</v>
      </c>
      <c r="X1027" t="s">
        <v>284</v>
      </c>
      <c r="Y1027">
        <v>244</v>
      </c>
      <c r="Z1027" t="s">
        <v>284</v>
      </c>
      <c r="AA1027">
        <v>252</v>
      </c>
      <c r="AB1027" t="s">
        <v>284</v>
      </c>
      <c r="AG1027">
        <v>236</v>
      </c>
      <c r="AH1027" t="s">
        <v>54</v>
      </c>
      <c r="AI1027" t="s">
        <v>52</v>
      </c>
      <c r="AX1027">
        <v>339</v>
      </c>
      <c r="AY1027" t="s">
        <v>285</v>
      </c>
      <c r="AZ1027" t="s">
        <v>287</v>
      </c>
      <c r="BQ1027" t="s">
        <v>52</v>
      </c>
      <c r="BR1027">
        <v>1.85</v>
      </c>
      <c r="BS1027" t="s">
        <v>284</v>
      </c>
      <c r="BT1027">
        <v>1.35</v>
      </c>
      <c r="BU1027" t="s">
        <v>284</v>
      </c>
      <c r="BV1027">
        <v>1.03</v>
      </c>
      <c r="BW1027" t="s">
        <v>288</v>
      </c>
      <c r="BX1027">
        <v>1.34</v>
      </c>
      <c r="BY1027" t="s">
        <v>289</v>
      </c>
      <c r="BZ1027">
        <v>1.22</v>
      </c>
      <c r="CA1027" t="s">
        <v>289</v>
      </c>
      <c r="CF1027">
        <v>1.3</v>
      </c>
      <c r="CG1027" t="s">
        <v>54</v>
      </c>
      <c r="CH1027" t="s">
        <v>52</v>
      </c>
    </row>
    <row r="1028" spans="1:86" x14ac:dyDescent="0.25">
      <c r="A1028" t="s">
        <v>47</v>
      </c>
      <c r="B1028">
        <v>8</v>
      </c>
      <c r="C1028" t="s">
        <v>183</v>
      </c>
      <c r="D1028">
        <v>87</v>
      </c>
      <c r="E1028" t="s">
        <v>83</v>
      </c>
      <c r="F1028">
        <v>158</v>
      </c>
      <c r="H1028" t="s">
        <v>50</v>
      </c>
      <c r="K1028" t="s">
        <v>52</v>
      </c>
      <c r="L1028">
        <v>1</v>
      </c>
      <c r="M1028" t="s">
        <v>53</v>
      </c>
      <c r="N1028">
        <v>158</v>
      </c>
      <c r="O1028">
        <v>2</v>
      </c>
      <c r="P1028" t="s">
        <v>52</v>
      </c>
      <c r="Q1028">
        <v>0.77</v>
      </c>
      <c r="R1028">
        <v>0.93</v>
      </c>
      <c r="S1028">
        <v>228</v>
      </c>
      <c r="T1028" t="s">
        <v>284</v>
      </c>
      <c r="U1028">
        <v>221</v>
      </c>
      <c r="V1028" t="s">
        <v>284</v>
      </c>
      <c r="W1028">
        <v>236</v>
      </c>
      <c r="X1028" t="s">
        <v>284</v>
      </c>
      <c r="Y1028">
        <v>244</v>
      </c>
      <c r="Z1028" t="s">
        <v>284</v>
      </c>
      <c r="AA1028">
        <v>252</v>
      </c>
      <c r="AB1028" t="s">
        <v>284</v>
      </c>
      <c r="AG1028">
        <v>236</v>
      </c>
      <c r="AH1028" t="s">
        <v>54</v>
      </c>
      <c r="AI1028" t="s">
        <v>52</v>
      </c>
      <c r="AX1028">
        <v>339</v>
      </c>
      <c r="AY1028" t="s">
        <v>285</v>
      </c>
      <c r="AZ1028" t="s">
        <v>287</v>
      </c>
      <c r="BQ1028" t="s">
        <v>52</v>
      </c>
      <c r="BR1028">
        <v>1.31</v>
      </c>
      <c r="BS1028" t="s">
        <v>285</v>
      </c>
      <c r="BT1028">
        <v>1.01</v>
      </c>
      <c r="BU1028" t="s">
        <v>284</v>
      </c>
      <c r="BV1028">
        <v>0.33</v>
      </c>
      <c r="BW1028" t="s">
        <v>288</v>
      </c>
      <c r="BX1028">
        <v>0.56999999999999995</v>
      </c>
      <c r="BY1028" t="s">
        <v>285</v>
      </c>
      <c r="BZ1028">
        <v>0.1</v>
      </c>
      <c r="CA1028" t="s">
        <v>289</v>
      </c>
      <c r="CF1028">
        <v>0.64</v>
      </c>
      <c r="CG1028" t="s">
        <v>54</v>
      </c>
      <c r="CH1028" t="s">
        <v>52</v>
      </c>
    </row>
    <row r="1029" spans="1:86" x14ac:dyDescent="0.25">
      <c r="A1029" t="s">
        <v>47</v>
      </c>
      <c r="B1029">
        <v>8</v>
      </c>
      <c r="C1029" t="s">
        <v>183</v>
      </c>
      <c r="D1029">
        <v>87</v>
      </c>
      <c r="E1029" t="s">
        <v>84</v>
      </c>
      <c r="F1029">
        <v>11</v>
      </c>
      <c r="G1029" t="s">
        <v>96</v>
      </c>
      <c r="H1029" t="s">
        <v>50</v>
      </c>
      <c r="K1029" t="s">
        <v>52</v>
      </c>
      <c r="L1029">
        <v>1</v>
      </c>
      <c r="M1029" t="s">
        <v>53</v>
      </c>
      <c r="N1029">
        <v>11</v>
      </c>
      <c r="O1029">
        <v>2</v>
      </c>
      <c r="P1029" t="s">
        <v>52</v>
      </c>
      <c r="Q1029">
        <v>0.5</v>
      </c>
      <c r="R1029">
        <v>0.75</v>
      </c>
      <c r="S1029">
        <v>124</v>
      </c>
      <c r="T1029" t="s">
        <v>284</v>
      </c>
      <c r="U1029">
        <v>110</v>
      </c>
      <c r="V1029" t="s">
        <v>284</v>
      </c>
      <c r="W1029">
        <v>118</v>
      </c>
      <c r="X1029" t="s">
        <v>284</v>
      </c>
      <c r="Y1029">
        <v>122</v>
      </c>
      <c r="Z1029" t="s">
        <v>284</v>
      </c>
      <c r="AA1029">
        <v>126</v>
      </c>
      <c r="AB1029" t="s">
        <v>284</v>
      </c>
      <c r="AG1029">
        <v>121.33329999999999</v>
      </c>
      <c r="AH1029" t="s">
        <v>54</v>
      </c>
      <c r="AI1029" t="s">
        <v>52</v>
      </c>
      <c r="AZ1029" t="s">
        <v>52</v>
      </c>
      <c r="BQ1029" t="s">
        <v>52</v>
      </c>
      <c r="CH1029" t="s">
        <v>52</v>
      </c>
    </row>
    <row r="1030" spans="1:86" x14ac:dyDescent="0.25">
      <c r="A1030" t="s">
        <v>47</v>
      </c>
      <c r="B1030">
        <v>8</v>
      </c>
      <c r="C1030" t="s">
        <v>185</v>
      </c>
      <c r="D1030">
        <v>89</v>
      </c>
      <c r="E1030" t="s">
        <v>49</v>
      </c>
      <c r="F1030">
        <v>27</v>
      </c>
      <c r="H1030" t="s">
        <v>50</v>
      </c>
      <c r="K1030" t="s">
        <v>51</v>
      </c>
      <c r="L1030">
        <v>1</v>
      </c>
      <c r="M1030" t="s">
        <v>53</v>
      </c>
      <c r="N1030">
        <v>27</v>
      </c>
      <c r="O1030">
        <v>1</v>
      </c>
      <c r="P1030" t="s">
        <v>52</v>
      </c>
      <c r="Q1030">
        <v>0</v>
      </c>
      <c r="R1030">
        <v>0.75</v>
      </c>
      <c r="S1030">
        <v>231</v>
      </c>
      <c r="T1030" t="s">
        <v>284</v>
      </c>
      <c r="U1030">
        <v>208</v>
      </c>
      <c r="V1030" t="s">
        <v>284</v>
      </c>
      <c r="W1030">
        <v>224</v>
      </c>
      <c r="X1030" t="s">
        <v>284</v>
      </c>
      <c r="Y1030">
        <v>225</v>
      </c>
      <c r="Z1030" t="s">
        <v>285</v>
      </c>
      <c r="AA1030">
        <v>247</v>
      </c>
      <c r="AB1030" t="s">
        <v>285</v>
      </c>
      <c r="AC1030">
        <v>241</v>
      </c>
      <c r="AD1030" t="s">
        <v>285</v>
      </c>
      <c r="AE1030">
        <v>219</v>
      </c>
      <c r="AF1030" t="s">
        <v>285</v>
      </c>
      <c r="AG1030">
        <v>219</v>
      </c>
      <c r="AH1030" t="s">
        <v>286</v>
      </c>
      <c r="AI1030" t="s">
        <v>287</v>
      </c>
      <c r="AX1030">
        <v>263</v>
      </c>
      <c r="AY1030" t="s">
        <v>286</v>
      </c>
      <c r="AZ1030" t="s">
        <v>287</v>
      </c>
      <c r="BQ1030" t="s">
        <v>52</v>
      </c>
      <c r="BR1030">
        <v>3.7</v>
      </c>
      <c r="BS1030" t="s">
        <v>284</v>
      </c>
      <c r="BT1030">
        <v>3.4</v>
      </c>
      <c r="BU1030" t="s">
        <v>284</v>
      </c>
      <c r="BV1030">
        <v>3.64</v>
      </c>
      <c r="BW1030" t="s">
        <v>284</v>
      </c>
      <c r="BX1030">
        <v>4.26</v>
      </c>
      <c r="BY1030" t="s">
        <v>284</v>
      </c>
      <c r="BZ1030">
        <v>3.24</v>
      </c>
      <c r="CA1030" t="s">
        <v>288</v>
      </c>
      <c r="CF1030">
        <v>3.58</v>
      </c>
      <c r="CG1030" t="s">
        <v>54</v>
      </c>
      <c r="CH1030" t="s">
        <v>52</v>
      </c>
    </row>
    <row r="1031" spans="1:86" x14ac:dyDescent="0.25">
      <c r="A1031" t="s">
        <v>47</v>
      </c>
      <c r="B1031">
        <v>8</v>
      </c>
      <c r="C1031" t="s">
        <v>185</v>
      </c>
      <c r="D1031">
        <v>89</v>
      </c>
      <c r="E1031" t="s">
        <v>49</v>
      </c>
      <c r="F1031">
        <v>27</v>
      </c>
      <c r="H1031" t="s">
        <v>50</v>
      </c>
      <c r="K1031" t="s">
        <v>52</v>
      </c>
      <c r="L1031">
        <v>1</v>
      </c>
      <c r="M1031" t="s">
        <v>53</v>
      </c>
      <c r="N1031">
        <v>27</v>
      </c>
      <c r="O1031">
        <v>1</v>
      </c>
      <c r="P1031" t="s">
        <v>52</v>
      </c>
      <c r="Q1031">
        <v>0</v>
      </c>
      <c r="R1031">
        <v>0.75</v>
      </c>
      <c r="S1031">
        <v>231</v>
      </c>
      <c r="T1031" t="s">
        <v>284</v>
      </c>
      <c r="U1031">
        <v>208</v>
      </c>
      <c r="V1031" t="s">
        <v>284</v>
      </c>
      <c r="W1031">
        <v>224</v>
      </c>
      <c r="X1031" t="s">
        <v>284</v>
      </c>
      <c r="Y1031">
        <v>225</v>
      </c>
      <c r="Z1031" t="s">
        <v>285</v>
      </c>
      <c r="AA1031">
        <v>247</v>
      </c>
      <c r="AB1031" t="s">
        <v>285</v>
      </c>
      <c r="AC1031">
        <v>241</v>
      </c>
      <c r="AD1031" t="s">
        <v>285</v>
      </c>
      <c r="AE1031">
        <v>219</v>
      </c>
      <c r="AF1031" t="s">
        <v>285</v>
      </c>
      <c r="AG1031">
        <v>219</v>
      </c>
      <c r="AH1031" t="s">
        <v>286</v>
      </c>
      <c r="AI1031" t="s">
        <v>287</v>
      </c>
      <c r="AX1031">
        <v>263</v>
      </c>
      <c r="AY1031" t="s">
        <v>286</v>
      </c>
      <c r="AZ1031" t="s">
        <v>287</v>
      </c>
      <c r="BQ1031" t="s">
        <v>52</v>
      </c>
      <c r="BR1031">
        <v>1.3</v>
      </c>
      <c r="BS1031" t="s">
        <v>284</v>
      </c>
      <c r="BT1031">
        <v>1.2</v>
      </c>
      <c r="BU1031" t="s">
        <v>284</v>
      </c>
      <c r="BV1031">
        <v>0.75</v>
      </c>
      <c r="BW1031" t="s">
        <v>284</v>
      </c>
      <c r="BX1031">
        <v>0.12</v>
      </c>
      <c r="BY1031" t="s">
        <v>284</v>
      </c>
      <c r="BZ1031">
        <v>0.14000000000000001</v>
      </c>
      <c r="CA1031" t="s">
        <v>289</v>
      </c>
      <c r="CF1031">
        <v>0.7</v>
      </c>
      <c r="CG1031" t="s">
        <v>54</v>
      </c>
      <c r="CH1031" t="s">
        <v>52</v>
      </c>
    </row>
    <row r="1032" spans="1:86" x14ac:dyDescent="0.25">
      <c r="A1032" t="s">
        <v>47</v>
      </c>
      <c r="B1032">
        <v>8</v>
      </c>
      <c r="C1032" t="s">
        <v>185</v>
      </c>
      <c r="D1032">
        <v>89</v>
      </c>
      <c r="E1032" t="s">
        <v>87</v>
      </c>
      <c r="F1032">
        <v>91</v>
      </c>
      <c r="G1032" t="s">
        <v>76</v>
      </c>
      <c r="H1032" t="s">
        <v>50</v>
      </c>
      <c r="K1032" t="s">
        <v>51</v>
      </c>
      <c r="L1032">
        <v>1</v>
      </c>
      <c r="M1032" t="s">
        <v>53</v>
      </c>
      <c r="N1032">
        <v>91</v>
      </c>
      <c r="O1032">
        <v>2</v>
      </c>
      <c r="P1032" t="s">
        <v>52</v>
      </c>
      <c r="Q1032">
        <v>0.77</v>
      </c>
      <c r="R1032">
        <v>0.93</v>
      </c>
      <c r="S1032">
        <v>135</v>
      </c>
      <c r="T1032" t="s">
        <v>284</v>
      </c>
      <c r="U1032">
        <v>133</v>
      </c>
      <c r="V1032" t="s">
        <v>284</v>
      </c>
      <c r="W1032">
        <v>147</v>
      </c>
      <c r="X1032" t="s">
        <v>284</v>
      </c>
      <c r="Y1032">
        <v>170</v>
      </c>
      <c r="Z1032" t="s">
        <v>284</v>
      </c>
      <c r="AA1032">
        <v>167</v>
      </c>
      <c r="AB1032" t="s">
        <v>284</v>
      </c>
      <c r="AG1032">
        <v>149.66669999999999</v>
      </c>
      <c r="AH1032" t="s">
        <v>54</v>
      </c>
      <c r="AI1032" t="s">
        <v>52</v>
      </c>
      <c r="AZ1032" t="s">
        <v>52</v>
      </c>
      <c r="BQ1032" t="s">
        <v>52</v>
      </c>
      <c r="BR1032">
        <v>1.42</v>
      </c>
      <c r="BS1032" t="s">
        <v>285</v>
      </c>
      <c r="BT1032">
        <v>1.35</v>
      </c>
      <c r="BU1032" t="s">
        <v>284</v>
      </c>
      <c r="BV1032">
        <v>0.83</v>
      </c>
      <c r="BW1032" t="s">
        <v>288</v>
      </c>
      <c r="BX1032">
        <v>1.85</v>
      </c>
      <c r="BY1032" t="s">
        <v>284</v>
      </c>
      <c r="BZ1032">
        <v>1.01</v>
      </c>
      <c r="CA1032" t="s">
        <v>285</v>
      </c>
      <c r="CF1032">
        <v>1.26</v>
      </c>
      <c r="CG1032" t="s">
        <v>54</v>
      </c>
      <c r="CH1032" t="s">
        <v>52</v>
      </c>
    </row>
    <row r="1033" spans="1:86" x14ac:dyDescent="0.25">
      <c r="A1033" t="s">
        <v>47</v>
      </c>
      <c r="B1033">
        <v>8</v>
      </c>
      <c r="C1033" t="s">
        <v>185</v>
      </c>
      <c r="D1033">
        <v>89</v>
      </c>
      <c r="E1033" t="s">
        <v>87</v>
      </c>
      <c r="F1033">
        <v>91</v>
      </c>
      <c r="G1033" t="s">
        <v>103</v>
      </c>
      <c r="H1033" t="s">
        <v>50</v>
      </c>
      <c r="K1033" t="s">
        <v>51</v>
      </c>
      <c r="L1033">
        <v>1</v>
      </c>
      <c r="M1033" t="s">
        <v>53</v>
      </c>
      <c r="N1033">
        <v>91</v>
      </c>
      <c r="O1033">
        <v>2</v>
      </c>
      <c r="P1033" t="s">
        <v>52</v>
      </c>
      <c r="Q1033">
        <v>0.77</v>
      </c>
      <c r="R1033">
        <v>0.93</v>
      </c>
      <c r="S1033">
        <v>135</v>
      </c>
      <c r="T1033" t="s">
        <v>284</v>
      </c>
      <c r="U1033">
        <v>133</v>
      </c>
      <c r="V1033" t="s">
        <v>284</v>
      </c>
      <c r="W1033">
        <v>147</v>
      </c>
      <c r="X1033" t="s">
        <v>284</v>
      </c>
      <c r="Y1033">
        <v>170</v>
      </c>
      <c r="Z1033" t="s">
        <v>284</v>
      </c>
      <c r="AA1033">
        <v>167</v>
      </c>
      <c r="AB1033" t="s">
        <v>284</v>
      </c>
      <c r="AG1033">
        <v>149.66669999999999</v>
      </c>
      <c r="AH1033" t="s">
        <v>54</v>
      </c>
      <c r="AI1033" t="s">
        <v>52</v>
      </c>
      <c r="AZ1033" t="s">
        <v>52</v>
      </c>
      <c r="BQ1033" t="s">
        <v>52</v>
      </c>
      <c r="CH1033" t="s">
        <v>52</v>
      </c>
    </row>
    <row r="1034" spans="1:86" x14ac:dyDescent="0.25">
      <c r="A1034" t="s">
        <v>47</v>
      </c>
      <c r="B1034">
        <v>8</v>
      </c>
      <c r="C1034" t="s">
        <v>185</v>
      </c>
      <c r="D1034">
        <v>89</v>
      </c>
      <c r="E1034" t="s">
        <v>132</v>
      </c>
      <c r="F1034">
        <v>47</v>
      </c>
      <c r="G1034" t="s">
        <v>133</v>
      </c>
      <c r="H1034" t="s">
        <v>50</v>
      </c>
      <c r="K1034" t="s">
        <v>51</v>
      </c>
      <c r="L1034">
        <v>1</v>
      </c>
      <c r="M1034" t="s">
        <v>53</v>
      </c>
      <c r="N1034">
        <v>47</v>
      </c>
      <c r="O1034">
        <v>1</v>
      </c>
      <c r="P1034" t="s">
        <v>52</v>
      </c>
      <c r="Q1034">
        <v>0.63</v>
      </c>
      <c r="R1034">
        <v>0.8</v>
      </c>
      <c r="S1034">
        <v>228</v>
      </c>
      <c r="T1034" t="s">
        <v>284</v>
      </c>
      <c r="U1034">
        <v>218</v>
      </c>
      <c r="V1034" t="s">
        <v>284</v>
      </c>
      <c r="AI1034" t="s">
        <v>52</v>
      </c>
      <c r="AZ1034" t="s">
        <v>52</v>
      </c>
      <c r="BQ1034" t="s">
        <v>52</v>
      </c>
      <c r="BR1034">
        <v>1.85</v>
      </c>
      <c r="BS1034" t="s">
        <v>284</v>
      </c>
      <c r="BT1034">
        <v>1.35</v>
      </c>
      <c r="BU1034" t="s">
        <v>284</v>
      </c>
      <c r="CH1034" t="s">
        <v>52</v>
      </c>
    </row>
    <row r="1035" spans="1:86" x14ac:dyDescent="0.25">
      <c r="A1035" t="s">
        <v>47</v>
      </c>
      <c r="B1035">
        <v>8</v>
      </c>
      <c r="C1035" t="s">
        <v>185</v>
      </c>
      <c r="D1035">
        <v>89</v>
      </c>
      <c r="E1035" t="s">
        <v>58</v>
      </c>
      <c r="F1035">
        <v>102</v>
      </c>
      <c r="G1035" t="s">
        <v>62</v>
      </c>
      <c r="H1035" t="s">
        <v>50</v>
      </c>
      <c r="K1035" t="s">
        <v>52</v>
      </c>
      <c r="L1035">
        <v>1</v>
      </c>
      <c r="M1035" t="s">
        <v>53</v>
      </c>
      <c r="N1035">
        <v>102</v>
      </c>
      <c r="O1035">
        <v>1</v>
      </c>
      <c r="P1035" t="s">
        <v>52</v>
      </c>
      <c r="Q1035">
        <v>0</v>
      </c>
      <c r="R1035">
        <v>0.92</v>
      </c>
      <c r="S1035">
        <v>131.69999999999999</v>
      </c>
      <c r="T1035" t="s">
        <v>284</v>
      </c>
      <c r="U1035">
        <v>170</v>
      </c>
      <c r="V1035" t="s">
        <v>284</v>
      </c>
      <c r="W1035">
        <v>191</v>
      </c>
      <c r="X1035" t="s">
        <v>284</v>
      </c>
      <c r="Y1035">
        <v>207</v>
      </c>
      <c r="Z1035" t="s">
        <v>284</v>
      </c>
      <c r="AA1035">
        <v>205</v>
      </c>
      <c r="AB1035" t="s">
        <v>285</v>
      </c>
      <c r="AG1035">
        <v>188.66669999999999</v>
      </c>
      <c r="AH1035" t="s">
        <v>54</v>
      </c>
      <c r="AI1035" t="s">
        <v>52</v>
      </c>
      <c r="AX1035">
        <v>271.60000000000002</v>
      </c>
      <c r="AY1035" t="s">
        <v>285</v>
      </c>
      <c r="AZ1035" t="s">
        <v>287</v>
      </c>
      <c r="BQ1035" t="s">
        <v>52</v>
      </c>
      <c r="BR1035">
        <v>0.83</v>
      </c>
      <c r="BS1035" t="s">
        <v>285</v>
      </c>
      <c r="BT1035">
        <v>0.99</v>
      </c>
      <c r="BU1035" t="s">
        <v>284</v>
      </c>
      <c r="BV1035">
        <v>0.28999999999999998</v>
      </c>
      <c r="BW1035" t="s">
        <v>285</v>
      </c>
      <c r="BX1035">
        <v>0.53</v>
      </c>
      <c r="BY1035" t="s">
        <v>285</v>
      </c>
      <c r="BZ1035">
        <v>0.46</v>
      </c>
      <c r="CA1035" t="s">
        <v>284</v>
      </c>
      <c r="CF1035">
        <v>0.61</v>
      </c>
      <c r="CG1035" t="s">
        <v>54</v>
      </c>
      <c r="CH1035" t="s">
        <v>52</v>
      </c>
    </row>
    <row r="1036" spans="1:86" x14ac:dyDescent="0.25">
      <c r="A1036" t="s">
        <v>47</v>
      </c>
      <c r="B1036">
        <v>8</v>
      </c>
      <c r="C1036" t="s">
        <v>185</v>
      </c>
      <c r="D1036">
        <v>89</v>
      </c>
      <c r="E1036" t="s">
        <v>68</v>
      </c>
      <c r="F1036">
        <v>80</v>
      </c>
      <c r="G1036" t="s">
        <v>69</v>
      </c>
      <c r="H1036" t="s">
        <v>50</v>
      </c>
      <c r="K1036" t="s">
        <v>51</v>
      </c>
      <c r="L1036">
        <v>1</v>
      </c>
      <c r="M1036" t="s">
        <v>53</v>
      </c>
      <c r="N1036">
        <v>80</v>
      </c>
      <c r="O1036">
        <v>1</v>
      </c>
      <c r="P1036" t="s">
        <v>52</v>
      </c>
      <c r="Q1036">
        <v>0.5</v>
      </c>
      <c r="R1036">
        <v>0.75</v>
      </c>
      <c r="S1036">
        <v>202.92</v>
      </c>
      <c r="T1036" t="s">
        <v>284</v>
      </c>
      <c r="U1036">
        <v>198.9</v>
      </c>
      <c r="V1036" t="s">
        <v>284</v>
      </c>
      <c r="W1036">
        <v>212.4</v>
      </c>
      <c r="X1036" t="s">
        <v>284</v>
      </c>
      <c r="Y1036">
        <v>219.6</v>
      </c>
      <c r="Z1036" t="s">
        <v>284</v>
      </c>
      <c r="AA1036">
        <v>178</v>
      </c>
      <c r="AB1036" t="s">
        <v>284</v>
      </c>
      <c r="AG1036">
        <v>204.74</v>
      </c>
      <c r="AH1036" t="s">
        <v>54</v>
      </c>
      <c r="AI1036" t="s">
        <v>52</v>
      </c>
      <c r="AZ1036" t="s">
        <v>52</v>
      </c>
      <c r="BQ1036" t="s">
        <v>52</v>
      </c>
      <c r="BR1036">
        <v>1.85</v>
      </c>
      <c r="BS1036" t="s">
        <v>284</v>
      </c>
      <c r="BT1036">
        <v>2.4300000000000002</v>
      </c>
      <c r="BU1036" t="s">
        <v>285</v>
      </c>
      <c r="BV1036">
        <v>1.99</v>
      </c>
      <c r="BW1036" t="s">
        <v>284</v>
      </c>
      <c r="BX1036">
        <v>1.5</v>
      </c>
      <c r="BY1036" t="s">
        <v>288</v>
      </c>
      <c r="BZ1036">
        <v>1.31</v>
      </c>
      <c r="CA1036" t="s">
        <v>285</v>
      </c>
      <c r="CF1036">
        <v>1.78</v>
      </c>
      <c r="CG1036" t="s">
        <v>54</v>
      </c>
      <c r="CH1036" t="s">
        <v>52</v>
      </c>
    </row>
    <row r="1037" spans="1:86" x14ac:dyDescent="0.25">
      <c r="A1037" t="s">
        <v>47</v>
      </c>
      <c r="B1037">
        <v>8</v>
      </c>
      <c r="C1037" t="s">
        <v>185</v>
      </c>
      <c r="D1037">
        <v>89</v>
      </c>
      <c r="E1037" t="s">
        <v>70</v>
      </c>
      <c r="F1037">
        <v>296</v>
      </c>
      <c r="G1037" t="s">
        <v>71</v>
      </c>
      <c r="H1037" t="s">
        <v>50</v>
      </c>
      <c r="K1037" t="s">
        <v>51</v>
      </c>
      <c r="L1037">
        <v>1</v>
      </c>
      <c r="M1037" t="s">
        <v>53</v>
      </c>
      <c r="N1037">
        <v>296</v>
      </c>
      <c r="O1037">
        <v>1</v>
      </c>
      <c r="P1037" t="s">
        <v>52</v>
      </c>
      <c r="Q1037">
        <v>0</v>
      </c>
      <c r="R1037">
        <v>0.75</v>
      </c>
      <c r="S1037">
        <v>228</v>
      </c>
      <c r="T1037" t="s">
        <v>284</v>
      </c>
      <c r="U1037">
        <v>190</v>
      </c>
      <c r="V1037" t="s">
        <v>285</v>
      </c>
      <c r="W1037">
        <v>194</v>
      </c>
      <c r="X1037" t="s">
        <v>285</v>
      </c>
      <c r="Y1037">
        <v>225</v>
      </c>
      <c r="Z1037" t="s">
        <v>285</v>
      </c>
      <c r="AA1037">
        <v>247</v>
      </c>
      <c r="AB1037" t="s">
        <v>285</v>
      </c>
      <c r="AC1037">
        <v>241</v>
      </c>
      <c r="AD1037" t="s">
        <v>285</v>
      </c>
      <c r="AE1037">
        <v>219</v>
      </c>
      <c r="AF1037" t="s">
        <v>285</v>
      </c>
      <c r="AG1037">
        <v>219</v>
      </c>
      <c r="AH1037" t="s">
        <v>286</v>
      </c>
      <c r="AI1037" t="s">
        <v>287</v>
      </c>
      <c r="AX1037">
        <v>263</v>
      </c>
      <c r="AY1037" t="s">
        <v>286</v>
      </c>
      <c r="AZ1037" t="s">
        <v>287</v>
      </c>
      <c r="BQ1037" t="s">
        <v>52</v>
      </c>
      <c r="BR1037">
        <v>1.85</v>
      </c>
      <c r="BS1037" t="s">
        <v>284</v>
      </c>
      <c r="BT1037">
        <v>2.78</v>
      </c>
      <c r="BU1037" t="s">
        <v>285</v>
      </c>
      <c r="BV1037">
        <v>2.31</v>
      </c>
      <c r="BW1037" t="s">
        <v>285</v>
      </c>
      <c r="BX1037">
        <v>3.75</v>
      </c>
      <c r="BY1037" t="s">
        <v>285</v>
      </c>
      <c r="BZ1037">
        <v>3.14</v>
      </c>
      <c r="CA1037" t="s">
        <v>288</v>
      </c>
      <c r="CF1037">
        <v>2.74</v>
      </c>
      <c r="CG1037" t="s">
        <v>54</v>
      </c>
      <c r="CH1037" t="s">
        <v>52</v>
      </c>
    </row>
    <row r="1038" spans="1:86" x14ac:dyDescent="0.25">
      <c r="A1038" t="s">
        <v>47</v>
      </c>
      <c r="B1038">
        <v>8</v>
      </c>
      <c r="C1038" t="s">
        <v>185</v>
      </c>
      <c r="D1038">
        <v>89</v>
      </c>
      <c r="E1038" t="s">
        <v>70</v>
      </c>
      <c r="F1038">
        <v>296</v>
      </c>
      <c r="G1038" t="s">
        <v>74</v>
      </c>
      <c r="H1038" t="s">
        <v>50</v>
      </c>
      <c r="K1038" t="s">
        <v>51</v>
      </c>
      <c r="L1038">
        <v>1</v>
      </c>
      <c r="M1038" t="s">
        <v>53</v>
      </c>
      <c r="N1038">
        <v>102</v>
      </c>
      <c r="O1038">
        <v>1</v>
      </c>
      <c r="P1038" t="s">
        <v>52</v>
      </c>
      <c r="Q1038">
        <v>0</v>
      </c>
      <c r="R1038">
        <v>0.75</v>
      </c>
      <c r="S1038">
        <v>135</v>
      </c>
      <c r="T1038" t="s">
        <v>284</v>
      </c>
      <c r="U1038">
        <v>132</v>
      </c>
      <c r="V1038" t="s">
        <v>284</v>
      </c>
      <c r="W1038">
        <v>147</v>
      </c>
      <c r="X1038" t="s">
        <v>284</v>
      </c>
      <c r="Y1038">
        <v>170</v>
      </c>
      <c r="Z1038" t="s">
        <v>284</v>
      </c>
      <c r="AA1038">
        <v>205</v>
      </c>
      <c r="AB1038" t="s">
        <v>285</v>
      </c>
      <c r="AG1038">
        <v>150.66669999999999</v>
      </c>
      <c r="AH1038" t="s">
        <v>54</v>
      </c>
      <c r="AI1038" t="s">
        <v>52</v>
      </c>
      <c r="AZ1038" t="s">
        <v>52</v>
      </c>
      <c r="BQ1038" t="s">
        <v>52</v>
      </c>
      <c r="BR1038">
        <v>1.85</v>
      </c>
      <c r="BS1038" t="s">
        <v>284</v>
      </c>
      <c r="BT1038">
        <v>1.82</v>
      </c>
      <c r="BU1038" t="s">
        <v>284</v>
      </c>
      <c r="BV1038">
        <v>1.2</v>
      </c>
      <c r="BW1038" t="s">
        <v>285</v>
      </c>
      <c r="BX1038">
        <v>1.2</v>
      </c>
      <c r="BY1038" t="s">
        <v>285</v>
      </c>
      <c r="BZ1038">
        <v>0.64</v>
      </c>
      <c r="CA1038" t="s">
        <v>288</v>
      </c>
      <c r="CF1038">
        <v>1.41</v>
      </c>
      <c r="CG1038" t="s">
        <v>54</v>
      </c>
      <c r="CH1038" t="s">
        <v>52</v>
      </c>
    </row>
    <row r="1039" spans="1:86" x14ac:dyDescent="0.25">
      <c r="A1039" t="s">
        <v>47</v>
      </c>
      <c r="B1039">
        <v>8</v>
      </c>
      <c r="C1039" t="s">
        <v>185</v>
      </c>
      <c r="D1039">
        <v>89</v>
      </c>
      <c r="E1039" t="s">
        <v>70</v>
      </c>
      <c r="F1039">
        <v>296</v>
      </c>
      <c r="G1039" t="s">
        <v>90</v>
      </c>
      <c r="H1039" t="s">
        <v>50</v>
      </c>
      <c r="K1039" t="s">
        <v>51</v>
      </c>
      <c r="L1039">
        <v>1</v>
      </c>
      <c r="M1039" t="s">
        <v>53</v>
      </c>
      <c r="N1039">
        <v>102</v>
      </c>
      <c r="O1039">
        <v>1</v>
      </c>
      <c r="P1039" t="s">
        <v>52</v>
      </c>
      <c r="Q1039">
        <v>0.5</v>
      </c>
      <c r="R1039">
        <v>0.75</v>
      </c>
      <c r="S1039">
        <v>228</v>
      </c>
      <c r="T1039" t="s">
        <v>284</v>
      </c>
      <c r="U1039">
        <v>190</v>
      </c>
      <c r="V1039" t="s">
        <v>285</v>
      </c>
      <c r="W1039">
        <v>236</v>
      </c>
      <c r="X1039" t="s">
        <v>284</v>
      </c>
      <c r="Y1039">
        <v>244</v>
      </c>
      <c r="Z1039" t="s">
        <v>284</v>
      </c>
      <c r="AA1039">
        <v>215</v>
      </c>
      <c r="AB1039" t="s">
        <v>285</v>
      </c>
      <c r="AG1039">
        <v>226.33330000000001</v>
      </c>
      <c r="AH1039" t="s">
        <v>54</v>
      </c>
      <c r="AI1039" t="s">
        <v>52</v>
      </c>
      <c r="AZ1039" t="s">
        <v>52</v>
      </c>
      <c r="BQ1039" t="s">
        <v>52</v>
      </c>
      <c r="BR1039">
        <v>0.65</v>
      </c>
      <c r="BS1039" t="s">
        <v>284</v>
      </c>
      <c r="BT1039">
        <v>1.48</v>
      </c>
      <c r="BU1039" t="s">
        <v>285</v>
      </c>
      <c r="BV1039">
        <v>1.41</v>
      </c>
      <c r="BW1039" t="s">
        <v>284</v>
      </c>
      <c r="BX1039">
        <v>1.1200000000000001</v>
      </c>
      <c r="BY1039" t="s">
        <v>284</v>
      </c>
      <c r="BZ1039">
        <v>1.1200000000000001</v>
      </c>
      <c r="CA1039" t="s">
        <v>284</v>
      </c>
      <c r="CF1039">
        <v>1.22</v>
      </c>
      <c r="CG1039" t="s">
        <v>54</v>
      </c>
      <c r="CH1039" t="s">
        <v>52</v>
      </c>
    </row>
    <row r="1040" spans="1:86" x14ac:dyDescent="0.25">
      <c r="A1040" t="s">
        <v>47</v>
      </c>
      <c r="B1040">
        <v>8</v>
      </c>
      <c r="C1040" t="s">
        <v>185</v>
      </c>
      <c r="D1040">
        <v>89</v>
      </c>
      <c r="E1040" t="s">
        <v>70</v>
      </c>
      <c r="F1040">
        <v>296</v>
      </c>
      <c r="G1040" t="s">
        <v>124</v>
      </c>
      <c r="H1040" t="s">
        <v>50</v>
      </c>
      <c r="K1040" t="s">
        <v>52</v>
      </c>
      <c r="L1040">
        <v>1</v>
      </c>
      <c r="M1040" t="s">
        <v>53</v>
      </c>
      <c r="N1040">
        <v>102</v>
      </c>
      <c r="O1040">
        <v>1</v>
      </c>
      <c r="P1040" t="s">
        <v>52</v>
      </c>
      <c r="Q1040">
        <v>0</v>
      </c>
      <c r="R1040">
        <v>0.75</v>
      </c>
      <c r="S1040">
        <v>228</v>
      </c>
      <c r="T1040" t="s">
        <v>284</v>
      </c>
      <c r="U1040">
        <v>177</v>
      </c>
      <c r="V1040" t="s">
        <v>284</v>
      </c>
      <c r="W1040">
        <v>147</v>
      </c>
      <c r="X1040" t="s">
        <v>284</v>
      </c>
      <c r="Y1040">
        <v>170</v>
      </c>
      <c r="Z1040" t="s">
        <v>284</v>
      </c>
      <c r="AA1040">
        <v>205</v>
      </c>
      <c r="AB1040" t="s">
        <v>285</v>
      </c>
      <c r="AG1040">
        <v>184</v>
      </c>
      <c r="AH1040" t="s">
        <v>54</v>
      </c>
      <c r="AI1040" t="s">
        <v>52</v>
      </c>
      <c r="AZ1040" t="s">
        <v>52</v>
      </c>
      <c r="BQ1040" t="s">
        <v>52</v>
      </c>
      <c r="BR1040">
        <v>0.65</v>
      </c>
      <c r="BS1040" t="s">
        <v>285</v>
      </c>
      <c r="BT1040">
        <v>0.49</v>
      </c>
      <c r="BU1040" t="s">
        <v>285</v>
      </c>
      <c r="BV1040">
        <v>0.11</v>
      </c>
      <c r="BW1040" t="s">
        <v>285</v>
      </c>
      <c r="BX1040">
        <v>0.25</v>
      </c>
      <c r="BY1040" t="s">
        <v>285</v>
      </c>
      <c r="BZ1040">
        <v>0.22</v>
      </c>
      <c r="CA1040" t="s">
        <v>289</v>
      </c>
      <c r="CF1040">
        <v>0.32</v>
      </c>
      <c r="CG1040" t="s">
        <v>54</v>
      </c>
      <c r="CH1040" t="s">
        <v>52</v>
      </c>
    </row>
    <row r="1041" spans="1:86" x14ac:dyDescent="0.25">
      <c r="A1041" t="s">
        <v>47</v>
      </c>
      <c r="B1041">
        <v>8</v>
      </c>
      <c r="C1041" t="s">
        <v>185</v>
      </c>
      <c r="D1041">
        <v>89</v>
      </c>
      <c r="E1041" t="s">
        <v>75</v>
      </c>
      <c r="F1041">
        <v>16</v>
      </c>
      <c r="G1041" t="s">
        <v>76</v>
      </c>
      <c r="H1041" t="s">
        <v>50</v>
      </c>
      <c r="K1041" t="s">
        <v>51</v>
      </c>
      <c r="L1041">
        <v>1</v>
      </c>
      <c r="M1041" t="s">
        <v>53</v>
      </c>
      <c r="N1041">
        <v>16</v>
      </c>
      <c r="O1041">
        <v>2</v>
      </c>
      <c r="P1041" t="s">
        <v>52</v>
      </c>
      <c r="Q1041">
        <v>0.5</v>
      </c>
      <c r="R1041">
        <v>0.75</v>
      </c>
      <c r="S1041">
        <v>83.35</v>
      </c>
      <c r="T1041" t="s">
        <v>285</v>
      </c>
      <c r="U1041">
        <v>96.14</v>
      </c>
      <c r="V1041" t="s">
        <v>284</v>
      </c>
      <c r="W1041">
        <v>103.37</v>
      </c>
      <c r="X1041" t="s">
        <v>284</v>
      </c>
      <c r="Y1041">
        <v>106.14</v>
      </c>
      <c r="Z1041" t="s">
        <v>284</v>
      </c>
      <c r="AA1041">
        <v>128</v>
      </c>
      <c r="AB1041" t="s">
        <v>285</v>
      </c>
      <c r="AG1041">
        <v>101.88330000000001</v>
      </c>
      <c r="AH1041" t="s">
        <v>54</v>
      </c>
      <c r="AI1041" t="s">
        <v>52</v>
      </c>
      <c r="AX1041">
        <v>146.69999999999999</v>
      </c>
      <c r="AY1041" t="s">
        <v>285</v>
      </c>
      <c r="AZ1041" t="s">
        <v>287</v>
      </c>
      <c r="BQ1041" t="s">
        <v>52</v>
      </c>
      <c r="BR1041">
        <v>1.85</v>
      </c>
      <c r="BS1041" t="s">
        <v>284</v>
      </c>
      <c r="BT1041">
        <v>2.11</v>
      </c>
      <c r="BU1041" t="s">
        <v>285</v>
      </c>
      <c r="BV1041">
        <v>1.77</v>
      </c>
      <c r="BW1041" t="s">
        <v>285</v>
      </c>
      <c r="BX1041">
        <v>2.52</v>
      </c>
      <c r="BY1041" t="s">
        <v>284</v>
      </c>
      <c r="BZ1041">
        <v>5.84</v>
      </c>
      <c r="CA1041" t="s">
        <v>288</v>
      </c>
      <c r="CF1041">
        <v>2.16</v>
      </c>
      <c r="CG1041" t="s">
        <v>54</v>
      </c>
      <c r="CH1041" t="s">
        <v>52</v>
      </c>
    </row>
    <row r="1042" spans="1:86" x14ac:dyDescent="0.25">
      <c r="A1042" t="s">
        <v>47</v>
      </c>
      <c r="B1042">
        <v>8</v>
      </c>
      <c r="C1042" t="s">
        <v>185</v>
      </c>
      <c r="D1042">
        <v>89</v>
      </c>
      <c r="E1042" t="s">
        <v>93</v>
      </c>
      <c r="F1042">
        <v>94</v>
      </c>
      <c r="H1042" t="s">
        <v>50</v>
      </c>
      <c r="K1042" t="s">
        <v>51</v>
      </c>
      <c r="L1042">
        <v>1</v>
      </c>
      <c r="M1042" t="s">
        <v>53</v>
      </c>
      <c r="N1042">
        <v>94</v>
      </c>
      <c r="O1042">
        <v>2</v>
      </c>
      <c r="P1042" t="s">
        <v>52</v>
      </c>
      <c r="Q1042">
        <v>0.77</v>
      </c>
      <c r="R1042">
        <v>0.93</v>
      </c>
      <c r="S1042">
        <v>205</v>
      </c>
      <c r="T1042" t="s">
        <v>284</v>
      </c>
      <c r="U1042">
        <v>175</v>
      </c>
      <c r="V1042" t="s">
        <v>284</v>
      </c>
      <c r="W1042">
        <v>188</v>
      </c>
      <c r="X1042" t="s">
        <v>284</v>
      </c>
      <c r="Y1042">
        <v>202.32</v>
      </c>
      <c r="Z1042" t="s">
        <v>284</v>
      </c>
      <c r="AA1042">
        <v>209.16</v>
      </c>
      <c r="AB1042" t="s">
        <v>284</v>
      </c>
      <c r="AG1042">
        <v>198.44</v>
      </c>
      <c r="AH1042" t="s">
        <v>54</v>
      </c>
      <c r="AI1042" t="s">
        <v>52</v>
      </c>
      <c r="AZ1042" t="s">
        <v>52</v>
      </c>
      <c r="BQ1042" t="s">
        <v>52</v>
      </c>
      <c r="BR1042">
        <v>2.15</v>
      </c>
      <c r="BS1042" t="s">
        <v>284</v>
      </c>
      <c r="BT1042">
        <v>1.04</v>
      </c>
      <c r="BU1042" t="s">
        <v>284</v>
      </c>
      <c r="BV1042">
        <v>2.12</v>
      </c>
      <c r="BW1042" t="s">
        <v>284</v>
      </c>
      <c r="BX1042">
        <v>2.0099999999999998</v>
      </c>
      <c r="BY1042" t="s">
        <v>284</v>
      </c>
      <c r="BZ1042">
        <v>1.74</v>
      </c>
      <c r="CA1042" t="s">
        <v>284</v>
      </c>
      <c r="CF1042">
        <v>1.96</v>
      </c>
      <c r="CG1042" t="s">
        <v>54</v>
      </c>
      <c r="CH1042" t="s">
        <v>52</v>
      </c>
    </row>
    <row r="1043" spans="1:86" x14ac:dyDescent="0.25">
      <c r="A1043" t="s">
        <v>47</v>
      </c>
      <c r="B1043">
        <v>8</v>
      </c>
      <c r="C1043" t="s">
        <v>185</v>
      </c>
      <c r="D1043">
        <v>89</v>
      </c>
      <c r="E1043" t="s">
        <v>77</v>
      </c>
      <c r="F1043">
        <v>51</v>
      </c>
      <c r="G1043" t="s">
        <v>78</v>
      </c>
      <c r="H1043" t="s">
        <v>50</v>
      </c>
      <c r="K1043" t="s">
        <v>51</v>
      </c>
      <c r="L1043">
        <v>1</v>
      </c>
      <c r="M1043" t="s">
        <v>53</v>
      </c>
      <c r="N1043">
        <v>51</v>
      </c>
      <c r="O1043">
        <v>2</v>
      </c>
      <c r="P1043" t="s">
        <v>52</v>
      </c>
      <c r="Q1043">
        <v>0.5</v>
      </c>
      <c r="R1043">
        <v>0.73</v>
      </c>
      <c r="S1043">
        <v>228</v>
      </c>
      <c r="T1043" t="s">
        <v>284</v>
      </c>
      <c r="U1043">
        <v>218</v>
      </c>
      <c r="V1043" t="s">
        <v>284</v>
      </c>
      <c r="W1043">
        <v>147</v>
      </c>
      <c r="X1043" t="s">
        <v>284</v>
      </c>
      <c r="Y1043">
        <v>170</v>
      </c>
      <c r="Z1043" t="s">
        <v>284</v>
      </c>
      <c r="AA1043">
        <v>109</v>
      </c>
      <c r="AB1043" t="s">
        <v>285</v>
      </c>
      <c r="AG1043">
        <v>178.33330000000001</v>
      </c>
      <c r="AH1043" t="s">
        <v>54</v>
      </c>
      <c r="AI1043" t="s">
        <v>52</v>
      </c>
      <c r="AZ1043" t="s">
        <v>52</v>
      </c>
      <c r="BQ1043" t="s">
        <v>52</v>
      </c>
      <c r="BR1043">
        <v>1.2</v>
      </c>
      <c r="BS1043" t="s">
        <v>284</v>
      </c>
      <c r="BT1043">
        <v>1.35</v>
      </c>
      <c r="BU1043" t="s">
        <v>284</v>
      </c>
      <c r="BV1043">
        <v>1.35</v>
      </c>
      <c r="BW1043" t="s">
        <v>284</v>
      </c>
      <c r="BX1043">
        <v>1.35</v>
      </c>
      <c r="BY1043" t="s">
        <v>285</v>
      </c>
      <c r="BZ1043">
        <v>0.3</v>
      </c>
      <c r="CA1043" t="s">
        <v>285</v>
      </c>
      <c r="CF1043">
        <v>1.3</v>
      </c>
      <c r="CG1043" t="s">
        <v>54</v>
      </c>
      <c r="CH1043" t="s">
        <v>52</v>
      </c>
    </row>
    <row r="1044" spans="1:86" x14ac:dyDescent="0.25">
      <c r="A1044" t="s">
        <v>47</v>
      </c>
      <c r="B1044">
        <v>8</v>
      </c>
      <c r="C1044" t="s">
        <v>185</v>
      </c>
      <c r="D1044">
        <v>89</v>
      </c>
      <c r="E1044" t="s">
        <v>79</v>
      </c>
      <c r="F1044">
        <v>50</v>
      </c>
      <c r="G1044" t="s">
        <v>81</v>
      </c>
      <c r="H1044" t="s">
        <v>50</v>
      </c>
      <c r="K1044" t="s">
        <v>51</v>
      </c>
      <c r="L1044">
        <v>1</v>
      </c>
      <c r="M1044" t="s">
        <v>53</v>
      </c>
      <c r="N1044">
        <v>50</v>
      </c>
      <c r="O1044">
        <v>1</v>
      </c>
      <c r="P1044" t="s">
        <v>52</v>
      </c>
      <c r="Q1044">
        <v>0.5</v>
      </c>
      <c r="R1044">
        <v>0.75</v>
      </c>
      <c r="S1044">
        <v>85</v>
      </c>
      <c r="T1044" t="s">
        <v>285</v>
      </c>
      <c r="U1044">
        <v>93</v>
      </c>
      <c r="V1044" t="s">
        <v>284</v>
      </c>
      <c r="W1044">
        <v>89.7</v>
      </c>
      <c r="X1044" t="s">
        <v>284</v>
      </c>
      <c r="Y1044">
        <v>92.72</v>
      </c>
      <c r="Z1044" t="s">
        <v>284</v>
      </c>
      <c r="AA1044">
        <v>109</v>
      </c>
      <c r="AB1044" t="s">
        <v>285</v>
      </c>
      <c r="AG1044">
        <v>91.806700000000006</v>
      </c>
      <c r="AH1044" t="s">
        <v>54</v>
      </c>
      <c r="AI1044" t="s">
        <v>52</v>
      </c>
      <c r="AZ1044" t="s">
        <v>52</v>
      </c>
      <c r="BQ1044" t="s">
        <v>52</v>
      </c>
      <c r="BR1044">
        <v>2.74</v>
      </c>
      <c r="BS1044" t="s">
        <v>289</v>
      </c>
      <c r="BT1044">
        <v>2.57</v>
      </c>
      <c r="BU1044" t="s">
        <v>284</v>
      </c>
      <c r="BV1044">
        <v>2.77</v>
      </c>
      <c r="BW1044" t="s">
        <v>284</v>
      </c>
      <c r="BX1044">
        <v>2.82</v>
      </c>
      <c r="BY1044" t="s">
        <v>284</v>
      </c>
      <c r="BZ1044">
        <v>2.67</v>
      </c>
      <c r="CA1044" t="s">
        <v>288</v>
      </c>
      <c r="CF1044">
        <v>2.73</v>
      </c>
      <c r="CG1044" t="s">
        <v>54</v>
      </c>
      <c r="CH1044" t="s">
        <v>52</v>
      </c>
    </row>
    <row r="1045" spans="1:86" x14ac:dyDescent="0.25">
      <c r="A1045" t="s">
        <v>47</v>
      </c>
      <c r="B1045">
        <v>8</v>
      </c>
      <c r="C1045" t="s">
        <v>185</v>
      </c>
      <c r="D1045">
        <v>89</v>
      </c>
      <c r="E1045" t="s">
        <v>82</v>
      </c>
      <c r="F1045">
        <v>52</v>
      </c>
      <c r="H1045" t="s">
        <v>50</v>
      </c>
      <c r="K1045" t="s">
        <v>51</v>
      </c>
      <c r="L1045">
        <v>1</v>
      </c>
      <c r="M1045" t="s">
        <v>53</v>
      </c>
      <c r="N1045">
        <v>50</v>
      </c>
      <c r="O1045">
        <v>1</v>
      </c>
      <c r="P1045" t="s">
        <v>52</v>
      </c>
      <c r="Q1045">
        <v>0.5</v>
      </c>
      <c r="R1045">
        <v>0.75</v>
      </c>
      <c r="S1045">
        <v>85</v>
      </c>
      <c r="T1045" t="s">
        <v>285</v>
      </c>
      <c r="U1045">
        <v>93</v>
      </c>
      <c r="V1045" t="s">
        <v>284</v>
      </c>
      <c r="W1045">
        <v>191.5</v>
      </c>
      <c r="X1045" t="s">
        <v>284</v>
      </c>
      <c r="Y1045">
        <v>198</v>
      </c>
      <c r="Z1045" t="s">
        <v>284</v>
      </c>
      <c r="AA1045">
        <v>109</v>
      </c>
      <c r="AB1045" t="s">
        <v>285</v>
      </c>
      <c r="AG1045">
        <v>131.16669999999999</v>
      </c>
      <c r="AH1045" t="s">
        <v>54</v>
      </c>
      <c r="AI1045" t="s">
        <v>52</v>
      </c>
      <c r="AZ1045" t="s">
        <v>52</v>
      </c>
      <c r="BQ1045" t="s">
        <v>52</v>
      </c>
      <c r="BR1045">
        <v>3.58</v>
      </c>
      <c r="BS1045" t="s">
        <v>288</v>
      </c>
      <c r="BT1045">
        <v>2.78</v>
      </c>
      <c r="BU1045" t="s">
        <v>285</v>
      </c>
      <c r="BV1045">
        <v>3.72</v>
      </c>
      <c r="BW1045" t="s">
        <v>285</v>
      </c>
      <c r="BX1045">
        <v>3.54</v>
      </c>
      <c r="BY1045" t="s">
        <v>285</v>
      </c>
      <c r="BZ1045">
        <v>0.78</v>
      </c>
      <c r="CA1045" t="s">
        <v>285</v>
      </c>
      <c r="CF1045">
        <v>3.3</v>
      </c>
      <c r="CG1045" t="s">
        <v>54</v>
      </c>
      <c r="CH1045" t="s">
        <v>52</v>
      </c>
    </row>
    <row r="1046" spans="1:86" x14ac:dyDescent="0.25">
      <c r="A1046" t="s">
        <v>47</v>
      </c>
      <c r="B1046">
        <v>8</v>
      </c>
      <c r="C1046" t="s">
        <v>185</v>
      </c>
      <c r="D1046">
        <v>89</v>
      </c>
      <c r="E1046" t="s">
        <v>83</v>
      </c>
      <c r="F1046">
        <v>158</v>
      </c>
      <c r="H1046" t="s">
        <v>50</v>
      </c>
      <c r="K1046" t="s">
        <v>51</v>
      </c>
      <c r="L1046">
        <v>1</v>
      </c>
      <c r="M1046" t="s">
        <v>53</v>
      </c>
      <c r="N1046">
        <v>158</v>
      </c>
      <c r="O1046">
        <v>2</v>
      </c>
      <c r="P1046" t="s">
        <v>52</v>
      </c>
      <c r="Q1046">
        <v>0.77</v>
      </c>
      <c r="R1046">
        <v>0.93</v>
      </c>
      <c r="S1046">
        <v>228</v>
      </c>
      <c r="T1046" t="s">
        <v>284</v>
      </c>
      <c r="U1046">
        <v>221</v>
      </c>
      <c r="V1046" t="s">
        <v>284</v>
      </c>
      <c r="W1046">
        <v>236</v>
      </c>
      <c r="X1046" t="s">
        <v>284</v>
      </c>
      <c r="Y1046">
        <v>244</v>
      </c>
      <c r="Z1046" t="s">
        <v>284</v>
      </c>
      <c r="AA1046">
        <v>252</v>
      </c>
      <c r="AB1046" t="s">
        <v>284</v>
      </c>
      <c r="AG1046">
        <v>236</v>
      </c>
      <c r="AH1046" t="s">
        <v>54</v>
      </c>
      <c r="AI1046" t="s">
        <v>52</v>
      </c>
      <c r="AX1046">
        <v>339</v>
      </c>
      <c r="AY1046" t="s">
        <v>285</v>
      </c>
      <c r="AZ1046" t="s">
        <v>287</v>
      </c>
      <c r="BQ1046" t="s">
        <v>52</v>
      </c>
      <c r="BR1046">
        <v>1.85</v>
      </c>
      <c r="BS1046" t="s">
        <v>284</v>
      </c>
      <c r="BT1046">
        <v>1.35</v>
      </c>
      <c r="BU1046" t="s">
        <v>284</v>
      </c>
      <c r="BV1046">
        <v>1.03</v>
      </c>
      <c r="BW1046" t="s">
        <v>288</v>
      </c>
      <c r="BX1046">
        <v>1.34</v>
      </c>
      <c r="BY1046" t="s">
        <v>289</v>
      </c>
      <c r="BZ1046">
        <v>1.75</v>
      </c>
      <c r="CA1046" t="s">
        <v>288</v>
      </c>
      <c r="CF1046">
        <v>1.48</v>
      </c>
      <c r="CG1046" t="s">
        <v>54</v>
      </c>
      <c r="CH1046" t="s">
        <v>52</v>
      </c>
    </row>
    <row r="1047" spans="1:86" x14ac:dyDescent="0.25">
      <c r="A1047" t="s">
        <v>47</v>
      </c>
      <c r="B1047">
        <v>8</v>
      </c>
      <c r="C1047" t="s">
        <v>185</v>
      </c>
      <c r="D1047">
        <v>89</v>
      </c>
      <c r="E1047" t="s">
        <v>83</v>
      </c>
      <c r="F1047">
        <v>158</v>
      </c>
      <c r="H1047" t="s">
        <v>50</v>
      </c>
      <c r="K1047" t="s">
        <v>52</v>
      </c>
      <c r="L1047">
        <v>1</v>
      </c>
      <c r="M1047" t="s">
        <v>53</v>
      </c>
      <c r="N1047">
        <v>158</v>
      </c>
      <c r="O1047">
        <v>2</v>
      </c>
      <c r="P1047" t="s">
        <v>52</v>
      </c>
      <c r="Q1047">
        <v>0.77</v>
      </c>
      <c r="R1047">
        <v>0.93</v>
      </c>
      <c r="S1047">
        <v>228</v>
      </c>
      <c r="T1047" t="s">
        <v>284</v>
      </c>
      <c r="U1047">
        <v>221</v>
      </c>
      <c r="V1047" t="s">
        <v>284</v>
      </c>
      <c r="W1047">
        <v>236</v>
      </c>
      <c r="X1047" t="s">
        <v>284</v>
      </c>
      <c r="Y1047">
        <v>244</v>
      </c>
      <c r="Z1047" t="s">
        <v>284</v>
      </c>
      <c r="AA1047">
        <v>252</v>
      </c>
      <c r="AB1047" t="s">
        <v>284</v>
      </c>
      <c r="AG1047">
        <v>236</v>
      </c>
      <c r="AH1047" t="s">
        <v>54</v>
      </c>
      <c r="AI1047" t="s">
        <v>52</v>
      </c>
      <c r="AX1047">
        <v>339</v>
      </c>
      <c r="AY1047" t="s">
        <v>285</v>
      </c>
      <c r="AZ1047" t="s">
        <v>287</v>
      </c>
      <c r="BQ1047" t="s">
        <v>52</v>
      </c>
      <c r="BR1047">
        <v>0.42</v>
      </c>
      <c r="BS1047" t="s">
        <v>285</v>
      </c>
      <c r="BT1047">
        <v>1.31</v>
      </c>
      <c r="BU1047" t="s">
        <v>285</v>
      </c>
      <c r="BV1047">
        <v>1.01</v>
      </c>
      <c r="BW1047" t="s">
        <v>284</v>
      </c>
      <c r="BX1047">
        <v>0.56999999999999995</v>
      </c>
      <c r="BY1047" t="s">
        <v>285</v>
      </c>
      <c r="BZ1047">
        <v>0.1</v>
      </c>
      <c r="CA1047" t="s">
        <v>289</v>
      </c>
      <c r="CF1047">
        <v>0.67</v>
      </c>
      <c r="CG1047" t="s">
        <v>54</v>
      </c>
      <c r="CH1047" t="s">
        <v>52</v>
      </c>
    </row>
    <row r="1048" spans="1:86" x14ac:dyDescent="0.25">
      <c r="A1048" t="s">
        <v>47</v>
      </c>
      <c r="B1048">
        <v>8</v>
      </c>
      <c r="C1048" t="s">
        <v>185</v>
      </c>
      <c r="D1048">
        <v>89</v>
      </c>
      <c r="E1048" t="s">
        <v>84</v>
      </c>
      <c r="F1048">
        <v>11</v>
      </c>
      <c r="G1048" t="s">
        <v>85</v>
      </c>
      <c r="H1048" t="s">
        <v>50</v>
      </c>
      <c r="K1048" t="s">
        <v>51</v>
      </c>
      <c r="L1048">
        <v>1</v>
      </c>
      <c r="M1048" t="s">
        <v>53</v>
      </c>
      <c r="N1048">
        <v>11</v>
      </c>
      <c r="O1048">
        <v>2</v>
      </c>
      <c r="P1048" t="s">
        <v>52</v>
      </c>
      <c r="Q1048">
        <v>0.5</v>
      </c>
      <c r="R1048">
        <v>0.75</v>
      </c>
      <c r="S1048">
        <v>155</v>
      </c>
      <c r="T1048" t="s">
        <v>284</v>
      </c>
      <c r="U1048">
        <v>110</v>
      </c>
      <c r="V1048" t="s">
        <v>284</v>
      </c>
      <c r="W1048">
        <v>118</v>
      </c>
      <c r="X1048" t="s">
        <v>284</v>
      </c>
      <c r="Y1048">
        <v>122</v>
      </c>
      <c r="Z1048" t="s">
        <v>284</v>
      </c>
      <c r="AA1048">
        <v>126</v>
      </c>
      <c r="AB1048" t="s">
        <v>284</v>
      </c>
      <c r="AG1048">
        <v>122</v>
      </c>
      <c r="AH1048" t="s">
        <v>54</v>
      </c>
      <c r="AI1048" t="s">
        <v>52</v>
      </c>
      <c r="AZ1048" t="s">
        <v>52</v>
      </c>
      <c r="BQ1048" t="s">
        <v>52</v>
      </c>
      <c r="BR1048">
        <v>1.56</v>
      </c>
      <c r="BS1048" t="s">
        <v>285</v>
      </c>
      <c r="BT1048">
        <v>1.49</v>
      </c>
      <c r="BU1048" t="s">
        <v>284</v>
      </c>
      <c r="BV1048">
        <v>1.64</v>
      </c>
      <c r="BW1048" t="s">
        <v>284</v>
      </c>
      <c r="BX1048">
        <v>1.43</v>
      </c>
      <c r="BY1048" t="s">
        <v>284</v>
      </c>
      <c r="BZ1048">
        <v>1.35</v>
      </c>
      <c r="CA1048" t="s">
        <v>284</v>
      </c>
      <c r="CF1048">
        <v>1.49</v>
      </c>
      <c r="CG1048" t="s">
        <v>54</v>
      </c>
      <c r="CH1048" t="s">
        <v>52</v>
      </c>
    </row>
    <row r="1049" spans="1:86" x14ac:dyDescent="0.25">
      <c r="A1049" t="s">
        <v>47</v>
      </c>
      <c r="B1049">
        <v>8</v>
      </c>
      <c r="C1049" t="s">
        <v>185</v>
      </c>
      <c r="D1049">
        <v>89</v>
      </c>
      <c r="E1049" t="s">
        <v>84</v>
      </c>
      <c r="F1049">
        <v>11</v>
      </c>
      <c r="G1049" t="s">
        <v>96</v>
      </c>
      <c r="H1049" t="s">
        <v>50</v>
      </c>
      <c r="K1049" t="s">
        <v>51</v>
      </c>
      <c r="L1049">
        <v>1</v>
      </c>
      <c r="M1049" t="s">
        <v>53</v>
      </c>
      <c r="N1049">
        <v>11</v>
      </c>
      <c r="O1049">
        <v>2</v>
      </c>
      <c r="P1049" t="s">
        <v>52</v>
      </c>
      <c r="Q1049">
        <v>0.5</v>
      </c>
      <c r="R1049">
        <v>0.75</v>
      </c>
      <c r="S1049">
        <v>124</v>
      </c>
      <c r="T1049" t="s">
        <v>284</v>
      </c>
      <c r="U1049">
        <v>110</v>
      </c>
      <c r="V1049" t="s">
        <v>284</v>
      </c>
      <c r="W1049">
        <v>118</v>
      </c>
      <c r="X1049" t="s">
        <v>284</v>
      </c>
      <c r="Y1049">
        <v>122</v>
      </c>
      <c r="Z1049" t="s">
        <v>284</v>
      </c>
      <c r="AA1049">
        <v>126</v>
      </c>
      <c r="AB1049" t="s">
        <v>284</v>
      </c>
      <c r="AG1049">
        <v>121.33329999999999</v>
      </c>
      <c r="AH1049" t="s">
        <v>54</v>
      </c>
      <c r="AI1049" t="s">
        <v>52</v>
      </c>
      <c r="AZ1049" t="s">
        <v>52</v>
      </c>
      <c r="BQ1049" t="s">
        <v>52</v>
      </c>
      <c r="BR1049">
        <v>1.56</v>
      </c>
      <c r="BS1049" t="s">
        <v>285</v>
      </c>
      <c r="BT1049">
        <v>1.49</v>
      </c>
      <c r="BU1049" t="s">
        <v>284</v>
      </c>
      <c r="BV1049">
        <v>1.64</v>
      </c>
      <c r="BW1049" t="s">
        <v>284</v>
      </c>
      <c r="BX1049">
        <v>1.43</v>
      </c>
      <c r="BY1049" t="s">
        <v>284</v>
      </c>
      <c r="BZ1049">
        <v>1.23</v>
      </c>
      <c r="CA1049" t="s">
        <v>284</v>
      </c>
      <c r="CF1049">
        <v>1.49</v>
      </c>
      <c r="CG1049" t="s">
        <v>54</v>
      </c>
      <c r="CH1049" t="s">
        <v>52</v>
      </c>
    </row>
    <row r="1050" spans="1:86" x14ac:dyDescent="0.25">
      <c r="A1050" t="s">
        <v>47</v>
      </c>
      <c r="B1050">
        <v>8</v>
      </c>
      <c r="C1050" t="s">
        <v>186</v>
      </c>
      <c r="D1050">
        <v>91</v>
      </c>
      <c r="E1050" t="s">
        <v>49</v>
      </c>
      <c r="F1050">
        <v>27</v>
      </c>
      <c r="H1050" t="s">
        <v>50</v>
      </c>
      <c r="K1050" t="s">
        <v>51</v>
      </c>
      <c r="L1050">
        <v>1</v>
      </c>
      <c r="M1050" t="s">
        <v>53</v>
      </c>
      <c r="N1050">
        <v>27</v>
      </c>
      <c r="O1050">
        <v>1</v>
      </c>
      <c r="P1050" t="s">
        <v>52</v>
      </c>
      <c r="Q1050">
        <v>0</v>
      </c>
      <c r="R1050">
        <v>0.75</v>
      </c>
      <c r="S1050">
        <v>231</v>
      </c>
      <c r="T1050" t="s">
        <v>284</v>
      </c>
      <c r="U1050">
        <v>208</v>
      </c>
      <c r="V1050" t="s">
        <v>284</v>
      </c>
      <c r="W1050">
        <v>224</v>
      </c>
      <c r="X1050" t="s">
        <v>284</v>
      </c>
      <c r="Y1050">
        <v>225</v>
      </c>
      <c r="Z1050" t="s">
        <v>285</v>
      </c>
      <c r="AA1050">
        <v>247</v>
      </c>
      <c r="AB1050" t="s">
        <v>285</v>
      </c>
      <c r="AC1050">
        <v>241</v>
      </c>
      <c r="AD1050" t="s">
        <v>285</v>
      </c>
      <c r="AE1050">
        <v>219</v>
      </c>
      <c r="AF1050" t="s">
        <v>285</v>
      </c>
      <c r="AG1050">
        <v>219</v>
      </c>
      <c r="AH1050" t="s">
        <v>286</v>
      </c>
      <c r="AI1050" t="s">
        <v>287</v>
      </c>
      <c r="AX1050">
        <v>263</v>
      </c>
      <c r="AY1050" t="s">
        <v>286</v>
      </c>
      <c r="AZ1050" t="s">
        <v>287</v>
      </c>
      <c r="BQ1050" t="s">
        <v>52</v>
      </c>
      <c r="BR1050">
        <v>3.7</v>
      </c>
      <c r="BS1050" t="s">
        <v>284</v>
      </c>
      <c r="BT1050">
        <v>3.4</v>
      </c>
      <c r="BU1050" t="s">
        <v>284</v>
      </c>
      <c r="BV1050">
        <v>2.11</v>
      </c>
      <c r="BW1050" t="s">
        <v>285</v>
      </c>
      <c r="BX1050">
        <v>2.74</v>
      </c>
      <c r="BY1050" t="s">
        <v>285</v>
      </c>
      <c r="BZ1050">
        <v>2.2999999999999998</v>
      </c>
      <c r="CA1050" t="s">
        <v>289</v>
      </c>
      <c r="CF1050">
        <v>2.81</v>
      </c>
      <c r="CG1050" t="s">
        <v>54</v>
      </c>
      <c r="CH1050" t="s">
        <v>52</v>
      </c>
    </row>
    <row r="1051" spans="1:86" x14ac:dyDescent="0.25">
      <c r="A1051" t="s">
        <v>47</v>
      </c>
      <c r="B1051">
        <v>8</v>
      </c>
      <c r="C1051" t="s">
        <v>186</v>
      </c>
      <c r="D1051">
        <v>91</v>
      </c>
      <c r="E1051" t="s">
        <v>49</v>
      </c>
      <c r="F1051">
        <v>27</v>
      </c>
      <c r="H1051" t="s">
        <v>50</v>
      </c>
      <c r="K1051" t="s">
        <v>52</v>
      </c>
      <c r="L1051">
        <v>1</v>
      </c>
      <c r="M1051" t="s">
        <v>53</v>
      </c>
      <c r="N1051">
        <v>27</v>
      </c>
      <c r="O1051">
        <v>1</v>
      </c>
      <c r="P1051" t="s">
        <v>52</v>
      </c>
      <c r="Q1051">
        <v>0</v>
      </c>
      <c r="R1051">
        <v>0.75</v>
      </c>
      <c r="S1051">
        <v>231</v>
      </c>
      <c r="T1051" t="s">
        <v>284</v>
      </c>
      <c r="U1051">
        <v>208</v>
      </c>
      <c r="V1051" t="s">
        <v>284</v>
      </c>
      <c r="W1051">
        <v>224</v>
      </c>
      <c r="X1051" t="s">
        <v>284</v>
      </c>
      <c r="Y1051">
        <v>225</v>
      </c>
      <c r="Z1051" t="s">
        <v>285</v>
      </c>
      <c r="AA1051">
        <v>247</v>
      </c>
      <c r="AB1051" t="s">
        <v>285</v>
      </c>
      <c r="AC1051">
        <v>241</v>
      </c>
      <c r="AD1051" t="s">
        <v>285</v>
      </c>
      <c r="AE1051">
        <v>219</v>
      </c>
      <c r="AF1051" t="s">
        <v>285</v>
      </c>
      <c r="AG1051">
        <v>219</v>
      </c>
      <c r="AH1051" t="s">
        <v>286</v>
      </c>
      <c r="AI1051" t="s">
        <v>287</v>
      </c>
      <c r="AX1051">
        <v>263</v>
      </c>
      <c r="AY1051" t="s">
        <v>286</v>
      </c>
      <c r="AZ1051" t="s">
        <v>287</v>
      </c>
      <c r="BQ1051" t="s">
        <v>52</v>
      </c>
      <c r="BR1051">
        <v>1.3</v>
      </c>
      <c r="BS1051" t="s">
        <v>284</v>
      </c>
      <c r="BT1051">
        <v>1.2</v>
      </c>
      <c r="BU1051" t="s">
        <v>284</v>
      </c>
      <c r="BV1051">
        <v>0.75</v>
      </c>
      <c r="BW1051" t="s">
        <v>285</v>
      </c>
      <c r="BX1051">
        <v>0.12</v>
      </c>
      <c r="BY1051" t="s">
        <v>289</v>
      </c>
      <c r="BZ1051">
        <v>0.14000000000000001</v>
      </c>
      <c r="CA1051" t="s">
        <v>289</v>
      </c>
      <c r="CF1051">
        <v>0.7</v>
      </c>
      <c r="CG1051" t="s">
        <v>54</v>
      </c>
      <c r="CH1051" t="s">
        <v>52</v>
      </c>
    </row>
    <row r="1052" spans="1:86" x14ac:dyDescent="0.25">
      <c r="A1052" t="s">
        <v>47</v>
      </c>
      <c r="B1052">
        <v>8</v>
      </c>
      <c r="C1052" t="s">
        <v>186</v>
      </c>
      <c r="D1052">
        <v>91</v>
      </c>
      <c r="E1052" t="s">
        <v>58</v>
      </c>
      <c r="F1052">
        <v>102</v>
      </c>
      <c r="G1052" t="s">
        <v>62</v>
      </c>
      <c r="H1052" t="s">
        <v>50</v>
      </c>
      <c r="K1052" t="s">
        <v>51</v>
      </c>
      <c r="L1052">
        <v>1</v>
      </c>
      <c r="M1052" t="s">
        <v>53</v>
      </c>
      <c r="N1052">
        <v>102</v>
      </c>
      <c r="O1052">
        <v>1</v>
      </c>
      <c r="P1052" t="s">
        <v>52</v>
      </c>
      <c r="Q1052">
        <v>0</v>
      </c>
      <c r="R1052">
        <v>0.92</v>
      </c>
      <c r="S1052">
        <v>131.69999999999999</v>
      </c>
      <c r="T1052" t="s">
        <v>284</v>
      </c>
      <c r="U1052">
        <v>170</v>
      </c>
      <c r="V1052" t="s">
        <v>284</v>
      </c>
      <c r="W1052">
        <v>191</v>
      </c>
      <c r="X1052" t="s">
        <v>284</v>
      </c>
      <c r="Y1052">
        <v>207</v>
      </c>
      <c r="Z1052" t="s">
        <v>284</v>
      </c>
      <c r="AA1052">
        <v>205</v>
      </c>
      <c r="AB1052" t="s">
        <v>285</v>
      </c>
      <c r="AG1052">
        <v>188.66669999999999</v>
      </c>
      <c r="AH1052" t="s">
        <v>54</v>
      </c>
      <c r="AI1052" t="s">
        <v>52</v>
      </c>
      <c r="AX1052">
        <v>271.60000000000002</v>
      </c>
      <c r="AY1052" t="s">
        <v>285</v>
      </c>
      <c r="AZ1052" t="s">
        <v>287</v>
      </c>
      <c r="BQ1052" t="s">
        <v>52</v>
      </c>
      <c r="BR1052">
        <v>1.85</v>
      </c>
      <c r="BS1052" t="s">
        <v>284</v>
      </c>
      <c r="BT1052">
        <v>1.35</v>
      </c>
      <c r="BU1052" t="s">
        <v>284</v>
      </c>
      <c r="BV1052">
        <v>0.53</v>
      </c>
      <c r="BW1052" t="s">
        <v>285</v>
      </c>
      <c r="BX1052">
        <v>0.37</v>
      </c>
      <c r="BY1052" t="s">
        <v>285</v>
      </c>
      <c r="BZ1052">
        <v>0.33</v>
      </c>
      <c r="CA1052" t="s">
        <v>288</v>
      </c>
      <c r="CF1052">
        <v>0.75</v>
      </c>
      <c r="CG1052" t="s">
        <v>54</v>
      </c>
      <c r="CH1052" t="s">
        <v>52</v>
      </c>
    </row>
    <row r="1053" spans="1:86" x14ac:dyDescent="0.25">
      <c r="A1053" t="s">
        <v>47</v>
      </c>
      <c r="B1053">
        <v>8</v>
      </c>
      <c r="C1053" t="s">
        <v>186</v>
      </c>
      <c r="D1053">
        <v>91</v>
      </c>
      <c r="E1053" t="s">
        <v>58</v>
      </c>
      <c r="F1053">
        <v>102</v>
      </c>
      <c r="G1053" t="s">
        <v>62</v>
      </c>
      <c r="H1053" t="s">
        <v>50</v>
      </c>
      <c r="K1053" t="s">
        <v>52</v>
      </c>
      <c r="L1053">
        <v>1</v>
      </c>
      <c r="M1053" t="s">
        <v>53</v>
      </c>
      <c r="N1053">
        <v>102</v>
      </c>
      <c r="O1053">
        <v>1</v>
      </c>
      <c r="P1053" t="s">
        <v>52</v>
      </c>
      <c r="Q1053">
        <v>0</v>
      </c>
      <c r="R1053">
        <v>0.92</v>
      </c>
      <c r="S1053">
        <v>131.69999999999999</v>
      </c>
      <c r="T1053" t="s">
        <v>284</v>
      </c>
      <c r="U1053">
        <v>170</v>
      </c>
      <c r="V1053" t="s">
        <v>284</v>
      </c>
      <c r="W1053">
        <v>191</v>
      </c>
      <c r="X1053" t="s">
        <v>284</v>
      </c>
      <c r="Y1053">
        <v>207</v>
      </c>
      <c r="Z1053" t="s">
        <v>284</v>
      </c>
      <c r="AA1053">
        <v>205</v>
      </c>
      <c r="AB1053" t="s">
        <v>285</v>
      </c>
      <c r="AG1053">
        <v>188.66669999999999</v>
      </c>
      <c r="AH1053" t="s">
        <v>54</v>
      </c>
      <c r="AI1053" t="s">
        <v>52</v>
      </c>
      <c r="AX1053">
        <v>271.60000000000002</v>
      </c>
      <c r="AY1053" t="s">
        <v>285</v>
      </c>
      <c r="AZ1053" t="s">
        <v>287</v>
      </c>
      <c r="BQ1053" t="s">
        <v>52</v>
      </c>
      <c r="BR1053">
        <v>0.83</v>
      </c>
      <c r="BS1053" t="s">
        <v>285</v>
      </c>
      <c r="BT1053">
        <v>0.84</v>
      </c>
      <c r="BU1053" t="s">
        <v>284</v>
      </c>
      <c r="BV1053">
        <v>0.25</v>
      </c>
      <c r="BW1053" t="s">
        <v>285</v>
      </c>
      <c r="BX1053">
        <v>0.45</v>
      </c>
      <c r="BY1053" t="s">
        <v>285</v>
      </c>
      <c r="BZ1053">
        <v>0.39</v>
      </c>
      <c r="CA1053" t="s">
        <v>284</v>
      </c>
      <c r="CF1053">
        <v>0.56000000000000005</v>
      </c>
      <c r="CG1053" t="s">
        <v>54</v>
      </c>
      <c r="CH1053" t="s">
        <v>52</v>
      </c>
    </row>
    <row r="1054" spans="1:86" x14ac:dyDescent="0.25">
      <c r="A1054" t="s">
        <v>47</v>
      </c>
      <c r="B1054">
        <v>8</v>
      </c>
      <c r="C1054" t="s">
        <v>187</v>
      </c>
      <c r="D1054">
        <v>93</v>
      </c>
      <c r="E1054" t="s">
        <v>58</v>
      </c>
      <c r="F1054">
        <v>102</v>
      </c>
      <c r="G1054" t="s">
        <v>62</v>
      </c>
      <c r="H1054" t="s">
        <v>50</v>
      </c>
      <c r="K1054" t="s">
        <v>51</v>
      </c>
      <c r="L1054">
        <v>1</v>
      </c>
      <c r="M1054" t="s">
        <v>53</v>
      </c>
      <c r="N1054">
        <v>102</v>
      </c>
      <c r="O1054">
        <v>1</v>
      </c>
      <c r="P1054" t="s">
        <v>52</v>
      </c>
      <c r="Q1054">
        <v>0</v>
      </c>
      <c r="R1054">
        <v>0.92</v>
      </c>
      <c r="S1054">
        <v>131.69999999999999</v>
      </c>
      <c r="T1054" t="s">
        <v>284</v>
      </c>
      <c r="U1054">
        <v>170</v>
      </c>
      <c r="V1054" t="s">
        <v>284</v>
      </c>
      <c r="W1054">
        <v>191</v>
      </c>
      <c r="X1054" t="s">
        <v>284</v>
      </c>
      <c r="Y1054">
        <v>207</v>
      </c>
      <c r="Z1054" t="s">
        <v>284</v>
      </c>
      <c r="AA1054">
        <v>205</v>
      </c>
      <c r="AB1054" t="s">
        <v>285</v>
      </c>
      <c r="AG1054">
        <v>188.66669999999999</v>
      </c>
      <c r="AH1054" t="s">
        <v>54</v>
      </c>
      <c r="AI1054" t="s">
        <v>52</v>
      </c>
      <c r="AX1054">
        <v>271.60000000000002</v>
      </c>
      <c r="AY1054" t="s">
        <v>285</v>
      </c>
      <c r="AZ1054" t="s">
        <v>287</v>
      </c>
      <c r="BQ1054" t="s">
        <v>52</v>
      </c>
      <c r="BR1054">
        <v>1.85</v>
      </c>
      <c r="BS1054" t="s">
        <v>284</v>
      </c>
      <c r="BT1054">
        <v>0.88</v>
      </c>
      <c r="BU1054" t="s">
        <v>284</v>
      </c>
      <c r="BV1054">
        <v>0.53</v>
      </c>
      <c r="BW1054" t="s">
        <v>285</v>
      </c>
      <c r="BX1054">
        <v>0.41</v>
      </c>
      <c r="BY1054" t="s">
        <v>285</v>
      </c>
      <c r="BZ1054">
        <v>0.35</v>
      </c>
      <c r="CA1054" t="s">
        <v>284</v>
      </c>
      <c r="CF1054">
        <v>0.61</v>
      </c>
      <c r="CG1054" t="s">
        <v>54</v>
      </c>
      <c r="CH1054" t="s">
        <v>52</v>
      </c>
    </row>
    <row r="1055" spans="1:86" x14ac:dyDescent="0.25">
      <c r="A1055" t="s">
        <v>47</v>
      </c>
      <c r="B1055">
        <v>8</v>
      </c>
      <c r="C1055" t="s">
        <v>187</v>
      </c>
      <c r="D1055">
        <v>93</v>
      </c>
      <c r="E1055" t="s">
        <v>58</v>
      </c>
      <c r="F1055">
        <v>102</v>
      </c>
      <c r="G1055" t="s">
        <v>62</v>
      </c>
      <c r="H1055" t="s">
        <v>50</v>
      </c>
      <c r="K1055" t="s">
        <v>52</v>
      </c>
      <c r="L1055">
        <v>1</v>
      </c>
      <c r="M1055" t="s">
        <v>53</v>
      </c>
      <c r="N1055">
        <v>102</v>
      </c>
      <c r="O1055">
        <v>1</v>
      </c>
      <c r="P1055" t="s">
        <v>52</v>
      </c>
      <c r="Q1055">
        <v>0</v>
      </c>
      <c r="R1055">
        <v>0.92</v>
      </c>
      <c r="S1055">
        <v>131.69999999999999</v>
      </c>
      <c r="T1055" t="s">
        <v>284</v>
      </c>
      <c r="U1055">
        <v>170</v>
      </c>
      <c r="V1055" t="s">
        <v>284</v>
      </c>
      <c r="W1055">
        <v>191</v>
      </c>
      <c r="X1055" t="s">
        <v>284</v>
      </c>
      <c r="Y1055">
        <v>207</v>
      </c>
      <c r="Z1055" t="s">
        <v>284</v>
      </c>
      <c r="AA1055">
        <v>205</v>
      </c>
      <c r="AB1055" t="s">
        <v>285</v>
      </c>
      <c r="AG1055">
        <v>188.66669999999999</v>
      </c>
      <c r="AH1055" t="s">
        <v>54</v>
      </c>
      <c r="AI1055" t="s">
        <v>52</v>
      </c>
      <c r="AX1055">
        <v>271.60000000000002</v>
      </c>
      <c r="AY1055" t="s">
        <v>285</v>
      </c>
      <c r="AZ1055" t="s">
        <v>287</v>
      </c>
      <c r="BQ1055" t="s">
        <v>52</v>
      </c>
      <c r="BR1055">
        <v>0.83</v>
      </c>
      <c r="BS1055" t="s">
        <v>285</v>
      </c>
      <c r="BT1055">
        <v>0.62</v>
      </c>
      <c r="BU1055" t="s">
        <v>284</v>
      </c>
      <c r="BV1055">
        <v>0.18</v>
      </c>
      <c r="BW1055" t="s">
        <v>285</v>
      </c>
      <c r="BX1055">
        <v>0.33</v>
      </c>
      <c r="BY1055" t="s">
        <v>285</v>
      </c>
      <c r="BZ1055">
        <v>0.28000000000000003</v>
      </c>
      <c r="CA1055" t="s">
        <v>284</v>
      </c>
      <c r="CF1055">
        <v>0.41</v>
      </c>
      <c r="CG1055" t="s">
        <v>54</v>
      </c>
      <c r="CH1055" t="s">
        <v>52</v>
      </c>
    </row>
    <row r="1056" spans="1:86" x14ac:dyDescent="0.25">
      <c r="A1056" t="s">
        <v>47</v>
      </c>
      <c r="B1056">
        <v>8</v>
      </c>
      <c r="C1056" t="s">
        <v>188</v>
      </c>
      <c r="D1056">
        <v>95</v>
      </c>
      <c r="E1056" t="s">
        <v>49</v>
      </c>
      <c r="F1056">
        <v>27</v>
      </c>
      <c r="H1056" t="s">
        <v>50</v>
      </c>
      <c r="K1056" t="s">
        <v>51</v>
      </c>
      <c r="L1056">
        <v>1</v>
      </c>
      <c r="M1056" t="s">
        <v>53</v>
      </c>
      <c r="N1056">
        <v>27</v>
      </c>
      <c r="O1056">
        <v>1</v>
      </c>
      <c r="P1056" t="s">
        <v>52</v>
      </c>
      <c r="Q1056">
        <v>0</v>
      </c>
      <c r="R1056">
        <v>0.75</v>
      </c>
      <c r="S1056">
        <v>231</v>
      </c>
      <c r="T1056" t="s">
        <v>284</v>
      </c>
      <c r="U1056">
        <v>208</v>
      </c>
      <c r="V1056" t="s">
        <v>284</v>
      </c>
      <c r="W1056">
        <v>224</v>
      </c>
      <c r="X1056" t="s">
        <v>284</v>
      </c>
      <c r="Y1056">
        <v>225</v>
      </c>
      <c r="Z1056" t="s">
        <v>285</v>
      </c>
      <c r="AA1056">
        <v>247</v>
      </c>
      <c r="AB1056" t="s">
        <v>285</v>
      </c>
      <c r="AC1056">
        <v>241</v>
      </c>
      <c r="AD1056" t="s">
        <v>285</v>
      </c>
      <c r="AE1056">
        <v>219</v>
      </c>
      <c r="AF1056" t="s">
        <v>285</v>
      </c>
      <c r="AG1056">
        <v>219</v>
      </c>
      <c r="AH1056" t="s">
        <v>286</v>
      </c>
      <c r="AI1056" t="s">
        <v>287</v>
      </c>
      <c r="AX1056">
        <v>263</v>
      </c>
      <c r="AY1056" t="s">
        <v>286</v>
      </c>
      <c r="AZ1056" t="s">
        <v>287</v>
      </c>
      <c r="BQ1056" t="s">
        <v>52</v>
      </c>
      <c r="BR1056">
        <v>3.7</v>
      </c>
      <c r="BS1056" t="s">
        <v>284</v>
      </c>
      <c r="BT1056">
        <v>3.4</v>
      </c>
      <c r="BU1056" t="s">
        <v>284</v>
      </c>
      <c r="CH1056" t="s">
        <v>52</v>
      </c>
    </row>
    <row r="1057" spans="1:86" x14ac:dyDescent="0.25">
      <c r="A1057" t="s">
        <v>47</v>
      </c>
      <c r="B1057">
        <v>8</v>
      </c>
      <c r="C1057" t="s">
        <v>188</v>
      </c>
      <c r="D1057">
        <v>95</v>
      </c>
      <c r="E1057" t="s">
        <v>49</v>
      </c>
      <c r="F1057">
        <v>27</v>
      </c>
      <c r="H1057" t="s">
        <v>50</v>
      </c>
      <c r="K1057" t="s">
        <v>52</v>
      </c>
      <c r="L1057">
        <v>1</v>
      </c>
      <c r="M1057" t="s">
        <v>53</v>
      </c>
      <c r="N1057">
        <v>27</v>
      </c>
      <c r="O1057">
        <v>1</v>
      </c>
      <c r="P1057" t="s">
        <v>52</v>
      </c>
      <c r="Q1057">
        <v>0</v>
      </c>
      <c r="R1057">
        <v>0.75</v>
      </c>
      <c r="S1057">
        <v>231</v>
      </c>
      <c r="T1057" t="s">
        <v>284</v>
      </c>
      <c r="U1057">
        <v>208</v>
      </c>
      <c r="V1057" t="s">
        <v>284</v>
      </c>
      <c r="W1057">
        <v>224</v>
      </c>
      <c r="X1057" t="s">
        <v>284</v>
      </c>
      <c r="Y1057">
        <v>225</v>
      </c>
      <c r="Z1057" t="s">
        <v>285</v>
      </c>
      <c r="AA1057">
        <v>247</v>
      </c>
      <c r="AB1057" t="s">
        <v>285</v>
      </c>
      <c r="AC1057">
        <v>241</v>
      </c>
      <c r="AD1057" t="s">
        <v>285</v>
      </c>
      <c r="AE1057">
        <v>219</v>
      </c>
      <c r="AF1057" t="s">
        <v>285</v>
      </c>
      <c r="AG1057">
        <v>219</v>
      </c>
      <c r="AH1057" t="s">
        <v>286</v>
      </c>
      <c r="AI1057" t="s">
        <v>287</v>
      </c>
      <c r="AX1057">
        <v>263</v>
      </c>
      <c r="AY1057" t="s">
        <v>286</v>
      </c>
      <c r="AZ1057" t="s">
        <v>287</v>
      </c>
      <c r="BQ1057" t="s">
        <v>52</v>
      </c>
      <c r="BR1057">
        <v>1.3</v>
      </c>
      <c r="BS1057" t="s">
        <v>284</v>
      </c>
      <c r="BT1057">
        <v>1.2</v>
      </c>
      <c r="BU1057" t="s">
        <v>284</v>
      </c>
      <c r="CH1057" t="s">
        <v>52</v>
      </c>
    </row>
    <row r="1058" spans="1:86" x14ac:dyDescent="0.25">
      <c r="A1058" t="s">
        <v>47</v>
      </c>
      <c r="B1058">
        <v>8</v>
      </c>
      <c r="C1058" t="s">
        <v>188</v>
      </c>
      <c r="D1058">
        <v>95</v>
      </c>
      <c r="E1058" t="s">
        <v>87</v>
      </c>
      <c r="F1058">
        <v>91</v>
      </c>
      <c r="G1058" t="s">
        <v>76</v>
      </c>
      <c r="H1058" t="s">
        <v>50</v>
      </c>
      <c r="K1058" t="s">
        <v>51</v>
      </c>
      <c r="L1058">
        <v>1</v>
      </c>
      <c r="M1058" t="s">
        <v>53</v>
      </c>
      <c r="N1058">
        <v>91</v>
      </c>
      <c r="O1058">
        <v>2</v>
      </c>
      <c r="P1058" t="s">
        <v>52</v>
      </c>
      <c r="Q1058">
        <v>0.77</v>
      </c>
      <c r="R1058">
        <v>0.93</v>
      </c>
      <c r="S1058">
        <v>135</v>
      </c>
      <c r="T1058" t="s">
        <v>284</v>
      </c>
      <c r="U1058">
        <v>133</v>
      </c>
      <c r="V1058" t="s">
        <v>284</v>
      </c>
      <c r="W1058">
        <v>147</v>
      </c>
      <c r="X1058" t="s">
        <v>284</v>
      </c>
      <c r="Y1058">
        <v>170</v>
      </c>
      <c r="Z1058" t="s">
        <v>284</v>
      </c>
      <c r="AA1058">
        <v>167</v>
      </c>
      <c r="AB1058" t="s">
        <v>284</v>
      </c>
      <c r="AG1058">
        <v>149.66669999999999</v>
      </c>
      <c r="AH1058" t="s">
        <v>54</v>
      </c>
      <c r="AI1058" t="s">
        <v>52</v>
      </c>
      <c r="AZ1058" t="s">
        <v>52</v>
      </c>
      <c r="BQ1058" t="s">
        <v>52</v>
      </c>
      <c r="CH1058" t="s">
        <v>52</v>
      </c>
    </row>
    <row r="1059" spans="1:86" x14ac:dyDescent="0.25">
      <c r="A1059" t="s">
        <v>47</v>
      </c>
      <c r="B1059">
        <v>8</v>
      </c>
      <c r="C1059" t="s">
        <v>188</v>
      </c>
      <c r="D1059">
        <v>95</v>
      </c>
      <c r="E1059" t="s">
        <v>87</v>
      </c>
      <c r="F1059">
        <v>91</v>
      </c>
      <c r="G1059" t="s">
        <v>76</v>
      </c>
      <c r="H1059" t="s">
        <v>50</v>
      </c>
      <c r="K1059" t="s">
        <v>52</v>
      </c>
      <c r="L1059">
        <v>1</v>
      </c>
      <c r="M1059" t="s">
        <v>53</v>
      </c>
      <c r="N1059">
        <v>91</v>
      </c>
      <c r="O1059">
        <v>2</v>
      </c>
      <c r="P1059" t="s">
        <v>52</v>
      </c>
      <c r="Q1059">
        <v>0.77</v>
      </c>
      <c r="R1059">
        <v>0.93</v>
      </c>
      <c r="S1059">
        <v>135</v>
      </c>
      <c r="T1059" t="s">
        <v>284</v>
      </c>
      <c r="U1059">
        <v>133</v>
      </c>
      <c r="V1059" t="s">
        <v>284</v>
      </c>
      <c r="W1059">
        <v>147</v>
      </c>
      <c r="X1059" t="s">
        <v>284</v>
      </c>
      <c r="Y1059">
        <v>170</v>
      </c>
      <c r="Z1059" t="s">
        <v>284</v>
      </c>
      <c r="AA1059">
        <v>167</v>
      </c>
      <c r="AB1059" t="s">
        <v>284</v>
      </c>
      <c r="AG1059">
        <v>149.66669999999999</v>
      </c>
      <c r="AH1059" t="s">
        <v>54</v>
      </c>
      <c r="AI1059" t="s">
        <v>52</v>
      </c>
      <c r="AZ1059" t="s">
        <v>52</v>
      </c>
      <c r="BQ1059" t="s">
        <v>52</v>
      </c>
      <c r="CH1059" t="s">
        <v>52</v>
      </c>
    </row>
    <row r="1060" spans="1:86" x14ac:dyDescent="0.25">
      <c r="A1060" t="s">
        <v>47</v>
      </c>
      <c r="B1060">
        <v>8</v>
      </c>
      <c r="C1060" t="s">
        <v>188</v>
      </c>
      <c r="D1060">
        <v>95</v>
      </c>
      <c r="E1060" t="s">
        <v>58</v>
      </c>
      <c r="F1060">
        <v>102</v>
      </c>
      <c r="G1060" t="s">
        <v>61</v>
      </c>
      <c r="H1060" t="s">
        <v>50</v>
      </c>
      <c r="K1060" t="s">
        <v>51</v>
      </c>
      <c r="L1060">
        <v>1</v>
      </c>
      <c r="M1060" t="s">
        <v>53</v>
      </c>
      <c r="N1060">
        <v>102</v>
      </c>
      <c r="O1060">
        <v>1</v>
      </c>
      <c r="P1060" t="s">
        <v>52</v>
      </c>
      <c r="Q1060">
        <v>0</v>
      </c>
      <c r="R1060">
        <v>0.92</v>
      </c>
      <c r="S1060">
        <v>131.69999999999999</v>
      </c>
      <c r="T1060" t="s">
        <v>284</v>
      </c>
      <c r="U1060">
        <v>170</v>
      </c>
      <c r="V1060" t="s">
        <v>284</v>
      </c>
      <c r="W1060">
        <v>191</v>
      </c>
      <c r="X1060" t="s">
        <v>284</v>
      </c>
      <c r="Y1060">
        <v>207</v>
      </c>
      <c r="Z1060" t="s">
        <v>284</v>
      </c>
      <c r="AA1060">
        <v>315</v>
      </c>
      <c r="AB1060" t="s">
        <v>285</v>
      </c>
      <c r="AG1060">
        <v>189.33330000000001</v>
      </c>
      <c r="AH1060" t="s">
        <v>54</v>
      </c>
      <c r="AI1060" t="s">
        <v>52</v>
      </c>
      <c r="AZ1060" t="s">
        <v>52</v>
      </c>
      <c r="BQ1060" t="s">
        <v>52</v>
      </c>
      <c r="BR1060">
        <v>1.85</v>
      </c>
      <c r="BS1060" t="s">
        <v>284</v>
      </c>
      <c r="CH1060" t="s">
        <v>52</v>
      </c>
    </row>
    <row r="1061" spans="1:86" x14ac:dyDescent="0.25">
      <c r="A1061" t="s">
        <v>47</v>
      </c>
      <c r="B1061">
        <v>8</v>
      </c>
      <c r="C1061" t="s">
        <v>188</v>
      </c>
      <c r="D1061">
        <v>95</v>
      </c>
      <c r="E1061" t="s">
        <v>58</v>
      </c>
      <c r="F1061">
        <v>102</v>
      </c>
      <c r="G1061" t="s">
        <v>61</v>
      </c>
      <c r="H1061" t="s">
        <v>50</v>
      </c>
      <c r="K1061" t="s">
        <v>52</v>
      </c>
      <c r="L1061">
        <v>1</v>
      </c>
      <c r="M1061" t="s">
        <v>53</v>
      </c>
      <c r="N1061">
        <v>102</v>
      </c>
      <c r="O1061">
        <v>1</v>
      </c>
      <c r="P1061" t="s">
        <v>52</v>
      </c>
      <c r="Q1061">
        <v>0</v>
      </c>
      <c r="R1061">
        <v>0.92</v>
      </c>
      <c r="S1061">
        <v>131.69999999999999</v>
      </c>
      <c r="T1061" t="s">
        <v>284</v>
      </c>
      <c r="U1061">
        <v>170</v>
      </c>
      <c r="V1061" t="s">
        <v>284</v>
      </c>
      <c r="W1061">
        <v>191</v>
      </c>
      <c r="X1061" t="s">
        <v>284</v>
      </c>
      <c r="Y1061">
        <v>207</v>
      </c>
      <c r="Z1061" t="s">
        <v>284</v>
      </c>
      <c r="AA1061">
        <v>315</v>
      </c>
      <c r="AB1061" t="s">
        <v>285</v>
      </c>
      <c r="AG1061">
        <v>189.33330000000001</v>
      </c>
      <c r="AH1061" t="s">
        <v>54</v>
      </c>
      <c r="AI1061" t="s">
        <v>52</v>
      </c>
      <c r="AZ1061" t="s">
        <v>52</v>
      </c>
      <c r="BQ1061" t="s">
        <v>52</v>
      </c>
      <c r="BR1061">
        <v>0.93</v>
      </c>
      <c r="BS1061" t="s">
        <v>285</v>
      </c>
      <c r="CH1061" t="s">
        <v>52</v>
      </c>
    </row>
    <row r="1062" spans="1:86" x14ac:dyDescent="0.25">
      <c r="A1062" t="s">
        <v>47</v>
      </c>
      <c r="B1062">
        <v>8</v>
      </c>
      <c r="C1062" t="s">
        <v>188</v>
      </c>
      <c r="D1062">
        <v>95</v>
      </c>
      <c r="E1062" t="s">
        <v>58</v>
      </c>
      <c r="F1062">
        <v>102</v>
      </c>
      <c r="G1062" t="s">
        <v>62</v>
      </c>
      <c r="H1062" t="s">
        <v>50</v>
      </c>
      <c r="K1062" t="s">
        <v>52</v>
      </c>
      <c r="L1062">
        <v>1</v>
      </c>
      <c r="M1062" t="s">
        <v>53</v>
      </c>
      <c r="N1062">
        <v>102</v>
      </c>
      <c r="O1062">
        <v>1</v>
      </c>
      <c r="P1062" t="s">
        <v>52</v>
      </c>
      <c r="Q1062">
        <v>0</v>
      </c>
      <c r="R1062">
        <v>0.92</v>
      </c>
      <c r="S1062">
        <v>131.69999999999999</v>
      </c>
      <c r="T1062" t="s">
        <v>284</v>
      </c>
      <c r="U1062">
        <v>170</v>
      </c>
      <c r="V1062" t="s">
        <v>284</v>
      </c>
      <c r="W1062">
        <v>191</v>
      </c>
      <c r="X1062" t="s">
        <v>284</v>
      </c>
      <c r="Y1062">
        <v>207</v>
      </c>
      <c r="Z1062" t="s">
        <v>284</v>
      </c>
      <c r="AA1062">
        <v>205</v>
      </c>
      <c r="AB1062" t="s">
        <v>285</v>
      </c>
      <c r="AG1062">
        <v>188.66669999999999</v>
      </c>
      <c r="AH1062" t="s">
        <v>54</v>
      </c>
      <c r="AI1062" t="s">
        <v>52</v>
      </c>
      <c r="AX1062">
        <v>271.60000000000002</v>
      </c>
      <c r="AY1062" t="s">
        <v>285</v>
      </c>
      <c r="AZ1062" t="s">
        <v>287</v>
      </c>
      <c r="BQ1062" t="s">
        <v>52</v>
      </c>
      <c r="BR1062">
        <v>0.83</v>
      </c>
      <c r="BS1062" t="s">
        <v>285</v>
      </c>
      <c r="BT1062">
        <v>0.94</v>
      </c>
      <c r="BU1062" t="s">
        <v>284</v>
      </c>
      <c r="BV1062">
        <v>0.28000000000000003</v>
      </c>
      <c r="BW1062" t="s">
        <v>285</v>
      </c>
      <c r="BX1062">
        <v>0.5</v>
      </c>
      <c r="BY1062" t="s">
        <v>285</v>
      </c>
      <c r="BZ1062">
        <v>0.43</v>
      </c>
      <c r="CA1062" t="s">
        <v>284</v>
      </c>
      <c r="CF1062">
        <v>0.59</v>
      </c>
      <c r="CG1062" t="s">
        <v>54</v>
      </c>
      <c r="CH1062" t="s">
        <v>52</v>
      </c>
    </row>
    <row r="1063" spans="1:86" x14ac:dyDescent="0.25">
      <c r="A1063" t="s">
        <v>47</v>
      </c>
      <c r="B1063">
        <v>8</v>
      </c>
      <c r="C1063" t="s">
        <v>188</v>
      </c>
      <c r="D1063">
        <v>95</v>
      </c>
      <c r="E1063" t="s">
        <v>58</v>
      </c>
      <c r="F1063">
        <v>102</v>
      </c>
      <c r="G1063" t="s">
        <v>127</v>
      </c>
      <c r="H1063" t="s">
        <v>50</v>
      </c>
      <c r="K1063" t="s">
        <v>51</v>
      </c>
      <c r="L1063">
        <v>1</v>
      </c>
      <c r="M1063" t="s">
        <v>53</v>
      </c>
      <c r="N1063">
        <v>102</v>
      </c>
      <c r="O1063">
        <v>1</v>
      </c>
      <c r="P1063" t="s">
        <v>52</v>
      </c>
      <c r="Q1063">
        <v>0</v>
      </c>
      <c r="R1063">
        <v>0.92</v>
      </c>
      <c r="S1063">
        <v>131.69999999999999</v>
      </c>
      <c r="T1063" t="s">
        <v>284</v>
      </c>
      <c r="U1063">
        <v>170</v>
      </c>
      <c r="V1063" t="s">
        <v>284</v>
      </c>
      <c r="W1063">
        <v>191</v>
      </c>
      <c r="X1063" t="s">
        <v>284</v>
      </c>
      <c r="Y1063">
        <v>207</v>
      </c>
      <c r="Z1063" t="s">
        <v>284</v>
      </c>
      <c r="AA1063">
        <v>205</v>
      </c>
      <c r="AB1063" t="s">
        <v>285</v>
      </c>
      <c r="AG1063">
        <v>188.66669999999999</v>
      </c>
      <c r="AH1063" t="s">
        <v>54</v>
      </c>
      <c r="AI1063" t="s">
        <v>52</v>
      </c>
      <c r="AZ1063" t="s">
        <v>52</v>
      </c>
      <c r="BQ1063" t="s">
        <v>52</v>
      </c>
      <c r="BR1063">
        <v>1.85</v>
      </c>
      <c r="BS1063" t="s">
        <v>284</v>
      </c>
      <c r="CH1063" t="s">
        <v>52</v>
      </c>
    </row>
    <row r="1064" spans="1:86" x14ac:dyDescent="0.25">
      <c r="A1064" t="s">
        <v>47</v>
      </c>
      <c r="B1064">
        <v>8</v>
      </c>
      <c r="C1064" t="s">
        <v>188</v>
      </c>
      <c r="D1064">
        <v>95</v>
      </c>
      <c r="E1064" t="s">
        <v>58</v>
      </c>
      <c r="F1064">
        <v>102</v>
      </c>
      <c r="G1064" t="s">
        <v>128</v>
      </c>
      <c r="H1064" t="s">
        <v>50</v>
      </c>
      <c r="K1064" t="s">
        <v>51</v>
      </c>
      <c r="L1064">
        <v>1</v>
      </c>
      <c r="M1064" t="s">
        <v>53</v>
      </c>
      <c r="N1064">
        <v>102</v>
      </c>
      <c r="O1064">
        <v>1</v>
      </c>
      <c r="P1064" t="s">
        <v>52</v>
      </c>
      <c r="Q1064">
        <v>0</v>
      </c>
      <c r="R1064">
        <v>0.92</v>
      </c>
      <c r="S1064">
        <v>131.69999999999999</v>
      </c>
      <c r="T1064" t="s">
        <v>284</v>
      </c>
      <c r="U1064">
        <v>170</v>
      </c>
      <c r="V1064" t="s">
        <v>284</v>
      </c>
      <c r="W1064">
        <v>191</v>
      </c>
      <c r="X1064" t="s">
        <v>284</v>
      </c>
      <c r="Y1064">
        <v>207</v>
      </c>
      <c r="Z1064" t="s">
        <v>284</v>
      </c>
      <c r="AA1064">
        <v>315</v>
      </c>
      <c r="AB1064" t="s">
        <v>285</v>
      </c>
      <c r="AG1064">
        <v>189.33330000000001</v>
      </c>
      <c r="AH1064" t="s">
        <v>54</v>
      </c>
      <c r="AI1064" t="s">
        <v>52</v>
      </c>
      <c r="AZ1064" t="s">
        <v>52</v>
      </c>
      <c r="BQ1064" t="s">
        <v>52</v>
      </c>
      <c r="BR1064">
        <v>1.3</v>
      </c>
      <c r="BS1064" t="s">
        <v>285</v>
      </c>
      <c r="BT1064">
        <v>1.67</v>
      </c>
      <c r="BU1064" t="s">
        <v>284</v>
      </c>
      <c r="BV1064">
        <v>1.3</v>
      </c>
      <c r="BW1064" t="s">
        <v>285</v>
      </c>
      <c r="CH1064" t="s">
        <v>52</v>
      </c>
    </row>
    <row r="1065" spans="1:86" x14ac:dyDescent="0.25">
      <c r="A1065" t="s">
        <v>47</v>
      </c>
      <c r="B1065">
        <v>8</v>
      </c>
      <c r="C1065" t="s">
        <v>188</v>
      </c>
      <c r="D1065">
        <v>95</v>
      </c>
      <c r="E1065" t="s">
        <v>58</v>
      </c>
      <c r="F1065">
        <v>102</v>
      </c>
      <c r="G1065" t="s">
        <v>128</v>
      </c>
      <c r="H1065" t="s">
        <v>50</v>
      </c>
      <c r="K1065" t="s">
        <v>52</v>
      </c>
      <c r="L1065">
        <v>1</v>
      </c>
      <c r="M1065" t="s">
        <v>53</v>
      </c>
      <c r="N1065">
        <v>102</v>
      </c>
      <c r="O1065">
        <v>1</v>
      </c>
      <c r="P1065" t="s">
        <v>52</v>
      </c>
      <c r="Q1065">
        <v>0</v>
      </c>
      <c r="R1065">
        <v>0.92</v>
      </c>
      <c r="S1065">
        <v>131.69999999999999</v>
      </c>
      <c r="T1065" t="s">
        <v>284</v>
      </c>
      <c r="U1065">
        <v>170</v>
      </c>
      <c r="V1065" t="s">
        <v>284</v>
      </c>
      <c r="W1065">
        <v>191</v>
      </c>
      <c r="X1065" t="s">
        <v>284</v>
      </c>
      <c r="Y1065">
        <v>207</v>
      </c>
      <c r="Z1065" t="s">
        <v>284</v>
      </c>
      <c r="AA1065">
        <v>315</v>
      </c>
      <c r="AB1065" t="s">
        <v>285</v>
      </c>
      <c r="AG1065">
        <v>189.33330000000001</v>
      </c>
      <c r="AH1065" t="s">
        <v>54</v>
      </c>
      <c r="AI1065" t="s">
        <v>52</v>
      </c>
      <c r="AZ1065" t="s">
        <v>52</v>
      </c>
      <c r="BQ1065" t="s">
        <v>52</v>
      </c>
      <c r="CH1065" t="s">
        <v>52</v>
      </c>
    </row>
    <row r="1066" spans="1:86" x14ac:dyDescent="0.25">
      <c r="A1066" t="s">
        <v>47</v>
      </c>
      <c r="B1066">
        <v>8</v>
      </c>
      <c r="C1066" t="s">
        <v>188</v>
      </c>
      <c r="D1066">
        <v>95</v>
      </c>
      <c r="E1066" t="s">
        <v>58</v>
      </c>
      <c r="F1066">
        <v>102</v>
      </c>
      <c r="G1066" t="s">
        <v>65</v>
      </c>
      <c r="H1066" t="s">
        <v>50</v>
      </c>
      <c r="K1066" t="s">
        <v>51</v>
      </c>
      <c r="L1066">
        <v>1</v>
      </c>
      <c r="M1066" t="s">
        <v>53</v>
      </c>
      <c r="N1066">
        <v>102</v>
      </c>
      <c r="O1066">
        <v>1</v>
      </c>
      <c r="P1066" t="s">
        <v>52</v>
      </c>
      <c r="Q1066">
        <v>0</v>
      </c>
      <c r="R1066">
        <v>0.92</v>
      </c>
      <c r="S1066">
        <v>131.69999999999999</v>
      </c>
      <c r="T1066" t="s">
        <v>284</v>
      </c>
      <c r="U1066">
        <v>170</v>
      </c>
      <c r="V1066" t="s">
        <v>284</v>
      </c>
      <c r="W1066">
        <v>191</v>
      </c>
      <c r="X1066" t="s">
        <v>284</v>
      </c>
      <c r="Y1066">
        <v>207</v>
      </c>
      <c r="Z1066" t="s">
        <v>284</v>
      </c>
      <c r="AA1066">
        <v>155</v>
      </c>
      <c r="AB1066" t="s">
        <v>285</v>
      </c>
      <c r="AG1066">
        <v>172</v>
      </c>
      <c r="AH1066" t="s">
        <v>54</v>
      </c>
      <c r="AI1066" t="s">
        <v>52</v>
      </c>
      <c r="AZ1066" t="s">
        <v>52</v>
      </c>
      <c r="BQ1066" t="s">
        <v>52</v>
      </c>
      <c r="BR1066">
        <v>1.85</v>
      </c>
      <c r="BS1066" t="s">
        <v>284</v>
      </c>
      <c r="CH1066" t="s">
        <v>52</v>
      </c>
    </row>
    <row r="1067" spans="1:86" x14ac:dyDescent="0.25">
      <c r="A1067" t="s">
        <v>47</v>
      </c>
      <c r="B1067">
        <v>8</v>
      </c>
      <c r="C1067" t="s">
        <v>188</v>
      </c>
      <c r="D1067">
        <v>95</v>
      </c>
      <c r="E1067" t="s">
        <v>58</v>
      </c>
      <c r="F1067">
        <v>102</v>
      </c>
      <c r="G1067" t="s">
        <v>65</v>
      </c>
      <c r="H1067" t="s">
        <v>50</v>
      </c>
      <c r="K1067" t="s">
        <v>52</v>
      </c>
      <c r="L1067">
        <v>1</v>
      </c>
      <c r="M1067" t="s">
        <v>53</v>
      </c>
      <c r="N1067">
        <v>102</v>
      </c>
      <c r="O1067">
        <v>1</v>
      </c>
      <c r="P1067" t="s">
        <v>52</v>
      </c>
      <c r="Q1067">
        <v>0</v>
      </c>
      <c r="R1067">
        <v>0.92</v>
      </c>
      <c r="S1067">
        <v>131.69999999999999</v>
      </c>
      <c r="T1067" t="s">
        <v>284</v>
      </c>
      <c r="U1067">
        <v>170</v>
      </c>
      <c r="V1067" t="s">
        <v>284</v>
      </c>
      <c r="W1067">
        <v>191</v>
      </c>
      <c r="X1067" t="s">
        <v>284</v>
      </c>
      <c r="Y1067">
        <v>207</v>
      </c>
      <c r="Z1067" t="s">
        <v>284</v>
      </c>
      <c r="AA1067">
        <v>155</v>
      </c>
      <c r="AB1067" t="s">
        <v>285</v>
      </c>
      <c r="AG1067">
        <v>172</v>
      </c>
      <c r="AH1067" t="s">
        <v>54</v>
      </c>
      <c r="AI1067" t="s">
        <v>52</v>
      </c>
      <c r="AZ1067" t="s">
        <v>52</v>
      </c>
      <c r="BQ1067" t="s">
        <v>52</v>
      </c>
      <c r="BR1067">
        <v>0.93</v>
      </c>
      <c r="BS1067" t="s">
        <v>285</v>
      </c>
      <c r="BT1067">
        <v>0.87</v>
      </c>
      <c r="BU1067" t="s">
        <v>284</v>
      </c>
      <c r="BV1067">
        <v>0.68</v>
      </c>
      <c r="BW1067" t="s">
        <v>285</v>
      </c>
      <c r="BX1067">
        <v>0.47</v>
      </c>
      <c r="BY1067" t="s">
        <v>285</v>
      </c>
      <c r="BZ1067">
        <v>0.4</v>
      </c>
      <c r="CA1067" t="s">
        <v>284</v>
      </c>
      <c r="CF1067">
        <v>0.67</v>
      </c>
      <c r="CG1067" t="s">
        <v>54</v>
      </c>
      <c r="CH1067" t="s">
        <v>52</v>
      </c>
    </row>
    <row r="1068" spans="1:86" x14ac:dyDescent="0.25">
      <c r="A1068" t="s">
        <v>47</v>
      </c>
      <c r="B1068">
        <v>8</v>
      </c>
      <c r="C1068" t="s">
        <v>188</v>
      </c>
      <c r="D1068">
        <v>95</v>
      </c>
      <c r="E1068" t="s">
        <v>58</v>
      </c>
      <c r="F1068">
        <v>102</v>
      </c>
      <c r="G1068" t="s">
        <v>66</v>
      </c>
      <c r="H1068" t="s">
        <v>50</v>
      </c>
      <c r="K1068" t="s">
        <v>51</v>
      </c>
      <c r="L1068">
        <v>1</v>
      </c>
      <c r="M1068" t="s">
        <v>53</v>
      </c>
      <c r="N1068">
        <v>102</v>
      </c>
      <c r="O1068">
        <v>1</v>
      </c>
      <c r="P1068" t="s">
        <v>52</v>
      </c>
      <c r="Q1068">
        <v>0</v>
      </c>
      <c r="R1068">
        <v>0.92</v>
      </c>
      <c r="S1068">
        <v>131.69999999999999</v>
      </c>
      <c r="T1068" t="s">
        <v>284</v>
      </c>
      <c r="U1068">
        <v>170</v>
      </c>
      <c r="V1068" t="s">
        <v>284</v>
      </c>
      <c r="W1068">
        <v>191</v>
      </c>
      <c r="X1068" t="s">
        <v>284</v>
      </c>
      <c r="Y1068">
        <v>207</v>
      </c>
      <c r="Z1068" t="s">
        <v>284</v>
      </c>
      <c r="AA1068">
        <v>205</v>
      </c>
      <c r="AB1068" t="s">
        <v>285</v>
      </c>
      <c r="AG1068">
        <v>188.66669999999999</v>
      </c>
      <c r="AH1068" t="s">
        <v>54</v>
      </c>
      <c r="AI1068" t="s">
        <v>52</v>
      </c>
      <c r="AZ1068" t="s">
        <v>52</v>
      </c>
      <c r="BQ1068" t="s">
        <v>52</v>
      </c>
      <c r="BR1068">
        <v>1.32</v>
      </c>
      <c r="BS1068" t="s">
        <v>285</v>
      </c>
      <c r="CH1068" t="s">
        <v>52</v>
      </c>
    </row>
    <row r="1069" spans="1:86" x14ac:dyDescent="0.25">
      <c r="A1069" t="s">
        <v>47</v>
      </c>
      <c r="B1069">
        <v>8</v>
      </c>
      <c r="C1069" t="s">
        <v>188</v>
      </c>
      <c r="D1069">
        <v>95</v>
      </c>
      <c r="E1069" t="s">
        <v>68</v>
      </c>
      <c r="F1069">
        <v>80</v>
      </c>
      <c r="G1069" t="s">
        <v>69</v>
      </c>
      <c r="H1069" t="s">
        <v>50</v>
      </c>
      <c r="K1069" t="s">
        <v>51</v>
      </c>
      <c r="L1069">
        <v>1</v>
      </c>
      <c r="M1069" t="s">
        <v>53</v>
      </c>
      <c r="N1069">
        <v>80</v>
      </c>
      <c r="O1069">
        <v>1</v>
      </c>
      <c r="P1069" t="s">
        <v>52</v>
      </c>
      <c r="Q1069">
        <v>0.5</v>
      </c>
      <c r="R1069">
        <v>0.75</v>
      </c>
      <c r="S1069">
        <v>202.92</v>
      </c>
      <c r="T1069" t="s">
        <v>284</v>
      </c>
      <c r="U1069">
        <v>198.9</v>
      </c>
      <c r="V1069" t="s">
        <v>284</v>
      </c>
      <c r="W1069">
        <v>212.4</v>
      </c>
      <c r="X1069" t="s">
        <v>284</v>
      </c>
      <c r="Y1069">
        <v>219.6</v>
      </c>
      <c r="Z1069" t="s">
        <v>284</v>
      </c>
      <c r="AA1069">
        <v>178</v>
      </c>
      <c r="AB1069" t="s">
        <v>284</v>
      </c>
      <c r="AG1069">
        <v>204.74</v>
      </c>
      <c r="AH1069" t="s">
        <v>54</v>
      </c>
      <c r="AI1069" t="s">
        <v>52</v>
      </c>
      <c r="AZ1069" t="s">
        <v>52</v>
      </c>
      <c r="BQ1069" t="s">
        <v>52</v>
      </c>
      <c r="BR1069">
        <v>1.85</v>
      </c>
      <c r="BS1069" t="s">
        <v>284</v>
      </c>
      <c r="BT1069">
        <v>1.67</v>
      </c>
      <c r="BU1069" t="s">
        <v>284</v>
      </c>
      <c r="BV1069">
        <v>2.73</v>
      </c>
      <c r="BW1069" t="s">
        <v>284</v>
      </c>
      <c r="BX1069">
        <v>2.2999999999999998</v>
      </c>
      <c r="BY1069" t="s">
        <v>284</v>
      </c>
      <c r="BZ1069">
        <v>2</v>
      </c>
      <c r="CA1069" t="s">
        <v>285</v>
      </c>
      <c r="CF1069">
        <v>2.0499999999999998</v>
      </c>
      <c r="CG1069" t="s">
        <v>54</v>
      </c>
      <c r="CH1069" t="s">
        <v>52</v>
      </c>
    </row>
    <row r="1070" spans="1:86" x14ac:dyDescent="0.25">
      <c r="A1070" t="s">
        <v>47</v>
      </c>
      <c r="B1070">
        <v>8</v>
      </c>
      <c r="C1070" t="s">
        <v>188</v>
      </c>
      <c r="D1070">
        <v>95</v>
      </c>
      <c r="E1070" t="s">
        <v>68</v>
      </c>
      <c r="F1070">
        <v>80</v>
      </c>
      <c r="G1070" t="s">
        <v>69</v>
      </c>
      <c r="H1070" t="s">
        <v>50</v>
      </c>
      <c r="K1070" t="s">
        <v>52</v>
      </c>
      <c r="L1070">
        <v>1</v>
      </c>
      <c r="M1070" t="s">
        <v>53</v>
      </c>
      <c r="N1070">
        <v>80</v>
      </c>
      <c r="O1070">
        <v>1</v>
      </c>
      <c r="P1070" t="s">
        <v>52</v>
      </c>
      <c r="Q1070">
        <v>0.5</v>
      </c>
      <c r="R1070">
        <v>0.75</v>
      </c>
      <c r="S1070">
        <v>202.92</v>
      </c>
      <c r="T1070" t="s">
        <v>284</v>
      </c>
      <c r="U1070">
        <v>198.9</v>
      </c>
      <c r="V1070" t="s">
        <v>284</v>
      </c>
      <c r="W1070">
        <v>212.4</v>
      </c>
      <c r="X1070" t="s">
        <v>284</v>
      </c>
      <c r="Y1070">
        <v>219.6</v>
      </c>
      <c r="Z1070" t="s">
        <v>284</v>
      </c>
      <c r="AA1070">
        <v>178</v>
      </c>
      <c r="AB1070" t="s">
        <v>284</v>
      </c>
      <c r="AG1070">
        <v>204.74</v>
      </c>
      <c r="AH1070" t="s">
        <v>54</v>
      </c>
      <c r="AI1070" t="s">
        <v>52</v>
      </c>
      <c r="AZ1070" t="s">
        <v>52</v>
      </c>
      <c r="BQ1070" t="s">
        <v>52</v>
      </c>
      <c r="BR1070">
        <v>0.65</v>
      </c>
      <c r="BS1070" t="s">
        <v>285</v>
      </c>
      <c r="BT1070">
        <v>0.87</v>
      </c>
      <c r="BU1070" t="s">
        <v>284</v>
      </c>
      <c r="BV1070">
        <v>1.26</v>
      </c>
      <c r="BW1070" t="s">
        <v>284</v>
      </c>
      <c r="BX1070">
        <v>1.19</v>
      </c>
      <c r="BY1070" t="s">
        <v>284</v>
      </c>
      <c r="BZ1070">
        <v>1.04</v>
      </c>
      <c r="CA1070" t="s">
        <v>285</v>
      </c>
      <c r="CF1070">
        <v>1.03</v>
      </c>
      <c r="CG1070" t="s">
        <v>54</v>
      </c>
      <c r="CH1070" t="s">
        <v>52</v>
      </c>
    </row>
    <row r="1071" spans="1:86" x14ac:dyDescent="0.25">
      <c r="A1071" t="s">
        <v>47</v>
      </c>
      <c r="B1071">
        <v>8</v>
      </c>
      <c r="C1071" t="s">
        <v>188</v>
      </c>
      <c r="D1071">
        <v>95</v>
      </c>
      <c r="E1071" t="s">
        <v>70</v>
      </c>
      <c r="F1071">
        <v>296</v>
      </c>
      <c r="G1071" t="s">
        <v>91</v>
      </c>
      <c r="H1071" t="s">
        <v>50</v>
      </c>
      <c r="K1071" t="s">
        <v>52</v>
      </c>
      <c r="L1071">
        <v>1</v>
      </c>
      <c r="M1071" t="s">
        <v>53</v>
      </c>
      <c r="N1071">
        <v>102</v>
      </c>
      <c r="O1071">
        <v>1</v>
      </c>
      <c r="P1071" t="s">
        <v>52</v>
      </c>
      <c r="Q1071">
        <v>0.5</v>
      </c>
      <c r="R1071">
        <v>0.75</v>
      </c>
      <c r="S1071">
        <v>228</v>
      </c>
      <c r="T1071" t="s">
        <v>284</v>
      </c>
      <c r="U1071">
        <v>190</v>
      </c>
      <c r="V1071" t="s">
        <v>285</v>
      </c>
      <c r="W1071">
        <v>236</v>
      </c>
      <c r="X1071" t="s">
        <v>284</v>
      </c>
      <c r="Y1071">
        <v>244</v>
      </c>
      <c r="Z1071" t="s">
        <v>284</v>
      </c>
      <c r="AA1071">
        <v>215</v>
      </c>
      <c r="AB1071" t="s">
        <v>285</v>
      </c>
      <c r="AG1071">
        <v>226.33330000000001</v>
      </c>
      <c r="AH1071" t="s">
        <v>54</v>
      </c>
      <c r="AI1071" t="s">
        <v>52</v>
      </c>
      <c r="AZ1071" t="s">
        <v>52</v>
      </c>
      <c r="BQ1071" t="s">
        <v>52</v>
      </c>
      <c r="CH1071" t="s">
        <v>52</v>
      </c>
    </row>
    <row r="1072" spans="1:86" x14ac:dyDescent="0.25">
      <c r="A1072" t="s">
        <v>47</v>
      </c>
      <c r="B1072">
        <v>8</v>
      </c>
      <c r="C1072" t="s">
        <v>188</v>
      </c>
      <c r="D1072">
        <v>95</v>
      </c>
      <c r="E1072" t="s">
        <v>75</v>
      </c>
      <c r="F1072">
        <v>16</v>
      </c>
      <c r="G1072" t="s">
        <v>76</v>
      </c>
      <c r="H1072" t="s">
        <v>50</v>
      </c>
      <c r="K1072" t="s">
        <v>51</v>
      </c>
      <c r="L1072">
        <v>1</v>
      </c>
      <c r="M1072" t="s">
        <v>53</v>
      </c>
      <c r="N1072">
        <v>16</v>
      </c>
      <c r="O1072">
        <v>2</v>
      </c>
      <c r="P1072" t="s">
        <v>52</v>
      </c>
      <c r="Q1072">
        <v>0.5</v>
      </c>
      <c r="R1072">
        <v>0.75</v>
      </c>
      <c r="S1072">
        <v>83.35</v>
      </c>
      <c r="T1072" t="s">
        <v>285</v>
      </c>
      <c r="U1072">
        <v>96.14</v>
      </c>
      <c r="V1072" t="s">
        <v>284</v>
      </c>
      <c r="W1072">
        <v>103.37</v>
      </c>
      <c r="X1072" t="s">
        <v>284</v>
      </c>
      <c r="Y1072">
        <v>106.14</v>
      </c>
      <c r="Z1072" t="s">
        <v>284</v>
      </c>
      <c r="AA1072">
        <v>128</v>
      </c>
      <c r="AB1072" t="s">
        <v>285</v>
      </c>
      <c r="AG1072">
        <v>101.88330000000001</v>
      </c>
      <c r="AH1072" t="s">
        <v>54</v>
      </c>
      <c r="AI1072" t="s">
        <v>52</v>
      </c>
      <c r="AX1072">
        <v>146.69999999999999</v>
      </c>
      <c r="AY1072" t="s">
        <v>285</v>
      </c>
      <c r="AZ1072" t="s">
        <v>287</v>
      </c>
      <c r="BQ1072" t="s">
        <v>52</v>
      </c>
      <c r="CH1072" t="s">
        <v>52</v>
      </c>
    </row>
    <row r="1073" spans="1:86" x14ac:dyDescent="0.25">
      <c r="A1073" t="s">
        <v>47</v>
      </c>
      <c r="B1073">
        <v>8</v>
      </c>
      <c r="C1073" t="s">
        <v>188</v>
      </c>
      <c r="D1073">
        <v>95</v>
      </c>
      <c r="E1073" t="s">
        <v>75</v>
      </c>
      <c r="F1073">
        <v>16</v>
      </c>
      <c r="G1073" t="s">
        <v>76</v>
      </c>
      <c r="H1073" t="s">
        <v>50</v>
      </c>
      <c r="K1073" t="s">
        <v>52</v>
      </c>
      <c r="L1073">
        <v>1</v>
      </c>
      <c r="M1073" t="s">
        <v>53</v>
      </c>
      <c r="N1073">
        <v>16</v>
      </c>
      <c r="O1073">
        <v>2</v>
      </c>
      <c r="P1073" t="s">
        <v>52</v>
      </c>
      <c r="Q1073">
        <v>0.5</v>
      </c>
      <c r="R1073">
        <v>0.75</v>
      </c>
      <c r="S1073">
        <v>83.35</v>
      </c>
      <c r="T1073" t="s">
        <v>285</v>
      </c>
      <c r="U1073">
        <v>96.14</v>
      </c>
      <c r="V1073" t="s">
        <v>284</v>
      </c>
      <c r="W1073">
        <v>103.37</v>
      </c>
      <c r="X1073" t="s">
        <v>284</v>
      </c>
      <c r="Y1073">
        <v>106.14</v>
      </c>
      <c r="Z1073" t="s">
        <v>284</v>
      </c>
      <c r="AA1073">
        <v>128</v>
      </c>
      <c r="AB1073" t="s">
        <v>285</v>
      </c>
      <c r="AG1073">
        <v>101.88330000000001</v>
      </c>
      <c r="AH1073" t="s">
        <v>54</v>
      </c>
      <c r="AI1073" t="s">
        <v>52</v>
      </c>
      <c r="AX1073">
        <v>146.69999999999999</v>
      </c>
      <c r="AY1073" t="s">
        <v>285</v>
      </c>
      <c r="AZ1073" t="s">
        <v>287</v>
      </c>
      <c r="BQ1073" t="s">
        <v>52</v>
      </c>
      <c r="CH1073" t="s">
        <v>52</v>
      </c>
    </row>
    <row r="1074" spans="1:86" x14ac:dyDescent="0.25">
      <c r="A1074" t="s">
        <v>47</v>
      </c>
      <c r="B1074">
        <v>8</v>
      </c>
      <c r="C1074" t="s">
        <v>188</v>
      </c>
      <c r="D1074">
        <v>95</v>
      </c>
      <c r="E1074" t="s">
        <v>125</v>
      </c>
      <c r="F1074">
        <v>67</v>
      </c>
      <c r="G1074" t="s">
        <v>164</v>
      </c>
      <c r="H1074" t="s">
        <v>50</v>
      </c>
      <c r="K1074" t="s">
        <v>52</v>
      </c>
      <c r="L1074">
        <v>1</v>
      </c>
      <c r="M1074" t="s">
        <v>53</v>
      </c>
      <c r="N1074">
        <v>67</v>
      </c>
      <c r="O1074">
        <v>1</v>
      </c>
      <c r="P1074" t="s">
        <v>52</v>
      </c>
      <c r="Q1074">
        <v>0.5</v>
      </c>
      <c r="R1074">
        <v>0.87</v>
      </c>
      <c r="S1074">
        <v>228</v>
      </c>
      <c r="T1074" t="s">
        <v>284</v>
      </c>
      <c r="AI1074" t="s">
        <v>52</v>
      </c>
      <c r="AZ1074" t="s">
        <v>52</v>
      </c>
      <c r="BQ1074" t="s">
        <v>52</v>
      </c>
      <c r="CH1074" t="s">
        <v>52</v>
      </c>
    </row>
    <row r="1075" spans="1:86" x14ac:dyDescent="0.25">
      <c r="A1075" t="s">
        <v>47</v>
      </c>
      <c r="B1075">
        <v>8</v>
      </c>
      <c r="C1075" t="s">
        <v>188</v>
      </c>
      <c r="D1075">
        <v>95</v>
      </c>
      <c r="E1075" t="s">
        <v>125</v>
      </c>
      <c r="F1075">
        <v>67</v>
      </c>
      <c r="G1075" t="s">
        <v>111</v>
      </c>
      <c r="H1075" t="s">
        <v>50</v>
      </c>
      <c r="K1075" t="s">
        <v>52</v>
      </c>
      <c r="L1075">
        <v>1</v>
      </c>
      <c r="M1075" t="s">
        <v>53</v>
      </c>
      <c r="N1075">
        <v>67</v>
      </c>
      <c r="O1075">
        <v>1</v>
      </c>
      <c r="P1075" t="s">
        <v>52</v>
      </c>
      <c r="Q1075">
        <v>0.5</v>
      </c>
      <c r="R1075">
        <v>0.87</v>
      </c>
      <c r="S1075">
        <v>228</v>
      </c>
      <c r="T1075" t="s">
        <v>284</v>
      </c>
      <c r="AI1075" t="s">
        <v>52</v>
      </c>
      <c r="AZ1075" t="s">
        <v>52</v>
      </c>
      <c r="BQ1075" t="s">
        <v>52</v>
      </c>
      <c r="CH1075" t="s">
        <v>52</v>
      </c>
    </row>
    <row r="1076" spans="1:86" x14ac:dyDescent="0.25">
      <c r="A1076" t="s">
        <v>47</v>
      </c>
      <c r="B1076">
        <v>8</v>
      </c>
      <c r="C1076" t="s">
        <v>188</v>
      </c>
      <c r="D1076">
        <v>95</v>
      </c>
      <c r="E1076" t="s">
        <v>93</v>
      </c>
      <c r="F1076">
        <v>94</v>
      </c>
      <c r="H1076" t="s">
        <v>50</v>
      </c>
      <c r="K1076" t="s">
        <v>51</v>
      </c>
      <c r="L1076">
        <v>1</v>
      </c>
      <c r="M1076" t="s">
        <v>53</v>
      </c>
      <c r="N1076">
        <v>94</v>
      </c>
      <c r="O1076">
        <v>2</v>
      </c>
      <c r="P1076" t="s">
        <v>52</v>
      </c>
      <c r="Q1076">
        <v>0.77</v>
      </c>
      <c r="R1076">
        <v>0.93</v>
      </c>
      <c r="S1076">
        <v>205</v>
      </c>
      <c r="T1076" t="s">
        <v>284</v>
      </c>
      <c r="U1076">
        <v>175</v>
      </c>
      <c r="V1076" t="s">
        <v>284</v>
      </c>
      <c r="W1076">
        <v>188</v>
      </c>
      <c r="X1076" t="s">
        <v>284</v>
      </c>
      <c r="Y1076">
        <v>202.32</v>
      </c>
      <c r="Z1076" t="s">
        <v>284</v>
      </c>
      <c r="AA1076">
        <v>209.16</v>
      </c>
      <c r="AB1076" t="s">
        <v>284</v>
      </c>
      <c r="AG1076">
        <v>198.44</v>
      </c>
      <c r="AH1076" t="s">
        <v>54</v>
      </c>
      <c r="AI1076" t="s">
        <v>52</v>
      </c>
      <c r="AZ1076" t="s">
        <v>52</v>
      </c>
      <c r="BQ1076" t="s">
        <v>52</v>
      </c>
      <c r="CH1076" t="s">
        <v>52</v>
      </c>
    </row>
    <row r="1077" spans="1:86" x14ac:dyDescent="0.25">
      <c r="A1077" t="s">
        <v>47</v>
      </c>
      <c r="B1077">
        <v>8</v>
      </c>
      <c r="C1077" t="s">
        <v>188</v>
      </c>
      <c r="D1077">
        <v>95</v>
      </c>
      <c r="E1077" t="s">
        <v>93</v>
      </c>
      <c r="F1077">
        <v>94</v>
      </c>
      <c r="H1077" t="s">
        <v>50</v>
      </c>
      <c r="K1077" t="s">
        <v>52</v>
      </c>
      <c r="L1077">
        <v>1</v>
      </c>
      <c r="M1077" t="s">
        <v>53</v>
      </c>
      <c r="N1077">
        <v>94</v>
      </c>
      <c r="O1077">
        <v>2</v>
      </c>
      <c r="P1077" t="s">
        <v>52</v>
      </c>
      <c r="Q1077">
        <v>0.77</v>
      </c>
      <c r="R1077">
        <v>0.93</v>
      </c>
      <c r="S1077">
        <v>205</v>
      </c>
      <c r="T1077" t="s">
        <v>284</v>
      </c>
      <c r="U1077">
        <v>175</v>
      </c>
      <c r="V1077" t="s">
        <v>284</v>
      </c>
      <c r="W1077">
        <v>188</v>
      </c>
      <c r="X1077" t="s">
        <v>284</v>
      </c>
      <c r="Y1077">
        <v>202.32</v>
      </c>
      <c r="Z1077" t="s">
        <v>284</v>
      </c>
      <c r="AA1077">
        <v>209.16</v>
      </c>
      <c r="AB1077" t="s">
        <v>284</v>
      </c>
      <c r="AG1077">
        <v>198.44</v>
      </c>
      <c r="AH1077" t="s">
        <v>54</v>
      </c>
      <c r="AI1077" t="s">
        <v>52</v>
      </c>
      <c r="AZ1077" t="s">
        <v>52</v>
      </c>
      <c r="BQ1077" t="s">
        <v>52</v>
      </c>
      <c r="BR1077">
        <v>0.81</v>
      </c>
      <c r="BS1077" t="s">
        <v>285</v>
      </c>
      <c r="BT1077">
        <v>0.46</v>
      </c>
      <c r="BU1077" t="s">
        <v>284</v>
      </c>
      <c r="CH1077" t="s">
        <v>52</v>
      </c>
    </row>
    <row r="1078" spans="1:86" x14ac:dyDescent="0.25">
      <c r="A1078" t="s">
        <v>47</v>
      </c>
      <c r="B1078">
        <v>8</v>
      </c>
      <c r="C1078" t="s">
        <v>188</v>
      </c>
      <c r="D1078">
        <v>95</v>
      </c>
      <c r="E1078" t="s">
        <v>79</v>
      </c>
      <c r="F1078">
        <v>50</v>
      </c>
      <c r="G1078" t="s">
        <v>65</v>
      </c>
      <c r="H1078" t="s">
        <v>50</v>
      </c>
      <c r="K1078" t="s">
        <v>51</v>
      </c>
      <c r="L1078">
        <v>1</v>
      </c>
      <c r="M1078" t="s">
        <v>53</v>
      </c>
      <c r="N1078">
        <v>50</v>
      </c>
      <c r="O1078">
        <v>1</v>
      </c>
      <c r="P1078" t="s">
        <v>52</v>
      </c>
      <c r="Q1078">
        <v>0.5</v>
      </c>
      <c r="R1078">
        <v>0.75</v>
      </c>
      <c r="S1078">
        <v>85</v>
      </c>
      <c r="T1078" t="s">
        <v>285</v>
      </c>
      <c r="U1078">
        <v>93</v>
      </c>
      <c r="V1078" t="s">
        <v>284</v>
      </c>
      <c r="W1078">
        <v>89.7</v>
      </c>
      <c r="X1078" t="s">
        <v>284</v>
      </c>
      <c r="Y1078">
        <v>92.72</v>
      </c>
      <c r="Z1078" t="s">
        <v>284</v>
      </c>
      <c r="AA1078">
        <v>109</v>
      </c>
      <c r="AB1078" t="s">
        <v>285</v>
      </c>
      <c r="AG1078">
        <v>91.806700000000006</v>
      </c>
      <c r="AH1078" t="s">
        <v>54</v>
      </c>
      <c r="AI1078" t="s">
        <v>52</v>
      </c>
      <c r="AZ1078" t="s">
        <v>52</v>
      </c>
      <c r="BQ1078" t="s">
        <v>52</v>
      </c>
      <c r="CH1078" t="s">
        <v>52</v>
      </c>
    </row>
    <row r="1079" spans="1:86" x14ac:dyDescent="0.25">
      <c r="A1079" t="s">
        <v>47</v>
      </c>
      <c r="B1079">
        <v>8</v>
      </c>
      <c r="C1079" t="s">
        <v>188</v>
      </c>
      <c r="D1079">
        <v>95</v>
      </c>
      <c r="E1079" t="s">
        <v>79</v>
      </c>
      <c r="F1079">
        <v>50</v>
      </c>
      <c r="G1079" t="s">
        <v>65</v>
      </c>
      <c r="H1079" t="s">
        <v>50</v>
      </c>
      <c r="K1079" t="s">
        <v>52</v>
      </c>
      <c r="L1079">
        <v>1</v>
      </c>
      <c r="M1079" t="s">
        <v>53</v>
      </c>
      <c r="N1079">
        <v>50</v>
      </c>
      <c r="O1079">
        <v>1</v>
      </c>
      <c r="P1079" t="s">
        <v>52</v>
      </c>
      <c r="Q1079">
        <v>0.5</v>
      </c>
      <c r="R1079">
        <v>0.75</v>
      </c>
      <c r="S1079">
        <v>85</v>
      </c>
      <c r="T1079" t="s">
        <v>285</v>
      </c>
      <c r="U1079">
        <v>93</v>
      </c>
      <c r="V1079" t="s">
        <v>284</v>
      </c>
      <c r="W1079">
        <v>89.7</v>
      </c>
      <c r="X1079" t="s">
        <v>284</v>
      </c>
      <c r="Y1079">
        <v>92.72</v>
      </c>
      <c r="Z1079" t="s">
        <v>284</v>
      </c>
      <c r="AA1079">
        <v>109</v>
      </c>
      <c r="AB1079" t="s">
        <v>285</v>
      </c>
      <c r="AG1079">
        <v>91.806700000000006</v>
      </c>
      <c r="AH1079" t="s">
        <v>54</v>
      </c>
      <c r="AI1079" t="s">
        <v>52</v>
      </c>
      <c r="AZ1079" t="s">
        <v>52</v>
      </c>
      <c r="BQ1079" t="s">
        <v>52</v>
      </c>
      <c r="BR1079">
        <v>0.43</v>
      </c>
      <c r="BS1079" t="s">
        <v>289</v>
      </c>
      <c r="BT1079">
        <v>0.74</v>
      </c>
      <c r="BU1079" t="s">
        <v>284</v>
      </c>
      <c r="BV1079">
        <v>1.06</v>
      </c>
      <c r="BW1079" t="s">
        <v>284</v>
      </c>
      <c r="BX1079">
        <v>1.01</v>
      </c>
      <c r="BY1079" t="s">
        <v>284</v>
      </c>
      <c r="BZ1079">
        <v>0.56000000000000005</v>
      </c>
      <c r="CA1079" t="s">
        <v>289</v>
      </c>
      <c r="CF1079">
        <v>0.77</v>
      </c>
      <c r="CG1079" t="s">
        <v>54</v>
      </c>
      <c r="CH1079" t="s">
        <v>52</v>
      </c>
    </row>
    <row r="1080" spans="1:86" x14ac:dyDescent="0.25">
      <c r="A1080" t="s">
        <v>47</v>
      </c>
      <c r="B1080">
        <v>8</v>
      </c>
      <c r="C1080" t="s">
        <v>188</v>
      </c>
      <c r="D1080">
        <v>95</v>
      </c>
      <c r="E1080" t="s">
        <v>83</v>
      </c>
      <c r="F1080">
        <v>158</v>
      </c>
      <c r="H1080" t="s">
        <v>50</v>
      </c>
      <c r="K1080" t="s">
        <v>51</v>
      </c>
      <c r="L1080">
        <v>1</v>
      </c>
      <c r="M1080" t="s">
        <v>53</v>
      </c>
      <c r="N1080">
        <v>158</v>
      </c>
      <c r="O1080">
        <v>2</v>
      </c>
      <c r="P1080" t="s">
        <v>52</v>
      </c>
      <c r="Q1080">
        <v>0.77</v>
      </c>
      <c r="R1080">
        <v>0.93</v>
      </c>
      <c r="S1080">
        <v>228</v>
      </c>
      <c r="T1080" t="s">
        <v>284</v>
      </c>
      <c r="U1080">
        <v>221</v>
      </c>
      <c r="V1080" t="s">
        <v>284</v>
      </c>
      <c r="W1080">
        <v>236</v>
      </c>
      <c r="X1080" t="s">
        <v>284</v>
      </c>
      <c r="Y1080">
        <v>244</v>
      </c>
      <c r="Z1080" t="s">
        <v>284</v>
      </c>
      <c r="AA1080">
        <v>252</v>
      </c>
      <c r="AB1080" t="s">
        <v>284</v>
      </c>
      <c r="AG1080">
        <v>236</v>
      </c>
      <c r="AH1080" t="s">
        <v>54</v>
      </c>
      <c r="AI1080" t="s">
        <v>52</v>
      </c>
      <c r="AX1080">
        <v>339</v>
      </c>
      <c r="AY1080" t="s">
        <v>285</v>
      </c>
      <c r="AZ1080" t="s">
        <v>287</v>
      </c>
      <c r="BQ1080" t="s">
        <v>52</v>
      </c>
      <c r="CH1080" t="s">
        <v>52</v>
      </c>
    </row>
    <row r="1081" spans="1:86" x14ac:dyDescent="0.25">
      <c r="A1081" t="s">
        <v>47</v>
      </c>
      <c r="B1081">
        <v>8</v>
      </c>
      <c r="C1081" t="s">
        <v>188</v>
      </c>
      <c r="D1081">
        <v>95</v>
      </c>
      <c r="E1081" t="s">
        <v>83</v>
      </c>
      <c r="F1081">
        <v>158</v>
      </c>
      <c r="H1081" t="s">
        <v>50</v>
      </c>
      <c r="K1081" t="s">
        <v>52</v>
      </c>
      <c r="L1081">
        <v>1</v>
      </c>
      <c r="M1081" t="s">
        <v>53</v>
      </c>
      <c r="N1081">
        <v>158</v>
      </c>
      <c r="O1081">
        <v>2</v>
      </c>
      <c r="P1081" t="s">
        <v>52</v>
      </c>
      <c r="Q1081">
        <v>0.77</v>
      </c>
      <c r="R1081">
        <v>0.93</v>
      </c>
      <c r="S1081">
        <v>228</v>
      </c>
      <c r="T1081" t="s">
        <v>284</v>
      </c>
      <c r="U1081">
        <v>221</v>
      </c>
      <c r="V1081" t="s">
        <v>284</v>
      </c>
      <c r="W1081">
        <v>236</v>
      </c>
      <c r="X1081" t="s">
        <v>284</v>
      </c>
      <c r="Y1081">
        <v>244</v>
      </c>
      <c r="Z1081" t="s">
        <v>284</v>
      </c>
      <c r="AA1081">
        <v>252</v>
      </c>
      <c r="AB1081" t="s">
        <v>284</v>
      </c>
      <c r="AG1081">
        <v>236</v>
      </c>
      <c r="AH1081" t="s">
        <v>54</v>
      </c>
      <c r="AI1081" t="s">
        <v>52</v>
      </c>
      <c r="AX1081">
        <v>339</v>
      </c>
      <c r="AY1081" t="s">
        <v>285</v>
      </c>
      <c r="AZ1081" t="s">
        <v>287</v>
      </c>
      <c r="BQ1081" t="s">
        <v>52</v>
      </c>
      <c r="CH1081" t="s">
        <v>52</v>
      </c>
    </row>
    <row r="1082" spans="1:86" x14ac:dyDescent="0.25">
      <c r="A1082" t="s">
        <v>47</v>
      </c>
      <c r="B1082">
        <v>8</v>
      </c>
      <c r="C1082" t="s">
        <v>188</v>
      </c>
      <c r="D1082">
        <v>95</v>
      </c>
      <c r="E1082" t="s">
        <v>84</v>
      </c>
      <c r="F1082">
        <v>11</v>
      </c>
      <c r="G1082" t="s">
        <v>96</v>
      </c>
      <c r="H1082" t="s">
        <v>50</v>
      </c>
      <c r="K1082" t="s">
        <v>51</v>
      </c>
      <c r="L1082">
        <v>1</v>
      </c>
      <c r="M1082" t="s">
        <v>53</v>
      </c>
      <c r="N1082">
        <v>11</v>
      </c>
      <c r="O1082">
        <v>2</v>
      </c>
      <c r="P1082" t="s">
        <v>52</v>
      </c>
      <c r="Q1082">
        <v>0.5</v>
      </c>
      <c r="R1082">
        <v>0.75</v>
      </c>
      <c r="S1082">
        <v>124</v>
      </c>
      <c r="T1082" t="s">
        <v>284</v>
      </c>
      <c r="U1082">
        <v>110</v>
      </c>
      <c r="V1082" t="s">
        <v>284</v>
      </c>
      <c r="W1082">
        <v>118</v>
      </c>
      <c r="X1082" t="s">
        <v>284</v>
      </c>
      <c r="Y1082">
        <v>122</v>
      </c>
      <c r="Z1082" t="s">
        <v>284</v>
      </c>
      <c r="AA1082">
        <v>126</v>
      </c>
      <c r="AB1082" t="s">
        <v>284</v>
      </c>
      <c r="AG1082">
        <v>121.33329999999999</v>
      </c>
      <c r="AH1082" t="s">
        <v>54</v>
      </c>
      <c r="AI1082" t="s">
        <v>52</v>
      </c>
      <c r="AZ1082" t="s">
        <v>52</v>
      </c>
      <c r="BQ1082" t="s">
        <v>52</v>
      </c>
      <c r="CH1082" t="s">
        <v>52</v>
      </c>
    </row>
    <row r="1083" spans="1:86" x14ac:dyDescent="0.25">
      <c r="A1083" t="s">
        <v>47</v>
      </c>
      <c r="B1083">
        <v>8</v>
      </c>
      <c r="C1083" t="s">
        <v>188</v>
      </c>
      <c r="D1083">
        <v>95</v>
      </c>
      <c r="E1083" t="s">
        <v>84</v>
      </c>
      <c r="F1083">
        <v>11</v>
      </c>
      <c r="G1083" t="s">
        <v>96</v>
      </c>
      <c r="H1083" t="s">
        <v>50</v>
      </c>
      <c r="K1083" t="s">
        <v>52</v>
      </c>
      <c r="L1083">
        <v>1</v>
      </c>
      <c r="M1083" t="s">
        <v>53</v>
      </c>
      <c r="N1083">
        <v>11</v>
      </c>
      <c r="O1083">
        <v>2</v>
      </c>
      <c r="P1083" t="s">
        <v>52</v>
      </c>
      <c r="Q1083">
        <v>0.5</v>
      </c>
      <c r="R1083">
        <v>0.75</v>
      </c>
      <c r="S1083">
        <v>124</v>
      </c>
      <c r="T1083" t="s">
        <v>284</v>
      </c>
      <c r="U1083">
        <v>110</v>
      </c>
      <c r="V1083" t="s">
        <v>284</v>
      </c>
      <c r="W1083">
        <v>118</v>
      </c>
      <c r="X1083" t="s">
        <v>284</v>
      </c>
      <c r="Y1083">
        <v>122</v>
      </c>
      <c r="Z1083" t="s">
        <v>284</v>
      </c>
      <c r="AA1083">
        <v>126</v>
      </c>
      <c r="AB1083" t="s">
        <v>284</v>
      </c>
      <c r="AG1083">
        <v>121.33329999999999</v>
      </c>
      <c r="AH1083" t="s">
        <v>54</v>
      </c>
      <c r="AI1083" t="s">
        <v>52</v>
      </c>
      <c r="AZ1083" t="s">
        <v>52</v>
      </c>
      <c r="BQ1083" t="s">
        <v>52</v>
      </c>
      <c r="CH1083" t="s">
        <v>52</v>
      </c>
    </row>
    <row r="1084" spans="1:86" x14ac:dyDescent="0.25">
      <c r="A1084" t="s">
        <v>47</v>
      </c>
      <c r="B1084">
        <v>8</v>
      </c>
      <c r="C1084" t="s">
        <v>189</v>
      </c>
      <c r="D1084">
        <v>97</v>
      </c>
      <c r="E1084" t="s">
        <v>49</v>
      </c>
      <c r="F1084">
        <v>27</v>
      </c>
      <c r="H1084" t="s">
        <v>50</v>
      </c>
      <c r="K1084" t="s">
        <v>51</v>
      </c>
      <c r="L1084">
        <v>1</v>
      </c>
      <c r="M1084" t="s">
        <v>53</v>
      </c>
      <c r="N1084">
        <v>27</v>
      </c>
      <c r="O1084">
        <v>1</v>
      </c>
      <c r="P1084" t="s">
        <v>52</v>
      </c>
      <c r="Q1084">
        <v>0</v>
      </c>
      <c r="R1084">
        <v>0.75</v>
      </c>
      <c r="S1084">
        <v>231</v>
      </c>
      <c r="T1084" t="s">
        <v>284</v>
      </c>
      <c r="U1084">
        <v>208</v>
      </c>
      <c r="V1084" t="s">
        <v>284</v>
      </c>
      <c r="W1084">
        <v>224</v>
      </c>
      <c r="X1084" t="s">
        <v>284</v>
      </c>
      <c r="Y1084">
        <v>225</v>
      </c>
      <c r="Z1084" t="s">
        <v>285</v>
      </c>
      <c r="AA1084">
        <v>247</v>
      </c>
      <c r="AB1084" t="s">
        <v>285</v>
      </c>
      <c r="AC1084">
        <v>241</v>
      </c>
      <c r="AD1084" t="s">
        <v>285</v>
      </c>
      <c r="AE1084">
        <v>219</v>
      </c>
      <c r="AF1084" t="s">
        <v>285</v>
      </c>
      <c r="AG1084">
        <v>219</v>
      </c>
      <c r="AH1084" t="s">
        <v>286</v>
      </c>
      <c r="AI1084" t="s">
        <v>287</v>
      </c>
      <c r="AX1084">
        <v>263</v>
      </c>
      <c r="AY1084" t="s">
        <v>286</v>
      </c>
      <c r="AZ1084" t="s">
        <v>287</v>
      </c>
      <c r="BQ1084" t="s">
        <v>52</v>
      </c>
      <c r="BR1084">
        <v>3.7</v>
      </c>
      <c r="BS1084" t="s">
        <v>284</v>
      </c>
      <c r="BT1084">
        <v>3.4</v>
      </c>
      <c r="BU1084" t="s">
        <v>284</v>
      </c>
      <c r="BV1084">
        <v>2.11</v>
      </c>
      <c r="BW1084" t="s">
        <v>284</v>
      </c>
      <c r="BX1084">
        <v>2.74</v>
      </c>
      <c r="BY1084" t="s">
        <v>284</v>
      </c>
      <c r="BZ1084">
        <v>2.2999999999999998</v>
      </c>
      <c r="CA1084" t="s">
        <v>289</v>
      </c>
      <c r="CF1084">
        <v>2.81</v>
      </c>
      <c r="CG1084" t="s">
        <v>54</v>
      </c>
      <c r="CH1084" t="s">
        <v>52</v>
      </c>
    </row>
    <row r="1085" spans="1:86" x14ac:dyDescent="0.25">
      <c r="A1085" t="s">
        <v>47</v>
      </c>
      <c r="B1085">
        <v>8</v>
      </c>
      <c r="C1085" t="s">
        <v>189</v>
      </c>
      <c r="D1085">
        <v>97</v>
      </c>
      <c r="E1085" t="s">
        <v>58</v>
      </c>
      <c r="F1085">
        <v>102</v>
      </c>
      <c r="G1085" t="s">
        <v>62</v>
      </c>
      <c r="H1085" t="s">
        <v>50</v>
      </c>
      <c r="K1085" t="s">
        <v>51</v>
      </c>
      <c r="L1085">
        <v>1</v>
      </c>
      <c r="M1085" t="s">
        <v>53</v>
      </c>
      <c r="N1085">
        <v>102</v>
      </c>
      <c r="O1085">
        <v>1</v>
      </c>
      <c r="P1085" t="s">
        <v>52</v>
      </c>
      <c r="Q1085">
        <v>0</v>
      </c>
      <c r="R1085">
        <v>0.92</v>
      </c>
      <c r="S1085">
        <v>131.69999999999999</v>
      </c>
      <c r="T1085" t="s">
        <v>284</v>
      </c>
      <c r="U1085">
        <v>170</v>
      </c>
      <c r="V1085" t="s">
        <v>284</v>
      </c>
      <c r="W1085">
        <v>191</v>
      </c>
      <c r="X1085" t="s">
        <v>284</v>
      </c>
      <c r="Y1085">
        <v>207</v>
      </c>
      <c r="Z1085" t="s">
        <v>284</v>
      </c>
      <c r="AA1085">
        <v>205</v>
      </c>
      <c r="AB1085" t="s">
        <v>285</v>
      </c>
      <c r="AG1085">
        <v>188.66669999999999</v>
      </c>
      <c r="AH1085" t="s">
        <v>54</v>
      </c>
      <c r="AI1085" t="s">
        <v>52</v>
      </c>
      <c r="AX1085">
        <v>271.60000000000002</v>
      </c>
      <c r="AY1085" t="s">
        <v>285</v>
      </c>
      <c r="AZ1085" t="s">
        <v>287</v>
      </c>
      <c r="BQ1085" t="s">
        <v>52</v>
      </c>
      <c r="BR1085">
        <v>1.85</v>
      </c>
      <c r="BS1085" t="s">
        <v>284</v>
      </c>
      <c r="BT1085">
        <v>0.81</v>
      </c>
      <c r="BU1085" t="s">
        <v>284</v>
      </c>
      <c r="BV1085">
        <v>0.53</v>
      </c>
      <c r="BW1085" t="s">
        <v>285</v>
      </c>
      <c r="BX1085">
        <v>0.38</v>
      </c>
      <c r="BY1085" t="s">
        <v>285</v>
      </c>
      <c r="BZ1085">
        <v>0.33</v>
      </c>
      <c r="CA1085" t="s">
        <v>284</v>
      </c>
      <c r="CF1085">
        <v>0.56999999999999995</v>
      </c>
      <c r="CG1085" t="s">
        <v>54</v>
      </c>
      <c r="CH1085" t="s">
        <v>52</v>
      </c>
    </row>
    <row r="1086" spans="1:86" x14ac:dyDescent="0.25">
      <c r="A1086" t="s">
        <v>47</v>
      </c>
      <c r="B1086">
        <v>8</v>
      </c>
      <c r="C1086" t="s">
        <v>189</v>
      </c>
      <c r="D1086">
        <v>97</v>
      </c>
      <c r="E1086" t="s">
        <v>58</v>
      </c>
      <c r="F1086">
        <v>102</v>
      </c>
      <c r="G1086" t="s">
        <v>62</v>
      </c>
      <c r="H1086" t="s">
        <v>50</v>
      </c>
      <c r="K1086" t="s">
        <v>52</v>
      </c>
      <c r="L1086">
        <v>1</v>
      </c>
      <c r="M1086" t="s">
        <v>53</v>
      </c>
      <c r="N1086">
        <v>102</v>
      </c>
      <c r="O1086">
        <v>1</v>
      </c>
      <c r="P1086" t="s">
        <v>52</v>
      </c>
      <c r="Q1086">
        <v>0</v>
      </c>
      <c r="R1086">
        <v>0.92</v>
      </c>
      <c r="S1086">
        <v>131.69999999999999</v>
      </c>
      <c r="T1086" t="s">
        <v>284</v>
      </c>
      <c r="U1086">
        <v>170</v>
      </c>
      <c r="V1086" t="s">
        <v>284</v>
      </c>
      <c r="W1086">
        <v>191</v>
      </c>
      <c r="X1086" t="s">
        <v>284</v>
      </c>
      <c r="Y1086">
        <v>207</v>
      </c>
      <c r="Z1086" t="s">
        <v>284</v>
      </c>
      <c r="AA1086">
        <v>205</v>
      </c>
      <c r="AB1086" t="s">
        <v>285</v>
      </c>
      <c r="AG1086">
        <v>188.66669999999999</v>
      </c>
      <c r="AH1086" t="s">
        <v>54</v>
      </c>
      <c r="AI1086" t="s">
        <v>52</v>
      </c>
      <c r="AX1086">
        <v>271.60000000000002</v>
      </c>
      <c r="AY1086" t="s">
        <v>285</v>
      </c>
      <c r="AZ1086" t="s">
        <v>287</v>
      </c>
      <c r="BQ1086" t="s">
        <v>52</v>
      </c>
      <c r="BR1086">
        <v>0.83</v>
      </c>
      <c r="BS1086" t="s">
        <v>285</v>
      </c>
      <c r="BT1086">
        <v>0.56000000000000005</v>
      </c>
      <c r="BU1086" t="s">
        <v>284</v>
      </c>
      <c r="BV1086">
        <v>0.16</v>
      </c>
      <c r="BW1086" t="s">
        <v>285</v>
      </c>
      <c r="BX1086">
        <v>0.3</v>
      </c>
      <c r="BY1086" t="s">
        <v>285</v>
      </c>
      <c r="BZ1086">
        <v>0.26</v>
      </c>
      <c r="CA1086" t="s">
        <v>284</v>
      </c>
      <c r="CF1086">
        <v>0.37</v>
      </c>
      <c r="CG1086" t="s">
        <v>54</v>
      </c>
      <c r="CH1086" t="s">
        <v>52</v>
      </c>
    </row>
    <row r="1087" spans="1:86" x14ac:dyDescent="0.25">
      <c r="A1087" t="s">
        <v>47</v>
      </c>
      <c r="B1087">
        <v>8</v>
      </c>
      <c r="C1087" t="s">
        <v>189</v>
      </c>
      <c r="D1087">
        <v>97</v>
      </c>
      <c r="E1087" t="s">
        <v>70</v>
      </c>
      <c r="F1087">
        <v>296</v>
      </c>
      <c r="G1087" t="s">
        <v>71</v>
      </c>
      <c r="H1087" t="s">
        <v>50</v>
      </c>
      <c r="K1087" t="s">
        <v>51</v>
      </c>
      <c r="L1087">
        <v>1</v>
      </c>
      <c r="M1087" t="s">
        <v>53</v>
      </c>
      <c r="N1087">
        <v>296</v>
      </c>
      <c r="O1087">
        <v>1</v>
      </c>
      <c r="P1087" t="s">
        <v>52</v>
      </c>
      <c r="Q1087">
        <v>0</v>
      </c>
      <c r="R1087">
        <v>0.75</v>
      </c>
      <c r="S1087">
        <v>228</v>
      </c>
      <c r="T1087" t="s">
        <v>284</v>
      </c>
      <c r="U1087">
        <v>190</v>
      </c>
      <c r="V1087" t="s">
        <v>285</v>
      </c>
      <c r="W1087">
        <v>194</v>
      </c>
      <c r="X1087" t="s">
        <v>285</v>
      </c>
      <c r="Y1087">
        <v>225</v>
      </c>
      <c r="Z1087" t="s">
        <v>285</v>
      </c>
      <c r="AA1087">
        <v>247</v>
      </c>
      <c r="AB1087" t="s">
        <v>285</v>
      </c>
      <c r="AC1087">
        <v>241</v>
      </c>
      <c r="AD1087" t="s">
        <v>285</v>
      </c>
      <c r="AE1087">
        <v>219</v>
      </c>
      <c r="AF1087" t="s">
        <v>285</v>
      </c>
      <c r="AG1087">
        <v>219</v>
      </c>
      <c r="AH1087" t="s">
        <v>286</v>
      </c>
      <c r="AI1087" t="s">
        <v>287</v>
      </c>
      <c r="AX1087">
        <v>263</v>
      </c>
      <c r="AY1087" t="s">
        <v>286</v>
      </c>
      <c r="AZ1087" t="s">
        <v>287</v>
      </c>
      <c r="BQ1087" t="s">
        <v>52</v>
      </c>
      <c r="BR1087">
        <v>1.85</v>
      </c>
      <c r="BS1087" t="s">
        <v>284</v>
      </c>
      <c r="BT1087">
        <v>1.0900000000000001</v>
      </c>
      <c r="BU1087" t="s">
        <v>285</v>
      </c>
      <c r="BV1087">
        <v>0.65</v>
      </c>
      <c r="BW1087" t="s">
        <v>285</v>
      </c>
      <c r="BX1087">
        <v>1.08</v>
      </c>
      <c r="BY1087" t="s">
        <v>285</v>
      </c>
      <c r="BZ1087">
        <v>0.87</v>
      </c>
      <c r="CA1087" t="s">
        <v>288</v>
      </c>
      <c r="CF1087">
        <v>1.01</v>
      </c>
      <c r="CG1087" t="s">
        <v>54</v>
      </c>
      <c r="CH1087" t="s">
        <v>52</v>
      </c>
    </row>
    <row r="1088" spans="1:86" x14ac:dyDescent="0.25">
      <c r="A1088" t="s">
        <v>47</v>
      </c>
      <c r="B1088">
        <v>8</v>
      </c>
      <c r="C1088" t="s">
        <v>189</v>
      </c>
      <c r="D1088">
        <v>97</v>
      </c>
      <c r="E1088" t="s">
        <v>75</v>
      </c>
      <c r="F1088">
        <v>16</v>
      </c>
      <c r="G1088" t="s">
        <v>76</v>
      </c>
      <c r="H1088" t="s">
        <v>50</v>
      </c>
      <c r="K1088" t="s">
        <v>51</v>
      </c>
      <c r="L1088">
        <v>1</v>
      </c>
      <c r="M1088" t="s">
        <v>53</v>
      </c>
      <c r="N1088">
        <v>16</v>
      </c>
      <c r="O1088">
        <v>2</v>
      </c>
      <c r="P1088" t="s">
        <v>52</v>
      </c>
      <c r="Q1088">
        <v>0.5</v>
      </c>
      <c r="R1088">
        <v>0.75</v>
      </c>
      <c r="S1088">
        <v>83.35</v>
      </c>
      <c r="T1088" t="s">
        <v>285</v>
      </c>
      <c r="U1088">
        <v>96.14</v>
      </c>
      <c r="V1088" t="s">
        <v>284</v>
      </c>
      <c r="W1088">
        <v>103.37</v>
      </c>
      <c r="X1088" t="s">
        <v>284</v>
      </c>
      <c r="Y1088">
        <v>106.14</v>
      </c>
      <c r="Z1088" t="s">
        <v>284</v>
      </c>
      <c r="AA1088">
        <v>128</v>
      </c>
      <c r="AB1088" t="s">
        <v>285</v>
      </c>
      <c r="AG1088">
        <v>101.88330000000001</v>
      </c>
      <c r="AH1088" t="s">
        <v>54</v>
      </c>
      <c r="AI1088" t="s">
        <v>52</v>
      </c>
      <c r="AX1088">
        <v>146.69999999999999</v>
      </c>
      <c r="AY1088" t="s">
        <v>285</v>
      </c>
      <c r="AZ1088" t="s">
        <v>287</v>
      </c>
      <c r="BQ1088" t="s">
        <v>52</v>
      </c>
      <c r="BR1088">
        <v>1.85</v>
      </c>
      <c r="BS1088" t="s">
        <v>284</v>
      </c>
      <c r="BT1088">
        <v>0.81</v>
      </c>
      <c r="BU1088" t="s">
        <v>284</v>
      </c>
      <c r="BV1088">
        <v>0.68</v>
      </c>
      <c r="BW1088" t="s">
        <v>284</v>
      </c>
      <c r="BX1088">
        <v>1.1200000000000001</v>
      </c>
      <c r="BY1088" t="s">
        <v>284</v>
      </c>
      <c r="BZ1088">
        <v>1.31</v>
      </c>
      <c r="CA1088" t="s">
        <v>289</v>
      </c>
      <c r="CF1088">
        <v>1.08</v>
      </c>
      <c r="CG1088" t="s">
        <v>54</v>
      </c>
      <c r="CH1088" t="s">
        <v>52</v>
      </c>
    </row>
    <row r="1089" spans="1:86" x14ac:dyDescent="0.25">
      <c r="A1089" t="s">
        <v>47</v>
      </c>
      <c r="B1089">
        <v>8</v>
      </c>
      <c r="C1089" t="s">
        <v>190</v>
      </c>
      <c r="D1089">
        <v>99</v>
      </c>
      <c r="E1089" t="s">
        <v>49</v>
      </c>
      <c r="F1089">
        <v>27</v>
      </c>
      <c r="H1089" t="s">
        <v>50</v>
      </c>
      <c r="K1089" t="s">
        <v>51</v>
      </c>
      <c r="L1089">
        <v>1</v>
      </c>
      <c r="M1089" t="s">
        <v>53</v>
      </c>
      <c r="N1089">
        <v>27</v>
      </c>
      <c r="O1089">
        <v>1</v>
      </c>
      <c r="P1089" t="s">
        <v>52</v>
      </c>
      <c r="Q1089">
        <v>0</v>
      </c>
      <c r="R1089">
        <v>0.75</v>
      </c>
      <c r="S1089">
        <v>231</v>
      </c>
      <c r="T1089" t="s">
        <v>284</v>
      </c>
      <c r="U1089">
        <v>208</v>
      </c>
      <c r="V1089" t="s">
        <v>284</v>
      </c>
      <c r="W1089">
        <v>224</v>
      </c>
      <c r="X1089" t="s">
        <v>284</v>
      </c>
      <c r="Y1089">
        <v>225</v>
      </c>
      <c r="Z1089" t="s">
        <v>285</v>
      </c>
      <c r="AA1089">
        <v>247</v>
      </c>
      <c r="AB1089" t="s">
        <v>285</v>
      </c>
      <c r="AC1089">
        <v>241</v>
      </c>
      <c r="AD1089" t="s">
        <v>285</v>
      </c>
      <c r="AE1089">
        <v>219</v>
      </c>
      <c r="AF1089" t="s">
        <v>285</v>
      </c>
      <c r="AG1089">
        <v>219</v>
      </c>
      <c r="AH1089" t="s">
        <v>286</v>
      </c>
      <c r="AI1089" t="s">
        <v>287</v>
      </c>
      <c r="AX1089">
        <v>263</v>
      </c>
      <c r="AY1089" t="s">
        <v>286</v>
      </c>
      <c r="AZ1089" t="s">
        <v>287</v>
      </c>
      <c r="BQ1089" t="s">
        <v>52</v>
      </c>
      <c r="BR1089">
        <v>3.7</v>
      </c>
      <c r="BS1089" t="s">
        <v>284</v>
      </c>
      <c r="BT1089">
        <v>3.4</v>
      </c>
      <c r="BU1089" t="s">
        <v>284</v>
      </c>
      <c r="BV1089">
        <v>2.57</v>
      </c>
      <c r="BW1089" t="s">
        <v>284</v>
      </c>
      <c r="BX1089">
        <v>2.2400000000000002</v>
      </c>
      <c r="BY1089" t="s">
        <v>284</v>
      </c>
      <c r="BZ1089">
        <v>1.86</v>
      </c>
      <c r="CA1089" t="s">
        <v>288</v>
      </c>
      <c r="CF1089">
        <v>2.74</v>
      </c>
      <c r="CG1089" t="s">
        <v>54</v>
      </c>
      <c r="CH1089" t="s">
        <v>52</v>
      </c>
    </row>
    <row r="1090" spans="1:86" x14ac:dyDescent="0.25">
      <c r="A1090" t="s">
        <v>47</v>
      </c>
      <c r="B1090">
        <v>8</v>
      </c>
      <c r="C1090" t="s">
        <v>190</v>
      </c>
      <c r="D1090">
        <v>99</v>
      </c>
      <c r="E1090" t="s">
        <v>49</v>
      </c>
      <c r="F1090">
        <v>27</v>
      </c>
      <c r="H1090" t="s">
        <v>50</v>
      </c>
      <c r="K1090" t="s">
        <v>52</v>
      </c>
      <c r="L1090">
        <v>1</v>
      </c>
      <c r="M1090" t="s">
        <v>53</v>
      </c>
      <c r="N1090">
        <v>27</v>
      </c>
      <c r="O1090">
        <v>1</v>
      </c>
      <c r="P1090" t="s">
        <v>52</v>
      </c>
      <c r="Q1090">
        <v>0</v>
      </c>
      <c r="R1090">
        <v>0.75</v>
      </c>
      <c r="S1090">
        <v>231</v>
      </c>
      <c r="T1090" t="s">
        <v>284</v>
      </c>
      <c r="U1090">
        <v>208</v>
      </c>
      <c r="V1090" t="s">
        <v>284</v>
      </c>
      <c r="W1090">
        <v>224</v>
      </c>
      <c r="X1090" t="s">
        <v>284</v>
      </c>
      <c r="Y1090">
        <v>225</v>
      </c>
      <c r="Z1090" t="s">
        <v>285</v>
      </c>
      <c r="AA1090">
        <v>247</v>
      </c>
      <c r="AB1090" t="s">
        <v>285</v>
      </c>
      <c r="AC1090">
        <v>241</v>
      </c>
      <c r="AD1090" t="s">
        <v>285</v>
      </c>
      <c r="AE1090">
        <v>219</v>
      </c>
      <c r="AF1090" t="s">
        <v>285</v>
      </c>
      <c r="AG1090">
        <v>219</v>
      </c>
      <c r="AH1090" t="s">
        <v>286</v>
      </c>
      <c r="AI1090" t="s">
        <v>287</v>
      </c>
      <c r="AX1090">
        <v>263</v>
      </c>
      <c r="AY1090" t="s">
        <v>286</v>
      </c>
      <c r="AZ1090" t="s">
        <v>287</v>
      </c>
      <c r="BQ1090" t="s">
        <v>52</v>
      </c>
      <c r="BR1090">
        <v>1.3</v>
      </c>
      <c r="BS1090" t="s">
        <v>284</v>
      </c>
      <c r="BT1090">
        <v>1.2</v>
      </c>
      <c r="BU1090" t="s">
        <v>284</v>
      </c>
      <c r="BV1090">
        <v>0.75</v>
      </c>
      <c r="BW1090" t="s">
        <v>284</v>
      </c>
      <c r="BX1090">
        <v>0.12</v>
      </c>
      <c r="BY1090" t="s">
        <v>284</v>
      </c>
      <c r="BZ1090">
        <v>0.14000000000000001</v>
      </c>
      <c r="CA1090" t="s">
        <v>289</v>
      </c>
      <c r="CF1090">
        <v>0.7</v>
      </c>
      <c r="CG1090" t="s">
        <v>54</v>
      </c>
      <c r="CH1090" t="s">
        <v>52</v>
      </c>
    </row>
    <row r="1091" spans="1:86" x14ac:dyDescent="0.25">
      <c r="A1091" t="s">
        <v>47</v>
      </c>
      <c r="B1091">
        <v>8</v>
      </c>
      <c r="C1091" t="s">
        <v>190</v>
      </c>
      <c r="D1091">
        <v>99</v>
      </c>
      <c r="E1091" t="s">
        <v>58</v>
      </c>
      <c r="F1091">
        <v>102</v>
      </c>
      <c r="G1091" t="s">
        <v>191</v>
      </c>
      <c r="H1091" t="s">
        <v>50</v>
      </c>
      <c r="K1091" t="s">
        <v>51</v>
      </c>
      <c r="L1091">
        <v>1</v>
      </c>
      <c r="M1091" t="s">
        <v>53</v>
      </c>
      <c r="N1091">
        <v>102</v>
      </c>
      <c r="O1091">
        <v>1</v>
      </c>
      <c r="P1091" t="s">
        <v>52</v>
      </c>
      <c r="Q1091">
        <v>0</v>
      </c>
      <c r="R1091">
        <v>0.92</v>
      </c>
      <c r="S1091">
        <v>52.32</v>
      </c>
      <c r="T1091" t="s">
        <v>285</v>
      </c>
      <c r="U1091">
        <v>68</v>
      </c>
      <c r="V1091" t="s">
        <v>285</v>
      </c>
      <c r="W1091">
        <v>68</v>
      </c>
      <c r="X1091" t="s">
        <v>285</v>
      </c>
      <c r="AI1091" t="s">
        <v>52</v>
      </c>
      <c r="AZ1091" t="s">
        <v>52</v>
      </c>
      <c r="BQ1091" t="s">
        <v>52</v>
      </c>
      <c r="BR1091">
        <v>1.85</v>
      </c>
      <c r="BS1091" t="s">
        <v>284</v>
      </c>
      <c r="BT1091">
        <v>1.26</v>
      </c>
      <c r="BU1091" t="s">
        <v>284</v>
      </c>
      <c r="BV1091">
        <v>0.98</v>
      </c>
      <c r="BW1091" t="s">
        <v>284</v>
      </c>
      <c r="CH1091" t="s">
        <v>52</v>
      </c>
    </row>
    <row r="1092" spans="1:86" x14ac:dyDescent="0.25">
      <c r="A1092" t="s">
        <v>47</v>
      </c>
      <c r="B1092">
        <v>8</v>
      </c>
      <c r="C1092" t="s">
        <v>190</v>
      </c>
      <c r="D1092">
        <v>99</v>
      </c>
      <c r="E1092" t="s">
        <v>58</v>
      </c>
      <c r="F1092">
        <v>102</v>
      </c>
      <c r="G1092" t="s">
        <v>61</v>
      </c>
      <c r="H1092" t="s">
        <v>50</v>
      </c>
      <c r="K1092" t="s">
        <v>51</v>
      </c>
      <c r="L1092">
        <v>1</v>
      </c>
      <c r="M1092" t="s">
        <v>53</v>
      </c>
      <c r="N1092">
        <v>102</v>
      </c>
      <c r="O1092">
        <v>1</v>
      </c>
      <c r="P1092" t="s">
        <v>52</v>
      </c>
      <c r="Q1092">
        <v>0</v>
      </c>
      <c r="R1092">
        <v>0.92</v>
      </c>
      <c r="S1092">
        <v>131.69999999999999</v>
      </c>
      <c r="T1092" t="s">
        <v>284</v>
      </c>
      <c r="U1092">
        <v>170</v>
      </c>
      <c r="V1092" t="s">
        <v>284</v>
      </c>
      <c r="W1092">
        <v>191</v>
      </c>
      <c r="X1092" t="s">
        <v>284</v>
      </c>
      <c r="Y1092">
        <v>207</v>
      </c>
      <c r="Z1092" t="s">
        <v>284</v>
      </c>
      <c r="AA1092">
        <v>315</v>
      </c>
      <c r="AB1092" t="s">
        <v>285</v>
      </c>
      <c r="AG1092">
        <v>189.33330000000001</v>
      </c>
      <c r="AH1092" t="s">
        <v>54</v>
      </c>
      <c r="AI1092" t="s">
        <v>52</v>
      </c>
      <c r="AZ1092" t="s">
        <v>52</v>
      </c>
      <c r="BQ1092" t="s">
        <v>52</v>
      </c>
      <c r="BR1092">
        <v>1.85</v>
      </c>
      <c r="BS1092" t="s">
        <v>284</v>
      </c>
      <c r="CH1092" t="s">
        <v>52</v>
      </c>
    </row>
    <row r="1093" spans="1:86" x14ac:dyDescent="0.25">
      <c r="A1093" t="s">
        <v>47</v>
      </c>
      <c r="B1093">
        <v>8</v>
      </c>
      <c r="C1093" t="s">
        <v>190</v>
      </c>
      <c r="D1093">
        <v>99</v>
      </c>
      <c r="E1093" t="s">
        <v>58</v>
      </c>
      <c r="F1093">
        <v>102</v>
      </c>
      <c r="G1093" t="s">
        <v>62</v>
      </c>
      <c r="H1093" t="s">
        <v>50</v>
      </c>
      <c r="K1093" t="s">
        <v>52</v>
      </c>
      <c r="L1093">
        <v>1</v>
      </c>
      <c r="M1093" t="s">
        <v>53</v>
      </c>
      <c r="N1093">
        <v>102</v>
      </c>
      <c r="O1093">
        <v>1</v>
      </c>
      <c r="P1093" t="s">
        <v>52</v>
      </c>
      <c r="Q1093">
        <v>0</v>
      </c>
      <c r="R1093">
        <v>0.92</v>
      </c>
      <c r="S1093">
        <v>131.69999999999999</v>
      </c>
      <c r="T1093" t="s">
        <v>284</v>
      </c>
      <c r="U1093">
        <v>170</v>
      </c>
      <c r="V1093" t="s">
        <v>284</v>
      </c>
      <c r="W1093">
        <v>191</v>
      </c>
      <c r="X1093" t="s">
        <v>284</v>
      </c>
      <c r="Y1093">
        <v>207</v>
      </c>
      <c r="Z1093" t="s">
        <v>284</v>
      </c>
      <c r="AA1093">
        <v>205</v>
      </c>
      <c r="AB1093" t="s">
        <v>285</v>
      </c>
      <c r="AG1093">
        <v>188.66669999999999</v>
      </c>
      <c r="AH1093" t="s">
        <v>54</v>
      </c>
      <c r="AI1093" t="s">
        <v>52</v>
      </c>
      <c r="AX1093">
        <v>271.60000000000002</v>
      </c>
      <c r="AY1093" t="s">
        <v>285</v>
      </c>
      <c r="AZ1093" t="s">
        <v>287</v>
      </c>
      <c r="BQ1093" t="s">
        <v>52</v>
      </c>
      <c r="BR1093">
        <v>0.83</v>
      </c>
      <c r="BS1093" t="s">
        <v>285</v>
      </c>
      <c r="BT1093">
        <v>0.86</v>
      </c>
      <c r="BU1093" t="s">
        <v>284</v>
      </c>
      <c r="BV1093">
        <v>0.25</v>
      </c>
      <c r="BW1093" t="s">
        <v>285</v>
      </c>
      <c r="BX1093">
        <v>0.46</v>
      </c>
      <c r="BY1093" t="s">
        <v>285</v>
      </c>
      <c r="BZ1093">
        <v>0.4</v>
      </c>
      <c r="CA1093" t="s">
        <v>284</v>
      </c>
      <c r="CF1093">
        <v>0.56000000000000005</v>
      </c>
      <c r="CG1093" t="s">
        <v>54</v>
      </c>
      <c r="CH1093" t="s">
        <v>52</v>
      </c>
    </row>
    <row r="1094" spans="1:86" x14ac:dyDescent="0.25">
      <c r="A1094" t="s">
        <v>47</v>
      </c>
      <c r="B1094">
        <v>8</v>
      </c>
      <c r="C1094" t="s">
        <v>190</v>
      </c>
      <c r="D1094">
        <v>99</v>
      </c>
      <c r="E1094" t="s">
        <v>68</v>
      </c>
      <c r="F1094">
        <v>80</v>
      </c>
      <c r="G1094" t="s">
        <v>69</v>
      </c>
      <c r="H1094" t="s">
        <v>50</v>
      </c>
      <c r="K1094" t="s">
        <v>51</v>
      </c>
      <c r="L1094">
        <v>1</v>
      </c>
      <c r="M1094" t="s">
        <v>53</v>
      </c>
      <c r="N1094">
        <v>80</v>
      </c>
      <c r="O1094">
        <v>1</v>
      </c>
      <c r="P1094" t="s">
        <v>52</v>
      </c>
      <c r="Q1094">
        <v>0.5</v>
      </c>
      <c r="R1094">
        <v>0.75</v>
      </c>
      <c r="S1094">
        <v>202.92</v>
      </c>
      <c r="T1094" t="s">
        <v>284</v>
      </c>
      <c r="U1094">
        <v>198.9</v>
      </c>
      <c r="V1094" t="s">
        <v>284</v>
      </c>
      <c r="W1094">
        <v>212.4</v>
      </c>
      <c r="X1094" t="s">
        <v>284</v>
      </c>
      <c r="Y1094">
        <v>219.6</v>
      </c>
      <c r="Z1094" t="s">
        <v>284</v>
      </c>
      <c r="AA1094">
        <v>178</v>
      </c>
      <c r="AB1094" t="s">
        <v>284</v>
      </c>
      <c r="AG1094">
        <v>204.74</v>
      </c>
      <c r="AH1094" t="s">
        <v>54</v>
      </c>
      <c r="AI1094" t="s">
        <v>52</v>
      </c>
      <c r="AZ1094" t="s">
        <v>52</v>
      </c>
      <c r="BQ1094" t="s">
        <v>52</v>
      </c>
      <c r="BR1094">
        <v>1.85</v>
      </c>
      <c r="BS1094" t="s">
        <v>284</v>
      </c>
      <c r="BT1094">
        <v>1.82</v>
      </c>
      <c r="BU1094" t="s">
        <v>284</v>
      </c>
      <c r="BV1094">
        <v>1.99</v>
      </c>
      <c r="BW1094" t="s">
        <v>284</v>
      </c>
      <c r="BX1094">
        <v>2.5</v>
      </c>
      <c r="BY1094" t="s">
        <v>284</v>
      </c>
      <c r="BZ1094">
        <v>2.1800000000000002</v>
      </c>
      <c r="CA1094" t="s">
        <v>285</v>
      </c>
      <c r="CF1094">
        <v>2.0099999999999998</v>
      </c>
      <c r="CG1094" t="s">
        <v>54</v>
      </c>
      <c r="CH1094" t="s">
        <v>52</v>
      </c>
    </row>
    <row r="1095" spans="1:86" x14ac:dyDescent="0.25">
      <c r="A1095" t="s">
        <v>47</v>
      </c>
      <c r="B1095">
        <v>8</v>
      </c>
      <c r="C1095" t="s">
        <v>190</v>
      </c>
      <c r="D1095">
        <v>99</v>
      </c>
      <c r="E1095" t="s">
        <v>68</v>
      </c>
      <c r="F1095">
        <v>80</v>
      </c>
      <c r="G1095" t="s">
        <v>69</v>
      </c>
      <c r="H1095" t="s">
        <v>50</v>
      </c>
      <c r="K1095" t="s">
        <v>52</v>
      </c>
      <c r="L1095">
        <v>1</v>
      </c>
      <c r="M1095" t="s">
        <v>53</v>
      </c>
      <c r="N1095">
        <v>80</v>
      </c>
      <c r="O1095">
        <v>1</v>
      </c>
      <c r="P1095" t="s">
        <v>52</v>
      </c>
      <c r="Q1095">
        <v>0.5</v>
      </c>
      <c r="R1095">
        <v>0.75</v>
      </c>
      <c r="S1095">
        <v>202.92</v>
      </c>
      <c r="T1095" t="s">
        <v>284</v>
      </c>
      <c r="U1095">
        <v>198.9</v>
      </c>
      <c r="V1095" t="s">
        <v>284</v>
      </c>
      <c r="W1095">
        <v>212.4</v>
      </c>
      <c r="X1095" t="s">
        <v>284</v>
      </c>
      <c r="Y1095">
        <v>219.6</v>
      </c>
      <c r="Z1095" t="s">
        <v>284</v>
      </c>
      <c r="AA1095">
        <v>178</v>
      </c>
      <c r="AB1095" t="s">
        <v>284</v>
      </c>
      <c r="AG1095">
        <v>204.74</v>
      </c>
      <c r="AH1095" t="s">
        <v>54</v>
      </c>
      <c r="AI1095" t="s">
        <v>52</v>
      </c>
      <c r="AZ1095" t="s">
        <v>52</v>
      </c>
      <c r="BQ1095" t="s">
        <v>52</v>
      </c>
      <c r="BR1095">
        <v>0.65</v>
      </c>
      <c r="BS1095" t="s">
        <v>285</v>
      </c>
      <c r="BT1095">
        <v>0.95</v>
      </c>
      <c r="BU1095" t="s">
        <v>284</v>
      </c>
      <c r="BV1095">
        <v>1.37</v>
      </c>
      <c r="BW1095" t="s">
        <v>284</v>
      </c>
      <c r="BX1095">
        <v>1.31</v>
      </c>
      <c r="BY1095" t="s">
        <v>284</v>
      </c>
      <c r="BZ1095">
        <v>1.1399999999999999</v>
      </c>
      <c r="CA1095" t="s">
        <v>285</v>
      </c>
      <c r="CF1095">
        <v>1.1299999999999999</v>
      </c>
      <c r="CG1095" t="s">
        <v>54</v>
      </c>
      <c r="CH1095" t="s">
        <v>52</v>
      </c>
    </row>
    <row r="1096" spans="1:86" x14ac:dyDescent="0.25">
      <c r="A1096" t="s">
        <v>47</v>
      </c>
      <c r="B1096">
        <v>8</v>
      </c>
      <c r="C1096" t="s">
        <v>190</v>
      </c>
      <c r="D1096">
        <v>99</v>
      </c>
      <c r="E1096" t="s">
        <v>70</v>
      </c>
      <c r="F1096">
        <v>296</v>
      </c>
      <c r="G1096" t="s">
        <v>71</v>
      </c>
      <c r="H1096" t="s">
        <v>50</v>
      </c>
      <c r="K1096" t="s">
        <v>51</v>
      </c>
      <c r="L1096">
        <v>1</v>
      </c>
      <c r="M1096" t="s">
        <v>53</v>
      </c>
      <c r="N1096">
        <v>296</v>
      </c>
      <c r="O1096">
        <v>1</v>
      </c>
      <c r="P1096" t="s">
        <v>52</v>
      </c>
      <c r="Q1096">
        <v>0</v>
      </c>
      <c r="R1096">
        <v>0.75</v>
      </c>
      <c r="S1096">
        <v>228</v>
      </c>
      <c r="T1096" t="s">
        <v>284</v>
      </c>
      <c r="U1096">
        <v>190</v>
      </c>
      <c r="V1096" t="s">
        <v>285</v>
      </c>
      <c r="W1096">
        <v>194</v>
      </c>
      <c r="X1096" t="s">
        <v>285</v>
      </c>
      <c r="Y1096">
        <v>225</v>
      </c>
      <c r="Z1096" t="s">
        <v>285</v>
      </c>
      <c r="AA1096">
        <v>247</v>
      </c>
      <c r="AB1096" t="s">
        <v>285</v>
      </c>
      <c r="AC1096">
        <v>241</v>
      </c>
      <c r="AD1096" t="s">
        <v>285</v>
      </c>
      <c r="AE1096">
        <v>219</v>
      </c>
      <c r="AF1096" t="s">
        <v>285</v>
      </c>
      <c r="AG1096">
        <v>219</v>
      </c>
      <c r="AH1096" t="s">
        <v>286</v>
      </c>
      <c r="AI1096" t="s">
        <v>287</v>
      </c>
      <c r="AX1096">
        <v>263</v>
      </c>
      <c r="AY1096" t="s">
        <v>286</v>
      </c>
      <c r="AZ1096" t="s">
        <v>287</v>
      </c>
      <c r="BQ1096" t="s">
        <v>52</v>
      </c>
      <c r="CH1096" t="s">
        <v>52</v>
      </c>
    </row>
    <row r="1097" spans="1:86" x14ac:dyDescent="0.25">
      <c r="A1097" t="s">
        <v>47</v>
      </c>
      <c r="B1097">
        <v>8</v>
      </c>
      <c r="C1097" t="s">
        <v>190</v>
      </c>
      <c r="D1097">
        <v>99</v>
      </c>
      <c r="E1097" t="s">
        <v>70</v>
      </c>
      <c r="F1097">
        <v>296</v>
      </c>
      <c r="G1097" t="s">
        <v>71</v>
      </c>
      <c r="H1097" t="s">
        <v>50</v>
      </c>
      <c r="K1097" t="s">
        <v>52</v>
      </c>
      <c r="L1097">
        <v>1</v>
      </c>
      <c r="M1097" t="s">
        <v>53</v>
      </c>
      <c r="N1097">
        <v>296</v>
      </c>
      <c r="O1097">
        <v>1</v>
      </c>
      <c r="P1097" t="s">
        <v>52</v>
      </c>
      <c r="Q1097">
        <v>0</v>
      </c>
      <c r="R1097">
        <v>0.75</v>
      </c>
      <c r="S1097">
        <v>228</v>
      </c>
      <c r="T1097" t="s">
        <v>284</v>
      </c>
      <c r="U1097">
        <v>190</v>
      </c>
      <c r="V1097" t="s">
        <v>285</v>
      </c>
      <c r="W1097">
        <v>194</v>
      </c>
      <c r="X1097" t="s">
        <v>285</v>
      </c>
      <c r="Y1097">
        <v>225</v>
      </c>
      <c r="Z1097" t="s">
        <v>285</v>
      </c>
      <c r="AA1097">
        <v>247</v>
      </c>
      <c r="AB1097" t="s">
        <v>285</v>
      </c>
      <c r="AC1097">
        <v>241</v>
      </c>
      <c r="AD1097" t="s">
        <v>285</v>
      </c>
      <c r="AE1097">
        <v>219</v>
      </c>
      <c r="AF1097" t="s">
        <v>285</v>
      </c>
      <c r="AG1097">
        <v>219</v>
      </c>
      <c r="AH1097" t="s">
        <v>286</v>
      </c>
      <c r="AI1097" t="s">
        <v>287</v>
      </c>
      <c r="AX1097">
        <v>263</v>
      </c>
      <c r="AY1097" t="s">
        <v>286</v>
      </c>
      <c r="AZ1097" t="s">
        <v>287</v>
      </c>
      <c r="BQ1097" t="s">
        <v>52</v>
      </c>
      <c r="CH1097" t="s">
        <v>52</v>
      </c>
    </row>
    <row r="1098" spans="1:86" x14ac:dyDescent="0.25">
      <c r="A1098" t="s">
        <v>47</v>
      </c>
      <c r="B1098">
        <v>8</v>
      </c>
      <c r="C1098" t="s">
        <v>190</v>
      </c>
      <c r="D1098">
        <v>99</v>
      </c>
      <c r="E1098" t="s">
        <v>75</v>
      </c>
      <c r="F1098">
        <v>16</v>
      </c>
      <c r="G1098" t="s">
        <v>76</v>
      </c>
      <c r="H1098" t="s">
        <v>50</v>
      </c>
      <c r="K1098" t="s">
        <v>51</v>
      </c>
      <c r="L1098">
        <v>1</v>
      </c>
      <c r="M1098" t="s">
        <v>53</v>
      </c>
      <c r="N1098">
        <v>16</v>
      </c>
      <c r="O1098">
        <v>2</v>
      </c>
      <c r="P1098" t="s">
        <v>52</v>
      </c>
      <c r="Q1098">
        <v>0.5</v>
      </c>
      <c r="R1098">
        <v>0.75</v>
      </c>
      <c r="S1098">
        <v>83.35</v>
      </c>
      <c r="T1098" t="s">
        <v>285</v>
      </c>
      <c r="U1098">
        <v>96.14</v>
      </c>
      <c r="V1098" t="s">
        <v>284</v>
      </c>
      <c r="W1098">
        <v>103.37</v>
      </c>
      <c r="X1098" t="s">
        <v>284</v>
      </c>
      <c r="Y1098">
        <v>106.14</v>
      </c>
      <c r="Z1098" t="s">
        <v>284</v>
      </c>
      <c r="AA1098">
        <v>128</v>
      </c>
      <c r="AB1098" t="s">
        <v>285</v>
      </c>
      <c r="AG1098">
        <v>101.88330000000001</v>
      </c>
      <c r="AH1098" t="s">
        <v>54</v>
      </c>
      <c r="AI1098" t="s">
        <v>52</v>
      </c>
      <c r="AX1098">
        <v>146.69999999999999</v>
      </c>
      <c r="AY1098" t="s">
        <v>285</v>
      </c>
      <c r="AZ1098" t="s">
        <v>287</v>
      </c>
      <c r="BQ1098" t="s">
        <v>52</v>
      </c>
      <c r="BR1098">
        <v>1.85</v>
      </c>
      <c r="BS1098" t="s">
        <v>284</v>
      </c>
      <c r="BT1098">
        <v>1.75</v>
      </c>
      <c r="BU1098" t="s">
        <v>284</v>
      </c>
      <c r="BV1098">
        <v>1.47</v>
      </c>
      <c r="BW1098" t="s">
        <v>284</v>
      </c>
      <c r="BX1098">
        <v>2.4</v>
      </c>
      <c r="BY1098" t="s">
        <v>284</v>
      </c>
      <c r="BZ1098">
        <v>2.81</v>
      </c>
      <c r="CA1098" t="s">
        <v>289</v>
      </c>
      <c r="CF1098">
        <v>2</v>
      </c>
      <c r="CG1098" t="s">
        <v>54</v>
      </c>
      <c r="CH1098" t="s">
        <v>52</v>
      </c>
    </row>
    <row r="1099" spans="1:86" x14ac:dyDescent="0.25">
      <c r="A1099" t="s">
        <v>47</v>
      </c>
      <c r="B1099">
        <v>8</v>
      </c>
      <c r="C1099" t="s">
        <v>190</v>
      </c>
      <c r="D1099">
        <v>99</v>
      </c>
      <c r="E1099" t="s">
        <v>75</v>
      </c>
      <c r="F1099">
        <v>16</v>
      </c>
      <c r="G1099" t="s">
        <v>76</v>
      </c>
      <c r="H1099" t="s">
        <v>50</v>
      </c>
      <c r="K1099" t="s">
        <v>52</v>
      </c>
      <c r="L1099">
        <v>1</v>
      </c>
      <c r="M1099" t="s">
        <v>53</v>
      </c>
      <c r="N1099">
        <v>16</v>
      </c>
      <c r="O1099">
        <v>2</v>
      </c>
      <c r="P1099" t="s">
        <v>52</v>
      </c>
      <c r="Q1099">
        <v>0.5</v>
      </c>
      <c r="R1099">
        <v>0.75</v>
      </c>
      <c r="S1099">
        <v>83.35</v>
      </c>
      <c r="T1099" t="s">
        <v>285</v>
      </c>
      <c r="U1099">
        <v>96.14</v>
      </c>
      <c r="V1099" t="s">
        <v>284</v>
      </c>
      <c r="W1099">
        <v>103.37</v>
      </c>
      <c r="X1099" t="s">
        <v>284</v>
      </c>
      <c r="Y1099">
        <v>106.14</v>
      </c>
      <c r="Z1099" t="s">
        <v>284</v>
      </c>
      <c r="AA1099">
        <v>128</v>
      </c>
      <c r="AB1099" t="s">
        <v>285</v>
      </c>
      <c r="AG1099">
        <v>101.88330000000001</v>
      </c>
      <c r="AH1099" t="s">
        <v>54</v>
      </c>
      <c r="AI1099" t="s">
        <v>52</v>
      </c>
      <c r="AX1099">
        <v>146.69999999999999</v>
      </c>
      <c r="AY1099" t="s">
        <v>285</v>
      </c>
      <c r="AZ1099" t="s">
        <v>287</v>
      </c>
      <c r="BQ1099" t="s">
        <v>52</v>
      </c>
      <c r="BR1099">
        <v>0.65</v>
      </c>
      <c r="BS1099" t="s">
        <v>284</v>
      </c>
      <c r="BT1099">
        <v>0.92</v>
      </c>
      <c r="BU1099" t="s">
        <v>284</v>
      </c>
      <c r="BV1099">
        <v>1.65</v>
      </c>
      <c r="BW1099" t="s">
        <v>284</v>
      </c>
      <c r="BX1099">
        <v>1.7</v>
      </c>
      <c r="BY1099" t="s">
        <v>284</v>
      </c>
      <c r="BZ1099">
        <v>0.19</v>
      </c>
      <c r="CA1099" t="s">
        <v>289</v>
      </c>
      <c r="CF1099">
        <v>1.07</v>
      </c>
      <c r="CG1099" t="s">
        <v>54</v>
      </c>
      <c r="CH1099" t="s">
        <v>52</v>
      </c>
    </row>
    <row r="1100" spans="1:86" x14ac:dyDescent="0.25">
      <c r="A1100" t="s">
        <v>47</v>
      </c>
      <c r="B1100">
        <v>8</v>
      </c>
      <c r="C1100" t="s">
        <v>190</v>
      </c>
      <c r="D1100">
        <v>99</v>
      </c>
      <c r="E1100" t="s">
        <v>77</v>
      </c>
      <c r="F1100">
        <v>51</v>
      </c>
      <c r="G1100" t="s">
        <v>78</v>
      </c>
      <c r="H1100" t="s">
        <v>50</v>
      </c>
      <c r="K1100" t="s">
        <v>51</v>
      </c>
      <c r="L1100">
        <v>1</v>
      </c>
      <c r="M1100" t="s">
        <v>53</v>
      </c>
      <c r="N1100">
        <v>51</v>
      </c>
      <c r="O1100">
        <v>2</v>
      </c>
      <c r="P1100" t="s">
        <v>52</v>
      </c>
      <c r="Q1100">
        <v>0.5</v>
      </c>
      <c r="R1100">
        <v>0.73</v>
      </c>
      <c r="S1100">
        <v>228</v>
      </c>
      <c r="T1100" t="s">
        <v>284</v>
      </c>
      <c r="U1100">
        <v>218</v>
      </c>
      <c r="V1100" t="s">
        <v>284</v>
      </c>
      <c r="W1100">
        <v>147</v>
      </c>
      <c r="X1100" t="s">
        <v>284</v>
      </c>
      <c r="Y1100">
        <v>170</v>
      </c>
      <c r="Z1100" t="s">
        <v>284</v>
      </c>
      <c r="AA1100">
        <v>109</v>
      </c>
      <c r="AB1100" t="s">
        <v>285</v>
      </c>
      <c r="AG1100">
        <v>178.33330000000001</v>
      </c>
      <c r="AH1100" t="s">
        <v>54</v>
      </c>
      <c r="AI1100" t="s">
        <v>52</v>
      </c>
      <c r="AZ1100" t="s">
        <v>52</v>
      </c>
      <c r="BQ1100" t="s">
        <v>52</v>
      </c>
      <c r="CH1100" t="s">
        <v>52</v>
      </c>
    </row>
    <row r="1101" spans="1:86" x14ac:dyDescent="0.25">
      <c r="A1101" t="s">
        <v>47</v>
      </c>
      <c r="B1101">
        <v>8</v>
      </c>
      <c r="C1101" t="s">
        <v>190</v>
      </c>
      <c r="D1101">
        <v>99</v>
      </c>
      <c r="E1101" t="s">
        <v>77</v>
      </c>
      <c r="F1101">
        <v>51</v>
      </c>
      <c r="G1101" t="s">
        <v>78</v>
      </c>
      <c r="H1101" t="s">
        <v>50</v>
      </c>
      <c r="K1101" t="s">
        <v>52</v>
      </c>
      <c r="L1101">
        <v>1</v>
      </c>
      <c r="M1101" t="s">
        <v>53</v>
      </c>
      <c r="N1101">
        <v>51</v>
      </c>
      <c r="O1101">
        <v>2</v>
      </c>
      <c r="P1101" t="s">
        <v>52</v>
      </c>
      <c r="Q1101">
        <v>0.5</v>
      </c>
      <c r="R1101">
        <v>0.73</v>
      </c>
      <c r="S1101">
        <v>228</v>
      </c>
      <c r="T1101" t="s">
        <v>284</v>
      </c>
      <c r="U1101">
        <v>218</v>
      </c>
      <c r="V1101" t="s">
        <v>284</v>
      </c>
      <c r="W1101">
        <v>147</v>
      </c>
      <c r="X1101" t="s">
        <v>284</v>
      </c>
      <c r="Y1101">
        <v>170</v>
      </c>
      <c r="Z1101" t="s">
        <v>284</v>
      </c>
      <c r="AA1101">
        <v>109</v>
      </c>
      <c r="AB1101" t="s">
        <v>285</v>
      </c>
      <c r="AG1101">
        <v>178.33330000000001</v>
      </c>
      <c r="AH1101" t="s">
        <v>54</v>
      </c>
      <c r="AI1101" t="s">
        <v>52</v>
      </c>
      <c r="AZ1101" t="s">
        <v>52</v>
      </c>
      <c r="BQ1101" t="s">
        <v>52</v>
      </c>
      <c r="CH1101" t="s">
        <v>52</v>
      </c>
    </row>
    <row r="1102" spans="1:86" x14ac:dyDescent="0.25">
      <c r="A1102" t="s">
        <v>47</v>
      </c>
      <c r="B1102">
        <v>8</v>
      </c>
      <c r="C1102" t="s">
        <v>190</v>
      </c>
      <c r="D1102">
        <v>99</v>
      </c>
      <c r="E1102" t="s">
        <v>79</v>
      </c>
      <c r="F1102">
        <v>50</v>
      </c>
      <c r="G1102" t="s">
        <v>80</v>
      </c>
      <c r="H1102" t="s">
        <v>50</v>
      </c>
      <c r="K1102" t="s">
        <v>51</v>
      </c>
      <c r="L1102">
        <v>1</v>
      </c>
      <c r="M1102" t="s">
        <v>53</v>
      </c>
      <c r="N1102">
        <v>50</v>
      </c>
      <c r="O1102">
        <v>1</v>
      </c>
      <c r="P1102" t="s">
        <v>52</v>
      </c>
      <c r="Q1102">
        <v>0.5</v>
      </c>
      <c r="R1102">
        <v>0.75</v>
      </c>
      <c r="S1102">
        <v>85</v>
      </c>
      <c r="T1102" t="s">
        <v>285</v>
      </c>
      <c r="U1102">
        <v>93</v>
      </c>
      <c r="V1102" t="s">
        <v>284</v>
      </c>
      <c r="W1102">
        <v>89.7</v>
      </c>
      <c r="X1102" t="s">
        <v>284</v>
      </c>
      <c r="Y1102">
        <v>92.72</v>
      </c>
      <c r="Z1102" t="s">
        <v>284</v>
      </c>
      <c r="AA1102">
        <v>109</v>
      </c>
      <c r="AB1102" t="s">
        <v>285</v>
      </c>
      <c r="AG1102">
        <v>91.806700000000006</v>
      </c>
      <c r="AH1102" t="s">
        <v>54</v>
      </c>
      <c r="AI1102" t="s">
        <v>52</v>
      </c>
      <c r="AZ1102" t="s">
        <v>52</v>
      </c>
      <c r="BQ1102" t="s">
        <v>52</v>
      </c>
      <c r="BR1102">
        <v>4.4800000000000004</v>
      </c>
      <c r="BS1102" t="s">
        <v>289</v>
      </c>
      <c r="BT1102">
        <v>2.21</v>
      </c>
      <c r="BU1102" t="s">
        <v>284</v>
      </c>
      <c r="BV1102">
        <v>3.19</v>
      </c>
      <c r="BW1102" t="s">
        <v>284</v>
      </c>
      <c r="BX1102">
        <v>3.02</v>
      </c>
      <c r="BY1102" t="s">
        <v>284</v>
      </c>
      <c r="BZ1102">
        <v>0.43</v>
      </c>
      <c r="CA1102" t="s">
        <v>289</v>
      </c>
      <c r="CF1102">
        <v>2.81</v>
      </c>
      <c r="CG1102" t="s">
        <v>54</v>
      </c>
      <c r="CH1102" t="s">
        <v>52</v>
      </c>
    </row>
    <row r="1103" spans="1:86" x14ac:dyDescent="0.25">
      <c r="A1103" t="s">
        <v>47</v>
      </c>
      <c r="B1103">
        <v>8</v>
      </c>
      <c r="C1103" t="s">
        <v>190</v>
      </c>
      <c r="D1103">
        <v>99</v>
      </c>
      <c r="E1103" t="s">
        <v>79</v>
      </c>
      <c r="F1103">
        <v>50</v>
      </c>
      <c r="G1103" t="s">
        <v>80</v>
      </c>
      <c r="H1103" t="s">
        <v>50</v>
      </c>
      <c r="K1103" t="s">
        <v>52</v>
      </c>
      <c r="L1103">
        <v>1</v>
      </c>
      <c r="M1103" t="s">
        <v>53</v>
      </c>
      <c r="N1103">
        <v>50</v>
      </c>
      <c r="O1103">
        <v>1</v>
      </c>
      <c r="P1103" t="s">
        <v>52</v>
      </c>
      <c r="Q1103">
        <v>0.5</v>
      </c>
      <c r="R1103">
        <v>0.75</v>
      </c>
      <c r="S1103">
        <v>85</v>
      </c>
      <c r="T1103" t="s">
        <v>285</v>
      </c>
      <c r="U1103">
        <v>93</v>
      </c>
      <c r="V1103" t="s">
        <v>284</v>
      </c>
      <c r="W1103">
        <v>89.7</v>
      </c>
      <c r="X1103" t="s">
        <v>284</v>
      </c>
      <c r="Y1103">
        <v>92.72</v>
      </c>
      <c r="Z1103" t="s">
        <v>284</v>
      </c>
      <c r="AA1103">
        <v>109</v>
      </c>
      <c r="AB1103" t="s">
        <v>285</v>
      </c>
      <c r="AG1103">
        <v>91.806700000000006</v>
      </c>
      <c r="AH1103" t="s">
        <v>54</v>
      </c>
      <c r="AI1103" t="s">
        <v>52</v>
      </c>
      <c r="AZ1103" t="s">
        <v>52</v>
      </c>
      <c r="BQ1103" t="s">
        <v>52</v>
      </c>
      <c r="BR1103">
        <v>0.75</v>
      </c>
      <c r="BS1103" t="s">
        <v>289</v>
      </c>
      <c r="BT1103">
        <v>0.95</v>
      </c>
      <c r="BU1103" t="s">
        <v>284</v>
      </c>
      <c r="BV1103">
        <v>1.37</v>
      </c>
      <c r="BW1103" t="s">
        <v>284</v>
      </c>
      <c r="BX1103">
        <v>1.31</v>
      </c>
      <c r="BY1103" t="s">
        <v>284</v>
      </c>
      <c r="BZ1103">
        <v>0.72</v>
      </c>
      <c r="CA1103" t="s">
        <v>289</v>
      </c>
      <c r="CF1103">
        <v>1</v>
      </c>
      <c r="CG1103" t="s">
        <v>54</v>
      </c>
      <c r="CH1103" t="s">
        <v>52</v>
      </c>
    </row>
    <row r="1104" spans="1:86" x14ac:dyDescent="0.25">
      <c r="A1104" t="s">
        <v>47</v>
      </c>
      <c r="B1104">
        <v>8</v>
      </c>
      <c r="C1104" t="s">
        <v>190</v>
      </c>
      <c r="D1104">
        <v>99</v>
      </c>
      <c r="E1104" t="s">
        <v>79</v>
      </c>
      <c r="F1104">
        <v>50</v>
      </c>
      <c r="G1104" t="s">
        <v>81</v>
      </c>
      <c r="H1104" t="s">
        <v>50</v>
      </c>
      <c r="K1104" t="s">
        <v>51</v>
      </c>
      <c r="L1104">
        <v>1</v>
      </c>
      <c r="M1104" t="s">
        <v>53</v>
      </c>
      <c r="N1104">
        <v>50</v>
      </c>
      <c r="O1104">
        <v>1</v>
      </c>
      <c r="P1104" t="s">
        <v>52</v>
      </c>
      <c r="Q1104">
        <v>0.5</v>
      </c>
      <c r="R1104">
        <v>0.75</v>
      </c>
      <c r="S1104">
        <v>85</v>
      </c>
      <c r="T1104" t="s">
        <v>285</v>
      </c>
      <c r="U1104">
        <v>93</v>
      </c>
      <c r="V1104" t="s">
        <v>284</v>
      </c>
      <c r="W1104">
        <v>89.7</v>
      </c>
      <c r="X1104" t="s">
        <v>284</v>
      </c>
      <c r="Y1104">
        <v>92.72</v>
      </c>
      <c r="Z1104" t="s">
        <v>284</v>
      </c>
      <c r="AA1104">
        <v>109</v>
      </c>
      <c r="AB1104" t="s">
        <v>285</v>
      </c>
      <c r="AG1104">
        <v>91.806700000000006</v>
      </c>
      <c r="AH1104" t="s">
        <v>54</v>
      </c>
      <c r="AI1104" t="s">
        <v>52</v>
      </c>
      <c r="AZ1104" t="s">
        <v>52</v>
      </c>
      <c r="BQ1104" t="s">
        <v>52</v>
      </c>
      <c r="BR1104">
        <v>2.74</v>
      </c>
      <c r="BS1104" t="s">
        <v>289</v>
      </c>
      <c r="BT1104">
        <v>1.86</v>
      </c>
      <c r="BU1104" t="s">
        <v>284</v>
      </c>
      <c r="BV1104">
        <v>2.68</v>
      </c>
      <c r="BW1104" t="s">
        <v>284</v>
      </c>
      <c r="BX1104">
        <v>2.54</v>
      </c>
      <c r="BY1104" t="s">
        <v>284</v>
      </c>
      <c r="BZ1104">
        <v>0.43</v>
      </c>
      <c r="CA1104" t="s">
        <v>288</v>
      </c>
      <c r="CF1104">
        <v>2.36</v>
      </c>
      <c r="CG1104" t="s">
        <v>54</v>
      </c>
      <c r="CH1104" t="s">
        <v>52</v>
      </c>
    </row>
    <row r="1105" spans="1:86" x14ac:dyDescent="0.25">
      <c r="A1105" t="s">
        <v>47</v>
      </c>
      <c r="B1105">
        <v>8</v>
      </c>
      <c r="C1105" t="s">
        <v>190</v>
      </c>
      <c r="D1105">
        <v>99</v>
      </c>
      <c r="E1105" t="s">
        <v>79</v>
      </c>
      <c r="F1105">
        <v>50</v>
      </c>
      <c r="G1105" t="s">
        <v>81</v>
      </c>
      <c r="H1105" t="s">
        <v>50</v>
      </c>
      <c r="K1105" t="s">
        <v>52</v>
      </c>
      <c r="L1105">
        <v>1</v>
      </c>
      <c r="M1105" t="s">
        <v>53</v>
      </c>
      <c r="N1105">
        <v>50</v>
      </c>
      <c r="O1105">
        <v>1</v>
      </c>
      <c r="P1105" t="s">
        <v>52</v>
      </c>
      <c r="Q1105">
        <v>0.5</v>
      </c>
      <c r="R1105">
        <v>0.75</v>
      </c>
      <c r="S1105">
        <v>85</v>
      </c>
      <c r="T1105" t="s">
        <v>285</v>
      </c>
      <c r="U1105">
        <v>93</v>
      </c>
      <c r="V1105" t="s">
        <v>284</v>
      </c>
      <c r="W1105">
        <v>89.7</v>
      </c>
      <c r="X1105" t="s">
        <v>284</v>
      </c>
      <c r="Y1105">
        <v>92.72</v>
      </c>
      <c r="Z1105" t="s">
        <v>284</v>
      </c>
      <c r="AA1105">
        <v>109</v>
      </c>
      <c r="AB1105" t="s">
        <v>285</v>
      </c>
      <c r="AG1105">
        <v>91.806700000000006</v>
      </c>
      <c r="AH1105" t="s">
        <v>54</v>
      </c>
      <c r="AI1105" t="s">
        <v>52</v>
      </c>
      <c r="AZ1105" t="s">
        <v>52</v>
      </c>
      <c r="BQ1105" t="s">
        <v>52</v>
      </c>
      <c r="BR1105">
        <v>2.74</v>
      </c>
      <c r="BS1105" t="s">
        <v>289</v>
      </c>
      <c r="BT1105">
        <v>0.87</v>
      </c>
      <c r="BU1105" t="s">
        <v>284</v>
      </c>
      <c r="BV1105">
        <v>1.25</v>
      </c>
      <c r="BW1105" t="s">
        <v>284</v>
      </c>
      <c r="BX1105">
        <v>1.2</v>
      </c>
      <c r="BY1105" t="s">
        <v>284</v>
      </c>
      <c r="BZ1105">
        <v>0.66</v>
      </c>
      <c r="CA1105" t="s">
        <v>289</v>
      </c>
      <c r="CF1105">
        <v>1.1100000000000001</v>
      </c>
      <c r="CG1105" t="s">
        <v>54</v>
      </c>
      <c r="CH1105" t="s">
        <v>52</v>
      </c>
    </row>
    <row r="1106" spans="1:86" x14ac:dyDescent="0.25">
      <c r="A1106" t="s">
        <v>47</v>
      </c>
      <c r="B1106">
        <v>8</v>
      </c>
      <c r="C1106" t="s">
        <v>190</v>
      </c>
      <c r="D1106">
        <v>99</v>
      </c>
      <c r="E1106" t="s">
        <v>82</v>
      </c>
      <c r="F1106">
        <v>52</v>
      </c>
      <c r="H1106" t="s">
        <v>50</v>
      </c>
      <c r="K1106" t="s">
        <v>51</v>
      </c>
      <c r="L1106">
        <v>1</v>
      </c>
      <c r="M1106" t="s">
        <v>53</v>
      </c>
      <c r="N1106">
        <v>50</v>
      </c>
      <c r="O1106">
        <v>1</v>
      </c>
      <c r="P1106" t="s">
        <v>52</v>
      </c>
      <c r="Q1106">
        <v>0.5</v>
      </c>
      <c r="R1106">
        <v>0.75</v>
      </c>
      <c r="S1106">
        <v>85</v>
      </c>
      <c r="T1106" t="s">
        <v>285</v>
      </c>
      <c r="U1106">
        <v>93</v>
      </c>
      <c r="V1106" t="s">
        <v>284</v>
      </c>
      <c r="W1106">
        <v>191.5</v>
      </c>
      <c r="X1106" t="s">
        <v>284</v>
      </c>
      <c r="Y1106">
        <v>198</v>
      </c>
      <c r="Z1106" t="s">
        <v>284</v>
      </c>
      <c r="AA1106">
        <v>109</v>
      </c>
      <c r="AB1106" t="s">
        <v>285</v>
      </c>
      <c r="AG1106">
        <v>131.16669999999999</v>
      </c>
      <c r="AH1106" t="s">
        <v>54</v>
      </c>
      <c r="AI1106" t="s">
        <v>52</v>
      </c>
      <c r="AZ1106" t="s">
        <v>52</v>
      </c>
      <c r="BQ1106" t="s">
        <v>52</v>
      </c>
      <c r="BR1106">
        <v>3.58</v>
      </c>
      <c r="BS1106" t="s">
        <v>289</v>
      </c>
      <c r="BT1106">
        <v>2</v>
      </c>
      <c r="BU1106" t="s">
        <v>284</v>
      </c>
      <c r="BV1106">
        <v>2</v>
      </c>
      <c r="BW1106" t="s">
        <v>285</v>
      </c>
      <c r="BX1106">
        <v>1.9</v>
      </c>
      <c r="BY1106" t="s">
        <v>285</v>
      </c>
      <c r="BZ1106">
        <v>0.42</v>
      </c>
      <c r="CA1106" t="s">
        <v>285</v>
      </c>
      <c r="CF1106">
        <v>1.97</v>
      </c>
      <c r="CG1106" t="s">
        <v>54</v>
      </c>
      <c r="CH1106" t="s">
        <v>52</v>
      </c>
    </row>
    <row r="1107" spans="1:86" x14ac:dyDescent="0.25">
      <c r="A1107" t="s">
        <v>47</v>
      </c>
      <c r="B1107">
        <v>8</v>
      </c>
      <c r="C1107" t="s">
        <v>190</v>
      </c>
      <c r="D1107">
        <v>99</v>
      </c>
      <c r="E1107" t="s">
        <v>82</v>
      </c>
      <c r="F1107">
        <v>52</v>
      </c>
      <c r="H1107" t="s">
        <v>50</v>
      </c>
      <c r="K1107" t="s">
        <v>52</v>
      </c>
      <c r="L1107">
        <v>1</v>
      </c>
      <c r="M1107" t="s">
        <v>53</v>
      </c>
      <c r="N1107">
        <v>50</v>
      </c>
      <c r="O1107">
        <v>1</v>
      </c>
      <c r="P1107" t="s">
        <v>52</v>
      </c>
      <c r="Q1107">
        <v>0.5</v>
      </c>
      <c r="R1107">
        <v>0.75</v>
      </c>
      <c r="S1107">
        <v>85</v>
      </c>
      <c r="T1107" t="s">
        <v>285</v>
      </c>
      <c r="U1107">
        <v>93</v>
      </c>
      <c r="V1107" t="s">
        <v>284</v>
      </c>
      <c r="W1107">
        <v>191.5</v>
      </c>
      <c r="X1107" t="s">
        <v>284</v>
      </c>
      <c r="Y1107">
        <v>198</v>
      </c>
      <c r="Z1107" t="s">
        <v>284</v>
      </c>
      <c r="AA1107">
        <v>109</v>
      </c>
      <c r="AB1107" t="s">
        <v>285</v>
      </c>
      <c r="AG1107">
        <v>131.16669999999999</v>
      </c>
      <c r="AH1107" t="s">
        <v>54</v>
      </c>
      <c r="AI1107" t="s">
        <v>52</v>
      </c>
      <c r="AZ1107" t="s">
        <v>52</v>
      </c>
      <c r="BQ1107" t="s">
        <v>52</v>
      </c>
      <c r="BR1107">
        <v>2.36</v>
      </c>
      <c r="BS1107" t="s">
        <v>289</v>
      </c>
      <c r="BT1107">
        <v>0.91</v>
      </c>
      <c r="BU1107" t="s">
        <v>285</v>
      </c>
      <c r="BV1107">
        <v>0.68</v>
      </c>
      <c r="BW1107" t="s">
        <v>284</v>
      </c>
      <c r="BX1107">
        <v>0.65</v>
      </c>
      <c r="BY1107" t="s">
        <v>285</v>
      </c>
      <c r="CH1107" t="s">
        <v>52</v>
      </c>
    </row>
    <row r="1108" spans="1:86" x14ac:dyDescent="0.25">
      <c r="A1108" t="s">
        <v>47</v>
      </c>
      <c r="B1108">
        <v>8</v>
      </c>
      <c r="C1108" t="s">
        <v>190</v>
      </c>
      <c r="D1108">
        <v>99</v>
      </c>
      <c r="E1108" t="s">
        <v>83</v>
      </c>
      <c r="F1108">
        <v>158</v>
      </c>
      <c r="H1108" t="s">
        <v>50</v>
      </c>
      <c r="K1108" t="s">
        <v>51</v>
      </c>
      <c r="L1108">
        <v>1</v>
      </c>
      <c r="M1108" t="s">
        <v>53</v>
      </c>
      <c r="N1108">
        <v>158</v>
      </c>
      <c r="O1108">
        <v>2</v>
      </c>
      <c r="P1108" t="s">
        <v>52</v>
      </c>
      <c r="Q1108">
        <v>0.77</v>
      </c>
      <c r="R1108">
        <v>0.93</v>
      </c>
      <c r="S1108">
        <v>228</v>
      </c>
      <c r="T1108" t="s">
        <v>284</v>
      </c>
      <c r="U1108">
        <v>221</v>
      </c>
      <c r="V1108" t="s">
        <v>284</v>
      </c>
      <c r="W1108">
        <v>236</v>
      </c>
      <c r="X1108" t="s">
        <v>284</v>
      </c>
      <c r="Y1108">
        <v>244</v>
      </c>
      <c r="Z1108" t="s">
        <v>284</v>
      </c>
      <c r="AA1108">
        <v>252</v>
      </c>
      <c r="AB1108" t="s">
        <v>284</v>
      </c>
      <c r="AG1108">
        <v>236</v>
      </c>
      <c r="AH1108" t="s">
        <v>54</v>
      </c>
      <c r="AI1108" t="s">
        <v>52</v>
      </c>
      <c r="AX1108">
        <v>339</v>
      </c>
      <c r="AY1108" t="s">
        <v>285</v>
      </c>
      <c r="AZ1108" t="s">
        <v>287</v>
      </c>
      <c r="BQ1108" t="s">
        <v>52</v>
      </c>
      <c r="BR1108">
        <v>1.85</v>
      </c>
      <c r="BS1108" t="s">
        <v>284</v>
      </c>
      <c r="BT1108">
        <v>1.35</v>
      </c>
      <c r="BU1108" t="s">
        <v>284</v>
      </c>
      <c r="BV1108">
        <v>1.03</v>
      </c>
      <c r="BW1108" t="s">
        <v>288</v>
      </c>
      <c r="BX1108">
        <v>1.34</v>
      </c>
      <c r="BY1108" t="s">
        <v>289</v>
      </c>
      <c r="BZ1108">
        <v>1.22</v>
      </c>
      <c r="CA1108" t="s">
        <v>289</v>
      </c>
      <c r="CF1108">
        <v>1.3</v>
      </c>
      <c r="CG1108" t="s">
        <v>54</v>
      </c>
      <c r="CH1108" t="s">
        <v>52</v>
      </c>
    </row>
    <row r="1109" spans="1:86" x14ac:dyDescent="0.25">
      <c r="A1109" t="s">
        <v>47</v>
      </c>
      <c r="B1109">
        <v>8</v>
      </c>
      <c r="C1109" t="s">
        <v>190</v>
      </c>
      <c r="D1109">
        <v>99</v>
      </c>
      <c r="E1109" t="s">
        <v>83</v>
      </c>
      <c r="F1109">
        <v>158</v>
      </c>
      <c r="H1109" t="s">
        <v>50</v>
      </c>
      <c r="K1109" t="s">
        <v>52</v>
      </c>
      <c r="L1109">
        <v>1</v>
      </c>
      <c r="M1109" t="s">
        <v>53</v>
      </c>
      <c r="N1109">
        <v>158</v>
      </c>
      <c r="O1109">
        <v>2</v>
      </c>
      <c r="P1109" t="s">
        <v>52</v>
      </c>
      <c r="Q1109">
        <v>0.77</v>
      </c>
      <c r="R1109">
        <v>0.93</v>
      </c>
      <c r="S1109">
        <v>228</v>
      </c>
      <c r="T1109" t="s">
        <v>284</v>
      </c>
      <c r="U1109">
        <v>221</v>
      </c>
      <c r="V1109" t="s">
        <v>284</v>
      </c>
      <c r="W1109">
        <v>236</v>
      </c>
      <c r="X1109" t="s">
        <v>284</v>
      </c>
      <c r="Y1109">
        <v>244</v>
      </c>
      <c r="Z1109" t="s">
        <v>284</v>
      </c>
      <c r="AA1109">
        <v>252</v>
      </c>
      <c r="AB1109" t="s">
        <v>284</v>
      </c>
      <c r="AG1109">
        <v>236</v>
      </c>
      <c r="AH1109" t="s">
        <v>54</v>
      </c>
      <c r="AI1109" t="s">
        <v>52</v>
      </c>
      <c r="AX1109">
        <v>339</v>
      </c>
      <c r="AY1109" t="s">
        <v>285</v>
      </c>
      <c r="AZ1109" t="s">
        <v>287</v>
      </c>
      <c r="BQ1109" t="s">
        <v>52</v>
      </c>
      <c r="BR1109">
        <v>1.31</v>
      </c>
      <c r="BS1109" t="s">
        <v>285</v>
      </c>
      <c r="BT1109">
        <v>1.01</v>
      </c>
      <c r="BU1109" t="s">
        <v>284</v>
      </c>
      <c r="BV1109">
        <v>0.33</v>
      </c>
      <c r="BW1109" t="s">
        <v>288</v>
      </c>
      <c r="BX1109">
        <v>0.56999999999999995</v>
      </c>
      <c r="BY1109" t="s">
        <v>285</v>
      </c>
      <c r="BZ1109">
        <v>0.1</v>
      </c>
      <c r="CA1109" t="s">
        <v>289</v>
      </c>
      <c r="CF1109">
        <v>0.64</v>
      </c>
      <c r="CG1109" t="s">
        <v>54</v>
      </c>
      <c r="CH1109" t="s">
        <v>52</v>
      </c>
    </row>
    <row r="1110" spans="1:86" x14ac:dyDescent="0.25">
      <c r="A1110" t="s">
        <v>47</v>
      </c>
      <c r="B1110">
        <v>8</v>
      </c>
      <c r="C1110" t="s">
        <v>190</v>
      </c>
      <c r="D1110">
        <v>99</v>
      </c>
      <c r="E1110" t="s">
        <v>84</v>
      </c>
      <c r="F1110">
        <v>11</v>
      </c>
      <c r="G1110" t="s">
        <v>96</v>
      </c>
      <c r="H1110" t="s">
        <v>50</v>
      </c>
      <c r="K1110" t="s">
        <v>51</v>
      </c>
      <c r="L1110">
        <v>1</v>
      </c>
      <c r="M1110" t="s">
        <v>53</v>
      </c>
      <c r="N1110">
        <v>11</v>
      </c>
      <c r="O1110">
        <v>2</v>
      </c>
      <c r="P1110" t="s">
        <v>52</v>
      </c>
      <c r="Q1110">
        <v>0.5</v>
      </c>
      <c r="R1110">
        <v>0.75</v>
      </c>
      <c r="S1110">
        <v>124</v>
      </c>
      <c r="T1110" t="s">
        <v>284</v>
      </c>
      <c r="U1110">
        <v>110</v>
      </c>
      <c r="V1110" t="s">
        <v>284</v>
      </c>
      <c r="W1110">
        <v>118</v>
      </c>
      <c r="X1110" t="s">
        <v>284</v>
      </c>
      <c r="Y1110">
        <v>122</v>
      </c>
      <c r="Z1110" t="s">
        <v>284</v>
      </c>
      <c r="AA1110">
        <v>126</v>
      </c>
      <c r="AB1110" t="s">
        <v>284</v>
      </c>
      <c r="AG1110">
        <v>121.33329999999999</v>
      </c>
      <c r="AH1110" t="s">
        <v>54</v>
      </c>
      <c r="AI1110" t="s">
        <v>52</v>
      </c>
      <c r="AZ1110" t="s">
        <v>52</v>
      </c>
      <c r="BQ1110" t="s">
        <v>52</v>
      </c>
      <c r="CH1110" t="s">
        <v>52</v>
      </c>
    </row>
    <row r="1111" spans="1:86" x14ac:dyDescent="0.25">
      <c r="A1111" t="s">
        <v>47</v>
      </c>
      <c r="B1111">
        <v>8</v>
      </c>
      <c r="C1111" t="s">
        <v>190</v>
      </c>
      <c r="D1111">
        <v>99</v>
      </c>
      <c r="E1111" t="s">
        <v>84</v>
      </c>
      <c r="F1111">
        <v>11</v>
      </c>
      <c r="G1111" t="s">
        <v>96</v>
      </c>
      <c r="H1111" t="s">
        <v>50</v>
      </c>
      <c r="K1111" t="s">
        <v>52</v>
      </c>
      <c r="L1111">
        <v>1</v>
      </c>
      <c r="M1111" t="s">
        <v>53</v>
      </c>
      <c r="N1111">
        <v>11</v>
      </c>
      <c r="O1111">
        <v>2</v>
      </c>
      <c r="P1111" t="s">
        <v>52</v>
      </c>
      <c r="Q1111">
        <v>0.5</v>
      </c>
      <c r="R1111">
        <v>0.75</v>
      </c>
      <c r="S1111">
        <v>124</v>
      </c>
      <c r="T1111" t="s">
        <v>284</v>
      </c>
      <c r="U1111">
        <v>110</v>
      </c>
      <c r="V1111" t="s">
        <v>284</v>
      </c>
      <c r="W1111">
        <v>118</v>
      </c>
      <c r="X1111" t="s">
        <v>284</v>
      </c>
      <c r="Y1111">
        <v>122</v>
      </c>
      <c r="Z1111" t="s">
        <v>284</v>
      </c>
      <c r="AA1111">
        <v>126</v>
      </c>
      <c r="AB1111" t="s">
        <v>284</v>
      </c>
      <c r="AG1111">
        <v>121.33329999999999</v>
      </c>
      <c r="AH1111" t="s">
        <v>54</v>
      </c>
      <c r="AI1111" t="s">
        <v>52</v>
      </c>
      <c r="AZ1111" t="s">
        <v>52</v>
      </c>
      <c r="BQ1111" t="s">
        <v>52</v>
      </c>
      <c r="CH1111" t="s">
        <v>52</v>
      </c>
    </row>
    <row r="1112" spans="1:86" x14ac:dyDescent="0.25">
      <c r="A1112" t="s">
        <v>47</v>
      </c>
      <c r="B1112">
        <v>8</v>
      </c>
      <c r="C1112" t="s">
        <v>192</v>
      </c>
      <c r="D1112">
        <v>101</v>
      </c>
      <c r="E1112" t="s">
        <v>49</v>
      </c>
      <c r="F1112">
        <v>27</v>
      </c>
      <c r="H1112" t="s">
        <v>50</v>
      </c>
      <c r="K1112" t="s">
        <v>51</v>
      </c>
      <c r="L1112">
        <v>1</v>
      </c>
      <c r="M1112" t="s">
        <v>53</v>
      </c>
      <c r="N1112">
        <v>27</v>
      </c>
      <c r="O1112">
        <v>1</v>
      </c>
      <c r="P1112" t="s">
        <v>52</v>
      </c>
      <c r="Q1112">
        <v>0</v>
      </c>
      <c r="R1112">
        <v>0.75</v>
      </c>
      <c r="S1112">
        <v>231</v>
      </c>
      <c r="T1112" t="s">
        <v>284</v>
      </c>
      <c r="U1112">
        <v>208</v>
      </c>
      <c r="V1112" t="s">
        <v>284</v>
      </c>
      <c r="W1112">
        <v>224</v>
      </c>
      <c r="X1112" t="s">
        <v>284</v>
      </c>
      <c r="Y1112">
        <v>225</v>
      </c>
      <c r="Z1112" t="s">
        <v>285</v>
      </c>
      <c r="AA1112">
        <v>247</v>
      </c>
      <c r="AB1112" t="s">
        <v>285</v>
      </c>
      <c r="AC1112">
        <v>241</v>
      </c>
      <c r="AD1112" t="s">
        <v>285</v>
      </c>
      <c r="AE1112">
        <v>219</v>
      </c>
      <c r="AF1112" t="s">
        <v>285</v>
      </c>
      <c r="AG1112">
        <v>219</v>
      </c>
      <c r="AH1112" t="s">
        <v>286</v>
      </c>
      <c r="AI1112" t="s">
        <v>287</v>
      </c>
      <c r="AX1112">
        <v>263</v>
      </c>
      <c r="AY1112" t="s">
        <v>286</v>
      </c>
      <c r="AZ1112" t="s">
        <v>287</v>
      </c>
      <c r="BQ1112" t="s">
        <v>52</v>
      </c>
      <c r="BR1112">
        <v>3.7</v>
      </c>
      <c r="BS1112" t="s">
        <v>284</v>
      </c>
      <c r="BT1112">
        <v>3.4</v>
      </c>
      <c r="BU1112" t="s">
        <v>284</v>
      </c>
      <c r="BV1112">
        <v>4.1900000000000004</v>
      </c>
      <c r="BW1112" t="s">
        <v>284</v>
      </c>
      <c r="BX1112">
        <v>5.64</v>
      </c>
      <c r="BY1112" t="s">
        <v>284</v>
      </c>
      <c r="BZ1112">
        <v>3.48</v>
      </c>
      <c r="CA1112" t="s">
        <v>288</v>
      </c>
      <c r="CF1112">
        <v>3.79</v>
      </c>
      <c r="CG1112" t="s">
        <v>54</v>
      </c>
      <c r="CH1112" t="s">
        <v>52</v>
      </c>
    </row>
    <row r="1113" spans="1:86" x14ac:dyDescent="0.25">
      <c r="A1113" t="s">
        <v>47</v>
      </c>
      <c r="B1113">
        <v>8</v>
      </c>
      <c r="C1113" t="s">
        <v>192</v>
      </c>
      <c r="D1113">
        <v>101</v>
      </c>
      <c r="E1113" t="s">
        <v>49</v>
      </c>
      <c r="F1113">
        <v>27</v>
      </c>
      <c r="H1113" t="s">
        <v>50</v>
      </c>
      <c r="K1113" t="s">
        <v>52</v>
      </c>
      <c r="L1113">
        <v>1</v>
      </c>
      <c r="M1113" t="s">
        <v>53</v>
      </c>
      <c r="N1113">
        <v>27</v>
      </c>
      <c r="O1113">
        <v>1</v>
      </c>
      <c r="P1113" t="s">
        <v>52</v>
      </c>
      <c r="Q1113">
        <v>0</v>
      </c>
      <c r="R1113">
        <v>0.75</v>
      </c>
      <c r="S1113">
        <v>231</v>
      </c>
      <c r="T1113" t="s">
        <v>284</v>
      </c>
      <c r="U1113">
        <v>208</v>
      </c>
      <c r="V1113" t="s">
        <v>284</v>
      </c>
      <c r="W1113">
        <v>224</v>
      </c>
      <c r="X1113" t="s">
        <v>284</v>
      </c>
      <c r="Y1113">
        <v>225</v>
      </c>
      <c r="Z1113" t="s">
        <v>285</v>
      </c>
      <c r="AA1113">
        <v>247</v>
      </c>
      <c r="AB1113" t="s">
        <v>285</v>
      </c>
      <c r="AC1113">
        <v>241</v>
      </c>
      <c r="AD1113" t="s">
        <v>285</v>
      </c>
      <c r="AE1113">
        <v>219</v>
      </c>
      <c r="AF1113" t="s">
        <v>285</v>
      </c>
      <c r="AG1113">
        <v>219</v>
      </c>
      <c r="AH1113" t="s">
        <v>286</v>
      </c>
      <c r="AI1113" t="s">
        <v>287</v>
      </c>
      <c r="AX1113">
        <v>263</v>
      </c>
      <c r="AY1113" t="s">
        <v>286</v>
      </c>
      <c r="AZ1113" t="s">
        <v>287</v>
      </c>
      <c r="BQ1113" t="s">
        <v>52</v>
      </c>
      <c r="BR1113">
        <v>1.3</v>
      </c>
      <c r="BS1113" t="s">
        <v>284</v>
      </c>
      <c r="BT1113">
        <v>1.2</v>
      </c>
      <c r="BU1113" t="s">
        <v>284</v>
      </c>
      <c r="BV1113">
        <v>0.75</v>
      </c>
      <c r="BW1113" t="s">
        <v>284</v>
      </c>
      <c r="BX1113">
        <v>0.12</v>
      </c>
      <c r="BY1113" t="s">
        <v>284</v>
      </c>
      <c r="BZ1113">
        <v>0.14000000000000001</v>
      </c>
      <c r="CA1113" t="s">
        <v>289</v>
      </c>
      <c r="CF1113">
        <v>0.7</v>
      </c>
      <c r="CG1113" t="s">
        <v>54</v>
      </c>
      <c r="CH1113" t="s">
        <v>52</v>
      </c>
    </row>
    <row r="1114" spans="1:86" x14ac:dyDescent="0.25">
      <c r="A1114" t="s">
        <v>47</v>
      </c>
      <c r="B1114">
        <v>8</v>
      </c>
      <c r="C1114" t="s">
        <v>192</v>
      </c>
      <c r="D1114">
        <v>101</v>
      </c>
      <c r="E1114" t="s">
        <v>87</v>
      </c>
      <c r="F1114">
        <v>91</v>
      </c>
      <c r="G1114" t="s">
        <v>76</v>
      </c>
      <c r="H1114" t="s">
        <v>50</v>
      </c>
      <c r="K1114" t="s">
        <v>51</v>
      </c>
      <c r="L1114">
        <v>1</v>
      </c>
      <c r="M1114" t="s">
        <v>53</v>
      </c>
      <c r="N1114">
        <v>91</v>
      </c>
      <c r="O1114">
        <v>2</v>
      </c>
      <c r="P1114" t="s">
        <v>52</v>
      </c>
      <c r="Q1114">
        <v>0.77</v>
      </c>
      <c r="R1114">
        <v>0.93</v>
      </c>
      <c r="S1114">
        <v>135</v>
      </c>
      <c r="T1114" t="s">
        <v>284</v>
      </c>
      <c r="U1114">
        <v>133</v>
      </c>
      <c r="V1114" t="s">
        <v>284</v>
      </c>
      <c r="W1114">
        <v>147</v>
      </c>
      <c r="X1114" t="s">
        <v>284</v>
      </c>
      <c r="Y1114">
        <v>170</v>
      </c>
      <c r="Z1114" t="s">
        <v>284</v>
      </c>
      <c r="AA1114">
        <v>167</v>
      </c>
      <c r="AB1114" t="s">
        <v>284</v>
      </c>
      <c r="AG1114">
        <v>149.66669999999999</v>
      </c>
      <c r="AH1114" t="s">
        <v>54</v>
      </c>
      <c r="AI1114" t="s">
        <v>52</v>
      </c>
      <c r="AZ1114" t="s">
        <v>52</v>
      </c>
      <c r="BQ1114" t="s">
        <v>52</v>
      </c>
      <c r="BR1114">
        <v>1.42</v>
      </c>
      <c r="BS1114" t="s">
        <v>285</v>
      </c>
      <c r="BT1114">
        <v>1.35</v>
      </c>
      <c r="BU1114" t="s">
        <v>284</v>
      </c>
      <c r="BV1114">
        <v>0.83</v>
      </c>
      <c r="BW1114" t="s">
        <v>288</v>
      </c>
      <c r="BX1114">
        <v>1.85</v>
      </c>
      <c r="BY1114" t="s">
        <v>284</v>
      </c>
      <c r="BZ1114">
        <v>1.01</v>
      </c>
      <c r="CA1114" t="s">
        <v>285</v>
      </c>
      <c r="CF1114">
        <v>1.26</v>
      </c>
      <c r="CG1114" t="s">
        <v>54</v>
      </c>
      <c r="CH1114" t="s">
        <v>52</v>
      </c>
    </row>
    <row r="1115" spans="1:86" x14ac:dyDescent="0.25">
      <c r="A1115" t="s">
        <v>47</v>
      </c>
      <c r="B1115">
        <v>8</v>
      </c>
      <c r="C1115" t="s">
        <v>192</v>
      </c>
      <c r="D1115">
        <v>101</v>
      </c>
      <c r="E1115" t="s">
        <v>87</v>
      </c>
      <c r="F1115">
        <v>91</v>
      </c>
      <c r="G1115" t="s">
        <v>103</v>
      </c>
      <c r="H1115" t="s">
        <v>50</v>
      </c>
      <c r="K1115" t="s">
        <v>51</v>
      </c>
      <c r="L1115">
        <v>1</v>
      </c>
      <c r="M1115" t="s">
        <v>53</v>
      </c>
      <c r="N1115">
        <v>91</v>
      </c>
      <c r="O1115">
        <v>2</v>
      </c>
      <c r="P1115" t="s">
        <v>52</v>
      </c>
      <c r="Q1115">
        <v>0.77</v>
      </c>
      <c r="R1115">
        <v>0.93</v>
      </c>
      <c r="S1115">
        <v>135</v>
      </c>
      <c r="T1115" t="s">
        <v>284</v>
      </c>
      <c r="U1115">
        <v>133</v>
      </c>
      <c r="V1115" t="s">
        <v>284</v>
      </c>
      <c r="W1115">
        <v>147</v>
      </c>
      <c r="X1115" t="s">
        <v>284</v>
      </c>
      <c r="Y1115">
        <v>170</v>
      </c>
      <c r="Z1115" t="s">
        <v>284</v>
      </c>
      <c r="AA1115">
        <v>167</v>
      </c>
      <c r="AB1115" t="s">
        <v>284</v>
      </c>
      <c r="AG1115">
        <v>149.66669999999999</v>
      </c>
      <c r="AH1115" t="s">
        <v>54</v>
      </c>
      <c r="AI1115" t="s">
        <v>52</v>
      </c>
      <c r="AZ1115" t="s">
        <v>52</v>
      </c>
      <c r="BQ1115" t="s">
        <v>52</v>
      </c>
      <c r="CH1115" t="s">
        <v>52</v>
      </c>
    </row>
    <row r="1116" spans="1:86" x14ac:dyDescent="0.25">
      <c r="A1116" t="s">
        <v>47</v>
      </c>
      <c r="B1116">
        <v>8</v>
      </c>
      <c r="C1116" t="s">
        <v>192</v>
      </c>
      <c r="D1116">
        <v>101</v>
      </c>
      <c r="E1116" t="s">
        <v>58</v>
      </c>
      <c r="F1116">
        <v>102</v>
      </c>
      <c r="G1116" t="s">
        <v>62</v>
      </c>
      <c r="H1116" t="s">
        <v>50</v>
      </c>
      <c r="K1116" t="s">
        <v>51</v>
      </c>
      <c r="L1116">
        <v>1</v>
      </c>
      <c r="M1116" t="s">
        <v>53</v>
      </c>
      <c r="N1116">
        <v>102</v>
      </c>
      <c r="O1116">
        <v>1</v>
      </c>
      <c r="P1116" t="s">
        <v>52</v>
      </c>
      <c r="Q1116">
        <v>0</v>
      </c>
      <c r="R1116">
        <v>0.92</v>
      </c>
      <c r="S1116">
        <v>131.69999999999999</v>
      </c>
      <c r="T1116" t="s">
        <v>284</v>
      </c>
      <c r="U1116">
        <v>170</v>
      </c>
      <c r="V1116" t="s">
        <v>284</v>
      </c>
      <c r="W1116">
        <v>191</v>
      </c>
      <c r="X1116" t="s">
        <v>284</v>
      </c>
      <c r="Y1116">
        <v>207</v>
      </c>
      <c r="Z1116" t="s">
        <v>284</v>
      </c>
      <c r="AA1116">
        <v>205</v>
      </c>
      <c r="AB1116" t="s">
        <v>285</v>
      </c>
      <c r="AG1116">
        <v>188.66669999999999</v>
      </c>
      <c r="AH1116" t="s">
        <v>54</v>
      </c>
      <c r="AI1116" t="s">
        <v>52</v>
      </c>
      <c r="AX1116">
        <v>271.60000000000002</v>
      </c>
      <c r="AY1116" t="s">
        <v>285</v>
      </c>
      <c r="AZ1116" t="s">
        <v>287</v>
      </c>
      <c r="BQ1116" t="s">
        <v>52</v>
      </c>
      <c r="BR1116">
        <v>1.85</v>
      </c>
      <c r="BS1116" t="s">
        <v>284</v>
      </c>
      <c r="BT1116">
        <v>1.46</v>
      </c>
      <c r="BU1116" t="s">
        <v>284</v>
      </c>
      <c r="BV1116">
        <v>0.53</v>
      </c>
      <c r="BW1116" t="s">
        <v>285</v>
      </c>
      <c r="BX1116">
        <v>0.69</v>
      </c>
      <c r="BY1116" t="s">
        <v>285</v>
      </c>
      <c r="BZ1116">
        <v>0.1</v>
      </c>
      <c r="CA1116" t="s">
        <v>288</v>
      </c>
      <c r="CF1116">
        <v>0.89</v>
      </c>
      <c r="CG1116" t="s">
        <v>54</v>
      </c>
      <c r="CH1116" t="s">
        <v>52</v>
      </c>
    </row>
    <row r="1117" spans="1:86" x14ac:dyDescent="0.25">
      <c r="A1117" t="s">
        <v>47</v>
      </c>
      <c r="B1117">
        <v>8</v>
      </c>
      <c r="C1117" t="s">
        <v>192</v>
      </c>
      <c r="D1117">
        <v>101</v>
      </c>
      <c r="E1117" t="s">
        <v>58</v>
      </c>
      <c r="F1117">
        <v>102</v>
      </c>
      <c r="G1117" t="s">
        <v>62</v>
      </c>
      <c r="H1117" t="s">
        <v>50</v>
      </c>
      <c r="K1117" t="s">
        <v>52</v>
      </c>
      <c r="L1117">
        <v>1</v>
      </c>
      <c r="M1117" t="s">
        <v>53</v>
      </c>
      <c r="N1117">
        <v>102</v>
      </c>
      <c r="O1117">
        <v>1</v>
      </c>
      <c r="P1117" t="s">
        <v>52</v>
      </c>
      <c r="Q1117">
        <v>0</v>
      </c>
      <c r="R1117">
        <v>0.92</v>
      </c>
      <c r="S1117">
        <v>131.69999999999999</v>
      </c>
      <c r="T1117" t="s">
        <v>284</v>
      </c>
      <c r="U1117">
        <v>170</v>
      </c>
      <c r="V1117" t="s">
        <v>284</v>
      </c>
      <c r="W1117">
        <v>191</v>
      </c>
      <c r="X1117" t="s">
        <v>284</v>
      </c>
      <c r="Y1117">
        <v>207</v>
      </c>
      <c r="Z1117" t="s">
        <v>284</v>
      </c>
      <c r="AA1117">
        <v>205</v>
      </c>
      <c r="AB1117" t="s">
        <v>285</v>
      </c>
      <c r="AG1117">
        <v>188.66669999999999</v>
      </c>
      <c r="AH1117" t="s">
        <v>54</v>
      </c>
      <c r="AI1117" t="s">
        <v>52</v>
      </c>
      <c r="AX1117">
        <v>271.60000000000002</v>
      </c>
      <c r="AY1117" t="s">
        <v>285</v>
      </c>
      <c r="AZ1117" t="s">
        <v>287</v>
      </c>
      <c r="BQ1117" t="s">
        <v>52</v>
      </c>
      <c r="BR1117">
        <v>0.83</v>
      </c>
      <c r="BS1117" t="s">
        <v>285</v>
      </c>
      <c r="BT1117">
        <v>0.66</v>
      </c>
      <c r="BU1117" t="s">
        <v>285</v>
      </c>
      <c r="BV1117">
        <v>0.28999999999999998</v>
      </c>
      <c r="BW1117" t="s">
        <v>285</v>
      </c>
      <c r="BX1117">
        <v>0.53</v>
      </c>
      <c r="BY1117" t="s">
        <v>285</v>
      </c>
      <c r="BZ1117">
        <v>0.03</v>
      </c>
      <c r="CA1117" t="s">
        <v>288</v>
      </c>
      <c r="CF1117">
        <v>0.49</v>
      </c>
      <c r="CG1117" t="s">
        <v>54</v>
      </c>
      <c r="CH1117" t="s">
        <v>52</v>
      </c>
    </row>
    <row r="1118" spans="1:86" x14ac:dyDescent="0.25">
      <c r="A1118" t="s">
        <v>47</v>
      </c>
      <c r="B1118">
        <v>8</v>
      </c>
      <c r="C1118" t="s">
        <v>192</v>
      </c>
      <c r="D1118">
        <v>101</v>
      </c>
      <c r="E1118" t="s">
        <v>68</v>
      </c>
      <c r="F1118">
        <v>80</v>
      </c>
      <c r="G1118" t="s">
        <v>69</v>
      </c>
      <c r="H1118" t="s">
        <v>50</v>
      </c>
      <c r="K1118" t="s">
        <v>51</v>
      </c>
      <c r="L1118">
        <v>1</v>
      </c>
      <c r="M1118" t="s">
        <v>53</v>
      </c>
      <c r="N1118">
        <v>80</v>
      </c>
      <c r="O1118">
        <v>1</v>
      </c>
      <c r="P1118" t="s">
        <v>52</v>
      </c>
      <c r="Q1118">
        <v>0.5</v>
      </c>
      <c r="R1118">
        <v>0.75</v>
      </c>
      <c r="S1118">
        <v>202.92</v>
      </c>
      <c r="T1118" t="s">
        <v>284</v>
      </c>
      <c r="U1118">
        <v>198.9</v>
      </c>
      <c r="V1118" t="s">
        <v>284</v>
      </c>
      <c r="W1118">
        <v>212.4</v>
      </c>
      <c r="X1118" t="s">
        <v>284</v>
      </c>
      <c r="Y1118">
        <v>219.6</v>
      </c>
      <c r="Z1118" t="s">
        <v>284</v>
      </c>
      <c r="AA1118">
        <v>178</v>
      </c>
      <c r="AB1118" t="s">
        <v>284</v>
      </c>
      <c r="AG1118">
        <v>204.74</v>
      </c>
      <c r="AH1118" t="s">
        <v>54</v>
      </c>
      <c r="AI1118" t="s">
        <v>52</v>
      </c>
      <c r="AZ1118" t="s">
        <v>52</v>
      </c>
      <c r="BQ1118" t="s">
        <v>52</v>
      </c>
      <c r="BR1118">
        <v>1.85</v>
      </c>
      <c r="BS1118" t="s">
        <v>284</v>
      </c>
      <c r="BT1118">
        <v>1.82</v>
      </c>
      <c r="BU1118" t="s">
        <v>284</v>
      </c>
      <c r="BV1118">
        <v>1.99</v>
      </c>
      <c r="BW1118" t="s">
        <v>284</v>
      </c>
      <c r="BX1118">
        <v>2.5</v>
      </c>
      <c r="BY1118" t="s">
        <v>284</v>
      </c>
      <c r="BZ1118">
        <v>2.1800000000000002</v>
      </c>
      <c r="CA1118" t="s">
        <v>285</v>
      </c>
      <c r="CF1118">
        <v>2.0099999999999998</v>
      </c>
      <c r="CG1118" t="s">
        <v>54</v>
      </c>
      <c r="CH1118" t="s">
        <v>52</v>
      </c>
    </row>
    <row r="1119" spans="1:86" x14ac:dyDescent="0.25">
      <c r="A1119" t="s">
        <v>47</v>
      </c>
      <c r="B1119">
        <v>8</v>
      </c>
      <c r="C1119" t="s">
        <v>192</v>
      </c>
      <c r="D1119">
        <v>101</v>
      </c>
      <c r="E1119" t="s">
        <v>68</v>
      </c>
      <c r="F1119">
        <v>80</v>
      </c>
      <c r="G1119" t="s">
        <v>69</v>
      </c>
      <c r="H1119" t="s">
        <v>50</v>
      </c>
      <c r="K1119" t="s">
        <v>52</v>
      </c>
      <c r="L1119">
        <v>1</v>
      </c>
      <c r="M1119" t="s">
        <v>53</v>
      </c>
      <c r="N1119">
        <v>80</v>
      </c>
      <c r="O1119">
        <v>1</v>
      </c>
      <c r="P1119" t="s">
        <v>52</v>
      </c>
      <c r="Q1119">
        <v>0.5</v>
      </c>
      <c r="R1119">
        <v>0.75</v>
      </c>
      <c r="S1119">
        <v>202.92</v>
      </c>
      <c r="T1119" t="s">
        <v>284</v>
      </c>
      <c r="U1119">
        <v>198.9</v>
      </c>
      <c r="V1119" t="s">
        <v>284</v>
      </c>
      <c r="W1119">
        <v>212.4</v>
      </c>
      <c r="X1119" t="s">
        <v>284</v>
      </c>
      <c r="Y1119">
        <v>219.6</v>
      </c>
      <c r="Z1119" t="s">
        <v>284</v>
      </c>
      <c r="AA1119">
        <v>178</v>
      </c>
      <c r="AB1119" t="s">
        <v>284</v>
      </c>
      <c r="AG1119">
        <v>204.74</v>
      </c>
      <c r="AH1119" t="s">
        <v>54</v>
      </c>
      <c r="AI1119" t="s">
        <v>52</v>
      </c>
      <c r="AZ1119" t="s">
        <v>52</v>
      </c>
      <c r="BQ1119" t="s">
        <v>52</v>
      </c>
      <c r="BR1119">
        <v>0.65</v>
      </c>
      <c r="BS1119" t="s">
        <v>285</v>
      </c>
      <c r="BT1119">
        <v>0.95</v>
      </c>
      <c r="BU1119" t="s">
        <v>284</v>
      </c>
      <c r="BV1119">
        <v>1.37</v>
      </c>
      <c r="BW1119" t="s">
        <v>284</v>
      </c>
      <c r="BX1119">
        <v>1.3</v>
      </c>
      <c r="BY1119" t="s">
        <v>284</v>
      </c>
      <c r="BZ1119">
        <v>1.1299999999999999</v>
      </c>
      <c r="CA1119" t="s">
        <v>285</v>
      </c>
      <c r="CF1119">
        <v>1.1299999999999999</v>
      </c>
      <c r="CG1119" t="s">
        <v>54</v>
      </c>
      <c r="CH1119" t="s">
        <v>52</v>
      </c>
    </row>
    <row r="1120" spans="1:86" x14ac:dyDescent="0.25">
      <c r="A1120" t="s">
        <v>47</v>
      </c>
      <c r="B1120">
        <v>8</v>
      </c>
      <c r="C1120" t="s">
        <v>192</v>
      </c>
      <c r="D1120">
        <v>101</v>
      </c>
      <c r="E1120" t="s">
        <v>70</v>
      </c>
      <c r="F1120">
        <v>296</v>
      </c>
      <c r="G1120" t="s">
        <v>71</v>
      </c>
      <c r="H1120" t="s">
        <v>50</v>
      </c>
      <c r="K1120" t="s">
        <v>51</v>
      </c>
      <c r="L1120">
        <v>1</v>
      </c>
      <c r="M1120" t="s">
        <v>53</v>
      </c>
      <c r="N1120">
        <v>296</v>
      </c>
      <c r="O1120">
        <v>1</v>
      </c>
      <c r="P1120" t="s">
        <v>52</v>
      </c>
      <c r="Q1120">
        <v>0</v>
      </c>
      <c r="R1120">
        <v>0.75</v>
      </c>
      <c r="S1120">
        <v>228</v>
      </c>
      <c r="T1120" t="s">
        <v>284</v>
      </c>
      <c r="U1120">
        <v>190</v>
      </c>
      <c r="V1120" t="s">
        <v>285</v>
      </c>
      <c r="W1120">
        <v>194</v>
      </c>
      <c r="X1120" t="s">
        <v>285</v>
      </c>
      <c r="Y1120">
        <v>225</v>
      </c>
      <c r="Z1120" t="s">
        <v>285</v>
      </c>
      <c r="AA1120">
        <v>247</v>
      </c>
      <c r="AB1120" t="s">
        <v>285</v>
      </c>
      <c r="AC1120">
        <v>241</v>
      </c>
      <c r="AD1120" t="s">
        <v>285</v>
      </c>
      <c r="AE1120">
        <v>219</v>
      </c>
      <c r="AF1120" t="s">
        <v>285</v>
      </c>
      <c r="AG1120">
        <v>219</v>
      </c>
      <c r="AH1120" t="s">
        <v>286</v>
      </c>
      <c r="AI1120" t="s">
        <v>287</v>
      </c>
      <c r="AX1120">
        <v>263</v>
      </c>
      <c r="AY1120" t="s">
        <v>286</v>
      </c>
      <c r="AZ1120" t="s">
        <v>287</v>
      </c>
      <c r="BQ1120" t="s">
        <v>52</v>
      </c>
      <c r="BR1120">
        <v>1.85</v>
      </c>
      <c r="BS1120" t="s">
        <v>284</v>
      </c>
      <c r="BT1120">
        <v>1.82</v>
      </c>
      <c r="BU1120" t="s">
        <v>284</v>
      </c>
      <c r="BV1120">
        <v>1.06</v>
      </c>
      <c r="BW1120" t="s">
        <v>285</v>
      </c>
      <c r="BX1120">
        <v>1.1100000000000001</v>
      </c>
      <c r="BY1120" t="s">
        <v>288</v>
      </c>
      <c r="BZ1120">
        <v>1.5</v>
      </c>
      <c r="CA1120" t="s">
        <v>288</v>
      </c>
      <c r="CF1120">
        <v>1.48</v>
      </c>
      <c r="CG1120" t="s">
        <v>54</v>
      </c>
      <c r="CH1120" t="s">
        <v>52</v>
      </c>
    </row>
    <row r="1121" spans="1:86" x14ac:dyDescent="0.25">
      <c r="A1121" t="s">
        <v>47</v>
      </c>
      <c r="B1121">
        <v>8</v>
      </c>
      <c r="C1121" t="s">
        <v>192</v>
      </c>
      <c r="D1121">
        <v>101</v>
      </c>
      <c r="E1121" t="s">
        <v>70</v>
      </c>
      <c r="F1121">
        <v>296</v>
      </c>
      <c r="G1121" t="s">
        <v>71</v>
      </c>
      <c r="H1121" t="s">
        <v>50</v>
      </c>
      <c r="K1121" t="s">
        <v>52</v>
      </c>
      <c r="L1121">
        <v>1</v>
      </c>
      <c r="M1121" t="s">
        <v>53</v>
      </c>
      <c r="N1121">
        <v>296</v>
      </c>
      <c r="O1121">
        <v>1</v>
      </c>
      <c r="P1121" t="s">
        <v>52</v>
      </c>
      <c r="Q1121">
        <v>0</v>
      </c>
      <c r="R1121">
        <v>0.75</v>
      </c>
      <c r="S1121">
        <v>228</v>
      </c>
      <c r="T1121" t="s">
        <v>284</v>
      </c>
      <c r="U1121">
        <v>190</v>
      </c>
      <c r="V1121" t="s">
        <v>285</v>
      </c>
      <c r="W1121">
        <v>194</v>
      </c>
      <c r="X1121" t="s">
        <v>285</v>
      </c>
      <c r="Y1121">
        <v>225</v>
      </c>
      <c r="Z1121" t="s">
        <v>285</v>
      </c>
      <c r="AA1121">
        <v>247</v>
      </c>
      <c r="AB1121" t="s">
        <v>285</v>
      </c>
      <c r="AC1121">
        <v>241</v>
      </c>
      <c r="AD1121" t="s">
        <v>285</v>
      </c>
      <c r="AE1121">
        <v>219</v>
      </c>
      <c r="AF1121" t="s">
        <v>285</v>
      </c>
      <c r="AG1121">
        <v>219</v>
      </c>
      <c r="AH1121" t="s">
        <v>286</v>
      </c>
      <c r="AI1121" t="s">
        <v>287</v>
      </c>
      <c r="AX1121">
        <v>263</v>
      </c>
      <c r="AY1121" t="s">
        <v>286</v>
      </c>
      <c r="AZ1121" t="s">
        <v>287</v>
      </c>
      <c r="BQ1121" t="s">
        <v>52</v>
      </c>
      <c r="BR1121">
        <v>0.65</v>
      </c>
      <c r="BS1121" t="s">
        <v>284</v>
      </c>
      <c r="BT1121">
        <v>0.91</v>
      </c>
      <c r="BU1121" t="s">
        <v>285</v>
      </c>
      <c r="BV1121">
        <v>0.28000000000000003</v>
      </c>
      <c r="BW1121" t="s">
        <v>285</v>
      </c>
      <c r="BX1121">
        <v>0.22</v>
      </c>
      <c r="BY1121" t="s">
        <v>284</v>
      </c>
      <c r="BZ1121">
        <v>0.22</v>
      </c>
      <c r="CA1121" t="s">
        <v>284</v>
      </c>
      <c r="CF1121">
        <v>0.38</v>
      </c>
      <c r="CG1121" t="s">
        <v>54</v>
      </c>
      <c r="CH1121" t="s">
        <v>52</v>
      </c>
    </row>
    <row r="1122" spans="1:86" x14ac:dyDescent="0.25">
      <c r="A1122" t="s">
        <v>47</v>
      </c>
      <c r="B1122">
        <v>8</v>
      </c>
      <c r="C1122" t="s">
        <v>192</v>
      </c>
      <c r="D1122">
        <v>101</v>
      </c>
      <c r="E1122" t="s">
        <v>70</v>
      </c>
      <c r="F1122">
        <v>296</v>
      </c>
      <c r="G1122" t="s">
        <v>72</v>
      </c>
      <c r="H1122" t="s">
        <v>50</v>
      </c>
      <c r="K1122" t="s">
        <v>51</v>
      </c>
      <c r="L1122">
        <v>1</v>
      </c>
      <c r="M1122" t="s">
        <v>53</v>
      </c>
      <c r="N1122">
        <v>296</v>
      </c>
      <c r="O1122">
        <v>1</v>
      </c>
      <c r="P1122" t="s">
        <v>52</v>
      </c>
      <c r="Q1122">
        <v>0.5</v>
      </c>
      <c r="R1122">
        <v>0.75</v>
      </c>
      <c r="S1122">
        <v>228</v>
      </c>
      <c r="T1122" t="s">
        <v>284</v>
      </c>
      <c r="U1122">
        <v>221</v>
      </c>
      <c r="V1122" t="s">
        <v>284</v>
      </c>
      <c r="W1122">
        <v>236</v>
      </c>
      <c r="X1122" t="s">
        <v>284</v>
      </c>
      <c r="Y1122">
        <v>244</v>
      </c>
      <c r="Z1122" t="s">
        <v>284</v>
      </c>
      <c r="AA1122">
        <v>215</v>
      </c>
      <c r="AB1122" t="s">
        <v>285</v>
      </c>
      <c r="AG1122">
        <v>228.33330000000001</v>
      </c>
      <c r="AH1122" t="s">
        <v>54</v>
      </c>
      <c r="AI1122" t="s">
        <v>52</v>
      </c>
      <c r="AZ1122" t="s">
        <v>52</v>
      </c>
      <c r="BQ1122" t="s">
        <v>52</v>
      </c>
      <c r="BR1122">
        <v>1.85</v>
      </c>
      <c r="BS1122" t="s">
        <v>284</v>
      </c>
      <c r="BT1122">
        <v>1.82</v>
      </c>
      <c r="BU1122" t="s">
        <v>284</v>
      </c>
      <c r="BV1122">
        <v>1.73</v>
      </c>
      <c r="BW1122" t="s">
        <v>284</v>
      </c>
      <c r="BX1122">
        <v>1.39</v>
      </c>
      <c r="BY1122" t="s">
        <v>284</v>
      </c>
      <c r="BZ1122">
        <v>1.39</v>
      </c>
      <c r="CA1122" t="s">
        <v>284</v>
      </c>
      <c r="CF1122">
        <v>1.65</v>
      </c>
      <c r="CG1122" t="s">
        <v>54</v>
      </c>
      <c r="CH1122" t="s">
        <v>52</v>
      </c>
    </row>
    <row r="1123" spans="1:86" x14ac:dyDescent="0.25">
      <c r="A1123" t="s">
        <v>47</v>
      </c>
      <c r="B1123">
        <v>8</v>
      </c>
      <c r="C1123" t="s">
        <v>192</v>
      </c>
      <c r="D1123">
        <v>101</v>
      </c>
      <c r="E1123" t="s">
        <v>70</v>
      </c>
      <c r="F1123">
        <v>296</v>
      </c>
      <c r="G1123" t="s">
        <v>74</v>
      </c>
      <c r="H1123" t="s">
        <v>50</v>
      </c>
      <c r="K1123" t="s">
        <v>51</v>
      </c>
      <c r="L1123">
        <v>1</v>
      </c>
      <c r="M1123" t="s">
        <v>53</v>
      </c>
      <c r="N1123">
        <v>102</v>
      </c>
      <c r="O1123">
        <v>1</v>
      </c>
      <c r="P1123" t="s">
        <v>52</v>
      </c>
      <c r="Q1123">
        <v>0</v>
      </c>
      <c r="R1123">
        <v>0.75</v>
      </c>
      <c r="S1123">
        <v>135</v>
      </c>
      <c r="T1123" t="s">
        <v>284</v>
      </c>
      <c r="U1123">
        <v>132</v>
      </c>
      <c r="V1123" t="s">
        <v>284</v>
      </c>
      <c r="W1123">
        <v>147</v>
      </c>
      <c r="X1123" t="s">
        <v>284</v>
      </c>
      <c r="Y1123">
        <v>170</v>
      </c>
      <c r="Z1123" t="s">
        <v>284</v>
      </c>
      <c r="AA1123">
        <v>205</v>
      </c>
      <c r="AB1123" t="s">
        <v>285</v>
      </c>
      <c r="AG1123">
        <v>150.66669999999999</v>
      </c>
      <c r="AH1123" t="s">
        <v>54</v>
      </c>
      <c r="AI1123" t="s">
        <v>52</v>
      </c>
      <c r="AZ1123" t="s">
        <v>52</v>
      </c>
      <c r="BQ1123" t="s">
        <v>52</v>
      </c>
      <c r="BR1123">
        <v>1.85</v>
      </c>
      <c r="BS1123" t="s">
        <v>284</v>
      </c>
      <c r="BT1123">
        <v>1.82</v>
      </c>
      <c r="BU1123" t="s">
        <v>284</v>
      </c>
      <c r="BV1123">
        <v>1.2</v>
      </c>
      <c r="BW1123" t="s">
        <v>285</v>
      </c>
      <c r="BX1123">
        <v>1.67</v>
      </c>
      <c r="BY1123" t="s">
        <v>285</v>
      </c>
      <c r="BZ1123">
        <v>2.44</v>
      </c>
      <c r="CA1123" t="s">
        <v>288</v>
      </c>
      <c r="CF1123">
        <v>1.78</v>
      </c>
      <c r="CG1123" t="s">
        <v>54</v>
      </c>
      <c r="CH1123" t="s">
        <v>52</v>
      </c>
    </row>
    <row r="1124" spans="1:86" x14ac:dyDescent="0.25">
      <c r="A1124" t="s">
        <v>47</v>
      </c>
      <c r="B1124">
        <v>8</v>
      </c>
      <c r="C1124" t="s">
        <v>192</v>
      </c>
      <c r="D1124">
        <v>101</v>
      </c>
      <c r="E1124" t="s">
        <v>70</v>
      </c>
      <c r="F1124">
        <v>296</v>
      </c>
      <c r="G1124" t="s">
        <v>74</v>
      </c>
      <c r="H1124" t="s">
        <v>50</v>
      </c>
      <c r="K1124" t="s">
        <v>52</v>
      </c>
      <c r="L1124">
        <v>1</v>
      </c>
      <c r="M1124" t="s">
        <v>53</v>
      </c>
      <c r="N1124">
        <v>102</v>
      </c>
      <c r="O1124">
        <v>1</v>
      </c>
      <c r="P1124" t="s">
        <v>52</v>
      </c>
      <c r="Q1124">
        <v>0</v>
      </c>
      <c r="R1124">
        <v>0.75</v>
      </c>
      <c r="S1124">
        <v>135</v>
      </c>
      <c r="T1124" t="s">
        <v>284</v>
      </c>
      <c r="U1124">
        <v>132</v>
      </c>
      <c r="V1124" t="s">
        <v>284</v>
      </c>
      <c r="W1124">
        <v>147</v>
      </c>
      <c r="X1124" t="s">
        <v>284</v>
      </c>
      <c r="Y1124">
        <v>170</v>
      </c>
      <c r="Z1124" t="s">
        <v>284</v>
      </c>
      <c r="AA1124">
        <v>205</v>
      </c>
      <c r="AB1124" t="s">
        <v>285</v>
      </c>
      <c r="AG1124">
        <v>150.66669999999999</v>
      </c>
      <c r="AH1124" t="s">
        <v>54</v>
      </c>
      <c r="AI1124" t="s">
        <v>52</v>
      </c>
      <c r="AZ1124" t="s">
        <v>52</v>
      </c>
      <c r="BQ1124" t="s">
        <v>52</v>
      </c>
      <c r="BR1124">
        <v>0.65</v>
      </c>
      <c r="BS1124" t="s">
        <v>284</v>
      </c>
      <c r="BT1124">
        <v>0.53</v>
      </c>
      <c r="BU1124" t="s">
        <v>284</v>
      </c>
      <c r="BV1124">
        <v>0.11</v>
      </c>
      <c r="BW1124" t="s">
        <v>284</v>
      </c>
      <c r="BX1124">
        <v>0.25</v>
      </c>
      <c r="BY1124" t="s">
        <v>285</v>
      </c>
      <c r="BZ1124">
        <v>0.05</v>
      </c>
      <c r="CA1124" t="s">
        <v>288</v>
      </c>
      <c r="CF1124">
        <v>0.3</v>
      </c>
      <c r="CG1124" t="s">
        <v>54</v>
      </c>
      <c r="CH1124" t="s">
        <v>52</v>
      </c>
    </row>
    <row r="1125" spans="1:86" x14ac:dyDescent="0.25">
      <c r="A1125" t="s">
        <v>47</v>
      </c>
      <c r="B1125">
        <v>8</v>
      </c>
      <c r="C1125" t="s">
        <v>192</v>
      </c>
      <c r="D1125">
        <v>101</v>
      </c>
      <c r="E1125" t="s">
        <v>70</v>
      </c>
      <c r="F1125">
        <v>296</v>
      </c>
      <c r="G1125" t="s">
        <v>91</v>
      </c>
      <c r="H1125" t="s">
        <v>50</v>
      </c>
      <c r="K1125" t="s">
        <v>51</v>
      </c>
      <c r="L1125">
        <v>1</v>
      </c>
      <c r="M1125" t="s">
        <v>53</v>
      </c>
      <c r="N1125">
        <v>102</v>
      </c>
      <c r="O1125">
        <v>1</v>
      </c>
      <c r="P1125" t="s">
        <v>52</v>
      </c>
      <c r="Q1125">
        <v>0.5</v>
      </c>
      <c r="R1125">
        <v>0.75</v>
      </c>
      <c r="S1125">
        <v>228</v>
      </c>
      <c r="T1125" t="s">
        <v>284</v>
      </c>
      <c r="U1125">
        <v>190</v>
      </c>
      <c r="V1125" t="s">
        <v>285</v>
      </c>
      <c r="W1125">
        <v>236</v>
      </c>
      <c r="X1125" t="s">
        <v>284</v>
      </c>
      <c r="Y1125">
        <v>244</v>
      </c>
      <c r="Z1125" t="s">
        <v>284</v>
      </c>
      <c r="AA1125">
        <v>215</v>
      </c>
      <c r="AB1125" t="s">
        <v>285</v>
      </c>
      <c r="AG1125">
        <v>226.33330000000001</v>
      </c>
      <c r="AH1125" t="s">
        <v>54</v>
      </c>
      <c r="AI1125" t="s">
        <v>52</v>
      </c>
      <c r="AZ1125" t="s">
        <v>52</v>
      </c>
      <c r="BQ1125" t="s">
        <v>52</v>
      </c>
      <c r="BR1125">
        <v>1.85</v>
      </c>
      <c r="BS1125" t="s">
        <v>284</v>
      </c>
      <c r="BT1125">
        <v>1.82</v>
      </c>
      <c r="BU1125" t="s">
        <v>284</v>
      </c>
      <c r="BV1125">
        <v>1.73</v>
      </c>
      <c r="BW1125" t="s">
        <v>284</v>
      </c>
      <c r="BX1125">
        <v>1.39</v>
      </c>
      <c r="BY1125" t="s">
        <v>284</v>
      </c>
      <c r="BZ1125">
        <v>1.39</v>
      </c>
      <c r="CA1125" t="s">
        <v>284</v>
      </c>
      <c r="CF1125">
        <v>1.65</v>
      </c>
      <c r="CG1125" t="s">
        <v>54</v>
      </c>
      <c r="CH1125" t="s">
        <v>52</v>
      </c>
    </row>
    <row r="1126" spans="1:86" x14ac:dyDescent="0.25">
      <c r="A1126" t="s">
        <v>47</v>
      </c>
      <c r="B1126">
        <v>8</v>
      </c>
      <c r="C1126" t="s">
        <v>192</v>
      </c>
      <c r="D1126">
        <v>101</v>
      </c>
      <c r="E1126" t="s">
        <v>70</v>
      </c>
      <c r="F1126">
        <v>296</v>
      </c>
      <c r="G1126" t="s">
        <v>92</v>
      </c>
      <c r="H1126" t="s">
        <v>50</v>
      </c>
      <c r="K1126" t="s">
        <v>51</v>
      </c>
      <c r="L1126">
        <v>1</v>
      </c>
      <c r="M1126" t="s">
        <v>53</v>
      </c>
      <c r="N1126">
        <v>102</v>
      </c>
      <c r="O1126">
        <v>1</v>
      </c>
      <c r="P1126" t="s">
        <v>52</v>
      </c>
      <c r="Q1126">
        <v>0.5</v>
      </c>
      <c r="R1126">
        <v>0.75</v>
      </c>
      <c r="S1126">
        <v>228</v>
      </c>
      <c r="T1126" t="s">
        <v>284</v>
      </c>
      <c r="U1126">
        <v>189</v>
      </c>
      <c r="V1126" t="s">
        <v>285</v>
      </c>
      <c r="W1126">
        <v>199</v>
      </c>
      <c r="X1126" t="s">
        <v>285</v>
      </c>
      <c r="Y1126">
        <v>206</v>
      </c>
      <c r="Z1126" t="s">
        <v>285</v>
      </c>
      <c r="AA1126">
        <v>128</v>
      </c>
      <c r="AB1126" t="s">
        <v>285</v>
      </c>
      <c r="AG1126">
        <v>198</v>
      </c>
      <c r="AH1126" t="s">
        <v>54</v>
      </c>
      <c r="AI1126" t="s">
        <v>52</v>
      </c>
      <c r="AZ1126" t="s">
        <v>52</v>
      </c>
      <c r="BQ1126" t="s">
        <v>52</v>
      </c>
      <c r="CH1126" t="s">
        <v>52</v>
      </c>
    </row>
    <row r="1127" spans="1:86" x14ac:dyDescent="0.25">
      <c r="A1127" t="s">
        <v>47</v>
      </c>
      <c r="B1127">
        <v>8</v>
      </c>
      <c r="C1127" t="s">
        <v>192</v>
      </c>
      <c r="D1127">
        <v>101</v>
      </c>
      <c r="E1127" t="s">
        <v>75</v>
      </c>
      <c r="F1127">
        <v>16</v>
      </c>
      <c r="G1127" t="s">
        <v>76</v>
      </c>
      <c r="H1127" t="s">
        <v>50</v>
      </c>
      <c r="K1127" t="s">
        <v>51</v>
      </c>
      <c r="L1127">
        <v>1</v>
      </c>
      <c r="M1127" t="s">
        <v>53</v>
      </c>
      <c r="N1127">
        <v>16</v>
      </c>
      <c r="O1127">
        <v>2</v>
      </c>
      <c r="P1127" t="s">
        <v>52</v>
      </c>
      <c r="Q1127">
        <v>0.5</v>
      </c>
      <c r="R1127">
        <v>0.75</v>
      </c>
      <c r="S1127">
        <v>83.35</v>
      </c>
      <c r="T1127" t="s">
        <v>285</v>
      </c>
      <c r="U1127">
        <v>96.14</v>
      </c>
      <c r="V1127" t="s">
        <v>284</v>
      </c>
      <c r="W1127">
        <v>103.37</v>
      </c>
      <c r="X1127" t="s">
        <v>284</v>
      </c>
      <c r="Y1127">
        <v>106.14</v>
      </c>
      <c r="Z1127" t="s">
        <v>284</v>
      </c>
      <c r="AA1127">
        <v>128</v>
      </c>
      <c r="AB1127" t="s">
        <v>285</v>
      </c>
      <c r="AG1127">
        <v>101.88330000000001</v>
      </c>
      <c r="AH1127" t="s">
        <v>54</v>
      </c>
      <c r="AI1127" t="s">
        <v>52</v>
      </c>
      <c r="AX1127">
        <v>146.69999999999999</v>
      </c>
      <c r="AY1127" t="s">
        <v>285</v>
      </c>
      <c r="AZ1127" t="s">
        <v>287</v>
      </c>
      <c r="BQ1127" t="s">
        <v>52</v>
      </c>
      <c r="BR1127">
        <v>1.85</v>
      </c>
      <c r="BS1127" t="s">
        <v>284</v>
      </c>
      <c r="BT1127">
        <v>2.35</v>
      </c>
      <c r="BU1127" t="s">
        <v>285</v>
      </c>
      <c r="BV1127">
        <v>1.48</v>
      </c>
      <c r="BW1127" t="s">
        <v>285</v>
      </c>
      <c r="BX1127">
        <v>2.42</v>
      </c>
      <c r="BY1127" t="s">
        <v>284</v>
      </c>
      <c r="BZ1127">
        <v>2.83</v>
      </c>
      <c r="CA1127" t="s">
        <v>289</v>
      </c>
      <c r="CF1127">
        <v>2.21</v>
      </c>
      <c r="CG1127" t="s">
        <v>54</v>
      </c>
      <c r="CH1127" t="s">
        <v>52</v>
      </c>
    </row>
    <row r="1128" spans="1:86" x14ac:dyDescent="0.25">
      <c r="A1128" t="s">
        <v>47</v>
      </c>
      <c r="B1128">
        <v>8</v>
      </c>
      <c r="C1128" t="s">
        <v>192</v>
      </c>
      <c r="D1128">
        <v>101</v>
      </c>
      <c r="E1128" t="s">
        <v>75</v>
      </c>
      <c r="F1128">
        <v>16</v>
      </c>
      <c r="G1128" t="s">
        <v>76</v>
      </c>
      <c r="H1128" t="s">
        <v>50</v>
      </c>
      <c r="K1128" t="s">
        <v>52</v>
      </c>
      <c r="L1128">
        <v>1</v>
      </c>
      <c r="M1128" t="s">
        <v>53</v>
      </c>
      <c r="N1128">
        <v>16</v>
      </c>
      <c r="O1128">
        <v>2</v>
      </c>
      <c r="P1128" t="s">
        <v>52</v>
      </c>
      <c r="Q1128">
        <v>0.5</v>
      </c>
      <c r="R1128">
        <v>0.75</v>
      </c>
      <c r="S1128">
        <v>83.35</v>
      </c>
      <c r="T1128" t="s">
        <v>285</v>
      </c>
      <c r="U1128">
        <v>96.14</v>
      </c>
      <c r="V1128" t="s">
        <v>284</v>
      </c>
      <c r="W1128">
        <v>103.37</v>
      </c>
      <c r="X1128" t="s">
        <v>284</v>
      </c>
      <c r="Y1128">
        <v>106.14</v>
      </c>
      <c r="Z1128" t="s">
        <v>284</v>
      </c>
      <c r="AA1128">
        <v>128</v>
      </c>
      <c r="AB1128" t="s">
        <v>285</v>
      </c>
      <c r="AG1128">
        <v>101.88330000000001</v>
      </c>
      <c r="AH1128" t="s">
        <v>54</v>
      </c>
      <c r="AI1128" t="s">
        <v>52</v>
      </c>
      <c r="AX1128">
        <v>146.69999999999999</v>
      </c>
      <c r="AY1128" t="s">
        <v>285</v>
      </c>
      <c r="AZ1128" t="s">
        <v>287</v>
      </c>
      <c r="BQ1128" t="s">
        <v>52</v>
      </c>
      <c r="BR1128">
        <v>0.65</v>
      </c>
      <c r="BS1128" t="s">
        <v>284</v>
      </c>
      <c r="BT1128">
        <v>0.92</v>
      </c>
      <c r="BU1128" t="s">
        <v>284</v>
      </c>
      <c r="BV1128">
        <v>1.65</v>
      </c>
      <c r="BW1128" t="s">
        <v>284</v>
      </c>
      <c r="BX1128">
        <v>1.7</v>
      </c>
      <c r="BY1128" t="s">
        <v>284</v>
      </c>
      <c r="BZ1128">
        <v>0.19</v>
      </c>
      <c r="CA1128" t="s">
        <v>289</v>
      </c>
      <c r="CF1128">
        <v>1.07</v>
      </c>
      <c r="CG1128" t="s">
        <v>54</v>
      </c>
      <c r="CH1128" t="s">
        <v>52</v>
      </c>
    </row>
    <row r="1129" spans="1:86" x14ac:dyDescent="0.25">
      <c r="A1129" t="s">
        <v>47</v>
      </c>
      <c r="B1129">
        <v>8</v>
      </c>
      <c r="C1129" t="s">
        <v>192</v>
      </c>
      <c r="D1129">
        <v>101</v>
      </c>
      <c r="E1129" t="s">
        <v>79</v>
      </c>
      <c r="F1129">
        <v>50</v>
      </c>
      <c r="G1129" t="s">
        <v>80</v>
      </c>
      <c r="H1129" t="s">
        <v>50</v>
      </c>
      <c r="K1129" t="s">
        <v>51</v>
      </c>
      <c r="L1129">
        <v>1</v>
      </c>
      <c r="M1129" t="s">
        <v>53</v>
      </c>
      <c r="N1129">
        <v>50</v>
      </c>
      <c r="O1129">
        <v>1</v>
      </c>
      <c r="P1129" t="s">
        <v>52</v>
      </c>
      <c r="Q1129">
        <v>0.5</v>
      </c>
      <c r="R1129">
        <v>0.75</v>
      </c>
      <c r="S1129">
        <v>85</v>
      </c>
      <c r="T1129" t="s">
        <v>285</v>
      </c>
      <c r="U1129">
        <v>93</v>
      </c>
      <c r="V1129" t="s">
        <v>284</v>
      </c>
      <c r="W1129">
        <v>89.7</v>
      </c>
      <c r="X1129" t="s">
        <v>284</v>
      </c>
      <c r="Y1129">
        <v>92.72</v>
      </c>
      <c r="Z1129" t="s">
        <v>284</v>
      </c>
      <c r="AA1129">
        <v>109</v>
      </c>
      <c r="AB1129" t="s">
        <v>285</v>
      </c>
      <c r="AG1129">
        <v>91.806700000000006</v>
      </c>
      <c r="AH1129" t="s">
        <v>54</v>
      </c>
      <c r="AI1129" t="s">
        <v>52</v>
      </c>
      <c r="AZ1129" t="s">
        <v>52</v>
      </c>
      <c r="BQ1129" t="s">
        <v>52</v>
      </c>
      <c r="BR1129">
        <v>4.4800000000000004</v>
      </c>
      <c r="BS1129" t="s">
        <v>289</v>
      </c>
      <c r="BT1129">
        <v>3.01</v>
      </c>
      <c r="BU1129" t="s">
        <v>285</v>
      </c>
      <c r="BV1129">
        <v>1.99</v>
      </c>
      <c r="BW1129" t="s">
        <v>285</v>
      </c>
      <c r="BX1129">
        <v>3.23</v>
      </c>
      <c r="BY1129" t="s">
        <v>285</v>
      </c>
      <c r="BZ1129">
        <v>5.87</v>
      </c>
      <c r="CA1129" t="s">
        <v>289</v>
      </c>
      <c r="CF1129">
        <v>3.57</v>
      </c>
      <c r="CG1129" t="s">
        <v>54</v>
      </c>
      <c r="CH1129" t="s">
        <v>52</v>
      </c>
    </row>
    <row r="1130" spans="1:86" x14ac:dyDescent="0.25">
      <c r="A1130" t="s">
        <v>47</v>
      </c>
      <c r="B1130">
        <v>8</v>
      </c>
      <c r="C1130" t="s">
        <v>192</v>
      </c>
      <c r="D1130">
        <v>101</v>
      </c>
      <c r="E1130" t="s">
        <v>79</v>
      </c>
      <c r="F1130">
        <v>50</v>
      </c>
      <c r="G1130" t="s">
        <v>65</v>
      </c>
      <c r="H1130" t="s">
        <v>50</v>
      </c>
      <c r="K1130" t="s">
        <v>51</v>
      </c>
      <c r="L1130">
        <v>1</v>
      </c>
      <c r="M1130" t="s">
        <v>53</v>
      </c>
      <c r="N1130">
        <v>50</v>
      </c>
      <c r="O1130">
        <v>1</v>
      </c>
      <c r="P1130" t="s">
        <v>52</v>
      </c>
      <c r="Q1130">
        <v>0.5</v>
      </c>
      <c r="R1130">
        <v>0.75</v>
      </c>
      <c r="S1130">
        <v>85</v>
      </c>
      <c r="T1130" t="s">
        <v>285</v>
      </c>
      <c r="U1130">
        <v>93</v>
      </c>
      <c r="V1130" t="s">
        <v>284</v>
      </c>
      <c r="W1130">
        <v>89.7</v>
      </c>
      <c r="X1130" t="s">
        <v>284</v>
      </c>
      <c r="Y1130">
        <v>92.72</v>
      </c>
      <c r="Z1130" t="s">
        <v>284</v>
      </c>
      <c r="AA1130">
        <v>109</v>
      </c>
      <c r="AB1130" t="s">
        <v>285</v>
      </c>
      <c r="AG1130">
        <v>91.806700000000006</v>
      </c>
      <c r="AH1130" t="s">
        <v>54</v>
      </c>
      <c r="AI1130" t="s">
        <v>52</v>
      </c>
      <c r="AZ1130" t="s">
        <v>52</v>
      </c>
      <c r="BQ1130" t="s">
        <v>52</v>
      </c>
      <c r="BR1130">
        <v>3.57</v>
      </c>
      <c r="BS1130" t="s">
        <v>289</v>
      </c>
      <c r="BT1130">
        <v>2.66</v>
      </c>
      <c r="BU1130" t="s">
        <v>285</v>
      </c>
      <c r="BV1130">
        <v>1.83</v>
      </c>
      <c r="BW1130" t="s">
        <v>284</v>
      </c>
      <c r="BX1130">
        <v>2.91</v>
      </c>
      <c r="BY1130" t="s">
        <v>284</v>
      </c>
      <c r="BZ1130">
        <v>5.87</v>
      </c>
      <c r="CA1130" t="s">
        <v>288</v>
      </c>
      <c r="CF1130">
        <v>3.05</v>
      </c>
      <c r="CG1130" t="s">
        <v>54</v>
      </c>
      <c r="CH1130" t="s">
        <v>52</v>
      </c>
    </row>
    <row r="1131" spans="1:86" x14ac:dyDescent="0.25">
      <c r="A1131" t="s">
        <v>47</v>
      </c>
      <c r="B1131">
        <v>8</v>
      </c>
      <c r="C1131" t="s">
        <v>192</v>
      </c>
      <c r="D1131">
        <v>101</v>
      </c>
      <c r="E1131" t="s">
        <v>79</v>
      </c>
      <c r="F1131">
        <v>50</v>
      </c>
      <c r="G1131" t="s">
        <v>81</v>
      </c>
      <c r="H1131" t="s">
        <v>50</v>
      </c>
      <c r="K1131" t="s">
        <v>51</v>
      </c>
      <c r="L1131">
        <v>1</v>
      </c>
      <c r="M1131" t="s">
        <v>53</v>
      </c>
      <c r="N1131">
        <v>50</v>
      </c>
      <c r="O1131">
        <v>1</v>
      </c>
      <c r="P1131" t="s">
        <v>52</v>
      </c>
      <c r="Q1131">
        <v>0.5</v>
      </c>
      <c r="R1131">
        <v>0.75</v>
      </c>
      <c r="S1131">
        <v>85</v>
      </c>
      <c r="T1131" t="s">
        <v>285</v>
      </c>
      <c r="U1131">
        <v>93</v>
      </c>
      <c r="V1131" t="s">
        <v>284</v>
      </c>
      <c r="W1131">
        <v>89.7</v>
      </c>
      <c r="X1131" t="s">
        <v>284</v>
      </c>
      <c r="Y1131">
        <v>92.72</v>
      </c>
      <c r="Z1131" t="s">
        <v>284</v>
      </c>
      <c r="AA1131">
        <v>109</v>
      </c>
      <c r="AB1131" t="s">
        <v>285</v>
      </c>
      <c r="AG1131">
        <v>91.806700000000006</v>
      </c>
      <c r="AH1131" t="s">
        <v>54</v>
      </c>
      <c r="AI1131" t="s">
        <v>52</v>
      </c>
      <c r="AZ1131" t="s">
        <v>52</v>
      </c>
      <c r="BQ1131" t="s">
        <v>52</v>
      </c>
      <c r="BR1131">
        <v>2.74</v>
      </c>
      <c r="BS1131" t="s">
        <v>289</v>
      </c>
      <c r="BT1131">
        <v>2.8</v>
      </c>
      <c r="BU1131" t="s">
        <v>285</v>
      </c>
      <c r="BV1131">
        <v>1.91</v>
      </c>
      <c r="BW1131" t="s">
        <v>285</v>
      </c>
      <c r="BX1131">
        <v>3.07</v>
      </c>
      <c r="BY1131" t="s">
        <v>285</v>
      </c>
      <c r="BZ1131">
        <v>5.87</v>
      </c>
      <c r="CA1131" t="s">
        <v>289</v>
      </c>
      <c r="CF1131">
        <v>2.87</v>
      </c>
      <c r="CG1131" t="s">
        <v>54</v>
      </c>
      <c r="CH1131" t="s">
        <v>52</v>
      </c>
    </row>
    <row r="1132" spans="1:86" x14ac:dyDescent="0.25">
      <c r="A1132" t="s">
        <v>47</v>
      </c>
      <c r="B1132">
        <v>8</v>
      </c>
      <c r="C1132" t="s">
        <v>192</v>
      </c>
      <c r="D1132">
        <v>101</v>
      </c>
      <c r="E1132" t="s">
        <v>79</v>
      </c>
      <c r="F1132">
        <v>50</v>
      </c>
      <c r="G1132" t="s">
        <v>81</v>
      </c>
      <c r="H1132" t="s">
        <v>50</v>
      </c>
      <c r="K1132" t="s">
        <v>52</v>
      </c>
      <c r="L1132">
        <v>1</v>
      </c>
      <c r="M1132" t="s">
        <v>53</v>
      </c>
      <c r="N1132">
        <v>50</v>
      </c>
      <c r="O1132">
        <v>1</v>
      </c>
      <c r="P1132" t="s">
        <v>52</v>
      </c>
      <c r="Q1132">
        <v>0.5</v>
      </c>
      <c r="R1132">
        <v>0.75</v>
      </c>
      <c r="S1132">
        <v>85</v>
      </c>
      <c r="T1132" t="s">
        <v>285</v>
      </c>
      <c r="U1132">
        <v>93</v>
      </c>
      <c r="V1132" t="s">
        <v>284</v>
      </c>
      <c r="W1132">
        <v>89.7</v>
      </c>
      <c r="X1132" t="s">
        <v>284</v>
      </c>
      <c r="Y1132">
        <v>92.72</v>
      </c>
      <c r="Z1132" t="s">
        <v>284</v>
      </c>
      <c r="AA1132">
        <v>109</v>
      </c>
      <c r="AB1132" t="s">
        <v>285</v>
      </c>
      <c r="AG1132">
        <v>91.806700000000006</v>
      </c>
      <c r="AH1132" t="s">
        <v>54</v>
      </c>
      <c r="AI1132" t="s">
        <v>52</v>
      </c>
      <c r="AZ1132" t="s">
        <v>52</v>
      </c>
      <c r="BQ1132" t="s">
        <v>52</v>
      </c>
      <c r="BR1132">
        <v>2.74</v>
      </c>
      <c r="BS1132" t="s">
        <v>289</v>
      </c>
      <c r="BT1132">
        <v>0.89</v>
      </c>
      <c r="BU1132" t="s">
        <v>284</v>
      </c>
      <c r="BV1132">
        <v>0.71</v>
      </c>
      <c r="BW1132" t="s">
        <v>285</v>
      </c>
      <c r="BX1132">
        <v>1.1000000000000001</v>
      </c>
      <c r="BY1132" t="s">
        <v>285</v>
      </c>
      <c r="BZ1132">
        <v>0.61</v>
      </c>
      <c r="CA1132" t="s">
        <v>289</v>
      </c>
      <c r="CF1132">
        <v>0.9</v>
      </c>
      <c r="CG1132" t="s">
        <v>54</v>
      </c>
      <c r="CH1132" t="s">
        <v>52</v>
      </c>
    </row>
    <row r="1133" spans="1:86" x14ac:dyDescent="0.25">
      <c r="A1133" t="s">
        <v>47</v>
      </c>
      <c r="B1133">
        <v>8</v>
      </c>
      <c r="C1133" t="s">
        <v>192</v>
      </c>
      <c r="D1133">
        <v>101</v>
      </c>
      <c r="E1133" t="s">
        <v>83</v>
      </c>
      <c r="F1133">
        <v>158</v>
      </c>
      <c r="H1133" t="s">
        <v>50</v>
      </c>
      <c r="K1133" t="s">
        <v>51</v>
      </c>
      <c r="L1133">
        <v>1</v>
      </c>
      <c r="M1133" t="s">
        <v>53</v>
      </c>
      <c r="N1133">
        <v>158</v>
      </c>
      <c r="O1133">
        <v>2</v>
      </c>
      <c r="P1133" t="s">
        <v>52</v>
      </c>
      <c r="Q1133">
        <v>0.77</v>
      </c>
      <c r="R1133">
        <v>0.93</v>
      </c>
      <c r="S1133">
        <v>228</v>
      </c>
      <c r="T1133" t="s">
        <v>284</v>
      </c>
      <c r="U1133">
        <v>221</v>
      </c>
      <c r="V1133" t="s">
        <v>284</v>
      </c>
      <c r="W1133">
        <v>236</v>
      </c>
      <c r="X1133" t="s">
        <v>284</v>
      </c>
      <c r="Y1133">
        <v>244</v>
      </c>
      <c r="Z1133" t="s">
        <v>284</v>
      </c>
      <c r="AA1133">
        <v>252</v>
      </c>
      <c r="AB1133" t="s">
        <v>284</v>
      </c>
      <c r="AG1133">
        <v>236</v>
      </c>
      <c r="AH1133" t="s">
        <v>54</v>
      </c>
      <c r="AI1133" t="s">
        <v>52</v>
      </c>
      <c r="AX1133">
        <v>339</v>
      </c>
      <c r="AY1133" t="s">
        <v>285</v>
      </c>
      <c r="AZ1133" t="s">
        <v>287</v>
      </c>
      <c r="BQ1133" t="s">
        <v>52</v>
      </c>
      <c r="BR1133">
        <v>1.85</v>
      </c>
      <c r="BS1133" t="s">
        <v>284</v>
      </c>
      <c r="BT1133">
        <v>1.35</v>
      </c>
      <c r="BU1133" t="s">
        <v>284</v>
      </c>
      <c r="BV1133">
        <v>1.03</v>
      </c>
      <c r="BW1133" t="s">
        <v>288</v>
      </c>
      <c r="BX1133">
        <v>1.34</v>
      </c>
      <c r="BY1133" t="s">
        <v>289</v>
      </c>
      <c r="BZ1133">
        <v>1.32</v>
      </c>
      <c r="CA1133" t="s">
        <v>288</v>
      </c>
      <c r="CF1133">
        <v>1.34</v>
      </c>
      <c r="CG1133" t="s">
        <v>54</v>
      </c>
      <c r="CH1133" t="s">
        <v>52</v>
      </c>
    </row>
    <row r="1134" spans="1:86" x14ac:dyDescent="0.25">
      <c r="A1134" t="s">
        <v>47</v>
      </c>
      <c r="B1134">
        <v>8</v>
      </c>
      <c r="C1134" t="s">
        <v>192</v>
      </c>
      <c r="D1134">
        <v>101</v>
      </c>
      <c r="E1134" t="s">
        <v>83</v>
      </c>
      <c r="F1134">
        <v>158</v>
      </c>
      <c r="H1134" t="s">
        <v>50</v>
      </c>
      <c r="K1134" t="s">
        <v>52</v>
      </c>
      <c r="L1134">
        <v>1</v>
      </c>
      <c r="M1134" t="s">
        <v>53</v>
      </c>
      <c r="N1134">
        <v>158</v>
      </c>
      <c r="O1134">
        <v>2</v>
      </c>
      <c r="P1134" t="s">
        <v>52</v>
      </c>
      <c r="Q1134">
        <v>0.77</v>
      </c>
      <c r="R1134">
        <v>0.93</v>
      </c>
      <c r="S1134">
        <v>228</v>
      </c>
      <c r="T1134" t="s">
        <v>284</v>
      </c>
      <c r="U1134">
        <v>221</v>
      </c>
      <c r="V1134" t="s">
        <v>284</v>
      </c>
      <c r="W1134">
        <v>236</v>
      </c>
      <c r="X1134" t="s">
        <v>284</v>
      </c>
      <c r="Y1134">
        <v>244</v>
      </c>
      <c r="Z1134" t="s">
        <v>284</v>
      </c>
      <c r="AA1134">
        <v>252</v>
      </c>
      <c r="AB1134" t="s">
        <v>284</v>
      </c>
      <c r="AG1134">
        <v>236</v>
      </c>
      <c r="AH1134" t="s">
        <v>54</v>
      </c>
      <c r="AI1134" t="s">
        <v>52</v>
      </c>
      <c r="AX1134">
        <v>339</v>
      </c>
      <c r="AY1134" t="s">
        <v>285</v>
      </c>
      <c r="AZ1134" t="s">
        <v>287</v>
      </c>
      <c r="BQ1134" t="s">
        <v>52</v>
      </c>
      <c r="BR1134">
        <v>1.31</v>
      </c>
      <c r="BS1134" t="s">
        <v>285</v>
      </c>
      <c r="BT1134">
        <v>1.01</v>
      </c>
      <c r="BU1134" t="s">
        <v>284</v>
      </c>
      <c r="BV1134">
        <v>0.33</v>
      </c>
      <c r="BW1134" t="s">
        <v>288</v>
      </c>
      <c r="BX1134">
        <v>0.56999999999999995</v>
      </c>
      <c r="BY1134" t="s">
        <v>285</v>
      </c>
      <c r="BZ1134">
        <v>0.1</v>
      </c>
      <c r="CA1134" t="s">
        <v>289</v>
      </c>
      <c r="CF1134">
        <v>0.64</v>
      </c>
      <c r="CG1134" t="s">
        <v>54</v>
      </c>
      <c r="CH1134" t="s">
        <v>52</v>
      </c>
    </row>
    <row r="1135" spans="1:86" x14ac:dyDescent="0.25">
      <c r="A1135" t="s">
        <v>47</v>
      </c>
      <c r="B1135">
        <v>8</v>
      </c>
      <c r="C1135" t="s">
        <v>193</v>
      </c>
      <c r="D1135">
        <v>103</v>
      </c>
      <c r="E1135" t="s">
        <v>49</v>
      </c>
      <c r="F1135">
        <v>27</v>
      </c>
      <c r="H1135" t="s">
        <v>50</v>
      </c>
      <c r="K1135" t="s">
        <v>51</v>
      </c>
      <c r="L1135">
        <v>1</v>
      </c>
      <c r="M1135" t="s">
        <v>53</v>
      </c>
      <c r="N1135">
        <v>27</v>
      </c>
      <c r="O1135">
        <v>1</v>
      </c>
      <c r="P1135" t="s">
        <v>52</v>
      </c>
      <c r="Q1135">
        <v>0</v>
      </c>
      <c r="R1135">
        <v>0.75</v>
      </c>
      <c r="S1135">
        <v>231</v>
      </c>
      <c r="T1135" t="s">
        <v>284</v>
      </c>
      <c r="U1135">
        <v>208</v>
      </c>
      <c r="V1135" t="s">
        <v>284</v>
      </c>
      <c r="W1135">
        <v>224</v>
      </c>
      <c r="X1135" t="s">
        <v>284</v>
      </c>
      <c r="Y1135">
        <v>225</v>
      </c>
      <c r="Z1135" t="s">
        <v>285</v>
      </c>
      <c r="AA1135">
        <v>247</v>
      </c>
      <c r="AB1135" t="s">
        <v>285</v>
      </c>
      <c r="AC1135">
        <v>241</v>
      </c>
      <c r="AD1135" t="s">
        <v>285</v>
      </c>
      <c r="AE1135">
        <v>219</v>
      </c>
      <c r="AF1135" t="s">
        <v>285</v>
      </c>
      <c r="AG1135">
        <v>219</v>
      </c>
      <c r="AH1135" t="s">
        <v>286</v>
      </c>
      <c r="AI1135" t="s">
        <v>287</v>
      </c>
      <c r="AX1135">
        <v>263</v>
      </c>
      <c r="AY1135" t="s">
        <v>286</v>
      </c>
      <c r="AZ1135" t="s">
        <v>287</v>
      </c>
      <c r="BQ1135" t="s">
        <v>52</v>
      </c>
      <c r="BR1135">
        <v>3.7</v>
      </c>
      <c r="BS1135" t="s">
        <v>284</v>
      </c>
      <c r="BT1135">
        <v>3.4</v>
      </c>
      <c r="BU1135" t="s">
        <v>284</v>
      </c>
      <c r="BV1135">
        <v>1</v>
      </c>
      <c r="BW1135" t="s">
        <v>284</v>
      </c>
      <c r="BX1135">
        <v>1</v>
      </c>
      <c r="BY1135" t="s">
        <v>284</v>
      </c>
      <c r="BZ1135">
        <v>0.5</v>
      </c>
      <c r="CA1135" t="s">
        <v>288</v>
      </c>
      <c r="CF1135">
        <v>1.8</v>
      </c>
      <c r="CG1135" t="s">
        <v>54</v>
      </c>
      <c r="CH1135" t="s">
        <v>52</v>
      </c>
    </row>
    <row r="1136" spans="1:86" x14ac:dyDescent="0.25">
      <c r="A1136" t="s">
        <v>47</v>
      </c>
      <c r="B1136">
        <v>8</v>
      </c>
      <c r="C1136" t="s">
        <v>193</v>
      </c>
      <c r="D1136">
        <v>103</v>
      </c>
      <c r="E1136" t="s">
        <v>49</v>
      </c>
      <c r="F1136">
        <v>27</v>
      </c>
      <c r="H1136" t="s">
        <v>50</v>
      </c>
      <c r="K1136" t="s">
        <v>52</v>
      </c>
      <c r="L1136">
        <v>1</v>
      </c>
      <c r="M1136" t="s">
        <v>53</v>
      </c>
      <c r="N1136">
        <v>27</v>
      </c>
      <c r="O1136">
        <v>1</v>
      </c>
      <c r="P1136" t="s">
        <v>52</v>
      </c>
      <c r="Q1136">
        <v>0</v>
      </c>
      <c r="R1136">
        <v>0.75</v>
      </c>
      <c r="S1136">
        <v>231</v>
      </c>
      <c r="T1136" t="s">
        <v>284</v>
      </c>
      <c r="U1136">
        <v>208</v>
      </c>
      <c r="V1136" t="s">
        <v>284</v>
      </c>
      <c r="W1136">
        <v>224</v>
      </c>
      <c r="X1136" t="s">
        <v>284</v>
      </c>
      <c r="Y1136">
        <v>225</v>
      </c>
      <c r="Z1136" t="s">
        <v>285</v>
      </c>
      <c r="AA1136">
        <v>247</v>
      </c>
      <c r="AB1136" t="s">
        <v>285</v>
      </c>
      <c r="AC1136">
        <v>241</v>
      </c>
      <c r="AD1136" t="s">
        <v>285</v>
      </c>
      <c r="AE1136">
        <v>219</v>
      </c>
      <c r="AF1136" t="s">
        <v>285</v>
      </c>
      <c r="AG1136">
        <v>219</v>
      </c>
      <c r="AH1136" t="s">
        <v>286</v>
      </c>
      <c r="AI1136" t="s">
        <v>287</v>
      </c>
      <c r="AX1136">
        <v>263</v>
      </c>
      <c r="AY1136" t="s">
        <v>286</v>
      </c>
      <c r="AZ1136" t="s">
        <v>287</v>
      </c>
      <c r="BQ1136" t="s">
        <v>52</v>
      </c>
      <c r="BR1136">
        <v>1.3</v>
      </c>
      <c r="BS1136" t="s">
        <v>284</v>
      </c>
      <c r="BT1136">
        <v>1.2</v>
      </c>
      <c r="BU1136" t="s">
        <v>284</v>
      </c>
      <c r="BV1136">
        <v>0.34</v>
      </c>
      <c r="BW1136" t="s">
        <v>284</v>
      </c>
      <c r="BX1136">
        <v>0.27</v>
      </c>
      <c r="BY1136" t="s">
        <v>284</v>
      </c>
      <c r="BZ1136">
        <v>0.3</v>
      </c>
      <c r="CA1136" t="s">
        <v>289</v>
      </c>
      <c r="CF1136">
        <v>0.61</v>
      </c>
      <c r="CG1136" t="s">
        <v>54</v>
      </c>
      <c r="CH1136" t="s">
        <v>52</v>
      </c>
    </row>
    <row r="1137" spans="1:86" x14ac:dyDescent="0.25">
      <c r="A1137" t="s">
        <v>47</v>
      </c>
      <c r="B1137">
        <v>8</v>
      </c>
      <c r="C1137" t="s">
        <v>193</v>
      </c>
      <c r="D1137">
        <v>103</v>
      </c>
      <c r="E1137" t="s">
        <v>58</v>
      </c>
      <c r="F1137">
        <v>102</v>
      </c>
      <c r="G1137" t="s">
        <v>62</v>
      </c>
      <c r="H1137" t="s">
        <v>50</v>
      </c>
      <c r="K1137" t="s">
        <v>51</v>
      </c>
      <c r="L1137">
        <v>1</v>
      </c>
      <c r="M1137" t="s">
        <v>53</v>
      </c>
      <c r="N1137">
        <v>102</v>
      </c>
      <c r="O1137">
        <v>1</v>
      </c>
      <c r="P1137" t="s">
        <v>52</v>
      </c>
      <c r="Q1137">
        <v>0</v>
      </c>
      <c r="R1137">
        <v>0.92</v>
      </c>
      <c r="S1137">
        <v>131.69999999999999</v>
      </c>
      <c r="T1137" t="s">
        <v>284</v>
      </c>
      <c r="U1137">
        <v>170</v>
      </c>
      <c r="V1137" t="s">
        <v>284</v>
      </c>
      <c r="W1137">
        <v>191</v>
      </c>
      <c r="X1137" t="s">
        <v>284</v>
      </c>
      <c r="Y1137">
        <v>207</v>
      </c>
      <c r="Z1137" t="s">
        <v>284</v>
      </c>
      <c r="AA1137">
        <v>205</v>
      </c>
      <c r="AB1137" t="s">
        <v>285</v>
      </c>
      <c r="AG1137">
        <v>188.66669999999999</v>
      </c>
      <c r="AH1137" t="s">
        <v>54</v>
      </c>
      <c r="AI1137" t="s">
        <v>52</v>
      </c>
      <c r="AX1137">
        <v>271.60000000000002</v>
      </c>
      <c r="AY1137" t="s">
        <v>285</v>
      </c>
      <c r="AZ1137" t="s">
        <v>287</v>
      </c>
      <c r="BQ1137" t="s">
        <v>52</v>
      </c>
      <c r="BR1137">
        <v>1.85</v>
      </c>
      <c r="BS1137" t="s">
        <v>284</v>
      </c>
      <c r="BT1137">
        <v>2.0699999999999998</v>
      </c>
      <c r="BU1137" t="s">
        <v>285</v>
      </c>
      <c r="BV1137">
        <v>0.53</v>
      </c>
      <c r="BW1137" t="s">
        <v>285</v>
      </c>
      <c r="BX1137">
        <v>0.93</v>
      </c>
      <c r="BY1137" t="s">
        <v>285</v>
      </c>
      <c r="BZ1137">
        <v>0.95</v>
      </c>
      <c r="CA1137" t="s">
        <v>288</v>
      </c>
      <c r="CF1137">
        <v>1.24</v>
      </c>
      <c r="CG1137" t="s">
        <v>54</v>
      </c>
      <c r="CH1137" t="s">
        <v>52</v>
      </c>
    </row>
    <row r="1138" spans="1:86" x14ac:dyDescent="0.25">
      <c r="A1138" t="s">
        <v>47</v>
      </c>
      <c r="B1138">
        <v>8</v>
      </c>
      <c r="C1138" t="s">
        <v>193</v>
      </c>
      <c r="D1138">
        <v>103</v>
      </c>
      <c r="E1138" t="s">
        <v>58</v>
      </c>
      <c r="F1138">
        <v>102</v>
      </c>
      <c r="G1138" t="s">
        <v>62</v>
      </c>
      <c r="H1138" t="s">
        <v>50</v>
      </c>
      <c r="K1138" t="s">
        <v>52</v>
      </c>
      <c r="L1138">
        <v>1</v>
      </c>
      <c r="M1138" t="s">
        <v>53</v>
      </c>
      <c r="N1138">
        <v>102</v>
      </c>
      <c r="O1138">
        <v>1</v>
      </c>
      <c r="P1138" t="s">
        <v>52</v>
      </c>
      <c r="Q1138">
        <v>0</v>
      </c>
      <c r="R1138">
        <v>0.92</v>
      </c>
      <c r="S1138">
        <v>131.69999999999999</v>
      </c>
      <c r="T1138" t="s">
        <v>284</v>
      </c>
      <c r="U1138">
        <v>170</v>
      </c>
      <c r="V1138" t="s">
        <v>284</v>
      </c>
      <c r="W1138">
        <v>191</v>
      </c>
      <c r="X1138" t="s">
        <v>284</v>
      </c>
      <c r="Y1138">
        <v>207</v>
      </c>
      <c r="Z1138" t="s">
        <v>284</v>
      </c>
      <c r="AA1138">
        <v>205</v>
      </c>
      <c r="AB1138" t="s">
        <v>285</v>
      </c>
      <c r="AG1138">
        <v>188.66669999999999</v>
      </c>
      <c r="AH1138" t="s">
        <v>54</v>
      </c>
      <c r="AI1138" t="s">
        <v>52</v>
      </c>
      <c r="AX1138">
        <v>271.60000000000002</v>
      </c>
      <c r="AY1138" t="s">
        <v>285</v>
      </c>
      <c r="AZ1138" t="s">
        <v>287</v>
      </c>
      <c r="BQ1138" t="s">
        <v>52</v>
      </c>
      <c r="BR1138">
        <v>0.83</v>
      </c>
      <c r="BS1138" t="s">
        <v>285</v>
      </c>
      <c r="BT1138">
        <v>0.65</v>
      </c>
      <c r="BU1138" t="s">
        <v>285</v>
      </c>
      <c r="BV1138">
        <v>0.28999999999999998</v>
      </c>
      <c r="BW1138" t="s">
        <v>285</v>
      </c>
      <c r="BX1138">
        <v>0.26</v>
      </c>
      <c r="BY1138" t="s">
        <v>285</v>
      </c>
      <c r="BZ1138">
        <v>0.35</v>
      </c>
      <c r="CA1138" t="s">
        <v>288</v>
      </c>
      <c r="CF1138">
        <v>0.43</v>
      </c>
      <c r="CG1138" t="s">
        <v>54</v>
      </c>
      <c r="CH1138" t="s">
        <v>52</v>
      </c>
    </row>
    <row r="1139" spans="1:86" x14ac:dyDescent="0.25">
      <c r="A1139" t="s">
        <v>47</v>
      </c>
      <c r="B1139">
        <v>8</v>
      </c>
      <c r="C1139" t="s">
        <v>193</v>
      </c>
      <c r="D1139">
        <v>103</v>
      </c>
      <c r="E1139" t="s">
        <v>58</v>
      </c>
      <c r="F1139">
        <v>102</v>
      </c>
      <c r="G1139" t="s">
        <v>67</v>
      </c>
      <c r="H1139" t="s">
        <v>50</v>
      </c>
      <c r="K1139" t="s">
        <v>51</v>
      </c>
      <c r="L1139">
        <v>1</v>
      </c>
      <c r="M1139" t="s">
        <v>53</v>
      </c>
      <c r="N1139">
        <v>102</v>
      </c>
      <c r="O1139">
        <v>1</v>
      </c>
      <c r="P1139" t="s">
        <v>52</v>
      </c>
      <c r="Q1139">
        <v>0</v>
      </c>
      <c r="R1139">
        <v>0.92</v>
      </c>
      <c r="S1139">
        <v>131.69999999999999</v>
      </c>
      <c r="T1139" t="s">
        <v>284</v>
      </c>
      <c r="U1139">
        <v>170</v>
      </c>
      <c r="V1139" t="s">
        <v>284</v>
      </c>
      <c r="W1139">
        <v>191</v>
      </c>
      <c r="X1139" t="s">
        <v>284</v>
      </c>
      <c r="Y1139">
        <v>207</v>
      </c>
      <c r="Z1139" t="s">
        <v>285</v>
      </c>
      <c r="AA1139">
        <v>205</v>
      </c>
      <c r="AB1139" t="s">
        <v>285</v>
      </c>
      <c r="AG1139">
        <v>188.66669999999999</v>
      </c>
      <c r="AH1139" t="s">
        <v>54</v>
      </c>
      <c r="AI1139" t="s">
        <v>52</v>
      </c>
      <c r="AZ1139" t="s">
        <v>52</v>
      </c>
      <c r="BQ1139" t="s">
        <v>52</v>
      </c>
      <c r="BR1139">
        <v>1.85</v>
      </c>
      <c r="BS1139" t="s">
        <v>284</v>
      </c>
      <c r="BT1139">
        <v>1.69</v>
      </c>
      <c r="BU1139" t="s">
        <v>284</v>
      </c>
      <c r="CH1139" t="s">
        <v>52</v>
      </c>
    </row>
    <row r="1140" spans="1:86" x14ac:dyDescent="0.25">
      <c r="A1140" t="s">
        <v>47</v>
      </c>
      <c r="B1140">
        <v>8</v>
      </c>
      <c r="C1140" t="s">
        <v>193</v>
      </c>
      <c r="D1140">
        <v>103</v>
      </c>
      <c r="E1140" t="s">
        <v>58</v>
      </c>
      <c r="F1140">
        <v>102</v>
      </c>
      <c r="G1140" t="s">
        <v>67</v>
      </c>
      <c r="H1140" t="s">
        <v>50</v>
      </c>
      <c r="K1140" t="s">
        <v>52</v>
      </c>
      <c r="L1140">
        <v>1</v>
      </c>
      <c r="M1140" t="s">
        <v>53</v>
      </c>
      <c r="N1140">
        <v>102</v>
      </c>
      <c r="O1140">
        <v>1</v>
      </c>
      <c r="P1140" t="s">
        <v>52</v>
      </c>
      <c r="Q1140">
        <v>0</v>
      </c>
      <c r="R1140">
        <v>0.92</v>
      </c>
      <c r="S1140">
        <v>131.69999999999999</v>
      </c>
      <c r="T1140" t="s">
        <v>284</v>
      </c>
      <c r="U1140">
        <v>170</v>
      </c>
      <c r="V1140" t="s">
        <v>284</v>
      </c>
      <c r="W1140">
        <v>191</v>
      </c>
      <c r="X1140" t="s">
        <v>284</v>
      </c>
      <c r="Y1140">
        <v>207</v>
      </c>
      <c r="Z1140" t="s">
        <v>285</v>
      </c>
      <c r="AA1140">
        <v>205</v>
      </c>
      <c r="AB1140" t="s">
        <v>285</v>
      </c>
      <c r="AG1140">
        <v>188.66669999999999</v>
      </c>
      <c r="AH1140" t="s">
        <v>54</v>
      </c>
      <c r="AI1140" t="s">
        <v>52</v>
      </c>
      <c r="AZ1140" t="s">
        <v>52</v>
      </c>
      <c r="BQ1140" t="s">
        <v>52</v>
      </c>
      <c r="BR1140">
        <v>0.67</v>
      </c>
      <c r="BS1140" t="s">
        <v>285</v>
      </c>
      <c r="BT1140">
        <v>0.88</v>
      </c>
      <c r="BU1140" t="s">
        <v>284</v>
      </c>
      <c r="BV1140">
        <v>1.31</v>
      </c>
      <c r="BW1140" t="s">
        <v>285</v>
      </c>
      <c r="BX1140">
        <v>0.48</v>
      </c>
      <c r="BY1140" t="s">
        <v>285</v>
      </c>
      <c r="BZ1140">
        <v>0.41</v>
      </c>
      <c r="CA1140" t="s">
        <v>284</v>
      </c>
      <c r="CF1140">
        <v>0.68</v>
      </c>
      <c r="CG1140" t="s">
        <v>54</v>
      </c>
      <c r="CH1140" t="s">
        <v>52</v>
      </c>
    </row>
    <row r="1141" spans="1:86" x14ac:dyDescent="0.25">
      <c r="A1141" t="s">
        <v>47</v>
      </c>
      <c r="B1141">
        <v>8</v>
      </c>
      <c r="C1141" t="s">
        <v>193</v>
      </c>
      <c r="D1141">
        <v>103</v>
      </c>
      <c r="E1141" t="s">
        <v>70</v>
      </c>
      <c r="F1141">
        <v>296</v>
      </c>
      <c r="G1141" t="s">
        <v>71</v>
      </c>
      <c r="H1141" t="s">
        <v>50</v>
      </c>
      <c r="K1141" t="s">
        <v>51</v>
      </c>
      <c r="L1141">
        <v>1</v>
      </c>
      <c r="M1141" t="s">
        <v>53</v>
      </c>
      <c r="N1141">
        <v>296</v>
      </c>
      <c r="O1141">
        <v>1</v>
      </c>
      <c r="P1141" t="s">
        <v>52</v>
      </c>
      <c r="Q1141">
        <v>0</v>
      </c>
      <c r="R1141">
        <v>0.75</v>
      </c>
      <c r="S1141">
        <v>228</v>
      </c>
      <c r="T1141" t="s">
        <v>284</v>
      </c>
      <c r="U1141">
        <v>190</v>
      </c>
      <c r="V1141" t="s">
        <v>285</v>
      </c>
      <c r="W1141">
        <v>194</v>
      </c>
      <c r="X1141" t="s">
        <v>285</v>
      </c>
      <c r="Y1141">
        <v>225</v>
      </c>
      <c r="Z1141" t="s">
        <v>285</v>
      </c>
      <c r="AA1141">
        <v>247</v>
      </c>
      <c r="AB1141" t="s">
        <v>285</v>
      </c>
      <c r="AC1141">
        <v>241</v>
      </c>
      <c r="AD1141" t="s">
        <v>285</v>
      </c>
      <c r="AE1141">
        <v>219</v>
      </c>
      <c r="AF1141" t="s">
        <v>285</v>
      </c>
      <c r="AG1141">
        <v>219</v>
      </c>
      <c r="AH1141" t="s">
        <v>286</v>
      </c>
      <c r="AI1141" t="s">
        <v>287</v>
      </c>
      <c r="AX1141">
        <v>263</v>
      </c>
      <c r="AY1141" t="s">
        <v>286</v>
      </c>
      <c r="AZ1141" t="s">
        <v>287</v>
      </c>
      <c r="BQ1141" t="s">
        <v>52</v>
      </c>
      <c r="BR1141">
        <v>1.85</v>
      </c>
      <c r="BS1141" t="s">
        <v>284</v>
      </c>
      <c r="BT1141">
        <v>1.77</v>
      </c>
      <c r="BU1141" t="s">
        <v>284</v>
      </c>
      <c r="BV1141">
        <v>1</v>
      </c>
      <c r="BW1141" t="s">
        <v>289</v>
      </c>
      <c r="BX1141">
        <v>0.99</v>
      </c>
      <c r="BY1141" t="s">
        <v>285</v>
      </c>
      <c r="BZ1141">
        <v>0.99</v>
      </c>
      <c r="CA1141" t="s">
        <v>284</v>
      </c>
      <c r="CF1141">
        <v>1.25</v>
      </c>
      <c r="CG1141" t="s">
        <v>54</v>
      </c>
      <c r="CH1141" t="s">
        <v>52</v>
      </c>
    </row>
    <row r="1142" spans="1:86" x14ac:dyDescent="0.25">
      <c r="A1142" t="s">
        <v>47</v>
      </c>
      <c r="B1142">
        <v>8</v>
      </c>
      <c r="C1142" t="s">
        <v>193</v>
      </c>
      <c r="D1142">
        <v>103</v>
      </c>
      <c r="E1142" t="s">
        <v>70</v>
      </c>
      <c r="F1142">
        <v>296</v>
      </c>
      <c r="G1142" t="s">
        <v>71</v>
      </c>
      <c r="H1142" t="s">
        <v>50</v>
      </c>
      <c r="K1142" t="s">
        <v>52</v>
      </c>
      <c r="L1142">
        <v>1</v>
      </c>
      <c r="M1142" t="s">
        <v>53</v>
      </c>
      <c r="N1142">
        <v>296</v>
      </c>
      <c r="O1142">
        <v>1</v>
      </c>
      <c r="P1142" t="s">
        <v>52</v>
      </c>
      <c r="Q1142">
        <v>0</v>
      </c>
      <c r="R1142">
        <v>0.75</v>
      </c>
      <c r="S1142">
        <v>228</v>
      </c>
      <c r="T1142" t="s">
        <v>284</v>
      </c>
      <c r="U1142">
        <v>190</v>
      </c>
      <c r="V1142" t="s">
        <v>285</v>
      </c>
      <c r="W1142">
        <v>194</v>
      </c>
      <c r="X1142" t="s">
        <v>285</v>
      </c>
      <c r="Y1142">
        <v>225</v>
      </c>
      <c r="Z1142" t="s">
        <v>285</v>
      </c>
      <c r="AA1142">
        <v>247</v>
      </c>
      <c r="AB1142" t="s">
        <v>285</v>
      </c>
      <c r="AC1142">
        <v>241</v>
      </c>
      <c r="AD1142" t="s">
        <v>285</v>
      </c>
      <c r="AE1142">
        <v>219</v>
      </c>
      <c r="AF1142" t="s">
        <v>285</v>
      </c>
      <c r="AG1142">
        <v>219</v>
      </c>
      <c r="AH1142" t="s">
        <v>286</v>
      </c>
      <c r="AI1142" t="s">
        <v>287</v>
      </c>
      <c r="AX1142">
        <v>263</v>
      </c>
      <c r="AY1142" t="s">
        <v>286</v>
      </c>
      <c r="AZ1142" t="s">
        <v>287</v>
      </c>
      <c r="BQ1142" t="s">
        <v>52</v>
      </c>
      <c r="BR1142">
        <v>0.65</v>
      </c>
      <c r="BS1142" t="s">
        <v>284</v>
      </c>
      <c r="BT1142">
        <v>0.88</v>
      </c>
      <c r="BU1142" t="s">
        <v>285</v>
      </c>
      <c r="BV1142">
        <v>0.27</v>
      </c>
      <c r="BW1142" t="s">
        <v>285</v>
      </c>
      <c r="BX1142">
        <v>0.22</v>
      </c>
      <c r="BY1142" t="s">
        <v>284</v>
      </c>
      <c r="BZ1142">
        <v>0.05</v>
      </c>
      <c r="CA1142" t="s">
        <v>289</v>
      </c>
      <c r="CF1142">
        <v>0.38</v>
      </c>
      <c r="CG1142" t="s">
        <v>54</v>
      </c>
      <c r="CH1142" t="s">
        <v>52</v>
      </c>
    </row>
    <row r="1143" spans="1:86" x14ac:dyDescent="0.25">
      <c r="A1143" t="s">
        <v>47</v>
      </c>
      <c r="B1143">
        <v>8</v>
      </c>
      <c r="C1143" t="s">
        <v>193</v>
      </c>
      <c r="D1143">
        <v>103</v>
      </c>
      <c r="E1143" t="s">
        <v>70</v>
      </c>
      <c r="F1143">
        <v>296</v>
      </c>
      <c r="G1143" t="s">
        <v>72</v>
      </c>
      <c r="H1143" t="s">
        <v>50</v>
      </c>
      <c r="K1143" t="s">
        <v>51</v>
      </c>
      <c r="L1143">
        <v>1</v>
      </c>
      <c r="M1143" t="s">
        <v>53</v>
      </c>
      <c r="N1143">
        <v>296</v>
      </c>
      <c r="O1143">
        <v>1</v>
      </c>
      <c r="P1143" t="s">
        <v>52</v>
      </c>
      <c r="Q1143">
        <v>0.5</v>
      </c>
      <c r="R1143">
        <v>0.75</v>
      </c>
      <c r="S1143">
        <v>228</v>
      </c>
      <c r="T1143" t="s">
        <v>284</v>
      </c>
      <c r="U1143">
        <v>221</v>
      </c>
      <c r="V1143" t="s">
        <v>284</v>
      </c>
      <c r="W1143">
        <v>236</v>
      </c>
      <c r="X1143" t="s">
        <v>284</v>
      </c>
      <c r="Y1143">
        <v>244</v>
      </c>
      <c r="Z1143" t="s">
        <v>284</v>
      </c>
      <c r="AA1143">
        <v>215</v>
      </c>
      <c r="AB1143" t="s">
        <v>285</v>
      </c>
      <c r="AG1143">
        <v>228.33330000000001</v>
      </c>
      <c r="AH1143" t="s">
        <v>54</v>
      </c>
      <c r="AI1143" t="s">
        <v>52</v>
      </c>
      <c r="AZ1143" t="s">
        <v>52</v>
      </c>
      <c r="BQ1143" t="s">
        <v>52</v>
      </c>
      <c r="CH1143" t="s">
        <v>52</v>
      </c>
    </row>
    <row r="1144" spans="1:86" x14ac:dyDescent="0.25">
      <c r="A1144" t="s">
        <v>47</v>
      </c>
      <c r="B1144">
        <v>8</v>
      </c>
      <c r="C1144" t="s">
        <v>193</v>
      </c>
      <c r="D1144">
        <v>103</v>
      </c>
      <c r="E1144" t="s">
        <v>70</v>
      </c>
      <c r="F1144">
        <v>296</v>
      </c>
      <c r="G1144" t="s">
        <v>72</v>
      </c>
      <c r="H1144" t="s">
        <v>50</v>
      </c>
      <c r="K1144" t="s">
        <v>52</v>
      </c>
      <c r="L1144">
        <v>1</v>
      </c>
      <c r="M1144" t="s">
        <v>53</v>
      </c>
      <c r="N1144">
        <v>296</v>
      </c>
      <c r="O1144">
        <v>1</v>
      </c>
      <c r="P1144" t="s">
        <v>52</v>
      </c>
      <c r="Q1144">
        <v>0.5</v>
      </c>
      <c r="R1144">
        <v>0.75</v>
      </c>
      <c r="S1144">
        <v>228</v>
      </c>
      <c r="T1144" t="s">
        <v>284</v>
      </c>
      <c r="U1144">
        <v>221</v>
      </c>
      <c r="V1144" t="s">
        <v>284</v>
      </c>
      <c r="W1144">
        <v>236</v>
      </c>
      <c r="X1144" t="s">
        <v>284</v>
      </c>
      <c r="Y1144">
        <v>244</v>
      </c>
      <c r="Z1144" t="s">
        <v>284</v>
      </c>
      <c r="AA1144">
        <v>215</v>
      </c>
      <c r="AB1144" t="s">
        <v>285</v>
      </c>
      <c r="AG1144">
        <v>228.33330000000001</v>
      </c>
      <c r="AH1144" t="s">
        <v>54</v>
      </c>
      <c r="AI1144" t="s">
        <v>52</v>
      </c>
      <c r="AZ1144" t="s">
        <v>52</v>
      </c>
      <c r="BQ1144" t="s">
        <v>52</v>
      </c>
      <c r="CH1144" t="s">
        <v>52</v>
      </c>
    </row>
    <row r="1145" spans="1:86" x14ac:dyDescent="0.25">
      <c r="A1145" t="s">
        <v>47</v>
      </c>
      <c r="B1145">
        <v>8</v>
      </c>
      <c r="C1145" t="s">
        <v>193</v>
      </c>
      <c r="D1145">
        <v>103</v>
      </c>
      <c r="E1145" t="s">
        <v>70</v>
      </c>
      <c r="F1145">
        <v>296</v>
      </c>
      <c r="G1145" t="s">
        <v>73</v>
      </c>
      <c r="H1145" t="s">
        <v>50</v>
      </c>
      <c r="K1145" t="s">
        <v>51</v>
      </c>
      <c r="L1145">
        <v>1</v>
      </c>
      <c r="M1145" t="s">
        <v>53</v>
      </c>
      <c r="N1145">
        <v>296</v>
      </c>
      <c r="O1145">
        <v>1</v>
      </c>
      <c r="P1145" t="s">
        <v>52</v>
      </c>
      <c r="Q1145">
        <v>0</v>
      </c>
      <c r="R1145">
        <v>0.75</v>
      </c>
      <c r="S1145">
        <v>228</v>
      </c>
      <c r="T1145" t="s">
        <v>284</v>
      </c>
      <c r="U1145">
        <v>221</v>
      </c>
      <c r="V1145" t="s">
        <v>284</v>
      </c>
      <c r="W1145">
        <v>236</v>
      </c>
      <c r="X1145" t="s">
        <v>284</v>
      </c>
      <c r="Y1145">
        <v>244</v>
      </c>
      <c r="Z1145" t="s">
        <v>284</v>
      </c>
      <c r="AA1145">
        <v>225</v>
      </c>
      <c r="AB1145" t="s">
        <v>285</v>
      </c>
      <c r="AG1145">
        <v>229.66669999999999</v>
      </c>
      <c r="AH1145" t="s">
        <v>54</v>
      </c>
      <c r="AI1145" t="s">
        <v>52</v>
      </c>
      <c r="AZ1145" t="s">
        <v>52</v>
      </c>
      <c r="BQ1145" t="s">
        <v>52</v>
      </c>
      <c r="BR1145">
        <v>0.46</v>
      </c>
      <c r="BS1145" t="s">
        <v>289</v>
      </c>
      <c r="BT1145">
        <v>0.9</v>
      </c>
      <c r="BU1145" t="s">
        <v>289</v>
      </c>
      <c r="BV1145">
        <v>0.89</v>
      </c>
      <c r="BW1145" t="s">
        <v>289</v>
      </c>
      <c r="BX1145">
        <v>0.85</v>
      </c>
      <c r="BY1145" t="s">
        <v>289</v>
      </c>
      <c r="BZ1145">
        <v>0.7</v>
      </c>
      <c r="CA1145" t="s">
        <v>289</v>
      </c>
      <c r="CF1145">
        <v>0.81</v>
      </c>
      <c r="CG1145" t="s">
        <v>54</v>
      </c>
      <c r="CH1145" t="s">
        <v>52</v>
      </c>
    </row>
    <row r="1146" spans="1:86" x14ac:dyDescent="0.25">
      <c r="A1146" t="s">
        <v>47</v>
      </c>
      <c r="B1146">
        <v>8</v>
      </c>
      <c r="C1146" t="s">
        <v>193</v>
      </c>
      <c r="D1146">
        <v>103</v>
      </c>
      <c r="E1146" t="s">
        <v>70</v>
      </c>
      <c r="F1146">
        <v>296</v>
      </c>
      <c r="G1146" t="s">
        <v>73</v>
      </c>
      <c r="H1146" t="s">
        <v>50</v>
      </c>
      <c r="K1146" t="s">
        <v>52</v>
      </c>
      <c r="L1146">
        <v>1</v>
      </c>
      <c r="M1146" t="s">
        <v>53</v>
      </c>
      <c r="N1146">
        <v>296</v>
      </c>
      <c r="O1146">
        <v>1</v>
      </c>
      <c r="P1146" t="s">
        <v>52</v>
      </c>
      <c r="Q1146">
        <v>0</v>
      </c>
      <c r="R1146">
        <v>0.75</v>
      </c>
      <c r="S1146">
        <v>228</v>
      </c>
      <c r="T1146" t="s">
        <v>284</v>
      </c>
      <c r="U1146">
        <v>221</v>
      </c>
      <c r="V1146" t="s">
        <v>284</v>
      </c>
      <c r="W1146">
        <v>236</v>
      </c>
      <c r="X1146" t="s">
        <v>284</v>
      </c>
      <c r="Y1146">
        <v>244</v>
      </c>
      <c r="Z1146" t="s">
        <v>284</v>
      </c>
      <c r="AA1146">
        <v>225</v>
      </c>
      <c r="AB1146" t="s">
        <v>285</v>
      </c>
      <c r="AG1146">
        <v>229.66669999999999</v>
      </c>
      <c r="AH1146" t="s">
        <v>54</v>
      </c>
      <c r="AI1146" t="s">
        <v>52</v>
      </c>
      <c r="AZ1146" t="s">
        <v>52</v>
      </c>
      <c r="BQ1146" t="s">
        <v>52</v>
      </c>
      <c r="BR1146">
        <v>0.1</v>
      </c>
      <c r="BS1146" t="s">
        <v>289</v>
      </c>
      <c r="BT1146">
        <v>0.1</v>
      </c>
      <c r="BU1146" t="s">
        <v>289</v>
      </c>
      <c r="BV1146">
        <v>0.34</v>
      </c>
      <c r="BW1146" t="s">
        <v>289</v>
      </c>
      <c r="BX1146">
        <v>0.1</v>
      </c>
      <c r="BY1146" t="s">
        <v>289</v>
      </c>
      <c r="BZ1146">
        <v>0.35</v>
      </c>
      <c r="CA1146" t="s">
        <v>289</v>
      </c>
      <c r="CF1146">
        <v>0.18</v>
      </c>
      <c r="CG1146" t="s">
        <v>54</v>
      </c>
      <c r="CH1146" t="s">
        <v>52</v>
      </c>
    </row>
    <row r="1147" spans="1:86" x14ac:dyDescent="0.25">
      <c r="A1147" t="s">
        <v>47</v>
      </c>
      <c r="B1147">
        <v>8</v>
      </c>
      <c r="C1147" t="s">
        <v>193</v>
      </c>
      <c r="D1147">
        <v>103</v>
      </c>
      <c r="E1147" t="s">
        <v>70</v>
      </c>
      <c r="F1147">
        <v>296</v>
      </c>
      <c r="G1147" t="s">
        <v>74</v>
      </c>
      <c r="H1147" t="s">
        <v>50</v>
      </c>
      <c r="K1147" t="s">
        <v>51</v>
      </c>
      <c r="L1147">
        <v>1</v>
      </c>
      <c r="M1147" t="s">
        <v>53</v>
      </c>
      <c r="N1147">
        <v>102</v>
      </c>
      <c r="O1147">
        <v>1</v>
      </c>
      <c r="P1147" t="s">
        <v>52</v>
      </c>
      <c r="Q1147">
        <v>0</v>
      </c>
      <c r="R1147">
        <v>0.75</v>
      </c>
      <c r="S1147">
        <v>135</v>
      </c>
      <c r="T1147" t="s">
        <v>284</v>
      </c>
      <c r="U1147">
        <v>132</v>
      </c>
      <c r="V1147" t="s">
        <v>284</v>
      </c>
      <c r="W1147">
        <v>147</v>
      </c>
      <c r="X1147" t="s">
        <v>284</v>
      </c>
      <c r="Y1147">
        <v>170</v>
      </c>
      <c r="Z1147" t="s">
        <v>284</v>
      </c>
      <c r="AA1147">
        <v>205</v>
      </c>
      <c r="AB1147" t="s">
        <v>285</v>
      </c>
      <c r="AG1147">
        <v>150.66669999999999</v>
      </c>
      <c r="AH1147" t="s">
        <v>54</v>
      </c>
      <c r="AI1147" t="s">
        <v>52</v>
      </c>
      <c r="AZ1147" t="s">
        <v>52</v>
      </c>
      <c r="BQ1147" t="s">
        <v>52</v>
      </c>
      <c r="BR1147">
        <v>1.85</v>
      </c>
      <c r="BS1147" t="s">
        <v>284</v>
      </c>
      <c r="BT1147">
        <v>3.54</v>
      </c>
      <c r="BU1147" t="s">
        <v>285</v>
      </c>
      <c r="BV1147">
        <v>1.1599999999999999</v>
      </c>
      <c r="BW1147" t="s">
        <v>289</v>
      </c>
      <c r="BX1147">
        <v>1.1599999999999999</v>
      </c>
      <c r="BY1147" t="s">
        <v>289</v>
      </c>
      <c r="BZ1147">
        <v>1.48</v>
      </c>
      <c r="CA1147" t="s">
        <v>288</v>
      </c>
      <c r="CF1147">
        <v>1.5</v>
      </c>
      <c r="CG1147" t="s">
        <v>54</v>
      </c>
      <c r="CH1147" t="s">
        <v>52</v>
      </c>
    </row>
    <row r="1148" spans="1:86" x14ac:dyDescent="0.25">
      <c r="A1148" t="s">
        <v>47</v>
      </c>
      <c r="B1148">
        <v>8</v>
      </c>
      <c r="C1148" t="s">
        <v>193</v>
      </c>
      <c r="D1148">
        <v>103</v>
      </c>
      <c r="E1148" t="s">
        <v>70</v>
      </c>
      <c r="F1148">
        <v>296</v>
      </c>
      <c r="G1148" t="s">
        <v>74</v>
      </c>
      <c r="H1148" t="s">
        <v>50</v>
      </c>
      <c r="K1148" t="s">
        <v>52</v>
      </c>
      <c r="L1148">
        <v>1</v>
      </c>
      <c r="M1148" t="s">
        <v>53</v>
      </c>
      <c r="N1148">
        <v>102</v>
      </c>
      <c r="O1148">
        <v>1</v>
      </c>
      <c r="P1148" t="s">
        <v>52</v>
      </c>
      <c r="Q1148">
        <v>0</v>
      </c>
      <c r="R1148">
        <v>0.75</v>
      </c>
      <c r="S1148">
        <v>135</v>
      </c>
      <c r="T1148" t="s">
        <v>284</v>
      </c>
      <c r="U1148">
        <v>132</v>
      </c>
      <c r="V1148" t="s">
        <v>284</v>
      </c>
      <c r="W1148">
        <v>147</v>
      </c>
      <c r="X1148" t="s">
        <v>284</v>
      </c>
      <c r="Y1148">
        <v>170</v>
      </c>
      <c r="Z1148" t="s">
        <v>284</v>
      </c>
      <c r="AA1148">
        <v>205</v>
      </c>
      <c r="AB1148" t="s">
        <v>285</v>
      </c>
      <c r="AG1148">
        <v>150.66669999999999</v>
      </c>
      <c r="AH1148" t="s">
        <v>54</v>
      </c>
      <c r="AI1148" t="s">
        <v>52</v>
      </c>
      <c r="AZ1148" t="s">
        <v>52</v>
      </c>
      <c r="BQ1148" t="s">
        <v>52</v>
      </c>
      <c r="BR1148">
        <v>0.65</v>
      </c>
      <c r="BS1148" t="s">
        <v>284</v>
      </c>
      <c r="BT1148">
        <v>0.52</v>
      </c>
      <c r="BU1148" t="s">
        <v>284</v>
      </c>
      <c r="BV1148">
        <v>0.11</v>
      </c>
      <c r="BW1148" t="s">
        <v>284</v>
      </c>
      <c r="BX1148">
        <v>0.95</v>
      </c>
      <c r="BY1148" t="s">
        <v>285</v>
      </c>
      <c r="BZ1148">
        <v>0.22</v>
      </c>
      <c r="CA1148" t="s">
        <v>289</v>
      </c>
      <c r="CF1148">
        <v>0.46</v>
      </c>
      <c r="CG1148" t="s">
        <v>54</v>
      </c>
      <c r="CH1148" t="s">
        <v>52</v>
      </c>
    </row>
    <row r="1149" spans="1:86" x14ac:dyDescent="0.25">
      <c r="A1149" t="s">
        <v>47</v>
      </c>
      <c r="B1149">
        <v>8</v>
      </c>
      <c r="C1149" t="s">
        <v>193</v>
      </c>
      <c r="D1149">
        <v>103</v>
      </c>
      <c r="E1149" t="s">
        <v>70</v>
      </c>
      <c r="F1149">
        <v>296</v>
      </c>
      <c r="G1149" t="s">
        <v>129</v>
      </c>
      <c r="H1149" t="s">
        <v>50</v>
      </c>
      <c r="K1149" t="s">
        <v>51</v>
      </c>
      <c r="L1149">
        <v>1</v>
      </c>
      <c r="M1149" t="s">
        <v>53</v>
      </c>
      <c r="N1149">
        <v>102</v>
      </c>
      <c r="O1149">
        <v>1</v>
      </c>
      <c r="P1149" t="s">
        <v>52</v>
      </c>
      <c r="Q1149">
        <v>0</v>
      </c>
      <c r="R1149">
        <v>0.75</v>
      </c>
      <c r="S1149">
        <v>228</v>
      </c>
      <c r="T1149" t="s">
        <v>284</v>
      </c>
      <c r="U1149">
        <v>190</v>
      </c>
      <c r="V1149" t="s">
        <v>284</v>
      </c>
      <c r="W1149">
        <v>194</v>
      </c>
      <c r="X1149" t="s">
        <v>284</v>
      </c>
      <c r="Y1149">
        <v>213</v>
      </c>
      <c r="Z1149" t="s">
        <v>284</v>
      </c>
      <c r="AA1149">
        <v>225</v>
      </c>
      <c r="AB1149" t="s">
        <v>285</v>
      </c>
      <c r="AG1149">
        <v>210.66669999999999</v>
      </c>
      <c r="AH1149" t="s">
        <v>54</v>
      </c>
      <c r="AI1149" t="s">
        <v>52</v>
      </c>
      <c r="AZ1149" t="s">
        <v>52</v>
      </c>
      <c r="BQ1149" t="s">
        <v>52</v>
      </c>
      <c r="CH1149" t="s">
        <v>52</v>
      </c>
    </row>
    <row r="1150" spans="1:86" x14ac:dyDescent="0.25">
      <c r="A1150" t="s">
        <v>47</v>
      </c>
      <c r="B1150">
        <v>8</v>
      </c>
      <c r="C1150" t="s">
        <v>193</v>
      </c>
      <c r="D1150">
        <v>103</v>
      </c>
      <c r="E1150" t="s">
        <v>70</v>
      </c>
      <c r="F1150">
        <v>296</v>
      </c>
      <c r="G1150" t="s">
        <v>129</v>
      </c>
      <c r="H1150" t="s">
        <v>50</v>
      </c>
      <c r="K1150" t="s">
        <v>52</v>
      </c>
      <c r="L1150">
        <v>1</v>
      </c>
      <c r="M1150" t="s">
        <v>53</v>
      </c>
      <c r="N1150">
        <v>102</v>
      </c>
      <c r="O1150">
        <v>1</v>
      </c>
      <c r="P1150" t="s">
        <v>52</v>
      </c>
      <c r="Q1150">
        <v>0</v>
      </c>
      <c r="R1150">
        <v>0.75</v>
      </c>
      <c r="S1150">
        <v>228</v>
      </c>
      <c r="T1150" t="s">
        <v>284</v>
      </c>
      <c r="U1150">
        <v>190</v>
      </c>
      <c r="V1150" t="s">
        <v>284</v>
      </c>
      <c r="W1150">
        <v>194</v>
      </c>
      <c r="X1150" t="s">
        <v>284</v>
      </c>
      <c r="Y1150">
        <v>213</v>
      </c>
      <c r="Z1150" t="s">
        <v>284</v>
      </c>
      <c r="AA1150">
        <v>225</v>
      </c>
      <c r="AB1150" t="s">
        <v>285</v>
      </c>
      <c r="AG1150">
        <v>210.66669999999999</v>
      </c>
      <c r="AH1150" t="s">
        <v>54</v>
      </c>
      <c r="AI1150" t="s">
        <v>52</v>
      </c>
      <c r="AZ1150" t="s">
        <v>52</v>
      </c>
      <c r="BQ1150" t="s">
        <v>52</v>
      </c>
      <c r="BR1150">
        <v>0.65</v>
      </c>
      <c r="BS1150" t="s">
        <v>284</v>
      </c>
      <c r="BT1150">
        <v>0.88</v>
      </c>
      <c r="BU1150" t="s">
        <v>284</v>
      </c>
      <c r="BV1150">
        <v>0.27</v>
      </c>
      <c r="BW1150" t="s">
        <v>284</v>
      </c>
      <c r="BX1150">
        <v>0.22</v>
      </c>
      <c r="BY1150" t="s">
        <v>284</v>
      </c>
      <c r="CH1150" t="s">
        <v>52</v>
      </c>
    </row>
    <row r="1151" spans="1:86" x14ac:dyDescent="0.25">
      <c r="A1151" t="s">
        <v>47</v>
      </c>
      <c r="B1151">
        <v>8</v>
      </c>
      <c r="C1151" t="s">
        <v>193</v>
      </c>
      <c r="D1151">
        <v>103</v>
      </c>
      <c r="E1151" t="s">
        <v>70</v>
      </c>
      <c r="F1151">
        <v>296</v>
      </c>
      <c r="G1151" t="s">
        <v>122</v>
      </c>
      <c r="H1151" t="s">
        <v>50</v>
      </c>
      <c r="K1151" t="s">
        <v>51</v>
      </c>
      <c r="L1151">
        <v>1</v>
      </c>
      <c r="M1151" t="s">
        <v>53</v>
      </c>
      <c r="N1151">
        <v>102</v>
      </c>
      <c r="O1151">
        <v>1</v>
      </c>
      <c r="P1151" t="s">
        <v>52</v>
      </c>
      <c r="Q1151">
        <v>0</v>
      </c>
      <c r="R1151">
        <v>0.75</v>
      </c>
      <c r="S1151">
        <v>228</v>
      </c>
      <c r="T1151" t="s">
        <v>284</v>
      </c>
      <c r="U1151">
        <v>190</v>
      </c>
      <c r="V1151" t="s">
        <v>285</v>
      </c>
      <c r="W1151">
        <v>194</v>
      </c>
      <c r="X1151" t="s">
        <v>285</v>
      </c>
      <c r="Y1151">
        <v>213</v>
      </c>
      <c r="Z1151" t="s">
        <v>284</v>
      </c>
      <c r="AA1151">
        <v>225</v>
      </c>
      <c r="AB1151" t="s">
        <v>285</v>
      </c>
      <c r="AG1151">
        <v>210.66669999999999</v>
      </c>
      <c r="AH1151" t="s">
        <v>54</v>
      </c>
      <c r="AI1151" t="s">
        <v>52</v>
      </c>
      <c r="AZ1151" t="s">
        <v>52</v>
      </c>
      <c r="BQ1151" t="s">
        <v>52</v>
      </c>
      <c r="BR1151">
        <v>1.85</v>
      </c>
      <c r="BS1151" t="s">
        <v>284</v>
      </c>
      <c r="BT1151">
        <v>1.76</v>
      </c>
      <c r="BU1151" t="s">
        <v>285</v>
      </c>
      <c r="BV1151">
        <v>0.99</v>
      </c>
      <c r="BW1151" t="s">
        <v>285</v>
      </c>
      <c r="BX1151">
        <v>0.99</v>
      </c>
      <c r="BY1151" t="s">
        <v>285</v>
      </c>
      <c r="BZ1151">
        <v>0.99</v>
      </c>
      <c r="CA1151" t="s">
        <v>285</v>
      </c>
      <c r="CF1151">
        <v>1.25</v>
      </c>
      <c r="CG1151" t="s">
        <v>54</v>
      </c>
      <c r="CH1151" t="s">
        <v>52</v>
      </c>
    </row>
    <row r="1152" spans="1:86" x14ac:dyDescent="0.25">
      <c r="A1152" t="s">
        <v>47</v>
      </c>
      <c r="B1152">
        <v>8</v>
      </c>
      <c r="C1152" t="s">
        <v>193</v>
      </c>
      <c r="D1152">
        <v>103</v>
      </c>
      <c r="E1152" t="s">
        <v>70</v>
      </c>
      <c r="F1152">
        <v>296</v>
      </c>
      <c r="G1152" t="s">
        <v>122</v>
      </c>
      <c r="H1152" t="s">
        <v>50</v>
      </c>
      <c r="K1152" t="s">
        <v>52</v>
      </c>
      <c r="L1152">
        <v>1</v>
      </c>
      <c r="M1152" t="s">
        <v>53</v>
      </c>
      <c r="N1152">
        <v>102</v>
      </c>
      <c r="O1152">
        <v>1</v>
      </c>
      <c r="P1152" t="s">
        <v>52</v>
      </c>
      <c r="Q1152">
        <v>0</v>
      </c>
      <c r="R1152">
        <v>0.75</v>
      </c>
      <c r="S1152">
        <v>228</v>
      </c>
      <c r="T1152" t="s">
        <v>284</v>
      </c>
      <c r="U1152">
        <v>190</v>
      </c>
      <c r="V1152" t="s">
        <v>285</v>
      </c>
      <c r="W1152">
        <v>194</v>
      </c>
      <c r="X1152" t="s">
        <v>285</v>
      </c>
      <c r="Y1152">
        <v>213</v>
      </c>
      <c r="Z1152" t="s">
        <v>284</v>
      </c>
      <c r="AA1152">
        <v>225</v>
      </c>
      <c r="AB1152" t="s">
        <v>285</v>
      </c>
      <c r="AG1152">
        <v>210.66669999999999</v>
      </c>
      <c r="AH1152" t="s">
        <v>54</v>
      </c>
      <c r="AI1152" t="s">
        <v>52</v>
      </c>
      <c r="AZ1152" t="s">
        <v>52</v>
      </c>
      <c r="BQ1152" t="s">
        <v>52</v>
      </c>
      <c r="BR1152">
        <v>0.65</v>
      </c>
      <c r="BS1152" t="s">
        <v>284</v>
      </c>
      <c r="BT1152">
        <v>0.88</v>
      </c>
      <c r="BU1152" t="s">
        <v>284</v>
      </c>
      <c r="BV1152">
        <v>0.91</v>
      </c>
      <c r="BW1152" t="s">
        <v>284</v>
      </c>
      <c r="BX1152">
        <v>0.22</v>
      </c>
      <c r="BY1152" t="s">
        <v>284</v>
      </c>
      <c r="BZ1152">
        <v>0.22</v>
      </c>
      <c r="CA1152" t="s">
        <v>284</v>
      </c>
      <c r="CF1152">
        <v>0.57999999999999996</v>
      </c>
      <c r="CG1152" t="s">
        <v>54</v>
      </c>
      <c r="CH1152" t="s">
        <v>52</v>
      </c>
    </row>
    <row r="1153" spans="1:86" x14ac:dyDescent="0.25">
      <c r="A1153" t="s">
        <v>47</v>
      </c>
      <c r="B1153">
        <v>8</v>
      </c>
      <c r="C1153" t="s">
        <v>193</v>
      </c>
      <c r="D1153">
        <v>103</v>
      </c>
      <c r="E1153" t="s">
        <v>75</v>
      </c>
      <c r="F1153">
        <v>16</v>
      </c>
      <c r="G1153" t="s">
        <v>76</v>
      </c>
      <c r="H1153" t="s">
        <v>50</v>
      </c>
      <c r="K1153" t="s">
        <v>52</v>
      </c>
      <c r="L1153">
        <v>1</v>
      </c>
      <c r="M1153" t="s">
        <v>53</v>
      </c>
      <c r="N1153">
        <v>16</v>
      </c>
      <c r="O1153">
        <v>2</v>
      </c>
      <c r="P1153" t="s">
        <v>52</v>
      </c>
      <c r="Q1153">
        <v>0.5</v>
      </c>
      <c r="R1153">
        <v>0.75</v>
      </c>
      <c r="S1153">
        <v>83.35</v>
      </c>
      <c r="T1153" t="s">
        <v>285</v>
      </c>
      <c r="U1153">
        <v>96.14</v>
      </c>
      <c r="V1153" t="s">
        <v>284</v>
      </c>
      <c r="W1153">
        <v>103.37</v>
      </c>
      <c r="X1153" t="s">
        <v>284</v>
      </c>
      <c r="Y1153">
        <v>106.14</v>
      </c>
      <c r="Z1153" t="s">
        <v>284</v>
      </c>
      <c r="AA1153">
        <v>128</v>
      </c>
      <c r="AB1153" t="s">
        <v>285</v>
      </c>
      <c r="AG1153">
        <v>101.88330000000001</v>
      </c>
      <c r="AH1153" t="s">
        <v>54</v>
      </c>
      <c r="AI1153" t="s">
        <v>52</v>
      </c>
      <c r="AX1153">
        <v>146.69999999999999</v>
      </c>
      <c r="AY1153" t="s">
        <v>285</v>
      </c>
      <c r="AZ1153" t="s">
        <v>287</v>
      </c>
      <c r="BQ1153" t="s">
        <v>52</v>
      </c>
      <c r="BR1153">
        <v>0.65</v>
      </c>
      <c r="BS1153" t="s">
        <v>284</v>
      </c>
      <c r="BT1153">
        <v>1.47</v>
      </c>
      <c r="BU1153" t="s">
        <v>284</v>
      </c>
      <c r="BV1153">
        <v>2.64</v>
      </c>
      <c r="BW1153" t="s">
        <v>284</v>
      </c>
      <c r="BX1153">
        <v>2.72</v>
      </c>
      <c r="BY1153" t="s">
        <v>284</v>
      </c>
      <c r="BZ1153">
        <v>0.3</v>
      </c>
      <c r="CA1153" t="s">
        <v>289</v>
      </c>
      <c r="CF1153">
        <v>1.59</v>
      </c>
      <c r="CG1153" t="s">
        <v>54</v>
      </c>
      <c r="CH1153" t="s">
        <v>52</v>
      </c>
    </row>
    <row r="1154" spans="1:86" x14ac:dyDescent="0.25">
      <c r="A1154" t="s">
        <v>47</v>
      </c>
      <c r="B1154">
        <v>8</v>
      </c>
      <c r="C1154" t="s">
        <v>193</v>
      </c>
      <c r="D1154">
        <v>103</v>
      </c>
      <c r="E1154" t="s">
        <v>94</v>
      </c>
      <c r="F1154">
        <v>26</v>
      </c>
      <c r="H1154" t="s">
        <v>50</v>
      </c>
      <c r="K1154" t="s">
        <v>51</v>
      </c>
      <c r="L1154">
        <v>1</v>
      </c>
      <c r="M1154" t="s">
        <v>53</v>
      </c>
      <c r="N1154">
        <v>102</v>
      </c>
      <c r="O1154">
        <v>1</v>
      </c>
      <c r="P1154" t="s">
        <v>52</v>
      </c>
      <c r="Q1154">
        <v>0</v>
      </c>
      <c r="R1154">
        <v>0.92</v>
      </c>
      <c r="S1154">
        <v>131.69999999999999</v>
      </c>
      <c r="T1154" t="s">
        <v>284</v>
      </c>
      <c r="U1154">
        <v>170</v>
      </c>
      <c r="V1154" t="s">
        <v>284</v>
      </c>
      <c r="W1154">
        <v>191</v>
      </c>
      <c r="X1154" t="s">
        <v>284</v>
      </c>
      <c r="Y1154">
        <v>207</v>
      </c>
      <c r="Z1154" t="s">
        <v>284</v>
      </c>
      <c r="AA1154">
        <v>186</v>
      </c>
      <c r="AB1154" t="s">
        <v>284</v>
      </c>
      <c r="AG1154">
        <v>182.33330000000001</v>
      </c>
      <c r="AH1154" t="s">
        <v>54</v>
      </c>
      <c r="AI1154" t="s">
        <v>52</v>
      </c>
      <c r="AZ1154" t="s">
        <v>52</v>
      </c>
      <c r="BQ1154" t="s">
        <v>52</v>
      </c>
      <c r="CH1154" t="s">
        <v>52</v>
      </c>
    </row>
    <row r="1155" spans="1:86" x14ac:dyDescent="0.25">
      <c r="A1155" t="s">
        <v>47</v>
      </c>
      <c r="B1155">
        <v>8</v>
      </c>
      <c r="C1155" t="s">
        <v>193</v>
      </c>
      <c r="D1155">
        <v>103</v>
      </c>
      <c r="E1155" t="s">
        <v>94</v>
      </c>
      <c r="F1155">
        <v>26</v>
      </c>
      <c r="H1155" t="s">
        <v>50</v>
      </c>
      <c r="K1155" t="s">
        <v>52</v>
      </c>
      <c r="L1155">
        <v>1</v>
      </c>
      <c r="M1155" t="s">
        <v>53</v>
      </c>
      <c r="N1155">
        <v>102</v>
      </c>
      <c r="O1155">
        <v>1</v>
      </c>
      <c r="P1155" t="s">
        <v>52</v>
      </c>
      <c r="Q1155">
        <v>0</v>
      </c>
      <c r="R1155">
        <v>0.92</v>
      </c>
      <c r="S1155">
        <v>131.69999999999999</v>
      </c>
      <c r="T1155" t="s">
        <v>284</v>
      </c>
      <c r="U1155">
        <v>170</v>
      </c>
      <c r="V1155" t="s">
        <v>284</v>
      </c>
      <c r="W1155">
        <v>191</v>
      </c>
      <c r="X1155" t="s">
        <v>284</v>
      </c>
      <c r="Y1155">
        <v>207</v>
      </c>
      <c r="Z1155" t="s">
        <v>284</v>
      </c>
      <c r="AA1155">
        <v>186</v>
      </c>
      <c r="AB1155" t="s">
        <v>284</v>
      </c>
      <c r="AG1155">
        <v>182.33330000000001</v>
      </c>
      <c r="AH1155" t="s">
        <v>54</v>
      </c>
      <c r="AI1155" t="s">
        <v>52</v>
      </c>
      <c r="AZ1155" t="s">
        <v>52</v>
      </c>
      <c r="BQ1155" t="s">
        <v>52</v>
      </c>
      <c r="BR1155">
        <v>0.93</v>
      </c>
      <c r="BS1155" t="s">
        <v>285</v>
      </c>
      <c r="BT1155">
        <v>0.88</v>
      </c>
      <c r="BU1155" t="s">
        <v>285</v>
      </c>
      <c r="BV1155">
        <v>0.68</v>
      </c>
      <c r="BW1155" t="s">
        <v>284</v>
      </c>
      <c r="CH1155" t="s">
        <v>52</v>
      </c>
    </row>
    <row r="1156" spans="1:86" x14ac:dyDescent="0.25">
      <c r="A1156" t="s">
        <v>47</v>
      </c>
      <c r="B1156">
        <v>8</v>
      </c>
      <c r="C1156" t="s">
        <v>193</v>
      </c>
      <c r="D1156">
        <v>103</v>
      </c>
      <c r="E1156" t="s">
        <v>83</v>
      </c>
      <c r="F1156">
        <v>158</v>
      </c>
      <c r="H1156" t="s">
        <v>50</v>
      </c>
      <c r="K1156" t="s">
        <v>52</v>
      </c>
      <c r="L1156">
        <v>1</v>
      </c>
      <c r="M1156" t="s">
        <v>53</v>
      </c>
      <c r="N1156">
        <v>158</v>
      </c>
      <c r="O1156">
        <v>2</v>
      </c>
      <c r="P1156" t="s">
        <v>52</v>
      </c>
      <c r="Q1156">
        <v>0.77</v>
      </c>
      <c r="R1156">
        <v>0.93</v>
      </c>
      <c r="S1156">
        <v>228</v>
      </c>
      <c r="T1156" t="s">
        <v>284</v>
      </c>
      <c r="U1156">
        <v>221</v>
      </c>
      <c r="V1156" t="s">
        <v>284</v>
      </c>
      <c r="W1156">
        <v>236</v>
      </c>
      <c r="X1156" t="s">
        <v>284</v>
      </c>
      <c r="Y1156">
        <v>244</v>
      </c>
      <c r="Z1156" t="s">
        <v>284</v>
      </c>
      <c r="AA1156">
        <v>252</v>
      </c>
      <c r="AB1156" t="s">
        <v>284</v>
      </c>
      <c r="AG1156">
        <v>236</v>
      </c>
      <c r="AH1156" t="s">
        <v>54</v>
      </c>
      <c r="AI1156" t="s">
        <v>52</v>
      </c>
      <c r="AX1156">
        <v>339</v>
      </c>
      <c r="AY1156" t="s">
        <v>285</v>
      </c>
      <c r="AZ1156" t="s">
        <v>287</v>
      </c>
      <c r="BQ1156" t="s">
        <v>52</v>
      </c>
      <c r="BR1156">
        <v>1.31</v>
      </c>
      <c r="BS1156" t="s">
        <v>285</v>
      </c>
      <c r="BT1156">
        <v>1.01</v>
      </c>
      <c r="BU1156" t="s">
        <v>284</v>
      </c>
      <c r="BV1156">
        <v>0.33</v>
      </c>
      <c r="BW1156" t="s">
        <v>288</v>
      </c>
      <c r="BX1156">
        <v>0.56999999999999995</v>
      </c>
      <c r="BY1156" t="s">
        <v>285</v>
      </c>
      <c r="BZ1156">
        <v>0.1</v>
      </c>
      <c r="CA1156" t="s">
        <v>289</v>
      </c>
      <c r="CF1156">
        <v>0.64</v>
      </c>
      <c r="CG1156" t="s">
        <v>54</v>
      </c>
      <c r="CH1156" t="s">
        <v>52</v>
      </c>
    </row>
    <row r="1157" spans="1:86" x14ac:dyDescent="0.25">
      <c r="A1157" t="s">
        <v>47</v>
      </c>
      <c r="B1157">
        <v>8</v>
      </c>
      <c r="C1157" t="s">
        <v>194</v>
      </c>
      <c r="D1157">
        <v>105</v>
      </c>
      <c r="E1157" t="s">
        <v>49</v>
      </c>
      <c r="F1157">
        <v>27</v>
      </c>
      <c r="H1157" t="s">
        <v>50</v>
      </c>
      <c r="K1157" t="s">
        <v>51</v>
      </c>
      <c r="L1157">
        <v>1</v>
      </c>
      <c r="M1157" t="s">
        <v>53</v>
      </c>
      <c r="N1157">
        <v>27</v>
      </c>
      <c r="O1157">
        <v>1</v>
      </c>
      <c r="P1157" t="s">
        <v>52</v>
      </c>
      <c r="Q1157">
        <v>0</v>
      </c>
      <c r="R1157">
        <v>0.75</v>
      </c>
      <c r="S1157">
        <v>231</v>
      </c>
      <c r="T1157" t="s">
        <v>284</v>
      </c>
      <c r="U1157">
        <v>208</v>
      </c>
      <c r="V1157" t="s">
        <v>284</v>
      </c>
      <c r="W1157">
        <v>224</v>
      </c>
      <c r="X1157" t="s">
        <v>284</v>
      </c>
      <c r="Y1157">
        <v>225</v>
      </c>
      <c r="Z1157" t="s">
        <v>285</v>
      </c>
      <c r="AA1157">
        <v>247</v>
      </c>
      <c r="AB1157" t="s">
        <v>285</v>
      </c>
      <c r="AC1157">
        <v>241</v>
      </c>
      <c r="AD1157" t="s">
        <v>285</v>
      </c>
      <c r="AE1157">
        <v>219</v>
      </c>
      <c r="AF1157" t="s">
        <v>285</v>
      </c>
      <c r="AG1157">
        <v>219</v>
      </c>
      <c r="AH1157" t="s">
        <v>286</v>
      </c>
      <c r="AI1157" t="s">
        <v>287</v>
      </c>
      <c r="AX1157">
        <v>263</v>
      </c>
      <c r="AY1157" t="s">
        <v>286</v>
      </c>
      <c r="AZ1157" t="s">
        <v>287</v>
      </c>
      <c r="BQ1157" t="s">
        <v>52</v>
      </c>
      <c r="BR1157">
        <v>3.7</v>
      </c>
      <c r="BS1157" t="s">
        <v>284</v>
      </c>
      <c r="BT1157">
        <v>3.4</v>
      </c>
      <c r="BU1157" t="s">
        <v>284</v>
      </c>
      <c r="BV1157">
        <v>5.07</v>
      </c>
      <c r="BW1157" t="s">
        <v>284</v>
      </c>
      <c r="BX1157">
        <v>5.42</v>
      </c>
      <c r="BY1157" t="s">
        <v>284</v>
      </c>
      <c r="BZ1157">
        <v>4.6500000000000004</v>
      </c>
      <c r="CA1157" t="s">
        <v>288</v>
      </c>
      <c r="CF1157">
        <v>4.47</v>
      </c>
      <c r="CG1157" t="s">
        <v>54</v>
      </c>
      <c r="CH1157" t="s">
        <v>52</v>
      </c>
    </row>
    <row r="1158" spans="1:86" x14ac:dyDescent="0.25">
      <c r="A1158" t="s">
        <v>47</v>
      </c>
      <c r="B1158">
        <v>8</v>
      </c>
      <c r="C1158" t="s">
        <v>194</v>
      </c>
      <c r="D1158">
        <v>105</v>
      </c>
      <c r="E1158" t="s">
        <v>58</v>
      </c>
      <c r="F1158">
        <v>102</v>
      </c>
      <c r="G1158" t="s">
        <v>61</v>
      </c>
      <c r="H1158" t="s">
        <v>50</v>
      </c>
      <c r="K1158" t="s">
        <v>51</v>
      </c>
      <c r="L1158">
        <v>1</v>
      </c>
      <c r="M1158" t="s">
        <v>53</v>
      </c>
      <c r="N1158">
        <v>102</v>
      </c>
      <c r="O1158">
        <v>1</v>
      </c>
      <c r="P1158" t="s">
        <v>52</v>
      </c>
      <c r="Q1158">
        <v>0</v>
      </c>
      <c r="R1158">
        <v>0.92</v>
      </c>
      <c r="S1158">
        <v>131.69999999999999</v>
      </c>
      <c r="T1158" t="s">
        <v>284</v>
      </c>
      <c r="U1158">
        <v>170</v>
      </c>
      <c r="V1158" t="s">
        <v>284</v>
      </c>
      <c r="W1158">
        <v>191</v>
      </c>
      <c r="X1158" t="s">
        <v>284</v>
      </c>
      <c r="Y1158">
        <v>207</v>
      </c>
      <c r="Z1158" t="s">
        <v>284</v>
      </c>
      <c r="AA1158">
        <v>315</v>
      </c>
      <c r="AB1158" t="s">
        <v>285</v>
      </c>
      <c r="AG1158">
        <v>189.33330000000001</v>
      </c>
      <c r="AH1158" t="s">
        <v>54</v>
      </c>
      <c r="AI1158" t="s">
        <v>52</v>
      </c>
      <c r="AZ1158" t="s">
        <v>52</v>
      </c>
      <c r="BQ1158" t="s">
        <v>52</v>
      </c>
      <c r="CH1158" t="s">
        <v>52</v>
      </c>
    </row>
    <row r="1159" spans="1:86" x14ac:dyDescent="0.25">
      <c r="A1159" t="s">
        <v>47</v>
      </c>
      <c r="B1159">
        <v>8</v>
      </c>
      <c r="C1159" t="s">
        <v>194</v>
      </c>
      <c r="D1159">
        <v>105</v>
      </c>
      <c r="E1159" t="s">
        <v>58</v>
      </c>
      <c r="F1159">
        <v>102</v>
      </c>
      <c r="G1159" t="s">
        <v>178</v>
      </c>
      <c r="H1159" t="s">
        <v>50</v>
      </c>
      <c r="K1159" t="s">
        <v>51</v>
      </c>
      <c r="L1159">
        <v>1</v>
      </c>
      <c r="M1159" t="s">
        <v>53</v>
      </c>
      <c r="N1159">
        <v>102</v>
      </c>
      <c r="O1159">
        <v>1</v>
      </c>
      <c r="P1159" t="s">
        <v>52</v>
      </c>
      <c r="Q1159">
        <v>0</v>
      </c>
      <c r="R1159">
        <v>0.92</v>
      </c>
      <c r="S1159">
        <v>131.69999999999999</v>
      </c>
      <c r="T1159" t="s">
        <v>284</v>
      </c>
      <c r="U1159">
        <v>170</v>
      </c>
      <c r="V1159" t="s">
        <v>284</v>
      </c>
      <c r="AI1159" t="s">
        <v>52</v>
      </c>
      <c r="AZ1159" t="s">
        <v>52</v>
      </c>
      <c r="BQ1159" t="s">
        <v>52</v>
      </c>
      <c r="CH1159" t="s">
        <v>52</v>
      </c>
    </row>
    <row r="1160" spans="1:86" x14ac:dyDescent="0.25">
      <c r="A1160" t="s">
        <v>47</v>
      </c>
      <c r="B1160">
        <v>8</v>
      </c>
      <c r="C1160" t="s">
        <v>194</v>
      </c>
      <c r="D1160">
        <v>105</v>
      </c>
      <c r="E1160" t="s">
        <v>58</v>
      </c>
      <c r="F1160">
        <v>102</v>
      </c>
      <c r="G1160" t="s">
        <v>148</v>
      </c>
      <c r="H1160" t="s">
        <v>50</v>
      </c>
      <c r="K1160" t="s">
        <v>51</v>
      </c>
      <c r="L1160">
        <v>1</v>
      </c>
      <c r="M1160" t="s">
        <v>53</v>
      </c>
      <c r="N1160">
        <v>102</v>
      </c>
      <c r="O1160">
        <v>1</v>
      </c>
      <c r="P1160" t="s">
        <v>52</v>
      </c>
      <c r="Q1160">
        <v>0</v>
      </c>
      <c r="R1160">
        <v>0.92</v>
      </c>
      <c r="S1160">
        <v>131.69999999999999</v>
      </c>
      <c r="T1160" t="s">
        <v>284</v>
      </c>
      <c r="U1160">
        <v>170</v>
      </c>
      <c r="V1160" t="s">
        <v>284</v>
      </c>
      <c r="AI1160" t="s">
        <v>52</v>
      </c>
      <c r="AZ1160" t="s">
        <v>52</v>
      </c>
      <c r="BQ1160" t="s">
        <v>52</v>
      </c>
      <c r="CH1160" t="s">
        <v>52</v>
      </c>
    </row>
    <row r="1161" spans="1:86" x14ac:dyDescent="0.25">
      <c r="A1161" t="s">
        <v>47</v>
      </c>
      <c r="B1161">
        <v>8</v>
      </c>
      <c r="C1161" t="s">
        <v>194</v>
      </c>
      <c r="D1161">
        <v>105</v>
      </c>
      <c r="E1161" t="s">
        <v>58</v>
      </c>
      <c r="F1161">
        <v>102</v>
      </c>
      <c r="G1161" t="s">
        <v>62</v>
      </c>
      <c r="H1161" t="s">
        <v>50</v>
      </c>
      <c r="K1161" t="s">
        <v>51</v>
      </c>
      <c r="L1161">
        <v>1</v>
      </c>
      <c r="M1161" t="s">
        <v>53</v>
      </c>
      <c r="N1161">
        <v>102</v>
      </c>
      <c r="O1161">
        <v>1</v>
      </c>
      <c r="P1161" t="s">
        <v>52</v>
      </c>
      <c r="Q1161">
        <v>0</v>
      </c>
      <c r="R1161">
        <v>0.92</v>
      </c>
      <c r="S1161">
        <v>131.69999999999999</v>
      </c>
      <c r="T1161" t="s">
        <v>284</v>
      </c>
      <c r="U1161">
        <v>170</v>
      </c>
      <c r="V1161" t="s">
        <v>284</v>
      </c>
      <c r="W1161">
        <v>191</v>
      </c>
      <c r="X1161" t="s">
        <v>284</v>
      </c>
      <c r="Y1161">
        <v>207</v>
      </c>
      <c r="Z1161" t="s">
        <v>284</v>
      </c>
      <c r="AA1161">
        <v>205</v>
      </c>
      <c r="AB1161" t="s">
        <v>285</v>
      </c>
      <c r="AG1161">
        <v>188.66669999999999</v>
      </c>
      <c r="AH1161" t="s">
        <v>54</v>
      </c>
      <c r="AI1161" t="s">
        <v>52</v>
      </c>
      <c r="AX1161">
        <v>271.60000000000002</v>
      </c>
      <c r="AY1161" t="s">
        <v>285</v>
      </c>
      <c r="AZ1161" t="s">
        <v>287</v>
      </c>
      <c r="BQ1161" t="s">
        <v>52</v>
      </c>
      <c r="BR1161">
        <v>1.85</v>
      </c>
      <c r="BS1161" t="s">
        <v>284</v>
      </c>
      <c r="BT1161">
        <v>1.65</v>
      </c>
      <c r="BU1161" t="s">
        <v>284</v>
      </c>
      <c r="BV1161">
        <v>0.53</v>
      </c>
      <c r="BW1161" t="s">
        <v>285</v>
      </c>
      <c r="BX1161">
        <v>1.04</v>
      </c>
      <c r="BY1161" t="s">
        <v>285</v>
      </c>
      <c r="BZ1161">
        <v>0.8</v>
      </c>
      <c r="CA1161" t="s">
        <v>288</v>
      </c>
      <c r="CF1161">
        <v>1.1599999999999999</v>
      </c>
      <c r="CG1161" t="s">
        <v>54</v>
      </c>
      <c r="CH1161" t="s">
        <v>52</v>
      </c>
    </row>
    <row r="1162" spans="1:86" x14ac:dyDescent="0.25">
      <c r="A1162" t="s">
        <v>47</v>
      </c>
      <c r="B1162">
        <v>8</v>
      </c>
      <c r="C1162" t="s">
        <v>194</v>
      </c>
      <c r="D1162">
        <v>105</v>
      </c>
      <c r="E1162" t="s">
        <v>58</v>
      </c>
      <c r="F1162">
        <v>102</v>
      </c>
      <c r="G1162" t="s">
        <v>62</v>
      </c>
      <c r="H1162" t="s">
        <v>50</v>
      </c>
      <c r="K1162" t="s">
        <v>52</v>
      </c>
      <c r="L1162">
        <v>1</v>
      </c>
      <c r="M1162" t="s">
        <v>53</v>
      </c>
      <c r="N1162">
        <v>102</v>
      </c>
      <c r="O1162">
        <v>1</v>
      </c>
      <c r="P1162" t="s">
        <v>52</v>
      </c>
      <c r="Q1162">
        <v>0</v>
      </c>
      <c r="R1162">
        <v>0.92</v>
      </c>
      <c r="S1162">
        <v>131.69999999999999</v>
      </c>
      <c r="T1162" t="s">
        <v>284</v>
      </c>
      <c r="U1162">
        <v>170</v>
      </c>
      <c r="V1162" t="s">
        <v>284</v>
      </c>
      <c r="W1162">
        <v>191</v>
      </c>
      <c r="X1162" t="s">
        <v>284</v>
      </c>
      <c r="Y1162">
        <v>207</v>
      </c>
      <c r="Z1162" t="s">
        <v>284</v>
      </c>
      <c r="AA1162">
        <v>205</v>
      </c>
      <c r="AB1162" t="s">
        <v>285</v>
      </c>
      <c r="AG1162">
        <v>188.66669999999999</v>
      </c>
      <c r="AH1162" t="s">
        <v>54</v>
      </c>
      <c r="AI1162" t="s">
        <v>52</v>
      </c>
      <c r="AX1162">
        <v>271.60000000000002</v>
      </c>
      <c r="AY1162" t="s">
        <v>285</v>
      </c>
      <c r="AZ1162" t="s">
        <v>287</v>
      </c>
      <c r="BQ1162" t="s">
        <v>52</v>
      </c>
      <c r="BR1162">
        <v>0.83</v>
      </c>
      <c r="BS1162" t="s">
        <v>285</v>
      </c>
      <c r="BT1162">
        <v>1.21</v>
      </c>
      <c r="BU1162" t="s">
        <v>285</v>
      </c>
      <c r="BV1162">
        <v>0.27</v>
      </c>
      <c r="BW1162" t="s">
        <v>285</v>
      </c>
      <c r="BX1162">
        <v>0.48</v>
      </c>
      <c r="BY1162" t="s">
        <v>285</v>
      </c>
      <c r="BZ1162">
        <v>0.41</v>
      </c>
      <c r="CA1162" t="s">
        <v>284</v>
      </c>
      <c r="CF1162">
        <v>0.56999999999999995</v>
      </c>
      <c r="CG1162" t="s">
        <v>54</v>
      </c>
      <c r="CH1162" t="s">
        <v>52</v>
      </c>
    </row>
    <row r="1163" spans="1:86" x14ac:dyDescent="0.25">
      <c r="A1163" t="s">
        <v>47</v>
      </c>
      <c r="B1163">
        <v>8</v>
      </c>
      <c r="C1163" t="s">
        <v>194</v>
      </c>
      <c r="D1163">
        <v>105</v>
      </c>
      <c r="E1163" t="s">
        <v>58</v>
      </c>
      <c r="F1163">
        <v>102</v>
      </c>
      <c r="G1163" t="s">
        <v>156</v>
      </c>
      <c r="H1163" t="s">
        <v>50</v>
      </c>
      <c r="K1163" t="s">
        <v>52</v>
      </c>
      <c r="L1163">
        <v>1</v>
      </c>
      <c r="M1163" t="s">
        <v>53</v>
      </c>
      <c r="N1163">
        <v>102</v>
      </c>
      <c r="O1163">
        <v>1</v>
      </c>
      <c r="P1163" t="s">
        <v>52</v>
      </c>
      <c r="Q1163">
        <v>0</v>
      </c>
      <c r="R1163">
        <v>0.92</v>
      </c>
      <c r="S1163">
        <v>131.69999999999999</v>
      </c>
      <c r="T1163" t="s">
        <v>285</v>
      </c>
      <c r="U1163">
        <v>170</v>
      </c>
      <c r="V1163" t="s">
        <v>284</v>
      </c>
      <c r="AI1163" t="s">
        <v>52</v>
      </c>
      <c r="AZ1163" t="s">
        <v>52</v>
      </c>
      <c r="BQ1163" t="s">
        <v>52</v>
      </c>
      <c r="CH1163" t="s">
        <v>52</v>
      </c>
    </row>
    <row r="1164" spans="1:86" x14ac:dyDescent="0.25">
      <c r="A1164" t="s">
        <v>47</v>
      </c>
      <c r="B1164">
        <v>8</v>
      </c>
      <c r="C1164" t="s">
        <v>194</v>
      </c>
      <c r="D1164">
        <v>105</v>
      </c>
      <c r="E1164" t="s">
        <v>58</v>
      </c>
      <c r="F1164">
        <v>102</v>
      </c>
      <c r="G1164" t="s">
        <v>195</v>
      </c>
      <c r="H1164" t="s">
        <v>50</v>
      </c>
      <c r="K1164" t="s">
        <v>51</v>
      </c>
      <c r="L1164">
        <v>1</v>
      </c>
      <c r="M1164" t="s">
        <v>53</v>
      </c>
      <c r="N1164">
        <v>102</v>
      </c>
      <c r="O1164">
        <v>1</v>
      </c>
      <c r="P1164" t="s">
        <v>52</v>
      </c>
      <c r="Q1164">
        <v>0</v>
      </c>
      <c r="R1164">
        <v>0.92</v>
      </c>
      <c r="S1164">
        <v>131.69999999999999</v>
      </c>
      <c r="T1164" t="s">
        <v>284</v>
      </c>
      <c r="U1164">
        <v>170</v>
      </c>
      <c r="V1164" t="s">
        <v>284</v>
      </c>
      <c r="AI1164" t="s">
        <v>52</v>
      </c>
      <c r="AZ1164" t="s">
        <v>52</v>
      </c>
      <c r="BQ1164" t="s">
        <v>52</v>
      </c>
      <c r="CH1164" t="s">
        <v>52</v>
      </c>
    </row>
    <row r="1165" spans="1:86" x14ac:dyDescent="0.25">
      <c r="A1165" t="s">
        <v>47</v>
      </c>
      <c r="B1165">
        <v>8</v>
      </c>
      <c r="C1165" t="s">
        <v>194</v>
      </c>
      <c r="D1165">
        <v>105</v>
      </c>
      <c r="E1165" t="s">
        <v>58</v>
      </c>
      <c r="F1165">
        <v>102</v>
      </c>
      <c r="G1165" t="s">
        <v>66</v>
      </c>
      <c r="H1165" t="s">
        <v>50</v>
      </c>
      <c r="K1165" t="s">
        <v>51</v>
      </c>
      <c r="L1165">
        <v>1</v>
      </c>
      <c r="M1165" t="s">
        <v>53</v>
      </c>
      <c r="N1165">
        <v>102</v>
      </c>
      <c r="O1165">
        <v>1</v>
      </c>
      <c r="P1165" t="s">
        <v>52</v>
      </c>
      <c r="Q1165">
        <v>0</v>
      </c>
      <c r="R1165">
        <v>0.92</v>
      </c>
      <c r="S1165">
        <v>131.69999999999999</v>
      </c>
      <c r="T1165" t="s">
        <v>284</v>
      </c>
      <c r="U1165">
        <v>170</v>
      </c>
      <c r="V1165" t="s">
        <v>284</v>
      </c>
      <c r="W1165">
        <v>191</v>
      </c>
      <c r="X1165" t="s">
        <v>284</v>
      </c>
      <c r="Y1165">
        <v>207</v>
      </c>
      <c r="Z1165" t="s">
        <v>284</v>
      </c>
      <c r="AA1165">
        <v>205</v>
      </c>
      <c r="AB1165" t="s">
        <v>285</v>
      </c>
      <c r="AG1165">
        <v>188.66669999999999</v>
      </c>
      <c r="AH1165" t="s">
        <v>54</v>
      </c>
      <c r="AI1165" t="s">
        <v>52</v>
      </c>
      <c r="AZ1165" t="s">
        <v>52</v>
      </c>
      <c r="BQ1165" t="s">
        <v>52</v>
      </c>
      <c r="BR1165">
        <v>1.32</v>
      </c>
      <c r="BS1165" t="s">
        <v>285</v>
      </c>
      <c r="BT1165">
        <v>1.6</v>
      </c>
      <c r="BU1165" t="s">
        <v>284</v>
      </c>
      <c r="BV1165">
        <v>1.24</v>
      </c>
      <c r="BW1165" t="s">
        <v>285</v>
      </c>
      <c r="CH1165" t="s">
        <v>52</v>
      </c>
    </row>
    <row r="1166" spans="1:86" x14ac:dyDescent="0.25">
      <c r="A1166" t="s">
        <v>47</v>
      </c>
      <c r="B1166">
        <v>8</v>
      </c>
      <c r="C1166" t="s">
        <v>194</v>
      </c>
      <c r="D1166">
        <v>105</v>
      </c>
      <c r="E1166" t="s">
        <v>58</v>
      </c>
      <c r="F1166">
        <v>102</v>
      </c>
      <c r="G1166" t="s">
        <v>118</v>
      </c>
      <c r="H1166" t="s">
        <v>50</v>
      </c>
      <c r="K1166" t="s">
        <v>51</v>
      </c>
      <c r="L1166">
        <v>1</v>
      </c>
      <c r="M1166" t="s">
        <v>53</v>
      </c>
      <c r="N1166">
        <v>102</v>
      </c>
      <c r="O1166">
        <v>1</v>
      </c>
      <c r="P1166" t="s">
        <v>52</v>
      </c>
      <c r="Q1166">
        <v>0</v>
      </c>
      <c r="R1166">
        <v>0.92</v>
      </c>
      <c r="S1166">
        <v>131.69999999999999</v>
      </c>
      <c r="T1166" t="s">
        <v>284</v>
      </c>
      <c r="U1166">
        <v>170</v>
      </c>
      <c r="V1166" t="s">
        <v>284</v>
      </c>
      <c r="W1166">
        <v>191</v>
      </c>
      <c r="X1166" t="s">
        <v>284</v>
      </c>
      <c r="Y1166">
        <v>207</v>
      </c>
      <c r="Z1166" t="s">
        <v>284</v>
      </c>
      <c r="AA1166">
        <v>205</v>
      </c>
      <c r="AB1166" t="s">
        <v>285</v>
      </c>
      <c r="AG1166">
        <v>188.66669999999999</v>
      </c>
      <c r="AH1166" t="s">
        <v>54</v>
      </c>
      <c r="AI1166" t="s">
        <v>52</v>
      </c>
      <c r="AZ1166" t="s">
        <v>52</v>
      </c>
      <c r="BQ1166" t="s">
        <v>52</v>
      </c>
      <c r="CH1166" t="s">
        <v>52</v>
      </c>
    </row>
    <row r="1167" spans="1:86" x14ac:dyDescent="0.25">
      <c r="A1167" t="s">
        <v>47</v>
      </c>
      <c r="B1167">
        <v>8</v>
      </c>
      <c r="C1167" t="s">
        <v>194</v>
      </c>
      <c r="D1167">
        <v>105</v>
      </c>
      <c r="E1167" t="s">
        <v>70</v>
      </c>
      <c r="F1167">
        <v>296</v>
      </c>
      <c r="G1167" t="s">
        <v>71</v>
      </c>
      <c r="H1167" t="s">
        <v>50</v>
      </c>
      <c r="K1167" t="s">
        <v>51</v>
      </c>
      <c r="L1167">
        <v>1</v>
      </c>
      <c r="M1167" t="s">
        <v>53</v>
      </c>
      <c r="N1167">
        <v>296</v>
      </c>
      <c r="O1167">
        <v>1</v>
      </c>
      <c r="P1167" t="s">
        <v>52</v>
      </c>
      <c r="Q1167">
        <v>0</v>
      </c>
      <c r="R1167">
        <v>0.75</v>
      </c>
      <c r="S1167">
        <v>228</v>
      </c>
      <c r="T1167" t="s">
        <v>284</v>
      </c>
      <c r="U1167">
        <v>190</v>
      </c>
      <c r="V1167" t="s">
        <v>285</v>
      </c>
      <c r="W1167">
        <v>194</v>
      </c>
      <c r="X1167" t="s">
        <v>285</v>
      </c>
      <c r="Y1167">
        <v>225</v>
      </c>
      <c r="Z1167" t="s">
        <v>285</v>
      </c>
      <c r="AA1167">
        <v>247</v>
      </c>
      <c r="AB1167" t="s">
        <v>285</v>
      </c>
      <c r="AC1167">
        <v>241</v>
      </c>
      <c r="AD1167" t="s">
        <v>285</v>
      </c>
      <c r="AE1167">
        <v>219</v>
      </c>
      <c r="AF1167" t="s">
        <v>285</v>
      </c>
      <c r="AG1167">
        <v>219</v>
      </c>
      <c r="AH1167" t="s">
        <v>286</v>
      </c>
      <c r="AI1167" t="s">
        <v>287</v>
      </c>
      <c r="AX1167">
        <v>263</v>
      </c>
      <c r="AY1167" t="s">
        <v>286</v>
      </c>
      <c r="AZ1167" t="s">
        <v>287</v>
      </c>
      <c r="BQ1167" t="s">
        <v>52</v>
      </c>
      <c r="BR1167">
        <v>1.85</v>
      </c>
      <c r="BS1167" t="s">
        <v>284</v>
      </c>
      <c r="BT1167">
        <v>1.65</v>
      </c>
      <c r="BU1167" t="s">
        <v>284</v>
      </c>
      <c r="BV1167">
        <v>0.98</v>
      </c>
      <c r="BW1167" t="s">
        <v>285</v>
      </c>
      <c r="BX1167">
        <v>2.76</v>
      </c>
      <c r="BY1167" t="s">
        <v>285</v>
      </c>
      <c r="BZ1167">
        <v>2.2599999999999998</v>
      </c>
      <c r="CA1167" t="s">
        <v>288</v>
      </c>
      <c r="CF1167">
        <v>1.92</v>
      </c>
      <c r="CG1167" t="s">
        <v>54</v>
      </c>
      <c r="CH1167" t="s">
        <v>52</v>
      </c>
    </row>
    <row r="1168" spans="1:86" x14ac:dyDescent="0.25">
      <c r="A1168" t="s">
        <v>47</v>
      </c>
      <c r="B1168">
        <v>8</v>
      </c>
      <c r="C1168" t="s">
        <v>194</v>
      </c>
      <c r="D1168">
        <v>105</v>
      </c>
      <c r="E1168" t="s">
        <v>70</v>
      </c>
      <c r="F1168">
        <v>296</v>
      </c>
      <c r="G1168" t="s">
        <v>72</v>
      </c>
      <c r="H1168" t="s">
        <v>50</v>
      </c>
      <c r="K1168" t="s">
        <v>51</v>
      </c>
      <c r="L1168">
        <v>1</v>
      </c>
      <c r="M1168" t="s">
        <v>53</v>
      </c>
      <c r="N1168">
        <v>296</v>
      </c>
      <c r="O1168">
        <v>1</v>
      </c>
      <c r="P1168" t="s">
        <v>52</v>
      </c>
      <c r="Q1168">
        <v>0.5</v>
      </c>
      <c r="R1168">
        <v>0.75</v>
      </c>
      <c r="S1168">
        <v>228</v>
      </c>
      <c r="T1168" t="s">
        <v>284</v>
      </c>
      <c r="U1168">
        <v>221</v>
      </c>
      <c r="V1168" t="s">
        <v>284</v>
      </c>
      <c r="W1168">
        <v>236</v>
      </c>
      <c r="X1168" t="s">
        <v>284</v>
      </c>
      <c r="Y1168">
        <v>244</v>
      </c>
      <c r="Z1168" t="s">
        <v>284</v>
      </c>
      <c r="AA1168">
        <v>215</v>
      </c>
      <c r="AB1168" t="s">
        <v>285</v>
      </c>
      <c r="AG1168">
        <v>228.33330000000001</v>
      </c>
      <c r="AH1168" t="s">
        <v>54</v>
      </c>
      <c r="AI1168" t="s">
        <v>52</v>
      </c>
      <c r="AZ1168" t="s">
        <v>52</v>
      </c>
      <c r="BQ1168" t="s">
        <v>52</v>
      </c>
      <c r="BR1168">
        <v>1.85</v>
      </c>
      <c r="BS1168" t="s">
        <v>284</v>
      </c>
      <c r="BT1168">
        <v>1.6</v>
      </c>
      <c r="BU1168" t="s">
        <v>284</v>
      </c>
      <c r="BV1168">
        <v>1.52</v>
      </c>
      <c r="BW1168" t="s">
        <v>284</v>
      </c>
      <c r="BX1168">
        <v>1.22</v>
      </c>
      <c r="BY1168" t="s">
        <v>284</v>
      </c>
      <c r="BZ1168">
        <v>1.22</v>
      </c>
      <c r="CA1168" t="s">
        <v>284</v>
      </c>
      <c r="CF1168">
        <v>1.45</v>
      </c>
      <c r="CG1168" t="s">
        <v>54</v>
      </c>
      <c r="CH1168" t="s">
        <v>52</v>
      </c>
    </row>
    <row r="1169" spans="1:86" x14ac:dyDescent="0.25">
      <c r="A1169" t="s">
        <v>47</v>
      </c>
      <c r="B1169">
        <v>8</v>
      </c>
      <c r="C1169" t="s">
        <v>194</v>
      </c>
      <c r="D1169">
        <v>105</v>
      </c>
      <c r="E1169" t="s">
        <v>70</v>
      </c>
      <c r="F1169">
        <v>296</v>
      </c>
      <c r="G1169" t="s">
        <v>74</v>
      </c>
      <c r="H1169" t="s">
        <v>50</v>
      </c>
      <c r="K1169" t="s">
        <v>51</v>
      </c>
      <c r="L1169">
        <v>1</v>
      </c>
      <c r="M1169" t="s">
        <v>53</v>
      </c>
      <c r="N1169">
        <v>102</v>
      </c>
      <c r="O1169">
        <v>1</v>
      </c>
      <c r="P1169" t="s">
        <v>52</v>
      </c>
      <c r="Q1169">
        <v>0</v>
      </c>
      <c r="R1169">
        <v>0.75</v>
      </c>
      <c r="S1169">
        <v>135</v>
      </c>
      <c r="T1169" t="s">
        <v>284</v>
      </c>
      <c r="U1169">
        <v>132</v>
      </c>
      <c r="V1169" t="s">
        <v>284</v>
      </c>
      <c r="W1169">
        <v>147</v>
      </c>
      <c r="X1169" t="s">
        <v>284</v>
      </c>
      <c r="Y1169">
        <v>170</v>
      </c>
      <c r="Z1169" t="s">
        <v>284</v>
      </c>
      <c r="AA1169">
        <v>205</v>
      </c>
      <c r="AB1169" t="s">
        <v>285</v>
      </c>
      <c r="AG1169">
        <v>150.66669999999999</v>
      </c>
      <c r="AH1169" t="s">
        <v>54</v>
      </c>
      <c r="AI1169" t="s">
        <v>52</v>
      </c>
      <c r="AZ1169" t="s">
        <v>52</v>
      </c>
      <c r="BQ1169" t="s">
        <v>52</v>
      </c>
      <c r="BR1169">
        <v>1.85</v>
      </c>
      <c r="BS1169" t="s">
        <v>284</v>
      </c>
      <c r="BT1169">
        <v>1.6</v>
      </c>
      <c r="BU1169" t="s">
        <v>284</v>
      </c>
      <c r="BV1169">
        <v>1.05</v>
      </c>
      <c r="BW1169" t="s">
        <v>285</v>
      </c>
      <c r="BX1169">
        <v>1.22</v>
      </c>
      <c r="BY1169" t="s">
        <v>288</v>
      </c>
      <c r="BZ1169">
        <v>1.04</v>
      </c>
      <c r="CA1169" t="s">
        <v>288</v>
      </c>
      <c r="CF1169">
        <v>1.29</v>
      </c>
      <c r="CG1169" t="s">
        <v>54</v>
      </c>
      <c r="CH1169" t="s">
        <v>52</v>
      </c>
    </row>
    <row r="1170" spans="1:86" x14ac:dyDescent="0.25">
      <c r="A1170" t="s">
        <v>47</v>
      </c>
      <c r="B1170">
        <v>8</v>
      </c>
      <c r="C1170" t="s">
        <v>194</v>
      </c>
      <c r="D1170">
        <v>105</v>
      </c>
      <c r="E1170" t="s">
        <v>70</v>
      </c>
      <c r="F1170">
        <v>296</v>
      </c>
      <c r="G1170" t="s">
        <v>122</v>
      </c>
      <c r="H1170" t="s">
        <v>50</v>
      </c>
      <c r="K1170" t="s">
        <v>51</v>
      </c>
      <c r="L1170">
        <v>1</v>
      </c>
      <c r="M1170" t="s">
        <v>53</v>
      </c>
      <c r="N1170">
        <v>102</v>
      </c>
      <c r="O1170">
        <v>1</v>
      </c>
      <c r="P1170" t="s">
        <v>52</v>
      </c>
      <c r="Q1170">
        <v>0</v>
      </c>
      <c r="R1170">
        <v>0.75</v>
      </c>
      <c r="S1170">
        <v>228</v>
      </c>
      <c r="T1170" t="s">
        <v>284</v>
      </c>
      <c r="U1170">
        <v>190</v>
      </c>
      <c r="V1170" t="s">
        <v>285</v>
      </c>
      <c r="W1170">
        <v>194</v>
      </c>
      <c r="X1170" t="s">
        <v>285</v>
      </c>
      <c r="Y1170">
        <v>213</v>
      </c>
      <c r="Z1170" t="s">
        <v>284</v>
      </c>
      <c r="AA1170">
        <v>225</v>
      </c>
      <c r="AB1170" t="s">
        <v>285</v>
      </c>
      <c r="AG1170">
        <v>210.66669999999999</v>
      </c>
      <c r="AH1170" t="s">
        <v>54</v>
      </c>
      <c r="AI1170" t="s">
        <v>52</v>
      </c>
      <c r="AZ1170" t="s">
        <v>52</v>
      </c>
      <c r="BQ1170" t="s">
        <v>52</v>
      </c>
      <c r="BR1170">
        <v>1.85</v>
      </c>
      <c r="BS1170" t="s">
        <v>284</v>
      </c>
      <c r="BT1170">
        <v>1.65</v>
      </c>
      <c r="BU1170" t="s">
        <v>284</v>
      </c>
      <c r="BV1170">
        <v>0.98</v>
      </c>
      <c r="BW1170" t="s">
        <v>285</v>
      </c>
      <c r="BX1170">
        <v>2.76</v>
      </c>
      <c r="BY1170" t="s">
        <v>288</v>
      </c>
      <c r="BZ1170">
        <v>2.2599999999999998</v>
      </c>
      <c r="CA1170" t="s">
        <v>285</v>
      </c>
      <c r="CF1170">
        <v>1.92</v>
      </c>
      <c r="CG1170" t="s">
        <v>54</v>
      </c>
      <c r="CH1170" t="s">
        <v>52</v>
      </c>
    </row>
    <row r="1171" spans="1:86" x14ac:dyDescent="0.25">
      <c r="A1171" t="s">
        <v>47</v>
      </c>
      <c r="B1171">
        <v>8</v>
      </c>
      <c r="C1171" t="s">
        <v>194</v>
      </c>
      <c r="D1171">
        <v>105</v>
      </c>
      <c r="E1171" t="s">
        <v>70</v>
      </c>
      <c r="F1171">
        <v>296</v>
      </c>
      <c r="G1171" t="s">
        <v>92</v>
      </c>
      <c r="H1171" t="s">
        <v>50</v>
      </c>
      <c r="K1171" t="s">
        <v>51</v>
      </c>
      <c r="L1171">
        <v>1</v>
      </c>
      <c r="M1171" t="s">
        <v>53</v>
      </c>
      <c r="N1171">
        <v>102</v>
      </c>
      <c r="O1171">
        <v>1</v>
      </c>
      <c r="P1171" t="s">
        <v>52</v>
      </c>
      <c r="Q1171">
        <v>0.5</v>
      </c>
      <c r="R1171">
        <v>0.75</v>
      </c>
      <c r="S1171">
        <v>228</v>
      </c>
      <c r="T1171" t="s">
        <v>284</v>
      </c>
      <c r="U1171">
        <v>189</v>
      </c>
      <c r="V1171" t="s">
        <v>285</v>
      </c>
      <c r="W1171">
        <v>199</v>
      </c>
      <c r="X1171" t="s">
        <v>285</v>
      </c>
      <c r="Y1171">
        <v>206</v>
      </c>
      <c r="Z1171" t="s">
        <v>285</v>
      </c>
      <c r="AA1171">
        <v>128</v>
      </c>
      <c r="AB1171" t="s">
        <v>285</v>
      </c>
      <c r="AG1171">
        <v>198</v>
      </c>
      <c r="AH1171" t="s">
        <v>54</v>
      </c>
      <c r="AI1171" t="s">
        <v>52</v>
      </c>
      <c r="AZ1171" t="s">
        <v>52</v>
      </c>
      <c r="BQ1171" t="s">
        <v>52</v>
      </c>
      <c r="BR1171">
        <v>1.85</v>
      </c>
      <c r="BS1171" t="s">
        <v>284</v>
      </c>
      <c r="BT1171">
        <v>1.6</v>
      </c>
      <c r="BU1171" t="s">
        <v>284</v>
      </c>
      <c r="BV1171">
        <v>1.6</v>
      </c>
      <c r="BW1171" t="s">
        <v>284</v>
      </c>
      <c r="BX1171">
        <v>1.6</v>
      </c>
      <c r="BY1171" t="s">
        <v>284</v>
      </c>
      <c r="BZ1171">
        <v>4.22</v>
      </c>
      <c r="CA1171" t="s">
        <v>285</v>
      </c>
      <c r="CF1171">
        <v>1.68</v>
      </c>
      <c r="CG1171" t="s">
        <v>54</v>
      </c>
      <c r="CH1171" t="s">
        <v>52</v>
      </c>
    </row>
    <row r="1172" spans="1:86" x14ac:dyDescent="0.25">
      <c r="A1172" t="s">
        <v>47</v>
      </c>
      <c r="B1172">
        <v>8</v>
      </c>
      <c r="C1172" t="s">
        <v>194</v>
      </c>
      <c r="D1172">
        <v>105</v>
      </c>
      <c r="E1172" t="s">
        <v>75</v>
      </c>
      <c r="F1172">
        <v>16</v>
      </c>
      <c r="G1172" t="s">
        <v>76</v>
      </c>
      <c r="H1172" t="s">
        <v>50</v>
      </c>
      <c r="K1172" t="s">
        <v>51</v>
      </c>
      <c r="L1172">
        <v>1</v>
      </c>
      <c r="M1172" t="s">
        <v>53</v>
      </c>
      <c r="N1172">
        <v>16</v>
      </c>
      <c r="O1172">
        <v>2</v>
      </c>
      <c r="P1172" t="s">
        <v>52</v>
      </c>
      <c r="Q1172">
        <v>0.5</v>
      </c>
      <c r="R1172">
        <v>0.75</v>
      </c>
      <c r="S1172">
        <v>83.35</v>
      </c>
      <c r="T1172" t="s">
        <v>285</v>
      </c>
      <c r="U1172">
        <v>96.14</v>
      </c>
      <c r="V1172" t="s">
        <v>284</v>
      </c>
      <c r="W1172">
        <v>103.37</v>
      </c>
      <c r="X1172" t="s">
        <v>284</v>
      </c>
      <c r="Y1172">
        <v>106.14</v>
      </c>
      <c r="Z1172" t="s">
        <v>284</v>
      </c>
      <c r="AA1172">
        <v>128</v>
      </c>
      <c r="AB1172" t="s">
        <v>285</v>
      </c>
      <c r="AG1172">
        <v>101.88330000000001</v>
      </c>
      <c r="AH1172" t="s">
        <v>54</v>
      </c>
      <c r="AI1172" t="s">
        <v>52</v>
      </c>
      <c r="AX1172">
        <v>146.69999999999999</v>
      </c>
      <c r="AY1172" t="s">
        <v>285</v>
      </c>
      <c r="AZ1172" t="s">
        <v>287</v>
      </c>
      <c r="BQ1172" t="s">
        <v>52</v>
      </c>
      <c r="BR1172">
        <v>1.85</v>
      </c>
      <c r="BS1172" t="s">
        <v>284</v>
      </c>
      <c r="BT1172">
        <v>1.65</v>
      </c>
      <c r="BU1172" t="s">
        <v>284</v>
      </c>
      <c r="BV1172">
        <v>1.38</v>
      </c>
      <c r="BW1172" t="s">
        <v>285</v>
      </c>
      <c r="BX1172">
        <v>3.82</v>
      </c>
      <c r="BY1172" t="s">
        <v>284</v>
      </c>
      <c r="BZ1172">
        <v>3.77</v>
      </c>
      <c r="CA1172" t="s">
        <v>288</v>
      </c>
      <c r="CF1172">
        <v>2.42</v>
      </c>
      <c r="CG1172" t="s">
        <v>54</v>
      </c>
      <c r="CH1172" t="s">
        <v>52</v>
      </c>
    </row>
    <row r="1173" spans="1:86" x14ac:dyDescent="0.25">
      <c r="A1173" t="s">
        <v>47</v>
      </c>
      <c r="B1173">
        <v>8</v>
      </c>
      <c r="C1173" t="s">
        <v>194</v>
      </c>
      <c r="D1173">
        <v>105</v>
      </c>
      <c r="E1173" t="s">
        <v>93</v>
      </c>
      <c r="F1173">
        <v>94</v>
      </c>
      <c r="H1173" t="s">
        <v>50</v>
      </c>
      <c r="K1173" t="s">
        <v>51</v>
      </c>
      <c r="L1173">
        <v>1</v>
      </c>
      <c r="M1173" t="s">
        <v>53</v>
      </c>
      <c r="N1173">
        <v>94</v>
      </c>
      <c r="O1173">
        <v>2</v>
      </c>
      <c r="P1173" t="s">
        <v>52</v>
      </c>
      <c r="Q1173">
        <v>0.77</v>
      </c>
      <c r="R1173">
        <v>0.93</v>
      </c>
      <c r="S1173">
        <v>205</v>
      </c>
      <c r="T1173" t="s">
        <v>284</v>
      </c>
      <c r="U1173">
        <v>175</v>
      </c>
      <c r="V1173" t="s">
        <v>284</v>
      </c>
      <c r="W1173">
        <v>188</v>
      </c>
      <c r="X1173" t="s">
        <v>284</v>
      </c>
      <c r="Y1173">
        <v>202.32</v>
      </c>
      <c r="Z1173" t="s">
        <v>284</v>
      </c>
      <c r="AA1173">
        <v>209.16</v>
      </c>
      <c r="AB1173" t="s">
        <v>284</v>
      </c>
      <c r="AG1173">
        <v>198.44</v>
      </c>
      <c r="AH1173" t="s">
        <v>54</v>
      </c>
      <c r="AI1173" t="s">
        <v>52</v>
      </c>
      <c r="AZ1173" t="s">
        <v>52</v>
      </c>
      <c r="BQ1173" t="s">
        <v>52</v>
      </c>
      <c r="CH1173" t="s">
        <v>52</v>
      </c>
    </row>
    <row r="1174" spans="1:86" x14ac:dyDescent="0.25">
      <c r="A1174" t="s">
        <v>47</v>
      </c>
      <c r="B1174">
        <v>8</v>
      </c>
      <c r="C1174" t="s">
        <v>194</v>
      </c>
      <c r="D1174">
        <v>105</v>
      </c>
      <c r="E1174" t="s">
        <v>79</v>
      </c>
      <c r="F1174">
        <v>50</v>
      </c>
      <c r="G1174" t="s">
        <v>81</v>
      </c>
      <c r="H1174" t="s">
        <v>50</v>
      </c>
      <c r="K1174" t="s">
        <v>51</v>
      </c>
      <c r="L1174">
        <v>1</v>
      </c>
      <c r="M1174" t="s">
        <v>53</v>
      </c>
      <c r="N1174">
        <v>50</v>
      </c>
      <c r="O1174">
        <v>1</v>
      </c>
      <c r="P1174" t="s">
        <v>52</v>
      </c>
      <c r="Q1174">
        <v>0.5</v>
      </c>
      <c r="R1174">
        <v>0.75</v>
      </c>
      <c r="S1174">
        <v>85</v>
      </c>
      <c r="T1174" t="s">
        <v>285</v>
      </c>
      <c r="U1174">
        <v>93</v>
      </c>
      <c r="V1174" t="s">
        <v>284</v>
      </c>
      <c r="W1174">
        <v>89.7</v>
      </c>
      <c r="X1174" t="s">
        <v>284</v>
      </c>
      <c r="Y1174">
        <v>92.72</v>
      </c>
      <c r="Z1174" t="s">
        <v>284</v>
      </c>
      <c r="AA1174">
        <v>109</v>
      </c>
      <c r="AB1174" t="s">
        <v>285</v>
      </c>
      <c r="AG1174">
        <v>91.806700000000006</v>
      </c>
      <c r="AH1174" t="s">
        <v>54</v>
      </c>
      <c r="AI1174" t="s">
        <v>52</v>
      </c>
      <c r="AZ1174" t="s">
        <v>52</v>
      </c>
      <c r="BQ1174" t="s">
        <v>52</v>
      </c>
      <c r="BR1174">
        <v>2.74</v>
      </c>
      <c r="BS1174" t="s">
        <v>289</v>
      </c>
      <c r="BT1174">
        <v>3.17</v>
      </c>
      <c r="BU1174" t="s">
        <v>285</v>
      </c>
      <c r="BV1174">
        <v>3.74</v>
      </c>
      <c r="BW1174" t="s">
        <v>284</v>
      </c>
      <c r="BX1174">
        <v>3.55</v>
      </c>
      <c r="BY1174" t="s">
        <v>284</v>
      </c>
      <c r="BZ1174">
        <v>4.6500000000000004</v>
      </c>
      <c r="CA1174" t="s">
        <v>289</v>
      </c>
      <c r="CF1174">
        <v>3.49</v>
      </c>
      <c r="CG1174" t="s">
        <v>54</v>
      </c>
      <c r="CH1174" t="s">
        <v>52</v>
      </c>
    </row>
    <row r="1175" spans="1:86" x14ac:dyDescent="0.25">
      <c r="A1175" t="s">
        <v>47</v>
      </c>
      <c r="B1175">
        <v>8</v>
      </c>
      <c r="C1175" t="s">
        <v>194</v>
      </c>
      <c r="D1175">
        <v>105</v>
      </c>
      <c r="E1175" t="s">
        <v>83</v>
      </c>
      <c r="F1175">
        <v>158</v>
      </c>
      <c r="H1175" t="s">
        <v>50</v>
      </c>
      <c r="K1175" t="s">
        <v>51</v>
      </c>
      <c r="L1175">
        <v>1</v>
      </c>
      <c r="M1175" t="s">
        <v>53</v>
      </c>
      <c r="N1175">
        <v>158</v>
      </c>
      <c r="O1175">
        <v>2</v>
      </c>
      <c r="P1175" t="s">
        <v>52</v>
      </c>
      <c r="Q1175">
        <v>0.77</v>
      </c>
      <c r="R1175">
        <v>0.93</v>
      </c>
      <c r="S1175">
        <v>228</v>
      </c>
      <c r="T1175" t="s">
        <v>284</v>
      </c>
      <c r="U1175">
        <v>221</v>
      </c>
      <c r="V1175" t="s">
        <v>284</v>
      </c>
      <c r="W1175">
        <v>236</v>
      </c>
      <c r="X1175" t="s">
        <v>284</v>
      </c>
      <c r="Y1175">
        <v>244</v>
      </c>
      <c r="Z1175" t="s">
        <v>284</v>
      </c>
      <c r="AA1175">
        <v>252</v>
      </c>
      <c r="AB1175" t="s">
        <v>284</v>
      </c>
      <c r="AG1175">
        <v>236</v>
      </c>
      <c r="AH1175" t="s">
        <v>54</v>
      </c>
      <c r="AI1175" t="s">
        <v>52</v>
      </c>
      <c r="AX1175">
        <v>339</v>
      </c>
      <c r="AY1175" t="s">
        <v>285</v>
      </c>
      <c r="AZ1175" t="s">
        <v>287</v>
      </c>
      <c r="BQ1175" t="s">
        <v>52</v>
      </c>
      <c r="BR1175">
        <v>1.85</v>
      </c>
      <c r="BS1175" t="s">
        <v>284</v>
      </c>
      <c r="BT1175">
        <v>1.35</v>
      </c>
      <c r="BU1175" t="s">
        <v>284</v>
      </c>
      <c r="BV1175">
        <v>1.03</v>
      </c>
      <c r="BW1175" t="s">
        <v>288</v>
      </c>
      <c r="BX1175">
        <v>1.34</v>
      </c>
      <c r="BY1175" t="s">
        <v>289</v>
      </c>
      <c r="BZ1175">
        <v>1.22</v>
      </c>
      <c r="CA1175" t="s">
        <v>289</v>
      </c>
      <c r="CF1175">
        <v>1.3</v>
      </c>
      <c r="CG1175" t="s">
        <v>54</v>
      </c>
      <c r="CH1175" t="s">
        <v>52</v>
      </c>
    </row>
    <row r="1176" spans="1:86" x14ac:dyDescent="0.25">
      <c r="A1176" t="s">
        <v>47</v>
      </c>
      <c r="B1176">
        <v>8</v>
      </c>
      <c r="C1176" t="s">
        <v>194</v>
      </c>
      <c r="D1176">
        <v>105</v>
      </c>
      <c r="E1176" t="s">
        <v>84</v>
      </c>
      <c r="F1176">
        <v>11</v>
      </c>
      <c r="G1176" t="s">
        <v>96</v>
      </c>
      <c r="H1176" t="s">
        <v>50</v>
      </c>
      <c r="K1176" t="s">
        <v>51</v>
      </c>
      <c r="L1176">
        <v>1</v>
      </c>
      <c r="M1176" t="s">
        <v>53</v>
      </c>
      <c r="N1176">
        <v>11</v>
      </c>
      <c r="O1176">
        <v>2</v>
      </c>
      <c r="P1176" t="s">
        <v>52</v>
      </c>
      <c r="Q1176">
        <v>0.5</v>
      </c>
      <c r="R1176">
        <v>0.75</v>
      </c>
      <c r="S1176">
        <v>124</v>
      </c>
      <c r="T1176" t="s">
        <v>284</v>
      </c>
      <c r="U1176">
        <v>110</v>
      </c>
      <c r="V1176" t="s">
        <v>284</v>
      </c>
      <c r="W1176">
        <v>118</v>
      </c>
      <c r="X1176" t="s">
        <v>284</v>
      </c>
      <c r="Y1176">
        <v>122</v>
      </c>
      <c r="Z1176" t="s">
        <v>284</v>
      </c>
      <c r="AA1176">
        <v>126</v>
      </c>
      <c r="AB1176" t="s">
        <v>284</v>
      </c>
      <c r="AG1176">
        <v>121.33329999999999</v>
      </c>
      <c r="AH1176" t="s">
        <v>54</v>
      </c>
      <c r="AI1176" t="s">
        <v>52</v>
      </c>
      <c r="AZ1176" t="s">
        <v>52</v>
      </c>
      <c r="BQ1176" t="s">
        <v>52</v>
      </c>
      <c r="BR1176">
        <v>3.24</v>
      </c>
      <c r="BS1176" t="s">
        <v>285</v>
      </c>
      <c r="BT1176">
        <v>2.81</v>
      </c>
      <c r="BU1176" t="s">
        <v>284</v>
      </c>
      <c r="BV1176">
        <v>3.41</v>
      </c>
      <c r="BW1176" t="s">
        <v>284</v>
      </c>
      <c r="BX1176">
        <v>2.97</v>
      </c>
      <c r="BY1176" t="s">
        <v>284</v>
      </c>
      <c r="BZ1176">
        <v>2.5499999999999998</v>
      </c>
      <c r="CA1176" t="s">
        <v>284</v>
      </c>
      <c r="CF1176">
        <v>3.01</v>
      </c>
      <c r="CG1176" t="s">
        <v>54</v>
      </c>
      <c r="CH1176" t="s">
        <v>52</v>
      </c>
    </row>
    <row r="1177" spans="1:86" x14ac:dyDescent="0.25">
      <c r="A1177" t="s">
        <v>47</v>
      </c>
      <c r="B1177">
        <v>8</v>
      </c>
      <c r="C1177" t="s">
        <v>194</v>
      </c>
      <c r="D1177">
        <v>105</v>
      </c>
      <c r="E1177" t="s">
        <v>84</v>
      </c>
      <c r="F1177">
        <v>11</v>
      </c>
      <c r="G1177" t="s">
        <v>196</v>
      </c>
      <c r="H1177" t="s">
        <v>50</v>
      </c>
      <c r="K1177" t="s">
        <v>51</v>
      </c>
      <c r="L1177">
        <v>1</v>
      </c>
      <c r="M1177" t="s">
        <v>53</v>
      </c>
      <c r="N1177">
        <v>11</v>
      </c>
      <c r="O1177">
        <v>2</v>
      </c>
      <c r="P1177" t="s">
        <v>52</v>
      </c>
      <c r="Q1177">
        <v>0.5</v>
      </c>
      <c r="R1177">
        <v>0.75</v>
      </c>
      <c r="S1177">
        <v>124</v>
      </c>
      <c r="T1177" t="s">
        <v>284</v>
      </c>
      <c r="U1177">
        <v>110</v>
      </c>
      <c r="V1177" t="s">
        <v>284</v>
      </c>
      <c r="W1177">
        <v>118</v>
      </c>
      <c r="X1177" t="s">
        <v>284</v>
      </c>
      <c r="Y1177">
        <v>122</v>
      </c>
      <c r="Z1177" t="s">
        <v>284</v>
      </c>
      <c r="AA1177">
        <v>126</v>
      </c>
      <c r="AB1177" t="s">
        <v>284</v>
      </c>
      <c r="AG1177">
        <v>121.33329999999999</v>
      </c>
      <c r="AH1177" t="s">
        <v>54</v>
      </c>
      <c r="AI1177" t="s">
        <v>52</v>
      </c>
      <c r="AZ1177" t="s">
        <v>52</v>
      </c>
      <c r="BQ1177" t="s">
        <v>52</v>
      </c>
      <c r="CH1177" t="s">
        <v>52</v>
      </c>
    </row>
    <row r="1178" spans="1:86" x14ac:dyDescent="0.25">
      <c r="A1178" t="s">
        <v>47</v>
      </c>
      <c r="B1178">
        <v>8</v>
      </c>
      <c r="C1178" t="s">
        <v>197</v>
      </c>
      <c r="D1178">
        <v>107</v>
      </c>
      <c r="E1178" t="s">
        <v>49</v>
      </c>
      <c r="F1178">
        <v>27</v>
      </c>
      <c r="H1178" t="s">
        <v>50</v>
      </c>
      <c r="K1178" t="s">
        <v>51</v>
      </c>
      <c r="L1178">
        <v>1</v>
      </c>
      <c r="M1178" t="s">
        <v>53</v>
      </c>
      <c r="N1178">
        <v>27</v>
      </c>
      <c r="O1178">
        <v>1</v>
      </c>
      <c r="P1178" t="s">
        <v>52</v>
      </c>
      <c r="Q1178">
        <v>0</v>
      </c>
      <c r="R1178">
        <v>0.75</v>
      </c>
      <c r="S1178">
        <v>231</v>
      </c>
      <c r="T1178" t="s">
        <v>284</v>
      </c>
      <c r="U1178">
        <v>208</v>
      </c>
      <c r="V1178" t="s">
        <v>284</v>
      </c>
      <c r="W1178">
        <v>224</v>
      </c>
      <c r="X1178" t="s">
        <v>284</v>
      </c>
      <c r="Y1178">
        <v>225</v>
      </c>
      <c r="Z1178" t="s">
        <v>285</v>
      </c>
      <c r="AA1178">
        <v>247</v>
      </c>
      <c r="AB1178" t="s">
        <v>285</v>
      </c>
      <c r="AC1178">
        <v>241</v>
      </c>
      <c r="AD1178" t="s">
        <v>285</v>
      </c>
      <c r="AE1178">
        <v>219</v>
      </c>
      <c r="AF1178" t="s">
        <v>285</v>
      </c>
      <c r="AG1178">
        <v>219</v>
      </c>
      <c r="AH1178" t="s">
        <v>286</v>
      </c>
      <c r="AI1178" t="s">
        <v>287</v>
      </c>
      <c r="AX1178">
        <v>263</v>
      </c>
      <c r="AY1178" t="s">
        <v>286</v>
      </c>
      <c r="AZ1178" t="s">
        <v>287</v>
      </c>
      <c r="BQ1178" t="s">
        <v>52</v>
      </c>
      <c r="BR1178">
        <v>3.7</v>
      </c>
      <c r="BS1178" t="s">
        <v>284</v>
      </c>
      <c r="BT1178">
        <v>3.4</v>
      </c>
      <c r="BU1178" t="s">
        <v>284</v>
      </c>
      <c r="BV1178">
        <v>1</v>
      </c>
      <c r="BW1178" t="s">
        <v>284</v>
      </c>
      <c r="BX1178">
        <v>1.95</v>
      </c>
      <c r="BY1178" t="s">
        <v>284</v>
      </c>
      <c r="BZ1178">
        <v>2.5</v>
      </c>
      <c r="CA1178" t="s">
        <v>288</v>
      </c>
      <c r="CF1178">
        <v>2.62</v>
      </c>
      <c r="CG1178" t="s">
        <v>54</v>
      </c>
      <c r="CH1178" t="s">
        <v>52</v>
      </c>
    </row>
    <row r="1179" spans="1:86" x14ac:dyDescent="0.25">
      <c r="A1179" t="s">
        <v>47</v>
      </c>
      <c r="B1179">
        <v>8</v>
      </c>
      <c r="C1179" t="s">
        <v>197</v>
      </c>
      <c r="D1179">
        <v>107</v>
      </c>
      <c r="E1179" t="s">
        <v>49</v>
      </c>
      <c r="F1179">
        <v>27</v>
      </c>
      <c r="H1179" t="s">
        <v>50</v>
      </c>
      <c r="K1179" t="s">
        <v>52</v>
      </c>
      <c r="L1179">
        <v>1</v>
      </c>
      <c r="M1179" t="s">
        <v>53</v>
      </c>
      <c r="N1179">
        <v>27</v>
      </c>
      <c r="O1179">
        <v>1</v>
      </c>
      <c r="P1179" t="s">
        <v>52</v>
      </c>
      <c r="Q1179">
        <v>0</v>
      </c>
      <c r="R1179">
        <v>0.75</v>
      </c>
      <c r="S1179">
        <v>231</v>
      </c>
      <c r="T1179" t="s">
        <v>284</v>
      </c>
      <c r="U1179">
        <v>208</v>
      </c>
      <c r="V1179" t="s">
        <v>284</v>
      </c>
      <c r="W1179">
        <v>224</v>
      </c>
      <c r="X1179" t="s">
        <v>284</v>
      </c>
      <c r="Y1179">
        <v>225</v>
      </c>
      <c r="Z1179" t="s">
        <v>285</v>
      </c>
      <c r="AA1179">
        <v>247</v>
      </c>
      <c r="AB1179" t="s">
        <v>285</v>
      </c>
      <c r="AC1179">
        <v>241</v>
      </c>
      <c r="AD1179" t="s">
        <v>285</v>
      </c>
      <c r="AE1179">
        <v>219</v>
      </c>
      <c r="AF1179" t="s">
        <v>285</v>
      </c>
      <c r="AG1179">
        <v>219</v>
      </c>
      <c r="AH1179" t="s">
        <v>286</v>
      </c>
      <c r="AI1179" t="s">
        <v>287</v>
      </c>
      <c r="AX1179">
        <v>263</v>
      </c>
      <c r="AY1179" t="s">
        <v>286</v>
      </c>
      <c r="AZ1179" t="s">
        <v>287</v>
      </c>
      <c r="BQ1179" t="s">
        <v>52</v>
      </c>
      <c r="BR1179">
        <v>1.3</v>
      </c>
      <c r="BS1179" t="s">
        <v>284</v>
      </c>
      <c r="BT1179">
        <v>1.2</v>
      </c>
      <c r="BU1179" t="s">
        <v>284</v>
      </c>
      <c r="BV1179">
        <v>1.1200000000000001</v>
      </c>
      <c r="BW1179" t="s">
        <v>284</v>
      </c>
      <c r="BX1179">
        <v>0.65</v>
      </c>
      <c r="BY1179" t="s">
        <v>284</v>
      </c>
      <c r="BZ1179">
        <v>0.8</v>
      </c>
      <c r="CA1179" t="s">
        <v>288</v>
      </c>
      <c r="CF1179">
        <v>1.04</v>
      </c>
      <c r="CG1179" t="s">
        <v>54</v>
      </c>
      <c r="CH1179" t="s">
        <v>52</v>
      </c>
    </row>
    <row r="1180" spans="1:86" x14ac:dyDescent="0.25">
      <c r="A1180" t="s">
        <v>47</v>
      </c>
      <c r="B1180">
        <v>8</v>
      </c>
      <c r="C1180" t="s">
        <v>197</v>
      </c>
      <c r="D1180">
        <v>107</v>
      </c>
      <c r="E1180" t="s">
        <v>58</v>
      </c>
      <c r="F1180">
        <v>102</v>
      </c>
      <c r="G1180" t="s">
        <v>62</v>
      </c>
      <c r="H1180" t="s">
        <v>50</v>
      </c>
      <c r="K1180" t="s">
        <v>51</v>
      </c>
      <c r="L1180">
        <v>1</v>
      </c>
      <c r="M1180" t="s">
        <v>53</v>
      </c>
      <c r="N1180">
        <v>102</v>
      </c>
      <c r="O1180">
        <v>1</v>
      </c>
      <c r="P1180" t="s">
        <v>52</v>
      </c>
      <c r="Q1180">
        <v>0</v>
      </c>
      <c r="R1180">
        <v>0.92</v>
      </c>
      <c r="S1180">
        <v>131.69999999999999</v>
      </c>
      <c r="T1180" t="s">
        <v>284</v>
      </c>
      <c r="U1180">
        <v>170</v>
      </c>
      <c r="V1180" t="s">
        <v>284</v>
      </c>
      <c r="W1180">
        <v>191</v>
      </c>
      <c r="X1180" t="s">
        <v>284</v>
      </c>
      <c r="Y1180">
        <v>207</v>
      </c>
      <c r="Z1180" t="s">
        <v>284</v>
      </c>
      <c r="AA1180">
        <v>205</v>
      </c>
      <c r="AB1180" t="s">
        <v>285</v>
      </c>
      <c r="AG1180">
        <v>188.66669999999999</v>
      </c>
      <c r="AH1180" t="s">
        <v>54</v>
      </c>
      <c r="AI1180" t="s">
        <v>52</v>
      </c>
      <c r="AX1180">
        <v>271.60000000000002</v>
      </c>
      <c r="AY1180" t="s">
        <v>285</v>
      </c>
      <c r="AZ1180" t="s">
        <v>287</v>
      </c>
      <c r="BQ1180" t="s">
        <v>52</v>
      </c>
      <c r="BR1180">
        <v>1.85</v>
      </c>
      <c r="BS1180" t="s">
        <v>284</v>
      </c>
      <c r="BT1180">
        <v>1.57</v>
      </c>
      <c r="BU1180" t="s">
        <v>284</v>
      </c>
      <c r="BV1180">
        <v>0.53</v>
      </c>
      <c r="BW1180" t="s">
        <v>285</v>
      </c>
      <c r="BX1180">
        <v>0.82</v>
      </c>
      <c r="BY1180" t="s">
        <v>285</v>
      </c>
      <c r="BZ1180">
        <v>0.99</v>
      </c>
      <c r="CA1180" t="s">
        <v>288</v>
      </c>
      <c r="CF1180">
        <v>1.1299999999999999</v>
      </c>
      <c r="CG1180" t="s">
        <v>54</v>
      </c>
      <c r="CH1180" t="s">
        <v>52</v>
      </c>
    </row>
    <row r="1181" spans="1:86" x14ac:dyDescent="0.25">
      <c r="A1181" t="s">
        <v>47</v>
      </c>
      <c r="B1181">
        <v>8</v>
      </c>
      <c r="C1181" t="s">
        <v>197</v>
      </c>
      <c r="D1181">
        <v>107</v>
      </c>
      <c r="E1181" t="s">
        <v>58</v>
      </c>
      <c r="F1181">
        <v>102</v>
      </c>
      <c r="G1181" t="s">
        <v>62</v>
      </c>
      <c r="H1181" t="s">
        <v>50</v>
      </c>
      <c r="K1181" t="s">
        <v>52</v>
      </c>
      <c r="L1181">
        <v>1</v>
      </c>
      <c r="M1181" t="s">
        <v>53</v>
      </c>
      <c r="N1181">
        <v>102</v>
      </c>
      <c r="O1181">
        <v>1</v>
      </c>
      <c r="P1181" t="s">
        <v>52</v>
      </c>
      <c r="Q1181">
        <v>0</v>
      </c>
      <c r="R1181">
        <v>0.92</v>
      </c>
      <c r="S1181">
        <v>131.69999999999999</v>
      </c>
      <c r="T1181" t="s">
        <v>284</v>
      </c>
      <c r="U1181">
        <v>170</v>
      </c>
      <c r="V1181" t="s">
        <v>284</v>
      </c>
      <c r="W1181">
        <v>191</v>
      </c>
      <c r="X1181" t="s">
        <v>284</v>
      </c>
      <c r="Y1181">
        <v>207</v>
      </c>
      <c r="Z1181" t="s">
        <v>284</v>
      </c>
      <c r="AA1181">
        <v>205</v>
      </c>
      <c r="AB1181" t="s">
        <v>285</v>
      </c>
      <c r="AG1181">
        <v>188.66669999999999</v>
      </c>
      <c r="AH1181" t="s">
        <v>54</v>
      </c>
      <c r="AI1181" t="s">
        <v>52</v>
      </c>
      <c r="AX1181">
        <v>271.60000000000002</v>
      </c>
      <c r="AY1181" t="s">
        <v>285</v>
      </c>
      <c r="AZ1181" t="s">
        <v>287</v>
      </c>
      <c r="BQ1181" t="s">
        <v>52</v>
      </c>
      <c r="BR1181">
        <v>0.66</v>
      </c>
      <c r="BS1181" t="s">
        <v>285</v>
      </c>
      <c r="BT1181">
        <v>0.72</v>
      </c>
      <c r="BU1181" t="s">
        <v>285</v>
      </c>
      <c r="BV1181">
        <v>0.28999999999999998</v>
      </c>
      <c r="BW1181" t="s">
        <v>285</v>
      </c>
      <c r="BX1181">
        <v>0.28999999999999998</v>
      </c>
      <c r="BY1181" t="s">
        <v>285</v>
      </c>
      <c r="BZ1181">
        <v>0.65</v>
      </c>
      <c r="CA1181" t="s">
        <v>288</v>
      </c>
      <c r="CF1181">
        <v>0.53</v>
      </c>
      <c r="CG1181" t="s">
        <v>54</v>
      </c>
      <c r="CH1181" t="s">
        <v>52</v>
      </c>
    </row>
    <row r="1182" spans="1:86" x14ac:dyDescent="0.25">
      <c r="A1182" t="s">
        <v>47</v>
      </c>
      <c r="B1182">
        <v>8</v>
      </c>
      <c r="C1182" t="s">
        <v>197</v>
      </c>
      <c r="D1182">
        <v>107</v>
      </c>
      <c r="E1182" t="s">
        <v>70</v>
      </c>
      <c r="F1182">
        <v>296</v>
      </c>
      <c r="G1182" t="s">
        <v>71</v>
      </c>
      <c r="H1182" t="s">
        <v>50</v>
      </c>
      <c r="K1182" t="s">
        <v>51</v>
      </c>
      <c r="L1182">
        <v>1</v>
      </c>
      <c r="M1182" t="s">
        <v>53</v>
      </c>
      <c r="N1182">
        <v>296</v>
      </c>
      <c r="O1182">
        <v>1</v>
      </c>
      <c r="P1182" t="s">
        <v>52</v>
      </c>
      <c r="Q1182">
        <v>0</v>
      </c>
      <c r="R1182">
        <v>0.75</v>
      </c>
      <c r="S1182">
        <v>228</v>
      </c>
      <c r="T1182" t="s">
        <v>284</v>
      </c>
      <c r="U1182">
        <v>190</v>
      </c>
      <c r="V1182" t="s">
        <v>285</v>
      </c>
      <c r="W1182">
        <v>194</v>
      </c>
      <c r="X1182" t="s">
        <v>285</v>
      </c>
      <c r="Y1182">
        <v>225</v>
      </c>
      <c r="Z1182" t="s">
        <v>285</v>
      </c>
      <c r="AA1182">
        <v>247</v>
      </c>
      <c r="AB1182" t="s">
        <v>285</v>
      </c>
      <c r="AC1182">
        <v>241</v>
      </c>
      <c r="AD1182" t="s">
        <v>285</v>
      </c>
      <c r="AE1182">
        <v>219</v>
      </c>
      <c r="AF1182" t="s">
        <v>285</v>
      </c>
      <c r="AG1182">
        <v>219</v>
      </c>
      <c r="AH1182" t="s">
        <v>286</v>
      </c>
      <c r="AI1182" t="s">
        <v>287</v>
      </c>
      <c r="AX1182">
        <v>263</v>
      </c>
      <c r="AY1182" t="s">
        <v>286</v>
      </c>
      <c r="AZ1182" t="s">
        <v>287</v>
      </c>
      <c r="BQ1182" t="s">
        <v>52</v>
      </c>
      <c r="BR1182">
        <v>1.85</v>
      </c>
      <c r="BS1182" t="s">
        <v>284</v>
      </c>
      <c r="BT1182">
        <v>1.46</v>
      </c>
      <c r="BU1182" t="s">
        <v>284</v>
      </c>
      <c r="BV1182">
        <v>0.87</v>
      </c>
      <c r="BW1182" t="s">
        <v>285</v>
      </c>
      <c r="BX1182">
        <v>0.94</v>
      </c>
      <c r="BY1182" t="s">
        <v>285</v>
      </c>
      <c r="BZ1182">
        <v>2.1</v>
      </c>
      <c r="CA1182" t="s">
        <v>288</v>
      </c>
      <c r="CF1182">
        <v>1.42</v>
      </c>
      <c r="CG1182" t="s">
        <v>54</v>
      </c>
      <c r="CH1182" t="s">
        <v>52</v>
      </c>
    </row>
    <row r="1183" spans="1:86" x14ac:dyDescent="0.25">
      <c r="A1183" t="s">
        <v>47</v>
      </c>
      <c r="B1183">
        <v>8</v>
      </c>
      <c r="C1183" t="s">
        <v>197</v>
      </c>
      <c r="D1183">
        <v>107</v>
      </c>
      <c r="E1183" t="s">
        <v>70</v>
      </c>
      <c r="F1183">
        <v>296</v>
      </c>
      <c r="G1183" t="s">
        <v>71</v>
      </c>
      <c r="H1183" t="s">
        <v>50</v>
      </c>
      <c r="K1183" t="s">
        <v>52</v>
      </c>
      <c r="L1183">
        <v>1</v>
      </c>
      <c r="M1183" t="s">
        <v>53</v>
      </c>
      <c r="N1183">
        <v>296</v>
      </c>
      <c r="O1183">
        <v>1</v>
      </c>
      <c r="P1183" t="s">
        <v>52</v>
      </c>
      <c r="Q1183">
        <v>0</v>
      </c>
      <c r="R1183">
        <v>0.75</v>
      </c>
      <c r="S1183">
        <v>228</v>
      </c>
      <c r="T1183" t="s">
        <v>284</v>
      </c>
      <c r="U1183">
        <v>190</v>
      </c>
      <c r="V1183" t="s">
        <v>285</v>
      </c>
      <c r="W1183">
        <v>194</v>
      </c>
      <c r="X1183" t="s">
        <v>285</v>
      </c>
      <c r="Y1183">
        <v>225</v>
      </c>
      <c r="Z1183" t="s">
        <v>285</v>
      </c>
      <c r="AA1183">
        <v>247</v>
      </c>
      <c r="AB1183" t="s">
        <v>285</v>
      </c>
      <c r="AC1183">
        <v>241</v>
      </c>
      <c r="AD1183" t="s">
        <v>285</v>
      </c>
      <c r="AE1183">
        <v>219</v>
      </c>
      <c r="AF1183" t="s">
        <v>285</v>
      </c>
      <c r="AG1183">
        <v>219</v>
      </c>
      <c r="AH1183" t="s">
        <v>286</v>
      </c>
      <c r="AI1183" t="s">
        <v>287</v>
      </c>
      <c r="AX1183">
        <v>263</v>
      </c>
      <c r="AY1183" t="s">
        <v>286</v>
      </c>
      <c r="AZ1183" t="s">
        <v>287</v>
      </c>
      <c r="BQ1183" t="s">
        <v>52</v>
      </c>
      <c r="BR1183">
        <v>0.65</v>
      </c>
      <c r="BS1183" t="s">
        <v>284</v>
      </c>
      <c r="BT1183">
        <v>0.73</v>
      </c>
      <c r="BU1183" t="s">
        <v>285</v>
      </c>
      <c r="BV1183">
        <v>1.17</v>
      </c>
      <c r="BW1183" t="s">
        <v>285</v>
      </c>
      <c r="BX1183">
        <v>0.91</v>
      </c>
      <c r="BY1183" t="s">
        <v>288</v>
      </c>
      <c r="BZ1183">
        <v>2.11</v>
      </c>
      <c r="CA1183" t="s">
        <v>288</v>
      </c>
      <c r="CF1183">
        <v>0.94</v>
      </c>
      <c r="CG1183" t="s">
        <v>54</v>
      </c>
      <c r="CH1183" t="s">
        <v>52</v>
      </c>
    </row>
    <row r="1184" spans="1:86" x14ac:dyDescent="0.25">
      <c r="A1184" t="s">
        <v>47</v>
      </c>
      <c r="B1184">
        <v>8</v>
      </c>
      <c r="C1184" t="s">
        <v>197</v>
      </c>
      <c r="D1184">
        <v>107</v>
      </c>
      <c r="E1184" t="s">
        <v>70</v>
      </c>
      <c r="F1184">
        <v>296</v>
      </c>
      <c r="G1184" t="s">
        <v>73</v>
      </c>
      <c r="H1184" t="s">
        <v>50</v>
      </c>
      <c r="K1184" t="s">
        <v>51</v>
      </c>
      <c r="L1184">
        <v>1</v>
      </c>
      <c r="M1184" t="s">
        <v>53</v>
      </c>
      <c r="N1184">
        <v>296</v>
      </c>
      <c r="O1184">
        <v>1</v>
      </c>
      <c r="P1184" t="s">
        <v>52</v>
      </c>
      <c r="Q1184">
        <v>0</v>
      </c>
      <c r="R1184">
        <v>0.75</v>
      </c>
      <c r="S1184">
        <v>228</v>
      </c>
      <c r="T1184" t="s">
        <v>284</v>
      </c>
      <c r="U1184">
        <v>221</v>
      </c>
      <c r="V1184" t="s">
        <v>284</v>
      </c>
      <c r="W1184">
        <v>236</v>
      </c>
      <c r="X1184" t="s">
        <v>284</v>
      </c>
      <c r="Y1184">
        <v>244</v>
      </c>
      <c r="Z1184" t="s">
        <v>284</v>
      </c>
      <c r="AA1184">
        <v>225</v>
      </c>
      <c r="AB1184" t="s">
        <v>285</v>
      </c>
      <c r="AG1184">
        <v>229.66669999999999</v>
      </c>
      <c r="AH1184" t="s">
        <v>54</v>
      </c>
      <c r="AI1184" t="s">
        <v>52</v>
      </c>
      <c r="AZ1184" t="s">
        <v>52</v>
      </c>
      <c r="BQ1184" t="s">
        <v>52</v>
      </c>
      <c r="BR1184">
        <v>1.85</v>
      </c>
      <c r="BS1184" t="s">
        <v>284</v>
      </c>
      <c r="BT1184">
        <v>1.61</v>
      </c>
      <c r="BU1184" t="s">
        <v>284</v>
      </c>
      <c r="BV1184">
        <v>0.96</v>
      </c>
      <c r="BW1184" t="s">
        <v>284</v>
      </c>
      <c r="BX1184">
        <v>1.36</v>
      </c>
      <c r="BY1184" t="s">
        <v>284</v>
      </c>
      <c r="BZ1184">
        <v>1.23</v>
      </c>
      <c r="CA1184" t="s">
        <v>288</v>
      </c>
      <c r="CF1184">
        <v>1.4</v>
      </c>
      <c r="CG1184" t="s">
        <v>54</v>
      </c>
      <c r="CH1184" t="s">
        <v>52</v>
      </c>
    </row>
    <row r="1185" spans="1:86" x14ac:dyDescent="0.25">
      <c r="A1185" t="s">
        <v>47</v>
      </c>
      <c r="B1185">
        <v>8</v>
      </c>
      <c r="C1185" t="s">
        <v>197</v>
      </c>
      <c r="D1185">
        <v>107</v>
      </c>
      <c r="E1185" t="s">
        <v>70</v>
      </c>
      <c r="F1185">
        <v>296</v>
      </c>
      <c r="G1185" t="s">
        <v>73</v>
      </c>
      <c r="H1185" t="s">
        <v>50</v>
      </c>
      <c r="K1185" t="s">
        <v>52</v>
      </c>
      <c r="L1185">
        <v>1</v>
      </c>
      <c r="M1185" t="s">
        <v>53</v>
      </c>
      <c r="N1185">
        <v>296</v>
      </c>
      <c r="O1185">
        <v>1</v>
      </c>
      <c r="P1185" t="s">
        <v>52</v>
      </c>
      <c r="Q1185">
        <v>0</v>
      </c>
      <c r="R1185">
        <v>0.75</v>
      </c>
      <c r="S1185">
        <v>228</v>
      </c>
      <c r="T1185" t="s">
        <v>284</v>
      </c>
      <c r="U1185">
        <v>221</v>
      </c>
      <c r="V1185" t="s">
        <v>284</v>
      </c>
      <c r="W1185">
        <v>236</v>
      </c>
      <c r="X1185" t="s">
        <v>284</v>
      </c>
      <c r="Y1185">
        <v>244</v>
      </c>
      <c r="Z1185" t="s">
        <v>284</v>
      </c>
      <c r="AA1185">
        <v>225</v>
      </c>
      <c r="AB1185" t="s">
        <v>285</v>
      </c>
      <c r="AG1185">
        <v>229.66669999999999</v>
      </c>
      <c r="AH1185" t="s">
        <v>54</v>
      </c>
      <c r="AI1185" t="s">
        <v>52</v>
      </c>
      <c r="AZ1185" t="s">
        <v>52</v>
      </c>
      <c r="BQ1185" t="s">
        <v>52</v>
      </c>
      <c r="BR1185">
        <v>0.65</v>
      </c>
      <c r="BS1185" t="s">
        <v>284</v>
      </c>
      <c r="BT1185">
        <v>0.84</v>
      </c>
      <c r="BU1185" t="s">
        <v>284</v>
      </c>
      <c r="BV1185">
        <v>0.25</v>
      </c>
      <c r="BW1185" t="s">
        <v>284</v>
      </c>
      <c r="BX1185">
        <v>0.17</v>
      </c>
      <c r="BY1185" t="s">
        <v>284</v>
      </c>
      <c r="BZ1185">
        <v>0.17</v>
      </c>
      <c r="CA1185" t="s">
        <v>284</v>
      </c>
      <c r="CF1185">
        <v>0.36</v>
      </c>
      <c r="CG1185" t="s">
        <v>54</v>
      </c>
      <c r="CH1185" t="s">
        <v>52</v>
      </c>
    </row>
    <row r="1186" spans="1:86" x14ac:dyDescent="0.25">
      <c r="A1186" t="s">
        <v>47</v>
      </c>
      <c r="B1186">
        <v>8</v>
      </c>
      <c r="C1186" t="s">
        <v>197</v>
      </c>
      <c r="D1186">
        <v>107</v>
      </c>
      <c r="E1186" t="s">
        <v>70</v>
      </c>
      <c r="F1186">
        <v>296</v>
      </c>
      <c r="G1186" t="s">
        <v>74</v>
      </c>
      <c r="H1186" t="s">
        <v>50</v>
      </c>
      <c r="K1186" t="s">
        <v>51</v>
      </c>
      <c r="L1186">
        <v>1</v>
      </c>
      <c r="M1186" t="s">
        <v>53</v>
      </c>
      <c r="N1186">
        <v>102</v>
      </c>
      <c r="O1186">
        <v>1</v>
      </c>
      <c r="P1186" t="s">
        <v>52</v>
      </c>
      <c r="Q1186">
        <v>0</v>
      </c>
      <c r="R1186">
        <v>0.75</v>
      </c>
      <c r="S1186">
        <v>135</v>
      </c>
      <c r="T1186" t="s">
        <v>284</v>
      </c>
      <c r="U1186">
        <v>132</v>
      </c>
      <c r="V1186" t="s">
        <v>284</v>
      </c>
      <c r="W1186">
        <v>147</v>
      </c>
      <c r="X1186" t="s">
        <v>284</v>
      </c>
      <c r="Y1186">
        <v>170</v>
      </c>
      <c r="Z1186" t="s">
        <v>284</v>
      </c>
      <c r="AA1186">
        <v>205</v>
      </c>
      <c r="AB1186" t="s">
        <v>285</v>
      </c>
      <c r="AG1186">
        <v>150.66669999999999</v>
      </c>
      <c r="AH1186" t="s">
        <v>54</v>
      </c>
      <c r="AI1186" t="s">
        <v>52</v>
      </c>
      <c r="AZ1186" t="s">
        <v>52</v>
      </c>
      <c r="BQ1186" t="s">
        <v>52</v>
      </c>
      <c r="BR1186">
        <v>1.85</v>
      </c>
      <c r="BS1186" t="s">
        <v>284</v>
      </c>
      <c r="BT1186">
        <v>1.46</v>
      </c>
      <c r="BU1186" t="s">
        <v>284</v>
      </c>
      <c r="BV1186">
        <v>0.96</v>
      </c>
      <c r="BW1186" t="s">
        <v>285</v>
      </c>
      <c r="BX1186">
        <v>0.97</v>
      </c>
      <c r="BY1186" t="s">
        <v>285</v>
      </c>
      <c r="BZ1186">
        <v>0.92</v>
      </c>
      <c r="CA1186" t="s">
        <v>289</v>
      </c>
      <c r="CF1186">
        <v>1.1299999999999999</v>
      </c>
      <c r="CG1186" t="s">
        <v>54</v>
      </c>
      <c r="CH1186" t="s">
        <v>52</v>
      </c>
    </row>
    <row r="1187" spans="1:86" x14ac:dyDescent="0.25">
      <c r="A1187" t="s">
        <v>47</v>
      </c>
      <c r="B1187">
        <v>8</v>
      </c>
      <c r="C1187" t="s">
        <v>197</v>
      </c>
      <c r="D1187">
        <v>107</v>
      </c>
      <c r="E1187" t="s">
        <v>70</v>
      </c>
      <c r="F1187">
        <v>296</v>
      </c>
      <c r="G1187" t="s">
        <v>74</v>
      </c>
      <c r="H1187" t="s">
        <v>50</v>
      </c>
      <c r="K1187" t="s">
        <v>52</v>
      </c>
      <c r="L1187">
        <v>1</v>
      </c>
      <c r="M1187" t="s">
        <v>53</v>
      </c>
      <c r="N1187">
        <v>102</v>
      </c>
      <c r="O1187">
        <v>1</v>
      </c>
      <c r="P1187" t="s">
        <v>52</v>
      </c>
      <c r="Q1187">
        <v>0</v>
      </c>
      <c r="R1187">
        <v>0.75</v>
      </c>
      <c r="S1187">
        <v>135</v>
      </c>
      <c r="T1187" t="s">
        <v>284</v>
      </c>
      <c r="U1187">
        <v>132</v>
      </c>
      <c r="V1187" t="s">
        <v>284</v>
      </c>
      <c r="W1187">
        <v>147</v>
      </c>
      <c r="X1187" t="s">
        <v>284</v>
      </c>
      <c r="Y1187">
        <v>170</v>
      </c>
      <c r="Z1187" t="s">
        <v>284</v>
      </c>
      <c r="AA1187">
        <v>205</v>
      </c>
      <c r="AB1187" t="s">
        <v>285</v>
      </c>
      <c r="AG1187">
        <v>150.66669999999999</v>
      </c>
      <c r="AH1187" t="s">
        <v>54</v>
      </c>
      <c r="AI1187" t="s">
        <v>52</v>
      </c>
      <c r="AZ1187" t="s">
        <v>52</v>
      </c>
      <c r="BQ1187" t="s">
        <v>52</v>
      </c>
      <c r="BR1187">
        <v>0.65</v>
      </c>
      <c r="BS1187" t="s">
        <v>284</v>
      </c>
      <c r="BT1187">
        <v>0.52</v>
      </c>
      <c r="BU1187" t="s">
        <v>284</v>
      </c>
      <c r="BV1187">
        <v>0.11</v>
      </c>
      <c r="BW1187" t="s">
        <v>284</v>
      </c>
      <c r="BX1187">
        <v>0.25</v>
      </c>
      <c r="BY1187" t="s">
        <v>285</v>
      </c>
      <c r="BZ1187">
        <v>0.64</v>
      </c>
      <c r="CA1187" t="s">
        <v>288</v>
      </c>
      <c r="CF1187">
        <v>0.47</v>
      </c>
      <c r="CG1187" t="s">
        <v>54</v>
      </c>
      <c r="CH1187" t="s">
        <v>52</v>
      </c>
    </row>
    <row r="1188" spans="1:86" x14ac:dyDescent="0.25">
      <c r="A1188" t="s">
        <v>47</v>
      </c>
      <c r="B1188">
        <v>8</v>
      </c>
      <c r="C1188" t="s">
        <v>197</v>
      </c>
      <c r="D1188">
        <v>107</v>
      </c>
      <c r="E1188" t="s">
        <v>75</v>
      </c>
      <c r="F1188">
        <v>16</v>
      </c>
      <c r="G1188" t="s">
        <v>76</v>
      </c>
      <c r="H1188" t="s">
        <v>50</v>
      </c>
      <c r="K1188" t="s">
        <v>51</v>
      </c>
      <c r="L1188">
        <v>1</v>
      </c>
      <c r="M1188" t="s">
        <v>53</v>
      </c>
      <c r="N1188">
        <v>16</v>
      </c>
      <c r="O1188">
        <v>2</v>
      </c>
      <c r="P1188" t="s">
        <v>52</v>
      </c>
      <c r="Q1188">
        <v>0.5</v>
      </c>
      <c r="R1188">
        <v>0.75</v>
      </c>
      <c r="S1188">
        <v>83.35</v>
      </c>
      <c r="T1188" t="s">
        <v>285</v>
      </c>
      <c r="U1188">
        <v>96.14</v>
      </c>
      <c r="V1188" t="s">
        <v>284</v>
      </c>
      <c r="W1188">
        <v>103.37</v>
      </c>
      <c r="X1188" t="s">
        <v>284</v>
      </c>
      <c r="Y1188">
        <v>106.14</v>
      </c>
      <c r="Z1188" t="s">
        <v>284</v>
      </c>
      <c r="AA1188">
        <v>128</v>
      </c>
      <c r="AB1188" t="s">
        <v>285</v>
      </c>
      <c r="AG1188">
        <v>101.88330000000001</v>
      </c>
      <c r="AH1188" t="s">
        <v>54</v>
      </c>
      <c r="AI1188" t="s">
        <v>52</v>
      </c>
      <c r="AX1188">
        <v>146.69999999999999</v>
      </c>
      <c r="AY1188" t="s">
        <v>285</v>
      </c>
      <c r="AZ1188" t="s">
        <v>287</v>
      </c>
      <c r="BQ1188" t="s">
        <v>52</v>
      </c>
      <c r="BR1188">
        <v>1.85</v>
      </c>
      <c r="BS1188" t="s">
        <v>284</v>
      </c>
      <c r="BT1188">
        <v>1.61</v>
      </c>
      <c r="BU1188" t="s">
        <v>284</v>
      </c>
      <c r="BV1188">
        <v>1.35</v>
      </c>
      <c r="BW1188" t="s">
        <v>284</v>
      </c>
      <c r="BX1188">
        <v>2.4300000000000002</v>
      </c>
      <c r="BY1188" t="s">
        <v>284</v>
      </c>
      <c r="BZ1188">
        <v>3.1</v>
      </c>
      <c r="CA1188" t="s">
        <v>288</v>
      </c>
      <c r="CF1188">
        <v>1.96</v>
      </c>
      <c r="CG1188" t="s">
        <v>54</v>
      </c>
      <c r="CH1188" t="s">
        <v>52</v>
      </c>
    </row>
    <row r="1189" spans="1:86" x14ac:dyDescent="0.25">
      <c r="A1189" t="s">
        <v>47</v>
      </c>
      <c r="B1189">
        <v>8</v>
      </c>
      <c r="C1189" t="s">
        <v>197</v>
      </c>
      <c r="D1189">
        <v>107</v>
      </c>
      <c r="E1189" t="s">
        <v>75</v>
      </c>
      <c r="F1189">
        <v>16</v>
      </c>
      <c r="G1189" t="s">
        <v>76</v>
      </c>
      <c r="H1189" t="s">
        <v>50</v>
      </c>
      <c r="K1189" t="s">
        <v>52</v>
      </c>
      <c r="L1189">
        <v>1</v>
      </c>
      <c r="M1189" t="s">
        <v>53</v>
      </c>
      <c r="N1189">
        <v>16</v>
      </c>
      <c r="O1189">
        <v>2</v>
      </c>
      <c r="P1189" t="s">
        <v>52</v>
      </c>
      <c r="Q1189">
        <v>0.5</v>
      </c>
      <c r="R1189">
        <v>0.75</v>
      </c>
      <c r="S1189">
        <v>83.35</v>
      </c>
      <c r="T1189" t="s">
        <v>285</v>
      </c>
      <c r="U1189">
        <v>96.14</v>
      </c>
      <c r="V1189" t="s">
        <v>284</v>
      </c>
      <c r="W1189">
        <v>103.37</v>
      </c>
      <c r="X1189" t="s">
        <v>284</v>
      </c>
      <c r="Y1189">
        <v>106.14</v>
      </c>
      <c r="Z1189" t="s">
        <v>284</v>
      </c>
      <c r="AA1189">
        <v>128</v>
      </c>
      <c r="AB1189" t="s">
        <v>285</v>
      </c>
      <c r="AG1189">
        <v>101.88330000000001</v>
      </c>
      <c r="AH1189" t="s">
        <v>54</v>
      </c>
      <c r="AI1189" t="s">
        <v>52</v>
      </c>
      <c r="AX1189">
        <v>146.69999999999999</v>
      </c>
      <c r="AY1189" t="s">
        <v>285</v>
      </c>
      <c r="AZ1189" t="s">
        <v>287</v>
      </c>
      <c r="BQ1189" t="s">
        <v>52</v>
      </c>
      <c r="BR1189">
        <v>0.65</v>
      </c>
      <c r="BS1189" t="s">
        <v>284</v>
      </c>
      <c r="BT1189">
        <v>1.1200000000000001</v>
      </c>
      <c r="BU1189" t="s">
        <v>285</v>
      </c>
      <c r="BV1189">
        <v>1.51</v>
      </c>
      <c r="BW1189" t="s">
        <v>285</v>
      </c>
      <c r="BX1189">
        <v>1.56</v>
      </c>
      <c r="BY1189" t="s">
        <v>285</v>
      </c>
      <c r="BZ1189">
        <v>0.41</v>
      </c>
      <c r="CA1189" t="s">
        <v>289</v>
      </c>
      <c r="CF1189">
        <v>1.0900000000000001</v>
      </c>
      <c r="CG1189" t="s">
        <v>54</v>
      </c>
      <c r="CH1189" t="s">
        <v>52</v>
      </c>
    </row>
    <row r="1190" spans="1:86" x14ac:dyDescent="0.25">
      <c r="A1190" t="s">
        <v>47</v>
      </c>
      <c r="B1190">
        <v>8</v>
      </c>
      <c r="C1190" t="s">
        <v>197</v>
      </c>
      <c r="D1190">
        <v>107</v>
      </c>
      <c r="E1190" t="s">
        <v>125</v>
      </c>
      <c r="F1190">
        <v>67</v>
      </c>
      <c r="G1190" t="s">
        <v>164</v>
      </c>
      <c r="H1190" t="s">
        <v>50</v>
      </c>
      <c r="K1190" t="s">
        <v>52</v>
      </c>
      <c r="L1190">
        <v>1</v>
      </c>
      <c r="M1190" t="s">
        <v>53</v>
      </c>
      <c r="N1190">
        <v>67</v>
      </c>
      <c r="O1190">
        <v>1</v>
      </c>
      <c r="P1190" t="s">
        <v>52</v>
      </c>
      <c r="Q1190">
        <v>0.5</v>
      </c>
      <c r="R1190">
        <v>0.87</v>
      </c>
      <c r="S1190">
        <v>228</v>
      </c>
      <c r="T1190" t="s">
        <v>284</v>
      </c>
      <c r="AI1190" t="s">
        <v>52</v>
      </c>
      <c r="AZ1190" t="s">
        <v>52</v>
      </c>
      <c r="BQ1190" t="s">
        <v>52</v>
      </c>
      <c r="CH1190" t="s">
        <v>52</v>
      </c>
    </row>
    <row r="1191" spans="1:86" x14ac:dyDescent="0.25">
      <c r="A1191" t="s">
        <v>47</v>
      </c>
      <c r="B1191">
        <v>8</v>
      </c>
      <c r="C1191" t="s">
        <v>197</v>
      </c>
      <c r="D1191">
        <v>107</v>
      </c>
      <c r="E1191" t="s">
        <v>125</v>
      </c>
      <c r="F1191">
        <v>67</v>
      </c>
      <c r="G1191" t="s">
        <v>198</v>
      </c>
      <c r="H1191" t="s">
        <v>50</v>
      </c>
      <c r="K1191" t="s">
        <v>52</v>
      </c>
      <c r="L1191">
        <v>1</v>
      </c>
      <c r="M1191" t="s">
        <v>53</v>
      </c>
      <c r="N1191">
        <v>67</v>
      </c>
      <c r="O1191">
        <v>1</v>
      </c>
      <c r="P1191" t="s">
        <v>52</v>
      </c>
      <c r="Q1191">
        <v>0.5</v>
      </c>
      <c r="R1191">
        <v>0.87</v>
      </c>
      <c r="S1191">
        <v>228</v>
      </c>
      <c r="T1191" t="s">
        <v>284</v>
      </c>
      <c r="AI1191" t="s">
        <v>52</v>
      </c>
      <c r="AZ1191" t="s">
        <v>52</v>
      </c>
      <c r="BQ1191" t="s">
        <v>52</v>
      </c>
      <c r="CH1191" t="s">
        <v>52</v>
      </c>
    </row>
    <row r="1192" spans="1:86" x14ac:dyDescent="0.25">
      <c r="A1192" t="s">
        <v>47</v>
      </c>
      <c r="B1192">
        <v>8</v>
      </c>
      <c r="C1192" t="s">
        <v>197</v>
      </c>
      <c r="D1192">
        <v>107</v>
      </c>
      <c r="E1192" t="s">
        <v>94</v>
      </c>
      <c r="F1192">
        <v>26</v>
      </c>
      <c r="H1192" t="s">
        <v>50</v>
      </c>
      <c r="K1192" t="s">
        <v>51</v>
      </c>
      <c r="L1192">
        <v>1</v>
      </c>
      <c r="M1192" t="s">
        <v>53</v>
      </c>
      <c r="N1192">
        <v>102</v>
      </c>
      <c r="O1192">
        <v>1</v>
      </c>
      <c r="P1192" t="s">
        <v>52</v>
      </c>
      <c r="Q1192">
        <v>0</v>
      </c>
      <c r="R1192">
        <v>0.92</v>
      </c>
      <c r="S1192">
        <v>131.69999999999999</v>
      </c>
      <c r="T1192" t="s">
        <v>284</v>
      </c>
      <c r="U1192">
        <v>170</v>
      </c>
      <c r="V1192" t="s">
        <v>284</v>
      </c>
      <c r="W1192">
        <v>191</v>
      </c>
      <c r="X1192" t="s">
        <v>284</v>
      </c>
      <c r="Y1192">
        <v>207</v>
      </c>
      <c r="Z1192" t="s">
        <v>284</v>
      </c>
      <c r="AA1192">
        <v>186</v>
      </c>
      <c r="AB1192" t="s">
        <v>284</v>
      </c>
      <c r="AG1192">
        <v>182.33330000000001</v>
      </c>
      <c r="AH1192" t="s">
        <v>54</v>
      </c>
      <c r="AI1192" t="s">
        <v>52</v>
      </c>
      <c r="AZ1192" t="s">
        <v>52</v>
      </c>
      <c r="BQ1192" t="s">
        <v>52</v>
      </c>
      <c r="BR1192">
        <v>1.53</v>
      </c>
      <c r="BS1192" t="s">
        <v>285</v>
      </c>
      <c r="BT1192">
        <v>1.61</v>
      </c>
      <c r="BU1192" t="s">
        <v>285</v>
      </c>
      <c r="BV1192">
        <v>1.26</v>
      </c>
      <c r="BW1192" t="s">
        <v>285</v>
      </c>
      <c r="BX1192">
        <v>0.87</v>
      </c>
      <c r="BY1192" t="s">
        <v>285</v>
      </c>
      <c r="BZ1192">
        <v>1.04</v>
      </c>
      <c r="CA1192" t="s">
        <v>289</v>
      </c>
      <c r="CF1192">
        <v>1.28</v>
      </c>
      <c r="CG1192" t="s">
        <v>54</v>
      </c>
      <c r="CH1192" t="s">
        <v>52</v>
      </c>
    </row>
    <row r="1193" spans="1:86" x14ac:dyDescent="0.25">
      <c r="A1193" t="s">
        <v>47</v>
      </c>
      <c r="B1193">
        <v>8</v>
      </c>
      <c r="C1193" t="s">
        <v>197</v>
      </c>
      <c r="D1193">
        <v>107</v>
      </c>
      <c r="E1193" t="s">
        <v>94</v>
      </c>
      <c r="F1193">
        <v>26</v>
      </c>
      <c r="H1193" t="s">
        <v>50</v>
      </c>
      <c r="K1193" t="s">
        <v>52</v>
      </c>
      <c r="L1193">
        <v>1</v>
      </c>
      <c r="M1193" t="s">
        <v>53</v>
      </c>
      <c r="N1193">
        <v>102</v>
      </c>
      <c r="O1193">
        <v>1</v>
      </c>
      <c r="P1193" t="s">
        <v>52</v>
      </c>
      <c r="Q1193">
        <v>0</v>
      </c>
      <c r="R1193">
        <v>0.92</v>
      </c>
      <c r="S1193">
        <v>131.69999999999999</v>
      </c>
      <c r="T1193" t="s">
        <v>284</v>
      </c>
      <c r="U1193">
        <v>170</v>
      </c>
      <c r="V1193" t="s">
        <v>284</v>
      </c>
      <c r="W1193">
        <v>191</v>
      </c>
      <c r="X1193" t="s">
        <v>284</v>
      </c>
      <c r="Y1193">
        <v>207</v>
      </c>
      <c r="Z1193" t="s">
        <v>284</v>
      </c>
      <c r="AA1193">
        <v>186</v>
      </c>
      <c r="AB1193" t="s">
        <v>284</v>
      </c>
      <c r="AG1193">
        <v>182.33330000000001</v>
      </c>
      <c r="AH1193" t="s">
        <v>54</v>
      </c>
      <c r="AI1193" t="s">
        <v>52</v>
      </c>
      <c r="AZ1193" t="s">
        <v>52</v>
      </c>
      <c r="BQ1193" t="s">
        <v>52</v>
      </c>
      <c r="BR1193">
        <v>0.93</v>
      </c>
      <c r="BS1193" t="s">
        <v>285</v>
      </c>
      <c r="BT1193">
        <v>0.84</v>
      </c>
      <c r="BU1193" t="s">
        <v>284</v>
      </c>
      <c r="BV1193">
        <v>0.65</v>
      </c>
      <c r="BW1193" t="s">
        <v>284</v>
      </c>
      <c r="BX1193">
        <v>0.45</v>
      </c>
      <c r="BY1193" t="s">
        <v>284</v>
      </c>
      <c r="BZ1193">
        <v>0.52</v>
      </c>
      <c r="CA1193" t="s">
        <v>285</v>
      </c>
      <c r="CF1193">
        <v>0.67</v>
      </c>
      <c r="CG1193" t="s">
        <v>54</v>
      </c>
      <c r="CH1193" t="s">
        <v>52</v>
      </c>
    </row>
    <row r="1194" spans="1:86" x14ac:dyDescent="0.25">
      <c r="A1194" t="s">
        <v>47</v>
      </c>
      <c r="B1194">
        <v>8</v>
      </c>
      <c r="C1194" t="s">
        <v>197</v>
      </c>
      <c r="D1194">
        <v>107</v>
      </c>
      <c r="E1194" t="s">
        <v>83</v>
      </c>
      <c r="F1194">
        <v>158</v>
      </c>
      <c r="H1194" t="s">
        <v>50</v>
      </c>
      <c r="K1194" t="s">
        <v>51</v>
      </c>
      <c r="L1194">
        <v>1</v>
      </c>
      <c r="M1194" t="s">
        <v>53</v>
      </c>
      <c r="N1194">
        <v>158</v>
      </c>
      <c r="O1194">
        <v>2</v>
      </c>
      <c r="P1194" t="s">
        <v>52</v>
      </c>
      <c r="Q1194">
        <v>0.77</v>
      </c>
      <c r="R1194">
        <v>0.93</v>
      </c>
      <c r="S1194">
        <v>228</v>
      </c>
      <c r="T1194" t="s">
        <v>284</v>
      </c>
      <c r="U1194">
        <v>221</v>
      </c>
      <c r="V1194" t="s">
        <v>284</v>
      </c>
      <c r="W1194">
        <v>236</v>
      </c>
      <c r="X1194" t="s">
        <v>284</v>
      </c>
      <c r="Y1194">
        <v>244</v>
      </c>
      <c r="Z1194" t="s">
        <v>284</v>
      </c>
      <c r="AA1194">
        <v>252</v>
      </c>
      <c r="AB1194" t="s">
        <v>284</v>
      </c>
      <c r="AG1194">
        <v>236</v>
      </c>
      <c r="AH1194" t="s">
        <v>54</v>
      </c>
      <c r="AI1194" t="s">
        <v>52</v>
      </c>
      <c r="AX1194">
        <v>339</v>
      </c>
      <c r="AY1194" t="s">
        <v>285</v>
      </c>
      <c r="AZ1194" t="s">
        <v>287</v>
      </c>
      <c r="BQ1194" t="s">
        <v>52</v>
      </c>
      <c r="BR1194">
        <v>1.85</v>
      </c>
      <c r="BS1194" t="s">
        <v>284</v>
      </c>
      <c r="BT1194">
        <v>1.35</v>
      </c>
      <c r="BU1194" t="s">
        <v>284</v>
      </c>
      <c r="BV1194">
        <v>1.03</v>
      </c>
      <c r="BW1194" t="s">
        <v>288</v>
      </c>
      <c r="BX1194">
        <v>1.34</v>
      </c>
      <c r="BY1194" t="s">
        <v>289</v>
      </c>
      <c r="BZ1194">
        <v>1.22</v>
      </c>
      <c r="CA1194" t="s">
        <v>289</v>
      </c>
      <c r="CF1194">
        <v>1.3</v>
      </c>
      <c r="CG1194" t="s">
        <v>54</v>
      </c>
      <c r="CH1194" t="s">
        <v>52</v>
      </c>
    </row>
    <row r="1195" spans="1:86" x14ac:dyDescent="0.25">
      <c r="A1195" t="s">
        <v>47</v>
      </c>
      <c r="B1195">
        <v>8</v>
      </c>
      <c r="C1195" t="s">
        <v>197</v>
      </c>
      <c r="D1195">
        <v>107</v>
      </c>
      <c r="E1195" t="s">
        <v>83</v>
      </c>
      <c r="F1195">
        <v>158</v>
      </c>
      <c r="H1195" t="s">
        <v>50</v>
      </c>
      <c r="K1195" t="s">
        <v>52</v>
      </c>
      <c r="L1195">
        <v>1</v>
      </c>
      <c r="M1195" t="s">
        <v>53</v>
      </c>
      <c r="N1195">
        <v>158</v>
      </c>
      <c r="O1195">
        <v>2</v>
      </c>
      <c r="P1195" t="s">
        <v>52</v>
      </c>
      <c r="Q1195">
        <v>0.77</v>
      </c>
      <c r="R1195">
        <v>0.93</v>
      </c>
      <c r="S1195">
        <v>228</v>
      </c>
      <c r="T1195" t="s">
        <v>284</v>
      </c>
      <c r="U1195">
        <v>221</v>
      </c>
      <c r="V1195" t="s">
        <v>284</v>
      </c>
      <c r="W1195">
        <v>236</v>
      </c>
      <c r="X1195" t="s">
        <v>284</v>
      </c>
      <c r="Y1195">
        <v>244</v>
      </c>
      <c r="Z1195" t="s">
        <v>284</v>
      </c>
      <c r="AA1195">
        <v>252</v>
      </c>
      <c r="AB1195" t="s">
        <v>284</v>
      </c>
      <c r="AG1195">
        <v>236</v>
      </c>
      <c r="AH1195" t="s">
        <v>54</v>
      </c>
      <c r="AI1195" t="s">
        <v>52</v>
      </c>
      <c r="AX1195">
        <v>339</v>
      </c>
      <c r="AY1195" t="s">
        <v>285</v>
      </c>
      <c r="AZ1195" t="s">
        <v>287</v>
      </c>
      <c r="BQ1195" t="s">
        <v>52</v>
      </c>
      <c r="BR1195">
        <v>1.31</v>
      </c>
      <c r="BS1195" t="s">
        <v>285</v>
      </c>
      <c r="BT1195">
        <v>1.01</v>
      </c>
      <c r="BU1195" t="s">
        <v>284</v>
      </c>
      <c r="BV1195">
        <v>0.33</v>
      </c>
      <c r="BW1195" t="s">
        <v>288</v>
      </c>
      <c r="BX1195">
        <v>0.56999999999999995</v>
      </c>
      <c r="BY1195" t="s">
        <v>285</v>
      </c>
      <c r="BZ1195">
        <v>0.1</v>
      </c>
      <c r="CA1195" t="s">
        <v>289</v>
      </c>
      <c r="CF1195">
        <v>0.64</v>
      </c>
      <c r="CG1195" t="s">
        <v>54</v>
      </c>
      <c r="CH1195" t="s">
        <v>52</v>
      </c>
    </row>
    <row r="1196" spans="1:86" x14ac:dyDescent="0.25">
      <c r="A1196" t="s">
        <v>47</v>
      </c>
      <c r="B1196">
        <v>8</v>
      </c>
      <c r="C1196" t="s">
        <v>199</v>
      </c>
      <c r="D1196">
        <v>109</v>
      </c>
      <c r="E1196" t="s">
        <v>49</v>
      </c>
      <c r="F1196">
        <v>27</v>
      </c>
      <c r="H1196" t="s">
        <v>50</v>
      </c>
      <c r="K1196" t="s">
        <v>51</v>
      </c>
      <c r="L1196">
        <v>1</v>
      </c>
      <c r="M1196" t="s">
        <v>53</v>
      </c>
      <c r="N1196">
        <v>27</v>
      </c>
      <c r="O1196">
        <v>1</v>
      </c>
      <c r="P1196" t="s">
        <v>52</v>
      </c>
      <c r="Q1196">
        <v>0</v>
      </c>
      <c r="R1196">
        <v>0.75</v>
      </c>
      <c r="S1196">
        <v>231</v>
      </c>
      <c r="T1196" t="s">
        <v>284</v>
      </c>
      <c r="U1196">
        <v>208</v>
      </c>
      <c r="V1196" t="s">
        <v>284</v>
      </c>
      <c r="W1196">
        <v>224</v>
      </c>
      <c r="X1196" t="s">
        <v>284</v>
      </c>
      <c r="Y1196">
        <v>225</v>
      </c>
      <c r="Z1196" t="s">
        <v>285</v>
      </c>
      <c r="AA1196">
        <v>247</v>
      </c>
      <c r="AB1196" t="s">
        <v>285</v>
      </c>
      <c r="AC1196">
        <v>241</v>
      </c>
      <c r="AD1196" t="s">
        <v>285</v>
      </c>
      <c r="AE1196">
        <v>219</v>
      </c>
      <c r="AF1196" t="s">
        <v>285</v>
      </c>
      <c r="AG1196">
        <v>219</v>
      </c>
      <c r="AH1196" t="s">
        <v>286</v>
      </c>
      <c r="AI1196" t="s">
        <v>287</v>
      </c>
      <c r="AX1196">
        <v>263</v>
      </c>
      <c r="AY1196" t="s">
        <v>286</v>
      </c>
      <c r="AZ1196" t="s">
        <v>287</v>
      </c>
      <c r="BQ1196" t="s">
        <v>52</v>
      </c>
      <c r="BR1196">
        <v>3.7</v>
      </c>
      <c r="BS1196" t="s">
        <v>284</v>
      </c>
      <c r="BT1196">
        <v>3.4</v>
      </c>
      <c r="BU1196" t="s">
        <v>284</v>
      </c>
      <c r="BV1196">
        <v>4</v>
      </c>
      <c r="BW1196" t="s">
        <v>284</v>
      </c>
      <c r="BX1196">
        <v>4.3099999999999996</v>
      </c>
      <c r="BY1196" t="s">
        <v>284</v>
      </c>
      <c r="BZ1196">
        <v>3.99</v>
      </c>
      <c r="CA1196" t="s">
        <v>288</v>
      </c>
      <c r="CF1196">
        <v>3.9</v>
      </c>
      <c r="CG1196" t="s">
        <v>54</v>
      </c>
      <c r="CH1196" t="s">
        <v>52</v>
      </c>
    </row>
    <row r="1197" spans="1:86" x14ac:dyDescent="0.25">
      <c r="A1197" t="s">
        <v>47</v>
      </c>
      <c r="B1197">
        <v>8</v>
      </c>
      <c r="C1197" t="s">
        <v>199</v>
      </c>
      <c r="D1197">
        <v>109</v>
      </c>
      <c r="E1197" t="s">
        <v>58</v>
      </c>
      <c r="F1197">
        <v>102</v>
      </c>
      <c r="G1197" t="s">
        <v>200</v>
      </c>
      <c r="H1197" t="s">
        <v>50</v>
      </c>
      <c r="K1197" t="s">
        <v>51</v>
      </c>
      <c r="L1197">
        <v>1</v>
      </c>
      <c r="M1197" t="s">
        <v>53</v>
      </c>
      <c r="N1197">
        <v>102</v>
      </c>
      <c r="O1197">
        <v>1</v>
      </c>
      <c r="P1197" t="s">
        <v>52</v>
      </c>
      <c r="Q1197">
        <v>0</v>
      </c>
      <c r="R1197">
        <v>0.92</v>
      </c>
      <c r="S1197">
        <v>131.69999999999999</v>
      </c>
      <c r="T1197" t="s">
        <v>284</v>
      </c>
      <c r="U1197">
        <v>170</v>
      </c>
      <c r="V1197" t="s">
        <v>284</v>
      </c>
      <c r="W1197">
        <v>191</v>
      </c>
      <c r="X1197" t="s">
        <v>284</v>
      </c>
      <c r="AI1197" t="s">
        <v>52</v>
      </c>
      <c r="AZ1197" t="s">
        <v>52</v>
      </c>
      <c r="BQ1197" t="s">
        <v>52</v>
      </c>
      <c r="BR1197">
        <v>1.85</v>
      </c>
      <c r="BS1197" t="s">
        <v>284</v>
      </c>
      <c r="BT1197">
        <v>1.54</v>
      </c>
      <c r="BU1197" t="s">
        <v>284</v>
      </c>
      <c r="BV1197">
        <v>1.19</v>
      </c>
      <c r="BW1197" t="s">
        <v>285</v>
      </c>
      <c r="CH1197" t="s">
        <v>52</v>
      </c>
    </row>
    <row r="1198" spans="1:86" x14ac:dyDescent="0.25">
      <c r="A1198" t="s">
        <v>47</v>
      </c>
      <c r="B1198">
        <v>8</v>
      </c>
      <c r="C1198" t="s">
        <v>199</v>
      </c>
      <c r="D1198">
        <v>109</v>
      </c>
      <c r="E1198" t="s">
        <v>58</v>
      </c>
      <c r="F1198">
        <v>102</v>
      </c>
      <c r="G1198" t="s">
        <v>62</v>
      </c>
      <c r="H1198" t="s">
        <v>50</v>
      </c>
      <c r="K1198" t="s">
        <v>51</v>
      </c>
      <c r="L1198">
        <v>1</v>
      </c>
      <c r="M1198" t="s">
        <v>53</v>
      </c>
      <c r="N1198">
        <v>102</v>
      </c>
      <c r="O1198">
        <v>1</v>
      </c>
      <c r="P1198" t="s">
        <v>52</v>
      </c>
      <c r="Q1198">
        <v>0</v>
      </c>
      <c r="R1198">
        <v>0.92</v>
      </c>
      <c r="S1198">
        <v>131.69999999999999</v>
      </c>
      <c r="T1198" t="s">
        <v>284</v>
      </c>
      <c r="U1198">
        <v>170</v>
      </c>
      <c r="V1198" t="s">
        <v>284</v>
      </c>
      <c r="W1198">
        <v>191</v>
      </c>
      <c r="X1198" t="s">
        <v>284</v>
      </c>
      <c r="Y1198">
        <v>207</v>
      </c>
      <c r="Z1198" t="s">
        <v>284</v>
      </c>
      <c r="AA1198">
        <v>205</v>
      </c>
      <c r="AB1198" t="s">
        <v>285</v>
      </c>
      <c r="AG1198">
        <v>188.66669999999999</v>
      </c>
      <c r="AH1198" t="s">
        <v>54</v>
      </c>
      <c r="AI1198" t="s">
        <v>52</v>
      </c>
      <c r="AX1198">
        <v>271.60000000000002</v>
      </c>
      <c r="AY1198" t="s">
        <v>285</v>
      </c>
      <c r="AZ1198" t="s">
        <v>287</v>
      </c>
      <c r="BQ1198" t="s">
        <v>52</v>
      </c>
      <c r="BR1198">
        <v>1.85</v>
      </c>
      <c r="BS1198" t="s">
        <v>284</v>
      </c>
      <c r="BT1198">
        <v>1.48</v>
      </c>
      <c r="BU1198" t="s">
        <v>284</v>
      </c>
      <c r="BV1198">
        <v>0.53</v>
      </c>
      <c r="BW1198" t="s">
        <v>285</v>
      </c>
      <c r="BX1198">
        <v>0.76</v>
      </c>
      <c r="BY1198" t="s">
        <v>285</v>
      </c>
      <c r="BZ1198">
        <v>0.5</v>
      </c>
      <c r="CA1198" t="s">
        <v>288</v>
      </c>
      <c r="CF1198">
        <v>0.92</v>
      </c>
      <c r="CG1198" t="s">
        <v>54</v>
      </c>
      <c r="CH1198" t="s">
        <v>52</v>
      </c>
    </row>
    <row r="1199" spans="1:86" x14ac:dyDescent="0.25">
      <c r="A1199" t="s">
        <v>47</v>
      </c>
      <c r="B1199">
        <v>8</v>
      </c>
      <c r="C1199" t="s">
        <v>199</v>
      </c>
      <c r="D1199">
        <v>109</v>
      </c>
      <c r="E1199" t="s">
        <v>58</v>
      </c>
      <c r="F1199">
        <v>102</v>
      </c>
      <c r="G1199" t="s">
        <v>62</v>
      </c>
      <c r="H1199" t="s">
        <v>50</v>
      </c>
      <c r="K1199" t="s">
        <v>52</v>
      </c>
      <c r="L1199">
        <v>1</v>
      </c>
      <c r="M1199" t="s">
        <v>53</v>
      </c>
      <c r="N1199">
        <v>102</v>
      </c>
      <c r="O1199">
        <v>1</v>
      </c>
      <c r="P1199" t="s">
        <v>52</v>
      </c>
      <c r="Q1199">
        <v>0</v>
      </c>
      <c r="R1199">
        <v>0.92</v>
      </c>
      <c r="S1199">
        <v>131.69999999999999</v>
      </c>
      <c r="T1199" t="s">
        <v>284</v>
      </c>
      <c r="U1199">
        <v>170</v>
      </c>
      <c r="V1199" t="s">
        <v>284</v>
      </c>
      <c r="W1199">
        <v>191</v>
      </c>
      <c r="X1199" t="s">
        <v>284</v>
      </c>
      <c r="Y1199">
        <v>207</v>
      </c>
      <c r="Z1199" t="s">
        <v>284</v>
      </c>
      <c r="AA1199">
        <v>205</v>
      </c>
      <c r="AB1199" t="s">
        <v>285</v>
      </c>
      <c r="AG1199">
        <v>188.66669999999999</v>
      </c>
      <c r="AH1199" t="s">
        <v>54</v>
      </c>
      <c r="AI1199" t="s">
        <v>52</v>
      </c>
      <c r="AX1199">
        <v>271.60000000000002</v>
      </c>
      <c r="AY1199" t="s">
        <v>285</v>
      </c>
      <c r="AZ1199" t="s">
        <v>287</v>
      </c>
      <c r="BQ1199" t="s">
        <v>52</v>
      </c>
      <c r="BR1199">
        <v>0.83</v>
      </c>
      <c r="BS1199" t="s">
        <v>285</v>
      </c>
      <c r="BT1199">
        <v>0.88</v>
      </c>
      <c r="BU1199" t="s">
        <v>284</v>
      </c>
      <c r="BV1199">
        <v>0.26</v>
      </c>
      <c r="BW1199" t="s">
        <v>285</v>
      </c>
      <c r="BX1199">
        <v>0.47</v>
      </c>
      <c r="BY1199" t="s">
        <v>285</v>
      </c>
      <c r="BZ1199">
        <v>0.4</v>
      </c>
      <c r="CA1199" t="s">
        <v>284</v>
      </c>
      <c r="CF1199">
        <v>0.56999999999999995</v>
      </c>
      <c r="CG1199" t="s">
        <v>54</v>
      </c>
      <c r="CH1199" t="s">
        <v>52</v>
      </c>
    </row>
    <row r="1200" spans="1:86" x14ac:dyDescent="0.25">
      <c r="A1200" t="s">
        <v>47</v>
      </c>
      <c r="B1200">
        <v>8</v>
      </c>
      <c r="C1200" t="s">
        <v>199</v>
      </c>
      <c r="D1200">
        <v>109</v>
      </c>
      <c r="E1200" t="s">
        <v>58</v>
      </c>
      <c r="F1200">
        <v>102</v>
      </c>
      <c r="G1200" t="s">
        <v>64</v>
      </c>
      <c r="H1200" t="s">
        <v>50</v>
      </c>
      <c r="K1200" t="s">
        <v>51</v>
      </c>
      <c r="L1200">
        <v>1</v>
      </c>
      <c r="M1200" t="s">
        <v>53</v>
      </c>
      <c r="N1200">
        <v>102</v>
      </c>
      <c r="O1200">
        <v>1</v>
      </c>
      <c r="P1200" t="s">
        <v>52</v>
      </c>
      <c r="Q1200">
        <v>0</v>
      </c>
      <c r="R1200">
        <v>0.92</v>
      </c>
      <c r="S1200">
        <v>131.69999999999999</v>
      </c>
      <c r="T1200" t="s">
        <v>284</v>
      </c>
      <c r="U1200">
        <v>170</v>
      </c>
      <c r="V1200" t="s">
        <v>284</v>
      </c>
      <c r="W1200">
        <v>191</v>
      </c>
      <c r="X1200" t="s">
        <v>284</v>
      </c>
      <c r="Y1200">
        <v>207</v>
      </c>
      <c r="Z1200" t="s">
        <v>284</v>
      </c>
      <c r="AA1200">
        <v>205</v>
      </c>
      <c r="AB1200" t="s">
        <v>285</v>
      </c>
      <c r="AG1200">
        <v>188.66669999999999</v>
      </c>
      <c r="AH1200" t="s">
        <v>54</v>
      </c>
      <c r="AI1200" t="s">
        <v>52</v>
      </c>
      <c r="AZ1200" t="s">
        <v>52</v>
      </c>
      <c r="BQ1200" t="s">
        <v>52</v>
      </c>
      <c r="BR1200">
        <v>1.85</v>
      </c>
      <c r="BS1200" t="s">
        <v>284</v>
      </c>
      <c r="BT1200">
        <v>1.54</v>
      </c>
      <c r="BU1200" t="s">
        <v>284</v>
      </c>
      <c r="BV1200">
        <v>1.19</v>
      </c>
      <c r="BW1200" t="s">
        <v>285</v>
      </c>
      <c r="CH1200" t="s">
        <v>52</v>
      </c>
    </row>
    <row r="1201" spans="1:86" x14ac:dyDescent="0.25">
      <c r="A1201" t="s">
        <v>47</v>
      </c>
      <c r="B1201">
        <v>8</v>
      </c>
      <c r="C1201" t="s">
        <v>199</v>
      </c>
      <c r="D1201">
        <v>109</v>
      </c>
      <c r="E1201" t="s">
        <v>58</v>
      </c>
      <c r="F1201">
        <v>102</v>
      </c>
      <c r="G1201" t="s">
        <v>127</v>
      </c>
      <c r="H1201" t="s">
        <v>50</v>
      </c>
      <c r="K1201" t="s">
        <v>51</v>
      </c>
      <c r="L1201">
        <v>1</v>
      </c>
      <c r="M1201" t="s">
        <v>53</v>
      </c>
      <c r="N1201">
        <v>102</v>
      </c>
      <c r="O1201">
        <v>1</v>
      </c>
      <c r="P1201" t="s">
        <v>52</v>
      </c>
      <c r="Q1201">
        <v>0</v>
      </c>
      <c r="R1201">
        <v>0.92</v>
      </c>
      <c r="S1201">
        <v>131.69999999999999</v>
      </c>
      <c r="T1201" t="s">
        <v>284</v>
      </c>
      <c r="U1201">
        <v>170</v>
      </c>
      <c r="V1201" t="s">
        <v>284</v>
      </c>
      <c r="W1201">
        <v>191</v>
      </c>
      <c r="X1201" t="s">
        <v>284</v>
      </c>
      <c r="Y1201">
        <v>207</v>
      </c>
      <c r="Z1201" t="s">
        <v>284</v>
      </c>
      <c r="AA1201">
        <v>205</v>
      </c>
      <c r="AB1201" t="s">
        <v>285</v>
      </c>
      <c r="AG1201">
        <v>188.66669999999999</v>
      </c>
      <c r="AH1201" t="s">
        <v>54</v>
      </c>
      <c r="AI1201" t="s">
        <v>52</v>
      </c>
      <c r="AZ1201" t="s">
        <v>52</v>
      </c>
      <c r="BQ1201" t="s">
        <v>52</v>
      </c>
      <c r="CH1201" t="s">
        <v>52</v>
      </c>
    </row>
    <row r="1202" spans="1:86" x14ac:dyDescent="0.25">
      <c r="A1202" t="s">
        <v>47</v>
      </c>
      <c r="B1202">
        <v>8</v>
      </c>
      <c r="C1202" t="s">
        <v>199</v>
      </c>
      <c r="D1202">
        <v>109</v>
      </c>
      <c r="E1202" t="s">
        <v>58</v>
      </c>
      <c r="F1202">
        <v>102</v>
      </c>
      <c r="G1202" t="s">
        <v>201</v>
      </c>
      <c r="H1202" t="s">
        <v>50</v>
      </c>
      <c r="K1202" t="s">
        <v>51</v>
      </c>
      <c r="L1202">
        <v>1</v>
      </c>
      <c r="M1202" t="s">
        <v>53</v>
      </c>
      <c r="N1202">
        <v>102</v>
      </c>
      <c r="O1202">
        <v>1</v>
      </c>
      <c r="P1202" t="s">
        <v>52</v>
      </c>
      <c r="Q1202">
        <v>0</v>
      </c>
      <c r="R1202">
        <v>0.92</v>
      </c>
      <c r="S1202">
        <v>131.69999999999999</v>
      </c>
      <c r="T1202" t="s">
        <v>284</v>
      </c>
      <c r="U1202">
        <v>170</v>
      </c>
      <c r="V1202" t="s">
        <v>284</v>
      </c>
      <c r="AI1202" t="s">
        <v>52</v>
      </c>
      <c r="AZ1202" t="s">
        <v>52</v>
      </c>
      <c r="BQ1202" t="s">
        <v>52</v>
      </c>
      <c r="CH1202" t="s">
        <v>52</v>
      </c>
    </row>
    <row r="1203" spans="1:86" x14ac:dyDescent="0.25">
      <c r="A1203" t="s">
        <v>47</v>
      </c>
      <c r="B1203">
        <v>8</v>
      </c>
      <c r="C1203" t="s">
        <v>199</v>
      </c>
      <c r="D1203">
        <v>109</v>
      </c>
      <c r="E1203" t="s">
        <v>58</v>
      </c>
      <c r="F1203">
        <v>102</v>
      </c>
      <c r="G1203" t="s">
        <v>119</v>
      </c>
      <c r="H1203" t="s">
        <v>50</v>
      </c>
      <c r="K1203" t="s">
        <v>51</v>
      </c>
      <c r="L1203">
        <v>1</v>
      </c>
      <c r="M1203" t="s">
        <v>53</v>
      </c>
      <c r="N1203">
        <v>102</v>
      </c>
      <c r="O1203">
        <v>1</v>
      </c>
      <c r="P1203" t="s">
        <v>52</v>
      </c>
      <c r="Q1203">
        <v>0</v>
      </c>
      <c r="R1203">
        <v>0.92</v>
      </c>
      <c r="S1203">
        <v>131.69999999999999</v>
      </c>
      <c r="T1203" t="s">
        <v>284</v>
      </c>
      <c r="U1203">
        <v>170</v>
      </c>
      <c r="V1203" t="s">
        <v>284</v>
      </c>
      <c r="AI1203" t="s">
        <v>52</v>
      </c>
      <c r="AZ1203" t="s">
        <v>52</v>
      </c>
      <c r="BQ1203" t="s">
        <v>52</v>
      </c>
      <c r="CH1203" t="s">
        <v>52</v>
      </c>
    </row>
    <row r="1204" spans="1:86" x14ac:dyDescent="0.25">
      <c r="A1204" t="s">
        <v>47</v>
      </c>
      <c r="B1204">
        <v>8</v>
      </c>
      <c r="C1204" t="s">
        <v>199</v>
      </c>
      <c r="D1204">
        <v>109</v>
      </c>
      <c r="E1204" t="s">
        <v>70</v>
      </c>
      <c r="F1204">
        <v>296</v>
      </c>
      <c r="G1204" t="s">
        <v>71</v>
      </c>
      <c r="H1204" t="s">
        <v>50</v>
      </c>
      <c r="K1204" t="s">
        <v>51</v>
      </c>
      <c r="L1204">
        <v>1</v>
      </c>
      <c r="M1204" t="s">
        <v>53</v>
      </c>
      <c r="N1204">
        <v>296</v>
      </c>
      <c r="O1204">
        <v>1</v>
      </c>
      <c r="P1204" t="s">
        <v>52</v>
      </c>
      <c r="Q1204">
        <v>0</v>
      </c>
      <c r="R1204">
        <v>0.75</v>
      </c>
      <c r="S1204">
        <v>228</v>
      </c>
      <c r="T1204" t="s">
        <v>284</v>
      </c>
      <c r="U1204">
        <v>190</v>
      </c>
      <c r="V1204" t="s">
        <v>285</v>
      </c>
      <c r="W1204">
        <v>194</v>
      </c>
      <c r="X1204" t="s">
        <v>285</v>
      </c>
      <c r="Y1204">
        <v>225</v>
      </c>
      <c r="Z1204" t="s">
        <v>285</v>
      </c>
      <c r="AA1204">
        <v>247</v>
      </c>
      <c r="AB1204" t="s">
        <v>285</v>
      </c>
      <c r="AC1204">
        <v>241</v>
      </c>
      <c r="AD1204" t="s">
        <v>285</v>
      </c>
      <c r="AE1204">
        <v>219</v>
      </c>
      <c r="AF1204" t="s">
        <v>285</v>
      </c>
      <c r="AG1204">
        <v>219</v>
      </c>
      <c r="AH1204" t="s">
        <v>286</v>
      </c>
      <c r="AI1204" t="s">
        <v>287</v>
      </c>
      <c r="AX1204">
        <v>263</v>
      </c>
      <c r="AY1204" t="s">
        <v>286</v>
      </c>
      <c r="AZ1204" t="s">
        <v>287</v>
      </c>
      <c r="BQ1204" t="s">
        <v>52</v>
      </c>
      <c r="BR1204">
        <v>1.85</v>
      </c>
      <c r="BS1204" t="s">
        <v>284</v>
      </c>
      <c r="BT1204">
        <v>1.48</v>
      </c>
      <c r="BU1204" t="s">
        <v>284</v>
      </c>
      <c r="BV1204">
        <v>0.79</v>
      </c>
      <c r="BW1204" t="s">
        <v>285</v>
      </c>
      <c r="BX1204">
        <v>1.53</v>
      </c>
      <c r="BY1204" t="s">
        <v>285</v>
      </c>
      <c r="BZ1204">
        <v>0.96</v>
      </c>
      <c r="CA1204" t="s">
        <v>288</v>
      </c>
      <c r="CF1204">
        <v>1.32</v>
      </c>
      <c r="CG1204" t="s">
        <v>54</v>
      </c>
      <c r="CH1204" t="s">
        <v>52</v>
      </c>
    </row>
    <row r="1205" spans="1:86" x14ac:dyDescent="0.25">
      <c r="A1205" t="s">
        <v>47</v>
      </c>
      <c r="B1205">
        <v>8</v>
      </c>
      <c r="C1205" t="s">
        <v>199</v>
      </c>
      <c r="D1205">
        <v>109</v>
      </c>
      <c r="E1205" t="s">
        <v>70</v>
      </c>
      <c r="F1205">
        <v>296</v>
      </c>
      <c r="G1205" t="s">
        <v>72</v>
      </c>
      <c r="H1205" t="s">
        <v>50</v>
      </c>
      <c r="K1205" t="s">
        <v>51</v>
      </c>
      <c r="L1205">
        <v>1</v>
      </c>
      <c r="M1205" t="s">
        <v>53</v>
      </c>
      <c r="N1205">
        <v>296</v>
      </c>
      <c r="O1205">
        <v>1</v>
      </c>
      <c r="P1205" t="s">
        <v>52</v>
      </c>
      <c r="Q1205">
        <v>0.5</v>
      </c>
      <c r="R1205">
        <v>0.75</v>
      </c>
      <c r="S1205">
        <v>228</v>
      </c>
      <c r="T1205" t="s">
        <v>284</v>
      </c>
      <c r="U1205">
        <v>221</v>
      </c>
      <c r="V1205" t="s">
        <v>284</v>
      </c>
      <c r="W1205">
        <v>236</v>
      </c>
      <c r="X1205" t="s">
        <v>284</v>
      </c>
      <c r="Y1205">
        <v>244</v>
      </c>
      <c r="Z1205" t="s">
        <v>284</v>
      </c>
      <c r="AA1205">
        <v>215</v>
      </c>
      <c r="AB1205" t="s">
        <v>285</v>
      </c>
      <c r="AG1205">
        <v>228.33330000000001</v>
      </c>
      <c r="AH1205" t="s">
        <v>54</v>
      </c>
      <c r="AI1205" t="s">
        <v>52</v>
      </c>
      <c r="AZ1205" t="s">
        <v>52</v>
      </c>
      <c r="BQ1205" t="s">
        <v>52</v>
      </c>
      <c r="BR1205">
        <v>1.85</v>
      </c>
      <c r="BS1205" t="s">
        <v>284</v>
      </c>
      <c r="BT1205">
        <v>1.53</v>
      </c>
      <c r="BU1205" t="s">
        <v>284</v>
      </c>
      <c r="BV1205">
        <v>1.46</v>
      </c>
      <c r="BW1205" t="s">
        <v>284</v>
      </c>
      <c r="BX1205">
        <v>1.17</v>
      </c>
      <c r="BY1205" t="s">
        <v>284</v>
      </c>
      <c r="BZ1205">
        <v>1.17</v>
      </c>
      <c r="CA1205" t="s">
        <v>284</v>
      </c>
      <c r="CF1205">
        <v>1.39</v>
      </c>
      <c r="CG1205" t="s">
        <v>54</v>
      </c>
      <c r="CH1205" t="s">
        <v>52</v>
      </c>
    </row>
    <row r="1206" spans="1:86" x14ac:dyDescent="0.25">
      <c r="A1206" t="s">
        <v>47</v>
      </c>
      <c r="B1206">
        <v>8</v>
      </c>
      <c r="C1206" t="s">
        <v>199</v>
      </c>
      <c r="D1206">
        <v>109</v>
      </c>
      <c r="E1206" t="s">
        <v>70</v>
      </c>
      <c r="F1206">
        <v>296</v>
      </c>
      <c r="G1206" t="s">
        <v>74</v>
      </c>
      <c r="H1206" t="s">
        <v>50</v>
      </c>
      <c r="K1206" t="s">
        <v>51</v>
      </c>
      <c r="L1206">
        <v>1</v>
      </c>
      <c r="M1206" t="s">
        <v>53</v>
      </c>
      <c r="N1206">
        <v>102</v>
      </c>
      <c r="O1206">
        <v>1</v>
      </c>
      <c r="P1206" t="s">
        <v>52</v>
      </c>
      <c r="Q1206">
        <v>0</v>
      </c>
      <c r="R1206">
        <v>0.75</v>
      </c>
      <c r="S1206">
        <v>135</v>
      </c>
      <c r="T1206" t="s">
        <v>284</v>
      </c>
      <c r="U1206">
        <v>132</v>
      </c>
      <c r="V1206" t="s">
        <v>284</v>
      </c>
      <c r="W1206">
        <v>147</v>
      </c>
      <c r="X1206" t="s">
        <v>284</v>
      </c>
      <c r="Y1206">
        <v>170</v>
      </c>
      <c r="Z1206" t="s">
        <v>284</v>
      </c>
      <c r="AA1206">
        <v>205</v>
      </c>
      <c r="AB1206" t="s">
        <v>285</v>
      </c>
      <c r="AG1206">
        <v>150.66669999999999</v>
      </c>
      <c r="AH1206" t="s">
        <v>54</v>
      </c>
      <c r="AI1206" t="s">
        <v>52</v>
      </c>
      <c r="AZ1206" t="s">
        <v>52</v>
      </c>
      <c r="BQ1206" t="s">
        <v>52</v>
      </c>
      <c r="BR1206">
        <v>1.85</v>
      </c>
      <c r="BS1206" t="s">
        <v>284</v>
      </c>
      <c r="BT1206">
        <v>1.54</v>
      </c>
      <c r="BU1206" t="s">
        <v>284</v>
      </c>
      <c r="BV1206">
        <v>1.01</v>
      </c>
      <c r="BW1206" t="s">
        <v>285</v>
      </c>
      <c r="BX1206">
        <v>1.01</v>
      </c>
      <c r="BY1206" t="s">
        <v>285</v>
      </c>
      <c r="BZ1206">
        <v>0.62</v>
      </c>
      <c r="CA1206" t="s">
        <v>289</v>
      </c>
      <c r="CF1206">
        <v>1.19</v>
      </c>
      <c r="CG1206" t="s">
        <v>54</v>
      </c>
      <c r="CH1206" t="s">
        <v>52</v>
      </c>
    </row>
    <row r="1207" spans="1:86" x14ac:dyDescent="0.25">
      <c r="A1207" t="s">
        <v>47</v>
      </c>
      <c r="B1207">
        <v>8</v>
      </c>
      <c r="C1207" t="s">
        <v>199</v>
      </c>
      <c r="D1207">
        <v>109</v>
      </c>
      <c r="E1207" t="s">
        <v>70</v>
      </c>
      <c r="F1207">
        <v>296</v>
      </c>
      <c r="G1207" t="s">
        <v>74</v>
      </c>
      <c r="H1207" t="s">
        <v>50</v>
      </c>
      <c r="K1207" t="s">
        <v>52</v>
      </c>
      <c r="L1207">
        <v>1</v>
      </c>
      <c r="M1207" t="s">
        <v>53</v>
      </c>
      <c r="N1207">
        <v>102</v>
      </c>
      <c r="O1207">
        <v>1</v>
      </c>
      <c r="P1207" t="s">
        <v>52</v>
      </c>
      <c r="Q1207">
        <v>0</v>
      </c>
      <c r="R1207">
        <v>0.75</v>
      </c>
      <c r="S1207">
        <v>135</v>
      </c>
      <c r="T1207" t="s">
        <v>284</v>
      </c>
      <c r="U1207">
        <v>132</v>
      </c>
      <c r="V1207" t="s">
        <v>284</v>
      </c>
      <c r="W1207">
        <v>147</v>
      </c>
      <c r="X1207" t="s">
        <v>284</v>
      </c>
      <c r="Y1207">
        <v>170</v>
      </c>
      <c r="Z1207" t="s">
        <v>284</v>
      </c>
      <c r="AA1207">
        <v>205</v>
      </c>
      <c r="AB1207" t="s">
        <v>285</v>
      </c>
      <c r="AG1207">
        <v>150.66669999999999</v>
      </c>
      <c r="AH1207" t="s">
        <v>54</v>
      </c>
      <c r="AI1207" t="s">
        <v>52</v>
      </c>
      <c r="AZ1207" t="s">
        <v>52</v>
      </c>
      <c r="BQ1207" t="s">
        <v>52</v>
      </c>
      <c r="BR1207">
        <v>0.65</v>
      </c>
      <c r="BS1207" t="s">
        <v>284</v>
      </c>
      <c r="BT1207">
        <v>0.54</v>
      </c>
      <c r="BU1207" t="s">
        <v>284</v>
      </c>
      <c r="BV1207">
        <v>0.11</v>
      </c>
      <c r="BW1207" t="s">
        <v>284</v>
      </c>
      <c r="BX1207">
        <v>0.25</v>
      </c>
      <c r="BY1207" t="s">
        <v>285</v>
      </c>
      <c r="BZ1207">
        <v>0.22</v>
      </c>
      <c r="CA1207" t="s">
        <v>289</v>
      </c>
      <c r="CF1207">
        <v>0.34</v>
      </c>
      <c r="CG1207" t="s">
        <v>54</v>
      </c>
      <c r="CH1207" t="s">
        <v>52</v>
      </c>
    </row>
    <row r="1208" spans="1:86" x14ac:dyDescent="0.25">
      <c r="A1208" t="s">
        <v>47</v>
      </c>
      <c r="B1208">
        <v>8</v>
      </c>
      <c r="C1208" t="s">
        <v>199</v>
      </c>
      <c r="D1208">
        <v>109</v>
      </c>
      <c r="E1208" t="s">
        <v>70</v>
      </c>
      <c r="F1208">
        <v>296</v>
      </c>
      <c r="G1208" t="s">
        <v>91</v>
      </c>
      <c r="H1208" t="s">
        <v>50</v>
      </c>
      <c r="K1208" t="s">
        <v>51</v>
      </c>
      <c r="L1208">
        <v>1</v>
      </c>
      <c r="M1208" t="s">
        <v>53</v>
      </c>
      <c r="N1208">
        <v>102</v>
      </c>
      <c r="O1208">
        <v>1</v>
      </c>
      <c r="P1208" t="s">
        <v>52</v>
      </c>
      <c r="Q1208">
        <v>0.5</v>
      </c>
      <c r="R1208">
        <v>0.75</v>
      </c>
      <c r="S1208">
        <v>228</v>
      </c>
      <c r="T1208" t="s">
        <v>284</v>
      </c>
      <c r="U1208">
        <v>190</v>
      </c>
      <c r="V1208" t="s">
        <v>285</v>
      </c>
      <c r="W1208">
        <v>236</v>
      </c>
      <c r="X1208" t="s">
        <v>284</v>
      </c>
      <c r="Y1208">
        <v>244</v>
      </c>
      <c r="Z1208" t="s">
        <v>284</v>
      </c>
      <c r="AA1208">
        <v>215</v>
      </c>
      <c r="AB1208" t="s">
        <v>285</v>
      </c>
      <c r="AG1208">
        <v>226.33330000000001</v>
      </c>
      <c r="AH1208" t="s">
        <v>54</v>
      </c>
      <c r="AI1208" t="s">
        <v>52</v>
      </c>
      <c r="AZ1208" t="s">
        <v>52</v>
      </c>
      <c r="BQ1208" t="s">
        <v>52</v>
      </c>
      <c r="BR1208">
        <v>1.85</v>
      </c>
      <c r="BS1208" t="s">
        <v>284</v>
      </c>
      <c r="BT1208">
        <v>1.54</v>
      </c>
      <c r="BU1208" t="s">
        <v>284</v>
      </c>
      <c r="BV1208">
        <v>1.46</v>
      </c>
      <c r="BW1208" t="s">
        <v>284</v>
      </c>
      <c r="BX1208">
        <v>1.17</v>
      </c>
      <c r="BY1208" t="s">
        <v>284</v>
      </c>
      <c r="BZ1208">
        <v>1.17</v>
      </c>
      <c r="CA1208" t="s">
        <v>284</v>
      </c>
      <c r="CF1208">
        <v>1.39</v>
      </c>
      <c r="CG1208" t="s">
        <v>54</v>
      </c>
      <c r="CH1208" t="s">
        <v>52</v>
      </c>
    </row>
    <row r="1209" spans="1:86" x14ac:dyDescent="0.25">
      <c r="A1209" t="s">
        <v>47</v>
      </c>
      <c r="B1209">
        <v>8</v>
      </c>
      <c r="C1209" t="s">
        <v>199</v>
      </c>
      <c r="D1209">
        <v>109</v>
      </c>
      <c r="E1209" t="s">
        <v>70</v>
      </c>
      <c r="F1209">
        <v>296</v>
      </c>
      <c r="G1209" t="s">
        <v>92</v>
      </c>
      <c r="H1209" t="s">
        <v>50</v>
      </c>
      <c r="K1209" t="s">
        <v>51</v>
      </c>
      <c r="L1209">
        <v>1</v>
      </c>
      <c r="M1209" t="s">
        <v>53</v>
      </c>
      <c r="N1209">
        <v>102</v>
      </c>
      <c r="O1209">
        <v>1</v>
      </c>
      <c r="P1209" t="s">
        <v>52</v>
      </c>
      <c r="Q1209">
        <v>0.5</v>
      </c>
      <c r="R1209">
        <v>0.75</v>
      </c>
      <c r="S1209">
        <v>228</v>
      </c>
      <c r="T1209" t="s">
        <v>284</v>
      </c>
      <c r="U1209">
        <v>189</v>
      </c>
      <c r="V1209" t="s">
        <v>285</v>
      </c>
      <c r="W1209">
        <v>199</v>
      </c>
      <c r="X1209" t="s">
        <v>285</v>
      </c>
      <c r="Y1209">
        <v>206</v>
      </c>
      <c r="Z1209" t="s">
        <v>285</v>
      </c>
      <c r="AA1209">
        <v>128</v>
      </c>
      <c r="AB1209" t="s">
        <v>285</v>
      </c>
      <c r="AG1209">
        <v>198</v>
      </c>
      <c r="AH1209" t="s">
        <v>54</v>
      </c>
      <c r="AI1209" t="s">
        <v>52</v>
      </c>
      <c r="AZ1209" t="s">
        <v>52</v>
      </c>
      <c r="BQ1209" t="s">
        <v>52</v>
      </c>
      <c r="BR1209">
        <v>1.85</v>
      </c>
      <c r="BS1209" t="s">
        <v>284</v>
      </c>
      <c r="BT1209">
        <v>1.54</v>
      </c>
      <c r="BU1209" t="s">
        <v>284</v>
      </c>
      <c r="BV1209">
        <v>1.54</v>
      </c>
      <c r="BW1209" t="s">
        <v>284</v>
      </c>
      <c r="BX1209">
        <v>1.54</v>
      </c>
      <c r="BY1209" t="s">
        <v>284</v>
      </c>
      <c r="BZ1209">
        <v>1.54</v>
      </c>
      <c r="CA1209" t="s">
        <v>285</v>
      </c>
      <c r="CF1209">
        <v>1.54</v>
      </c>
      <c r="CG1209" t="s">
        <v>54</v>
      </c>
      <c r="CH1209" t="s">
        <v>52</v>
      </c>
    </row>
    <row r="1210" spans="1:86" x14ac:dyDescent="0.25">
      <c r="A1210" t="s">
        <v>47</v>
      </c>
      <c r="B1210">
        <v>8</v>
      </c>
      <c r="C1210" t="s">
        <v>199</v>
      </c>
      <c r="D1210">
        <v>109</v>
      </c>
      <c r="E1210" t="s">
        <v>75</v>
      </c>
      <c r="F1210">
        <v>16</v>
      </c>
      <c r="G1210" t="s">
        <v>76</v>
      </c>
      <c r="H1210" t="s">
        <v>50</v>
      </c>
      <c r="K1210" t="s">
        <v>51</v>
      </c>
      <c r="L1210">
        <v>1</v>
      </c>
      <c r="M1210" t="s">
        <v>53</v>
      </c>
      <c r="N1210">
        <v>16</v>
      </c>
      <c r="O1210">
        <v>2</v>
      </c>
      <c r="P1210" t="s">
        <v>52</v>
      </c>
      <c r="Q1210">
        <v>0.5</v>
      </c>
      <c r="R1210">
        <v>0.75</v>
      </c>
      <c r="S1210">
        <v>83.35</v>
      </c>
      <c r="T1210" t="s">
        <v>285</v>
      </c>
      <c r="U1210">
        <v>96.14</v>
      </c>
      <c r="V1210" t="s">
        <v>284</v>
      </c>
      <c r="W1210">
        <v>103.37</v>
      </c>
      <c r="X1210" t="s">
        <v>284</v>
      </c>
      <c r="Y1210">
        <v>106.14</v>
      </c>
      <c r="Z1210" t="s">
        <v>284</v>
      </c>
      <c r="AA1210">
        <v>128</v>
      </c>
      <c r="AB1210" t="s">
        <v>285</v>
      </c>
      <c r="AG1210">
        <v>101.88330000000001</v>
      </c>
      <c r="AH1210" t="s">
        <v>54</v>
      </c>
      <c r="AI1210" t="s">
        <v>52</v>
      </c>
      <c r="AX1210">
        <v>146.69999999999999</v>
      </c>
      <c r="AY1210" t="s">
        <v>285</v>
      </c>
      <c r="AZ1210" t="s">
        <v>287</v>
      </c>
      <c r="BQ1210" t="s">
        <v>52</v>
      </c>
      <c r="BR1210">
        <v>1.85</v>
      </c>
      <c r="BS1210" t="s">
        <v>284</v>
      </c>
      <c r="BT1210">
        <v>1.48</v>
      </c>
      <c r="BU1210" t="s">
        <v>284</v>
      </c>
      <c r="BV1210">
        <v>1.1499999999999999</v>
      </c>
      <c r="BW1210" t="s">
        <v>284</v>
      </c>
      <c r="BX1210">
        <v>2.5299999999999998</v>
      </c>
      <c r="BY1210" t="s">
        <v>284</v>
      </c>
      <c r="BZ1210">
        <v>2.96</v>
      </c>
      <c r="CA1210" t="s">
        <v>289</v>
      </c>
      <c r="CF1210">
        <v>1.95</v>
      </c>
      <c r="CG1210" t="s">
        <v>54</v>
      </c>
      <c r="CH1210" t="s">
        <v>52</v>
      </c>
    </row>
    <row r="1211" spans="1:86" x14ac:dyDescent="0.25">
      <c r="A1211" t="s">
        <v>47</v>
      </c>
      <c r="B1211">
        <v>8</v>
      </c>
      <c r="C1211" t="s">
        <v>199</v>
      </c>
      <c r="D1211">
        <v>109</v>
      </c>
      <c r="E1211" t="s">
        <v>93</v>
      </c>
      <c r="F1211">
        <v>94</v>
      </c>
      <c r="H1211" t="s">
        <v>50</v>
      </c>
      <c r="K1211" t="s">
        <v>51</v>
      </c>
      <c r="L1211">
        <v>1</v>
      </c>
      <c r="M1211" t="s">
        <v>53</v>
      </c>
      <c r="N1211">
        <v>94</v>
      </c>
      <c r="O1211">
        <v>2</v>
      </c>
      <c r="P1211" t="s">
        <v>52</v>
      </c>
      <c r="Q1211">
        <v>0.77</v>
      </c>
      <c r="R1211">
        <v>0.93</v>
      </c>
      <c r="S1211">
        <v>205</v>
      </c>
      <c r="T1211" t="s">
        <v>284</v>
      </c>
      <c r="U1211">
        <v>175</v>
      </c>
      <c r="V1211" t="s">
        <v>284</v>
      </c>
      <c r="W1211">
        <v>188</v>
      </c>
      <c r="X1211" t="s">
        <v>284</v>
      </c>
      <c r="Y1211">
        <v>202.32</v>
      </c>
      <c r="Z1211" t="s">
        <v>284</v>
      </c>
      <c r="AA1211">
        <v>209.16</v>
      </c>
      <c r="AB1211" t="s">
        <v>284</v>
      </c>
      <c r="AG1211">
        <v>198.44</v>
      </c>
      <c r="AH1211" t="s">
        <v>54</v>
      </c>
      <c r="AI1211" t="s">
        <v>52</v>
      </c>
      <c r="AZ1211" t="s">
        <v>52</v>
      </c>
      <c r="BQ1211" t="s">
        <v>52</v>
      </c>
      <c r="CH1211" t="s">
        <v>52</v>
      </c>
    </row>
    <row r="1212" spans="1:86" x14ac:dyDescent="0.25">
      <c r="A1212" t="s">
        <v>47</v>
      </c>
      <c r="B1212">
        <v>8</v>
      </c>
      <c r="C1212" t="s">
        <v>199</v>
      </c>
      <c r="D1212">
        <v>109</v>
      </c>
      <c r="E1212" t="s">
        <v>79</v>
      </c>
      <c r="F1212">
        <v>50</v>
      </c>
      <c r="G1212" t="s">
        <v>81</v>
      </c>
      <c r="H1212" t="s">
        <v>50</v>
      </c>
      <c r="K1212" t="s">
        <v>51</v>
      </c>
      <c r="L1212">
        <v>1</v>
      </c>
      <c r="M1212" t="s">
        <v>53</v>
      </c>
      <c r="N1212">
        <v>50</v>
      </c>
      <c r="O1212">
        <v>1</v>
      </c>
      <c r="P1212" t="s">
        <v>52</v>
      </c>
      <c r="Q1212">
        <v>0.5</v>
      </c>
      <c r="R1212">
        <v>0.75</v>
      </c>
      <c r="S1212">
        <v>85</v>
      </c>
      <c r="T1212" t="s">
        <v>285</v>
      </c>
      <c r="U1212">
        <v>93</v>
      </c>
      <c r="V1212" t="s">
        <v>284</v>
      </c>
      <c r="W1212">
        <v>89.7</v>
      </c>
      <c r="X1212" t="s">
        <v>284</v>
      </c>
      <c r="Y1212">
        <v>92.72</v>
      </c>
      <c r="Z1212" t="s">
        <v>284</v>
      </c>
      <c r="AA1212">
        <v>109</v>
      </c>
      <c r="AB1212" t="s">
        <v>285</v>
      </c>
      <c r="AG1212">
        <v>91.806700000000006</v>
      </c>
      <c r="AH1212" t="s">
        <v>54</v>
      </c>
      <c r="AI1212" t="s">
        <v>52</v>
      </c>
      <c r="AZ1212" t="s">
        <v>52</v>
      </c>
      <c r="BQ1212" t="s">
        <v>52</v>
      </c>
      <c r="BR1212">
        <v>2.74</v>
      </c>
      <c r="BS1212" t="s">
        <v>289</v>
      </c>
      <c r="BT1212">
        <v>1.54</v>
      </c>
      <c r="BU1212" t="s">
        <v>284</v>
      </c>
      <c r="BV1212">
        <v>2.2200000000000002</v>
      </c>
      <c r="BW1212" t="s">
        <v>284</v>
      </c>
      <c r="BX1212">
        <v>2.11</v>
      </c>
      <c r="BY1212" t="s">
        <v>284</v>
      </c>
      <c r="BZ1212">
        <v>2.76</v>
      </c>
      <c r="CA1212" t="s">
        <v>289</v>
      </c>
      <c r="CF1212">
        <v>2.36</v>
      </c>
      <c r="CG1212" t="s">
        <v>54</v>
      </c>
      <c r="CH1212" t="s">
        <v>52</v>
      </c>
    </row>
    <row r="1213" spans="1:86" x14ac:dyDescent="0.25">
      <c r="A1213" t="s">
        <v>47</v>
      </c>
      <c r="B1213">
        <v>8</v>
      </c>
      <c r="C1213" t="s">
        <v>199</v>
      </c>
      <c r="D1213">
        <v>109</v>
      </c>
      <c r="E1213" t="s">
        <v>83</v>
      </c>
      <c r="F1213">
        <v>158</v>
      </c>
      <c r="H1213" t="s">
        <v>50</v>
      </c>
      <c r="K1213" t="s">
        <v>51</v>
      </c>
      <c r="L1213">
        <v>1</v>
      </c>
      <c r="M1213" t="s">
        <v>53</v>
      </c>
      <c r="N1213">
        <v>158</v>
      </c>
      <c r="O1213">
        <v>2</v>
      </c>
      <c r="P1213" t="s">
        <v>52</v>
      </c>
      <c r="Q1213">
        <v>0.77</v>
      </c>
      <c r="R1213">
        <v>0.93</v>
      </c>
      <c r="S1213">
        <v>228</v>
      </c>
      <c r="T1213" t="s">
        <v>284</v>
      </c>
      <c r="U1213">
        <v>221</v>
      </c>
      <c r="V1213" t="s">
        <v>284</v>
      </c>
      <c r="W1213">
        <v>236</v>
      </c>
      <c r="X1213" t="s">
        <v>284</v>
      </c>
      <c r="Y1213">
        <v>244</v>
      </c>
      <c r="Z1213" t="s">
        <v>284</v>
      </c>
      <c r="AA1213">
        <v>252</v>
      </c>
      <c r="AB1213" t="s">
        <v>284</v>
      </c>
      <c r="AG1213">
        <v>236</v>
      </c>
      <c r="AH1213" t="s">
        <v>54</v>
      </c>
      <c r="AI1213" t="s">
        <v>52</v>
      </c>
      <c r="AX1213">
        <v>339</v>
      </c>
      <c r="AY1213" t="s">
        <v>285</v>
      </c>
      <c r="AZ1213" t="s">
        <v>287</v>
      </c>
      <c r="BQ1213" t="s">
        <v>52</v>
      </c>
      <c r="BR1213">
        <v>1.85</v>
      </c>
      <c r="BS1213" t="s">
        <v>284</v>
      </c>
      <c r="BT1213">
        <v>1.35</v>
      </c>
      <c r="BU1213" t="s">
        <v>284</v>
      </c>
      <c r="BV1213">
        <v>1.03</v>
      </c>
      <c r="BW1213" t="s">
        <v>288</v>
      </c>
      <c r="BX1213">
        <v>1.34</v>
      </c>
      <c r="BY1213" t="s">
        <v>289</v>
      </c>
      <c r="BZ1213">
        <v>1.22</v>
      </c>
      <c r="CA1213" t="s">
        <v>289</v>
      </c>
      <c r="CF1213">
        <v>1.3</v>
      </c>
      <c r="CG1213" t="s">
        <v>54</v>
      </c>
      <c r="CH1213" t="s">
        <v>52</v>
      </c>
    </row>
    <row r="1214" spans="1:86" x14ac:dyDescent="0.25">
      <c r="A1214" t="s">
        <v>47</v>
      </c>
      <c r="B1214">
        <v>8</v>
      </c>
      <c r="C1214" t="s">
        <v>199</v>
      </c>
      <c r="D1214">
        <v>109</v>
      </c>
      <c r="E1214" t="s">
        <v>84</v>
      </c>
      <c r="F1214">
        <v>11</v>
      </c>
      <c r="G1214" t="s">
        <v>96</v>
      </c>
      <c r="H1214" t="s">
        <v>50</v>
      </c>
      <c r="K1214" t="s">
        <v>51</v>
      </c>
      <c r="L1214">
        <v>1</v>
      </c>
      <c r="M1214" t="s">
        <v>53</v>
      </c>
      <c r="N1214">
        <v>11</v>
      </c>
      <c r="O1214">
        <v>2</v>
      </c>
      <c r="P1214" t="s">
        <v>52</v>
      </c>
      <c r="Q1214">
        <v>0.5</v>
      </c>
      <c r="R1214">
        <v>0.75</v>
      </c>
      <c r="S1214">
        <v>124</v>
      </c>
      <c r="T1214" t="s">
        <v>284</v>
      </c>
      <c r="U1214">
        <v>110</v>
      </c>
      <c r="V1214" t="s">
        <v>284</v>
      </c>
      <c r="W1214">
        <v>118</v>
      </c>
      <c r="X1214" t="s">
        <v>284</v>
      </c>
      <c r="Y1214">
        <v>122</v>
      </c>
      <c r="Z1214" t="s">
        <v>284</v>
      </c>
      <c r="AA1214">
        <v>126</v>
      </c>
      <c r="AB1214" t="s">
        <v>284</v>
      </c>
      <c r="AG1214">
        <v>121.33329999999999</v>
      </c>
      <c r="AH1214" t="s">
        <v>54</v>
      </c>
      <c r="AI1214" t="s">
        <v>52</v>
      </c>
      <c r="AZ1214" t="s">
        <v>52</v>
      </c>
      <c r="BQ1214" t="s">
        <v>52</v>
      </c>
      <c r="BR1214">
        <v>2.4300000000000002</v>
      </c>
      <c r="BS1214" t="s">
        <v>285</v>
      </c>
      <c r="BT1214">
        <v>2.21</v>
      </c>
      <c r="BU1214" t="s">
        <v>284</v>
      </c>
      <c r="BV1214">
        <v>2.56</v>
      </c>
      <c r="BW1214" t="s">
        <v>284</v>
      </c>
      <c r="BX1214">
        <v>2.2200000000000002</v>
      </c>
      <c r="BY1214" t="s">
        <v>284</v>
      </c>
      <c r="BZ1214">
        <v>1.91</v>
      </c>
      <c r="CA1214" t="s">
        <v>284</v>
      </c>
      <c r="CF1214">
        <v>2.29</v>
      </c>
      <c r="CG1214" t="s">
        <v>54</v>
      </c>
      <c r="CH1214" t="s">
        <v>52</v>
      </c>
    </row>
    <row r="1215" spans="1:86" x14ac:dyDescent="0.25">
      <c r="A1215" t="s">
        <v>47</v>
      </c>
      <c r="B1215">
        <v>8</v>
      </c>
      <c r="C1215" t="s">
        <v>199</v>
      </c>
      <c r="D1215">
        <v>109</v>
      </c>
      <c r="E1215" t="s">
        <v>84</v>
      </c>
      <c r="F1215">
        <v>11</v>
      </c>
      <c r="G1215" t="s">
        <v>196</v>
      </c>
      <c r="H1215" t="s">
        <v>50</v>
      </c>
      <c r="K1215" t="s">
        <v>51</v>
      </c>
      <c r="L1215">
        <v>1</v>
      </c>
      <c r="M1215" t="s">
        <v>53</v>
      </c>
      <c r="N1215">
        <v>11</v>
      </c>
      <c r="O1215">
        <v>2</v>
      </c>
      <c r="P1215" t="s">
        <v>52</v>
      </c>
      <c r="Q1215">
        <v>0.5</v>
      </c>
      <c r="R1215">
        <v>0.75</v>
      </c>
      <c r="S1215">
        <v>124</v>
      </c>
      <c r="T1215" t="s">
        <v>284</v>
      </c>
      <c r="U1215">
        <v>110</v>
      </c>
      <c r="V1215" t="s">
        <v>284</v>
      </c>
      <c r="W1215">
        <v>118</v>
      </c>
      <c r="X1215" t="s">
        <v>284</v>
      </c>
      <c r="Y1215">
        <v>122</v>
      </c>
      <c r="Z1215" t="s">
        <v>284</v>
      </c>
      <c r="AA1215">
        <v>126</v>
      </c>
      <c r="AB1215" t="s">
        <v>284</v>
      </c>
      <c r="AG1215">
        <v>121.33329999999999</v>
      </c>
      <c r="AH1215" t="s">
        <v>54</v>
      </c>
      <c r="AI1215" t="s">
        <v>52</v>
      </c>
      <c r="AZ1215" t="s">
        <v>52</v>
      </c>
      <c r="BQ1215" t="s">
        <v>52</v>
      </c>
      <c r="BR1215">
        <v>2.4300000000000002</v>
      </c>
      <c r="BS1215" t="s">
        <v>285</v>
      </c>
      <c r="BT1215">
        <v>2.2200000000000002</v>
      </c>
      <c r="BU1215" t="s">
        <v>284</v>
      </c>
      <c r="BV1215">
        <v>2.56</v>
      </c>
      <c r="BW1215" t="s">
        <v>284</v>
      </c>
      <c r="BX1215">
        <v>2.2200000000000002</v>
      </c>
      <c r="BY1215" t="s">
        <v>284</v>
      </c>
      <c r="BZ1215">
        <v>1.91</v>
      </c>
      <c r="CA1215" t="s">
        <v>284</v>
      </c>
      <c r="CF1215">
        <v>2.29</v>
      </c>
      <c r="CG1215" t="s">
        <v>54</v>
      </c>
      <c r="CH1215" t="s">
        <v>52</v>
      </c>
    </row>
    <row r="1216" spans="1:86" x14ac:dyDescent="0.25">
      <c r="A1216" t="s">
        <v>47</v>
      </c>
      <c r="B1216">
        <v>8</v>
      </c>
      <c r="C1216" t="s">
        <v>202</v>
      </c>
      <c r="D1216">
        <v>113</v>
      </c>
      <c r="E1216" t="s">
        <v>49</v>
      </c>
      <c r="F1216">
        <v>27</v>
      </c>
      <c r="H1216" t="s">
        <v>50</v>
      </c>
      <c r="K1216" t="s">
        <v>51</v>
      </c>
      <c r="L1216">
        <v>1</v>
      </c>
      <c r="M1216" t="s">
        <v>53</v>
      </c>
      <c r="N1216">
        <v>27</v>
      </c>
      <c r="O1216">
        <v>1</v>
      </c>
      <c r="P1216" t="s">
        <v>52</v>
      </c>
      <c r="Q1216">
        <v>0</v>
      </c>
      <c r="R1216">
        <v>0.75</v>
      </c>
      <c r="S1216">
        <v>231</v>
      </c>
      <c r="T1216" t="s">
        <v>284</v>
      </c>
      <c r="U1216">
        <v>208</v>
      </c>
      <c r="V1216" t="s">
        <v>284</v>
      </c>
      <c r="W1216">
        <v>224</v>
      </c>
      <c r="X1216" t="s">
        <v>284</v>
      </c>
      <c r="Y1216">
        <v>225</v>
      </c>
      <c r="Z1216" t="s">
        <v>285</v>
      </c>
      <c r="AA1216">
        <v>247</v>
      </c>
      <c r="AB1216" t="s">
        <v>285</v>
      </c>
      <c r="AC1216">
        <v>241</v>
      </c>
      <c r="AD1216" t="s">
        <v>285</v>
      </c>
      <c r="AE1216">
        <v>219</v>
      </c>
      <c r="AF1216" t="s">
        <v>285</v>
      </c>
      <c r="AG1216">
        <v>219</v>
      </c>
      <c r="AH1216" t="s">
        <v>286</v>
      </c>
      <c r="AI1216" t="s">
        <v>287</v>
      </c>
      <c r="AX1216">
        <v>263</v>
      </c>
      <c r="AY1216" t="s">
        <v>286</v>
      </c>
      <c r="AZ1216" t="s">
        <v>287</v>
      </c>
      <c r="BQ1216" t="s">
        <v>52</v>
      </c>
      <c r="BR1216">
        <v>3.7</v>
      </c>
      <c r="BS1216" t="s">
        <v>284</v>
      </c>
      <c r="BT1216">
        <v>3.4</v>
      </c>
      <c r="BU1216" t="s">
        <v>284</v>
      </c>
      <c r="BV1216">
        <v>0.94</v>
      </c>
      <c r="BW1216" t="s">
        <v>284</v>
      </c>
      <c r="BX1216">
        <v>1</v>
      </c>
      <c r="BY1216" t="s">
        <v>284</v>
      </c>
      <c r="BZ1216">
        <v>1</v>
      </c>
      <c r="CA1216" t="s">
        <v>288</v>
      </c>
      <c r="CF1216">
        <v>1.8</v>
      </c>
      <c r="CG1216" t="s">
        <v>54</v>
      </c>
      <c r="CH1216" t="s">
        <v>52</v>
      </c>
    </row>
    <row r="1217" spans="1:86" x14ac:dyDescent="0.25">
      <c r="A1217" t="s">
        <v>47</v>
      </c>
      <c r="B1217">
        <v>8</v>
      </c>
      <c r="C1217" t="s">
        <v>202</v>
      </c>
      <c r="D1217">
        <v>113</v>
      </c>
      <c r="E1217" t="s">
        <v>49</v>
      </c>
      <c r="F1217">
        <v>27</v>
      </c>
      <c r="H1217" t="s">
        <v>50</v>
      </c>
      <c r="K1217" t="s">
        <v>52</v>
      </c>
      <c r="L1217">
        <v>1</v>
      </c>
      <c r="M1217" t="s">
        <v>53</v>
      </c>
      <c r="N1217">
        <v>27</v>
      </c>
      <c r="O1217">
        <v>1</v>
      </c>
      <c r="P1217" t="s">
        <v>52</v>
      </c>
      <c r="Q1217">
        <v>0</v>
      </c>
      <c r="R1217">
        <v>0.75</v>
      </c>
      <c r="S1217">
        <v>231</v>
      </c>
      <c r="T1217" t="s">
        <v>284</v>
      </c>
      <c r="U1217">
        <v>208</v>
      </c>
      <c r="V1217" t="s">
        <v>284</v>
      </c>
      <c r="W1217">
        <v>224</v>
      </c>
      <c r="X1217" t="s">
        <v>284</v>
      </c>
      <c r="Y1217">
        <v>225</v>
      </c>
      <c r="Z1217" t="s">
        <v>285</v>
      </c>
      <c r="AA1217">
        <v>247</v>
      </c>
      <c r="AB1217" t="s">
        <v>285</v>
      </c>
      <c r="AC1217">
        <v>241</v>
      </c>
      <c r="AD1217" t="s">
        <v>285</v>
      </c>
      <c r="AE1217">
        <v>219</v>
      </c>
      <c r="AF1217" t="s">
        <v>285</v>
      </c>
      <c r="AG1217">
        <v>219</v>
      </c>
      <c r="AH1217" t="s">
        <v>286</v>
      </c>
      <c r="AI1217" t="s">
        <v>287</v>
      </c>
      <c r="AX1217">
        <v>263</v>
      </c>
      <c r="AY1217" t="s">
        <v>286</v>
      </c>
      <c r="AZ1217" t="s">
        <v>287</v>
      </c>
      <c r="BQ1217" t="s">
        <v>52</v>
      </c>
      <c r="BR1217">
        <v>1.3</v>
      </c>
      <c r="BS1217" t="s">
        <v>284</v>
      </c>
      <c r="BT1217">
        <v>1.2</v>
      </c>
      <c r="BU1217" t="s">
        <v>284</v>
      </c>
      <c r="BV1217">
        <v>0.75</v>
      </c>
      <c r="BW1217" t="s">
        <v>284</v>
      </c>
      <c r="BX1217">
        <v>0.79</v>
      </c>
      <c r="BY1217" t="s">
        <v>284</v>
      </c>
      <c r="BZ1217">
        <v>0.92</v>
      </c>
      <c r="CA1217" t="s">
        <v>289</v>
      </c>
      <c r="CF1217">
        <v>0.97</v>
      </c>
      <c r="CG1217" t="s">
        <v>54</v>
      </c>
      <c r="CH1217" t="s">
        <v>52</v>
      </c>
    </row>
    <row r="1218" spans="1:86" x14ac:dyDescent="0.25">
      <c r="A1218" t="s">
        <v>47</v>
      </c>
      <c r="B1218">
        <v>8</v>
      </c>
      <c r="C1218" t="s">
        <v>202</v>
      </c>
      <c r="D1218">
        <v>113</v>
      </c>
      <c r="E1218" t="s">
        <v>58</v>
      </c>
      <c r="F1218">
        <v>102</v>
      </c>
      <c r="G1218" t="s">
        <v>62</v>
      </c>
      <c r="H1218" t="s">
        <v>50</v>
      </c>
      <c r="K1218" t="s">
        <v>51</v>
      </c>
      <c r="L1218">
        <v>1</v>
      </c>
      <c r="M1218" t="s">
        <v>53</v>
      </c>
      <c r="N1218">
        <v>102</v>
      </c>
      <c r="O1218">
        <v>1</v>
      </c>
      <c r="P1218" t="s">
        <v>52</v>
      </c>
      <c r="Q1218">
        <v>0</v>
      </c>
      <c r="R1218">
        <v>0.92</v>
      </c>
      <c r="S1218">
        <v>131.69999999999999</v>
      </c>
      <c r="T1218" t="s">
        <v>284</v>
      </c>
      <c r="U1218">
        <v>170</v>
      </c>
      <c r="V1218" t="s">
        <v>284</v>
      </c>
      <c r="W1218">
        <v>191</v>
      </c>
      <c r="X1218" t="s">
        <v>284</v>
      </c>
      <c r="Y1218">
        <v>207</v>
      </c>
      <c r="Z1218" t="s">
        <v>284</v>
      </c>
      <c r="AA1218">
        <v>205</v>
      </c>
      <c r="AB1218" t="s">
        <v>285</v>
      </c>
      <c r="AG1218">
        <v>188.66669999999999</v>
      </c>
      <c r="AH1218" t="s">
        <v>54</v>
      </c>
      <c r="AI1218" t="s">
        <v>52</v>
      </c>
      <c r="AX1218">
        <v>271.60000000000002</v>
      </c>
      <c r="AY1218" t="s">
        <v>285</v>
      </c>
      <c r="AZ1218" t="s">
        <v>287</v>
      </c>
      <c r="BQ1218" t="s">
        <v>52</v>
      </c>
      <c r="BR1218">
        <v>1.85</v>
      </c>
      <c r="BS1218" t="s">
        <v>284</v>
      </c>
      <c r="BT1218">
        <v>1.44</v>
      </c>
      <c r="BU1218" t="s">
        <v>284</v>
      </c>
      <c r="BV1218">
        <v>0.53</v>
      </c>
      <c r="BW1218" t="s">
        <v>285</v>
      </c>
      <c r="BX1218">
        <v>0.33</v>
      </c>
      <c r="BY1218" t="s">
        <v>285</v>
      </c>
      <c r="BZ1218">
        <v>0.28000000000000003</v>
      </c>
      <c r="CA1218" t="s">
        <v>284</v>
      </c>
      <c r="CF1218">
        <v>0.77</v>
      </c>
      <c r="CG1218" t="s">
        <v>54</v>
      </c>
      <c r="CH1218" t="s">
        <v>52</v>
      </c>
    </row>
    <row r="1219" spans="1:86" x14ac:dyDescent="0.25">
      <c r="A1219" t="s">
        <v>47</v>
      </c>
      <c r="B1219">
        <v>8</v>
      </c>
      <c r="C1219" t="s">
        <v>202</v>
      </c>
      <c r="D1219">
        <v>113</v>
      </c>
      <c r="E1219" t="s">
        <v>58</v>
      </c>
      <c r="F1219">
        <v>102</v>
      </c>
      <c r="G1219" t="s">
        <v>62</v>
      </c>
      <c r="H1219" t="s">
        <v>50</v>
      </c>
      <c r="K1219" t="s">
        <v>52</v>
      </c>
      <c r="L1219">
        <v>1</v>
      </c>
      <c r="M1219" t="s">
        <v>53</v>
      </c>
      <c r="N1219">
        <v>102</v>
      </c>
      <c r="O1219">
        <v>1</v>
      </c>
      <c r="P1219" t="s">
        <v>52</v>
      </c>
      <c r="Q1219">
        <v>0</v>
      </c>
      <c r="R1219">
        <v>0.92</v>
      </c>
      <c r="S1219">
        <v>131.69999999999999</v>
      </c>
      <c r="T1219" t="s">
        <v>284</v>
      </c>
      <c r="U1219">
        <v>170</v>
      </c>
      <c r="V1219" t="s">
        <v>284</v>
      </c>
      <c r="W1219">
        <v>191</v>
      </c>
      <c r="X1219" t="s">
        <v>284</v>
      </c>
      <c r="Y1219">
        <v>207</v>
      </c>
      <c r="Z1219" t="s">
        <v>284</v>
      </c>
      <c r="AA1219">
        <v>205</v>
      </c>
      <c r="AB1219" t="s">
        <v>285</v>
      </c>
      <c r="AG1219">
        <v>188.66669999999999</v>
      </c>
      <c r="AH1219" t="s">
        <v>54</v>
      </c>
      <c r="AI1219" t="s">
        <v>52</v>
      </c>
      <c r="AX1219">
        <v>271.60000000000002</v>
      </c>
      <c r="AY1219" t="s">
        <v>285</v>
      </c>
      <c r="AZ1219" t="s">
        <v>287</v>
      </c>
      <c r="BQ1219" t="s">
        <v>52</v>
      </c>
      <c r="BR1219">
        <v>0.83</v>
      </c>
      <c r="BS1219" t="s">
        <v>285</v>
      </c>
      <c r="BT1219">
        <v>1.01</v>
      </c>
      <c r="BU1219" t="s">
        <v>284</v>
      </c>
      <c r="BV1219">
        <v>0.3</v>
      </c>
      <c r="BW1219" t="s">
        <v>285</v>
      </c>
      <c r="BX1219">
        <v>0.54</v>
      </c>
      <c r="BY1219" t="s">
        <v>285</v>
      </c>
      <c r="BZ1219">
        <v>0.46</v>
      </c>
      <c r="CA1219" t="s">
        <v>284</v>
      </c>
      <c r="CF1219">
        <v>0.61</v>
      </c>
      <c r="CG1219" t="s">
        <v>54</v>
      </c>
      <c r="CH1219" t="s">
        <v>52</v>
      </c>
    </row>
    <row r="1220" spans="1:86" x14ac:dyDescent="0.25">
      <c r="A1220" t="s">
        <v>47</v>
      </c>
      <c r="B1220">
        <v>8</v>
      </c>
      <c r="C1220" t="s">
        <v>202</v>
      </c>
      <c r="D1220">
        <v>113</v>
      </c>
      <c r="E1220" t="s">
        <v>58</v>
      </c>
      <c r="F1220">
        <v>102</v>
      </c>
      <c r="G1220" t="s">
        <v>64</v>
      </c>
      <c r="H1220" t="s">
        <v>50</v>
      </c>
      <c r="K1220" t="s">
        <v>51</v>
      </c>
      <c r="L1220">
        <v>1</v>
      </c>
      <c r="M1220" t="s">
        <v>53</v>
      </c>
      <c r="N1220">
        <v>102</v>
      </c>
      <c r="O1220">
        <v>1</v>
      </c>
      <c r="P1220" t="s">
        <v>52</v>
      </c>
      <c r="Q1220">
        <v>0</v>
      </c>
      <c r="R1220">
        <v>0.92</v>
      </c>
      <c r="S1220">
        <v>131.69999999999999</v>
      </c>
      <c r="T1220" t="s">
        <v>284</v>
      </c>
      <c r="U1220">
        <v>170</v>
      </c>
      <c r="V1220" t="s">
        <v>284</v>
      </c>
      <c r="W1220">
        <v>191</v>
      </c>
      <c r="X1220" t="s">
        <v>284</v>
      </c>
      <c r="Y1220">
        <v>207</v>
      </c>
      <c r="Z1220" t="s">
        <v>284</v>
      </c>
      <c r="AA1220">
        <v>205</v>
      </c>
      <c r="AB1220" t="s">
        <v>285</v>
      </c>
      <c r="AG1220">
        <v>188.66669999999999</v>
      </c>
      <c r="AH1220" t="s">
        <v>54</v>
      </c>
      <c r="AI1220" t="s">
        <v>52</v>
      </c>
      <c r="AZ1220" t="s">
        <v>52</v>
      </c>
      <c r="BQ1220" t="s">
        <v>52</v>
      </c>
      <c r="BR1220">
        <v>1.85</v>
      </c>
      <c r="BS1220" t="s">
        <v>284</v>
      </c>
      <c r="BT1220">
        <v>1.79</v>
      </c>
      <c r="BU1220" t="s">
        <v>284</v>
      </c>
      <c r="BV1220">
        <v>1.39</v>
      </c>
      <c r="BW1220" t="s">
        <v>285</v>
      </c>
      <c r="CH1220" t="s">
        <v>52</v>
      </c>
    </row>
    <row r="1221" spans="1:86" x14ac:dyDescent="0.25">
      <c r="A1221" t="s">
        <v>47</v>
      </c>
      <c r="B1221">
        <v>8</v>
      </c>
      <c r="C1221" t="s">
        <v>202</v>
      </c>
      <c r="D1221">
        <v>113</v>
      </c>
      <c r="E1221" t="s">
        <v>58</v>
      </c>
      <c r="F1221">
        <v>102</v>
      </c>
      <c r="G1221" t="s">
        <v>64</v>
      </c>
      <c r="H1221" t="s">
        <v>50</v>
      </c>
      <c r="K1221" t="s">
        <v>52</v>
      </c>
      <c r="L1221">
        <v>1</v>
      </c>
      <c r="M1221" t="s">
        <v>53</v>
      </c>
      <c r="N1221">
        <v>102</v>
      </c>
      <c r="O1221">
        <v>1</v>
      </c>
      <c r="P1221" t="s">
        <v>52</v>
      </c>
      <c r="Q1221">
        <v>0</v>
      </c>
      <c r="R1221">
        <v>0.92</v>
      </c>
      <c r="S1221">
        <v>131.69999999999999</v>
      </c>
      <c r="T1221" t="s">
        <v>284</v>
      </c>
      <c r="U1221">
        <v>170</v>
      </c>
      <c r="V1221" t="s">
        <v>284</v>
      </c>
      <c r="W1221">
        <v>191</v>
      </c>
      <c r="X1221" t="s">
        <v>284</v>
      </c>
      <c r="Y1221">
        <v>207</v>
      </c>
      <c r="Z1221" t="s">
        <v>284</v>
      </c>
      <c r="AA1221">
        <v>205</v>
      </c>
      <c r="AB1221" t="s">
        <v>285</v>
      </c>
      <c r="AG1221">
        <v>188.66669999999999</v>
      </c>
      <c r="AH1221" t="s">
        <v>54</v>
      </c>
      <c r="AI1221" t="s">
        <v>52</v>
      </c>
      <c r="AZ1221" t="s">
        <v>52</v>
      </c>
      <c r="BQ1221" t="s">
        <v>52</v>
      </c>
      <c r="BR1221">
        <v>0.93</v>
      </c>
      <c r="BS1221" t="s">
        <v>285</v>
      </c>
      <c r="BT1221">
        <v>0.98</v>
      </c>
      <c r="BU1221" t="s">
        <v>284</v>
      </c>
      <c r="BV1221">
        <v>0.28999999999999998</v>
      </c>
      <c r="BW1221" t="s">
        <v>285</v>
      </c>
      <c r="BX1221">
        <v>0.53</v>
      </c>
      <c r="BY1221" t="s">
        <v>285</v>
      </c>
      <c r="BZ1221">
        <v>0.46</v>
      </c>
      <c r="CA1221" t="s">
        <v>284</v>
      </c>
      <c r="CF1221">
        <v>0.64</v>
      </c>
      <c r="CG1221" t="s">
        <v>54</v>
      </c>
      <c r="CH1221" t="s">
        <v>52</v>
      </c>
    </row>
    <row r="1222" spans="1:86" x14ac:dyDescent="0.25">
      <c r="A1222" t="s">
        <v>47</v>
      </c>
      <c r="B1222">
        <v>8</v>
      </c>
      <c r="C1222" t="s">
        <v>202</v>
      </c>
      <c r="D1222">
        <v>113</v>
      </c>
      <c r="E1222" t="s">
        <v>58</v>
      </c>
      <c r="F1222">
        <v>102</v>
      </c>
      <c r="G1222" t="s">
        <v>65</v>
      </c>
      <c r="H1222" t="s">
        <v>50</v>
      </c>
      <c r="K1222" t="s">
        <v>51</v>
      </c>
      <c r="L1222">
        <v>1</v>
      </c>
      <c r="M1222" t="s">
        <v>53</v>
      </c>
      <c r="N1222">
        <v>102</v>
      </c>
      <c r="O1222">
        <v>1</v>
      </c>
      <c r="P1222" t="s">
        <v>52</v>
      </c>
      <c r="Q1222">
        <v>0</v>
      </c>
      <c r="R1222">
        <v>0.92</v>
      </c>
      <c r="S1222">
        <v>131.69999999999999</v>
      </c>
      <c r="T1222" t="s">
        <v>284</v>
      </c>
      <c r="U1222">
        <v>170</v>
      </c>
      <c r="V1222" t="s">
        <v>284</v>
      </c>
      <c r="W1222">
        <v>191</v>
      </c>
      <c r="X1222" t="s">
        <v>284</v>
      </c>
      <c r="Y1222">
        <v>207</v>
      </c>
      <c r="Z1222" t="s">
        <v>284</v>
      </c>
      <c r="AA1222">
        <v>155</v>
      </c>
      <c r="AB1222" t="s">
        <v>285</v>
      </c>
      <c r="AG1222">
        <v>172</v>
      </c>
      <c r="AH1222" t="s">
        <v>54</v>
      </c>
      <c r="AI1222" t="s">
        <v>52</v>
      </c>
      <c r="AZ1222" t="s">
        <v>52</v>
      </c>
      <c r="BQ1222" t="s">
        <v>52</v>
      </c>
      <c r="BR1222">
        <v>1.85</v>
      </c>
      <c r="BS1222" t="s">
        <v>284</v>
      </c>
      <c r="BT1222">
        <v>1.79</v>
      </c>
      <c r="BU1222" t="s">
        <v>284</v>
      </c>
      <c r="BV1222">
        <v>1.39</v>
      </c>
      <c r="BW1222" t="s">
        <v>285</v>
      </c>
      <c r="CH1222" t="s">
        <v>52</v>
      </c>
    </row>
    <row r="1223" spans="1:86" x14ac:dyDescent="0.25">
      <c r="A1223" t="s">
        <v>47</v>
      </c>
      <c r="B1223">
        <v>8</v>
      </c>
      <c r="C1223" t="s">
        <v>202</v>
      </c>
      <c r="D1223">
        <v>113</v>
      </c>
      <c r="E1223" t="s">
        <v>58</v>
      </c>
      <c r="F1223">
        <v>102</v>
      </c>
      <c r="G1223" t="s">
        <v>65</v>
      </c>
      <c r="H1223" t="s">
        <v>50</v>
      </c>
      <c r="K1223" t="s">
        <v>52</v>
      </c>
      <c r="L1223">
        <v>1</v>
      </c>
      <c r="M1223" t="s">
        <v>53</v>
      </c>
      <c r="N1223">
        <v>102</v>
      </c>
      <c r="O1223">
        <v>1</v>
      </c>
      <c r="P1223" t="s">
        <v>52</v>
      </c>
      <c r="Q1223">
        <v>0</v>
      </c>
      <c r="R1223">
        <v>0.92</v>
      </c>
      <c r="S1223">
        <v>131.69999999999999</v>
      </c>
      <c r="T1223" t="s">
        <v>284</v>
      </c>
      <c r="U1223">
        <v>170</v>
      </c>
      <c r="V1223" t="s">
        <v>284</v>
      </c>
      <c r="W1223">
        <v>191</v>
      </c>
      <c r="X1223" t="s">
        <v>284</v>
      </c>
      <c r="Y1223">
        <v>207</v>
      </c>
      <c r="Z1223" t="s">
        <v>284</v>
      </c>
      <c r="AA1223">
        <v>155</v>
      </c>
      <c r="AB1223" t="s">
        <v>285</v>
      </c>
      <c r="AG1223">
        <v>172</v>
      </c>
      <c r="AH1223" t="s">
        <v>54</v>
      </c>
      <c r="AI1223" t="s">
        <v>52</v>
      </c>
      <c r="AZ1223" t="s">
        <v>52</v>
      </c>
      <c r="BQ1223" t="s">
        <v>52</v>
      </c>
      <c r="BR1223">
        <v>0.93</v>
      </c>
      <c r="BS1223" t="s">
        <v>285</v>
      </c>
      <c r="BT1223">
        <v>0.98</v>
      </c>
      <c r="BU1223" t="s">
        <v>284</v>
      </c>
      <c r="BV1223">
        <v>0.76</v>
      </c>
      <c r="BW1223" t="s">
        <v>285</v>
      </c>
      <c r="BX1223">
        <v>0.53</v>
      </c>
      <c r="BY1223" t="s">
        <v>285</v>
      </c>
      <c r="BZ1223">
        <v>0.46</v>
      </c>
      <c r="CA1223" t="s">
        <v>284</v>
      </c>
      <c r="CF1223">
        <v>0.74</v>
      </c>
      <c r="CG1223" t="s">
        <v>54</v>
      </c>
      <c r="CH1223" t="s">
        <v>52</v>
      </c>
    </row>
    <row r="1224" spans="1:86" x14ac:dyDescent="0.25">
      <c r="A1224" t="s">
        <v>47</v>
      </c>
      <c r="B1224">
        <v>8</v>
      </c>
      <c r="C1224" t="s">
        <v>202</v>
      </c>
      <c r="D1224">
        <v>113</v>
      </c>
      <c r="E1224" t="s">
        <v>58</v>
      </c>
      <c r="F1224">
        <v>102</v>
      </c>
      <c r="G1224" t="s">
        <v>118</v>
      </c>
      <c r="H1224" t="s">
        <v>50</v>
      </c>
      <c r="K1224" t="s">
        <v>51</v>
      </c>
      <c r="L1224">
        <v>1</v>
      </c>
      <c r="M1224" t="s">
        <v>53</v>
      </c>
      <c r="N1224">
        <v>102</v>
      </c>
      <c r="O1224">
        <v>1</v>
      </c>
      <c r="P1224" t="s">
        <v>52</v>
      </c>
      <c r="Q1224">
        <v>0</v>
      </c>
      <c r="R1224">
        <v>0.92</v>
      </c>
      <c r="S1224">
        <v>131.69999999999999</v>
      </c>
      <c r="T1224" t="s">
        <v>284</v>
      </c>
      <c r="U1224">
        <v>170</v>
      </c>
      <c r="V1224" t="s">
        <v>284</v>
      </c>
      <c r="W1224">
        <v>191</v>
      </c>
      <c r="X1224" t="s">
        <v>284</v>
      </c>
      <c r="Y1224">
        <v>207</v>
      </c>
      <c r="Z1224" t="s">
        <v>284</v>
      </c>
      <c r="AA1224">
        <v>205</v>
      </c>
      <c r="AB1224" t="s">
        <v>285</v>
      </c>
      <c r="AG1224">
        <v>188.66669999999999</v>
      </c>
      <c r="AH1224" t="s">
        <v>54</v>
      </c>
      <c r="AI1224" t="s">
        <v>52</v>
      </c>
      <c r="AZ1224" t="s">
        <v>52</v>
      </c>
      <c r="BQ1224" t="s">
        <v>52</v>
      </c>
      <c r="BR1224">
        <v>1.85</v>
      </c>
      <c r="BS1224" t="s">
        <v>284</v>
      </c>
      <c r="BT1224">
        <v>1.69</v>
      </c>
      <c r="BU1224" t="s">
        <v>285</v>
      </c>
      <c r="BV1224">
        <v>0.85</v>
      </c>
      <c r="BW1224" t="s">
        <v>285</v>
      </c>
      <c r="BX1224">
        <v>0.48</v>
      </c>
      <c r="BY1224" t="s">
        <v>288</v>
      </c>
      <c r="BZ1224">
        <v>0.5</v>
      </c>
      <c r="CA1224" t="s">
        <v>288</v>
      </c>
      <c r="CF1224">
        <v>1.01</v>
      </c>
      <c r="CG1224" t="s">
        <v>54</v>
      </c>
      <c r="CH1224" t="s">
        <v>52</v>
      </c>
    </row>
    <row r="1225" spans="1:86" x14ac:dyDescent="0.25">
      <c r="A1225" t="s">
        <v>47</v>
      </c>
      <c r="B1225">
        <v>8</v>
      </c>
      <c r="C1225" t="s">
        <v>202</v>
      </c>
      <c r="D1225">
        <v>113</v>
      </c>
      <c r="E1225" t="s">
        <v>58</v>
      </c>
      <c r="F1225">
        <v>102</v>
      </c>
      <c r="G1225" t="s">
        <v>118</v>
      </c>
      <c r="H1225" t="s">
        <v>50</v>
      </c>
      <c r="K1225" t="s">
        <v>52</v>
      </c>
      <c r="L1225">
        <v>1</v>
      </c>
      <c r="M1225" t="s">
        <v>53</v>
      </c>
      <c r="N1225">
        <v>102</v>
      </c>
      <c r="O1225">
        <v>1</v>
      </c>
      <c r="P1225" t="s">
        <v>52</v>
      </c>
      <c r="Q1225">
        <v>0</v>
      </c>
      <c r="R1225">
        <v>0.92</v>
      </c>
      <c r="S1225">
        <v>131.69999999999999</v>
      </c>
      <c r="T1225" t="s">
        <v>284</v>
      </c>
      <c r="U1225">
        <v>170</v>
      </c>
      <c r="V1225" t="s">
        <v>284</v>
      </c>
      <c r="W1225">
        <v>191</v>
      </c>
      <c r="X1225" t="s">
        <v>284</v>
      </c>
      <c r="Y1225">
        <v>207</v>
      </c>
      <c r="Z1225" t="s">
        <v>284</v>
      </c>
      <c r="AA1225">
        <v>205</v>
      </c>
      <c r="AB1225" t="s">
        <v>285</v>
      </c>
      <c r="AG1225">
        <v>188.66669999999999</v>
      </c>
      <c r="AH1225" t="s">
        <v>54</v>
      </c>
      <c r="AI1225" t="s">
        <v>52</v>
      </c>
      <c r="AZ1225" t="s">
        <v>52</v>
      </c>
      <c r="BQ1225" t="s">
        <v>52</v>
      </c>
      <c r="BR1225">
        <v>0.93</v>
      </c>
      <c r="BS1225" t="s">
        <v>285</v>
      </c>
      <c r="BT1225">
        <v>0.98</v>
      </c>
      <c r="BU1225" t="s">
        <v>284</v>
      </c>
      <c r="BV1225">
        <v>0.76</v>
      </c>
      <c r="BW1225" t="s">
        <v>285</v>
      </c>
      <c r="BX1225">
        <v>0.53</v>
      </c>
      <c r="BY1225" t="s">
        <v>285</v>
      </c>
      <c r="BZ1225">
        <v>0.46</v>
      </c>
      <c r="CA1225" t="s">
        <v>284</v>
      </c>
      <c r="CF1225">
        <v>0.74</v>
      </c>
      <c r="CG1225" t="s">
        <v>54</v>
      </c>
      <c r="CH1225" t="s">
        <v>52</v>
      </c>
    </row>
    <row r="1226" spans="1:86" x14ac:dyDescent="0.25">
      <c r="A1226" t="s">
        <v>47</v>
      </c>
      <c r="B1226">
        <v>8</v>
      </c>
      <c r="C1226" t="s">
        <v>202</v>
      </c>
      <c r="D1226">
        <v>113</v>
      </c>
      <c r="E1226" t="s">
        <v>58</v>
      </c>
      <c r="F1226">
        <v>102</v>
      </c>
      <c r="G1226" t="s">
        <v>67</v>
      </c>
      <c r="H1226" t="s">
        <v>50</v>
      </c>
      <c r="K1226" t="s">
        <v>51</v>
      </c>
      <c r="L1226">
        <v>1</v>
      </c>
      <c r="M1226" t="s">
        <v>53</v>
      </c>
      <c r="N1226">
        <v>102</v>
      </c>
      <c r="O1226">
        <v>1</v>
      </c>
      <c r="P1226" t="s">
        <v>52</v>
      </c>
      <c r="Q1226">
        <v>0</v>
      </c>
      <c r="R1226">
        <v>0.92</v>
      </c>
      <c r="S1226">
        <v>131.69999999999999</v>
      </c>
      <c r="T1226" t="s">
        <v>284</v>
      </c>
      <c r="U1226">
        <v>170</v>
      </c>
      <c r="V1226" t="s">
        <v>284</v>
      </c>
      <c r="W1226">
        <v>191</v>
      </c>
      <c r="X1226" t="s">
        <v>284</v>
      </c>
      <c r="Y1226">
        <v>207</v>
      </c>
      <c r="Z1226" t="s">
        <v>285</v>
      </c>
      <c r="AA1226">
        <v>205</v>
      </c>
      <c r="AB1226" t="s">
        <v>285</v>
      </c>
      <c r="AG1226">
        <v>188.66669999999999</v>
      </c>
      <c r="AH1226" t="s">
        <v>54</v>
      </c>
      <c r="AI1226" t="s">
        <v>52</v>
      </c>
      <c r="AZ1226" t="s">
        <v>52</v>
      </c>
      <c r="BQ1226" t="s">
        <v>52</v>
      </c>
      <c r="BR1226">
        <v>1.85</v>
      </c>
      <c r="BS1226" t="s">
        <v>284</v>
      </c>
      <c r="BT1226">
        <v>1.79</v>
      </c>
      <c r="BU1226" t="s">
        <v>284</v>
      </c>
      <c r="BV1226">
        <v>0.85</v>
      </c>
      <c r="BW1226" t="s">
        <v>284</v>
      </c>
      <c r="CH1226" t="s">
        <v>52</v>
      </c>
    </row>
    <row r="1227" spans="1:86" x14ac:dyDescent="0.25">
      <c r="A1227" t="s">
        <v>47</v>
      </c>
      <c r="B1227">
        <v>8</v>
      </c>
      <c r="C1227" t="s">
        <v>202</v>
      </c>
      <c r="D1227">
        <v>113</v>
      </c>
      <c r="E1227" t="s">
        <v>58</v>
      </c>
      <c r="F1227">
        <v>102</v>
      </c>
      <c r="G1227" t="s">
        <v>67</v>
      </c>
      <c r="H1227" t="s">
        <v>50</v>
      </c>
      <c r="K1227" t="s">
        <v>52</v>
      </c>
      <c r="L1227">
        <v>1</v>
      </c>
      <c r="M1227" t="s">
        <v>53</v>
      </c>
      <c r="N1227">
        <v>102</v>
      </c>
      <c r="O1227">
        <v>1</v>
      </c>
      <c r="P1227" t="s">
        <v>52</v>
      </c>
      <c r="Q1227">
        <v>0</v>
      </c>
      <c r="R1227">
        <v>0.92</v>
      </c>
      <c r="S1227">
        <v>131.69999999999999</v>
      </c>
      <c r="T1227" t="s">
        <v>284</v>
      </c>
      <c r="U1227">
        <v>170</v>
      </c>
      <c r="V1227" t="s">
        <v>284</v>
      </c>
      <c r="W1227">
        <v>191</v>
      </c>
      <c r="X1227" t="s">
        <v>284</v>
      </c>
      <c r="Y1227">
        <v>207</v>
      </c>
      <c r="Z1227" t="s">
        <v>285</v>
      </c>
      <c r="AA1227">
        <v>205</v>
      </c>
      <c r="AB1227" t="s">
        <v>285</v>
      </c>
      <c r="AG1227">
        <v>188.66669999999999</v>
      </c>
      <c r="AH1227" t="s">
        <v>54</v>
      </c>
      <c r="AI1227" t="s">
        <v>52</v>
      </c>
      <c r="AZ1227" t="s">
        <v>52</v>
      </c>
      <c r="BQ1227" t="s">
        <v>52</v>
      </c>
      <c r="BR1227">
        <v>0.67</v>
      </c>
      <c r="BS1227" t="s">
        <v>285</v>
      </c>
      <c r="BT1227">
        <v>0.98</v>
      </c>
      <c r="BU1227" t="s">
        <v>284</v>
      </c>
      <c r="BV1227">
        <v>1.39</v>
      </c>
      <c r="BW1227" t="s">
        <v>285</v>
      </c>
      <c r="BX1227">
        <v>0.53</v>
      </c>
      <c r="BY1227" t="s">
        <v>285</v>
      </c>
      <c r="BZ1227">
        <v>0.46</v>
      </c>
      <c r="CA1227" t="s">
        <v>284</v>
      </c>
      <c r="CF1227">
        <v>0.73</v>
      </c>
      <c r="CG1227" t="s">
        <v>54</v>
      </c>
      <c r="CH1227" t="s">
        <v>52</v>
      </c>
    </row>
    <row r="1228" spans="1:86" x14ac:dyDescent="0.25">
      <c r="A1228" t="s">
        <v>47</v>
      </c>
      <c r="B1228">
        <v>8</v>
      </c>
      <c r="C1228" t="s">
        <v>202</v>
      </c>
      <c r="D1228">
        <v>113</v>
      </c>
      <c r="E1228" t="s">
        <v>68</v>
      </c>
      <c r="F1228">
        <v>80</v>
      </c>
      <c r="G1228" t="s">
        <v>69</v>
      </c>
      <c r="H1228" t="s">
        <v>50</v>
      </c>
      <c r="K1228" t="s">
        <v>51</v>
      </c>
      <c r="L1228">
        <v>1</v>
      </c>
      <c r="M1228" t="s">
        <v>53</v>
      </c>
      <c r="N1228">
        <v>80</v>
      </c>
      <c r="O1228">
        <v>1</v>
      </c>
      <c r="P1228" t="s">
        <v>52</v>
      </c>
      <c r="Q1228">
        <v>0.5</v>
      </c>
      <c r="R1228">
        <v>0.75</v>
      </c>
      <c r="S1228">
        <v>202.92</v>
      </c>
      <c r="T1228" t="s">
        <v>284</v>
      </c>
      <c r="U1228">
        <v>198.9</v>
      </c>
      <c r="V1228" t="s">
        <v>284</v>
      </c>
      <c r="W1228">
        <v>212.4</v>
      </c>
      <c r="X1228" t="s">
        <v>284</v>
      </c>
      <c r="Y1228">
        <v>219.6</v>
      </c>
      <c r="Z1228" t="s">
        <v>284</v>
      </c>
      <c r="AA1228">
        <v>178</v>
      </c>
      <c r="AB1228" t="s">
        <v>284</v>
      </c>
      <c r="AG1228">
        <v>204.74</v>
      </c>
      <c r="AH1228" t="s">
        <v>54</v>
      </c>
      <c r="AI1228" t="s">
        <v>52</v>
      </c>
      <c r="AZ1228" t="s">
        <v>52</v>
      </c>
      <c r="BQ1228" t="s">
        <v>52</v>
      </c>
      <c r="CH1228" t="s">
        <v>52</v>
      </c>
    </row>
    <row r="1229" spans="1:86" x14ac:dyDescent="0.25">
      <c r="A1229" t="s">
        <v>47</v>
      </c>
      <c r="B1229">
        <v>8</v>
      </c>
      <c r="C1229" t="s">
        <v>202</v>
      </c>
      <c r="D1229">
        <v>113</v>
      </c>
      <c r="E1229" t="s">
        <v>68</v>
      </c>
      <c r="F1229">
        <v>80</v>
      </c>
      <c r="G1229" t="s">
        <v>69</v>
      </c>
      <c r="H1229" t="s">
        <v>50</v>
      </c>
      <c r="K1229" t="s">
        <v>52</v>
      </c>
      <c r="L1229">
        <v>1</v>
      </c>
      <c r="M1229" t="s">
        <v>53</v>
      </c>
      <c r="N1229">
        <v>80</v>
      </c>
      <c r="O1229">
        <v>1</v>
      </c>
      <c r="P1229" t="s">
        <v>52</v>
      </c>
      <c r="Q1229">
        <v>0.5</v>
      </c>
      <c r="R1229">
        <v>0.75</v>
      </c>
      <c r="S1229">
        <v>202.92</v>
      </c>
      <c r="T1229" t="s">
        <v>284</v>
      </c>
      <c r="U1229">
        <v>198.9</v>
      </c>
      <c r="V1229" t="s">
        <v>284</v>
      </c>
      <c r="W1229">
        <v>212.4</v>
      </c>
      <c r="X1229" t="s">
        <v>284</v>
      </c>
      <c r="Y1229">
        <v>219.6</v>
      </c>
      <c r="Z1229" t="s">
        <v>284</v>
      </c>
      <c r="AA1229">
        <v>178</v>
      </c>
      <c r="AB1229" t="s">
        <v>284</v>
      </c>
      <c r="AG1229">
        <v>204.74</v>
      </c>
      <c r="AH1229" t="s">
        <v>54</v>
      </c>
      <c r="AI1229" t="s">
        <v>52</v>
      </c>
      <c r="AZ1229" t="s">
        <v>52</v>
      </c>
      <c r="BQ1229" t="s">
        <v>52</v>
      </c>
      <c r="CH1229" t="s">
        <v>52</v>
      </c>
    </row>
    <row r="1230" spans="1:86" x14ac:dyDescent="0.25">
      <c r="A1230" t="s">
        <v>47</v>
      </c>
      <c r="B1230">
        <v>8</v>
      </c>
      <c r="C1230" t="s">
        <v>202</v>
      </c>
      <c r="D1230">
        <v>113</v>
      </c>
      <c r="E1230" t="s">
        <v>70</v>
      </c>
      <c r="F1230">
        <v>296</v>
      </c>
      <c r="G1230" t="s">
        <v>71</v>
      </c>
      <c r="H1230" t="s">
        <v>50</v>
      </c>
      <c r="K1230" t="s">
        <v>51</v>
      </c>
      <c r="L1230">
        <v>1</v>
      </c>
      <c r="M1230" t="s">
        <v>53</v>
      </c>
      <c r="N1230">
        <v>296</v>
      </c>
      <c r="O1230">
        <v>1</v>
      </c>
      <c r="P1230" t="s">
        <v>52</v>
      </c>
      <c r="Q1230">
        <v>0</v>
      </c>
      <c r="R1230">
        <v>0.75</v>
      </c>
      <c r="S1230">
        <v>228</v>
      </c>
      <c r="T1230" t="s">
        <v>284</v>
      </c>
      <c r="U1230">
        <v>190</v>
      </c>
      <c r="V1230" t="s">
        <v>285</v>
      </c>
      <c r="W1230">
        <v>194</v>
      </c>
      <c r="X1230" t="s">
        <v>285</v>
      </c>
      <c r="Y1230">
        <v>225</v>
      </c>
      <c r="Z1230" t="s">
        <v>285</v>
      </c>
      <c r="AA1230">
        <v>247</v>
      </c>
      <c r="AB1230" t="s">
        <v>285</v>
      </c>
      <c r="AC1230">
        <v>241</v>
      </c>
      <c r="AD1230" t="s">
        <v>285</v>
      </c>
      <c r="AE1230">
        <v>219</v>
      </c>
      <c r="AF1230" t="s">
        <v>285</v>
      </c>
      <c r="AG1230">
        <v>219</v>
      </c>
      <c r="AH1230" t="s">
        <v>286</v>
      </c>
      <c r="AI1230" t="s">
        <v>287</v>
      </c>
      <c r="AX1230">
        <v>263</v>
      </c>
      <c r="AY1230" t="s">
        <v>286</v>
      </c>
      <c r="AZ1230" t="s">
        <v>287</v>
      </c>
      <c r="BQ1230" t="s">
        <v>52</v>
      </c>
      <c r="BR1230">
        <v>1.85</v>
      </c>
      <c r="BS1230" t="s">
        <v>284</v>
      </c>
      <c r="BT1230">
        <v>1.79</v>
      </c>
      <c r="BU1230" t="s">
        <v>284</v>
      </c>
      <c r="BV1230">
        <v>1.07</v>
      </c>
      <c r="BW1230" t="s">
        <v>285</v>
      </c>
      <c r="BX1230">
        <v>0.1</v>
      </c>
      <c r="BY1230" t="s">
        <v>285</v>
      </c>
      <c r="BZ1230">
        <v>0.35</v>
      </c>
      <c r="CA1230" t="s">
        <v>288</v>
      </c>
      <c r="CF1230">
        <v>1.07</v>
      </c>
      <c r="CG1230" t="s">
        <v>54</v>
      </c>
      <c r="CH1230" t="s">
        <v>52</v>
      </c>
    </row>
    <row r="1231" spans="1:86" x14ac:dyDescent="0.25">
      <c r="A1231" t="s">
        <v>47</v>
      </c>
      <c r="B1231">
        <v>8</v>
      </c>
      <c r="C1231" t="s">
        <v>202</v>
      </c>
      <c r="D1231">
        <v>113</v>
      </c>
      <c r="E1231" t="s">
        <v>70</v>
      </c>
      <c r="F1231">
        <v>296</v>
      </c>
      <c r="G1231" t="s">
        <v>71</v>
      </c>
      <c r="H1231" t="s">
        <v>50</v>
      </c>
      <c r="K1231" t="s">
        <v>52</v>
      </c>
      <c r="L1231">
        <v>1</v>
      </c>
      <c r="M1231" t="s">
        <v>53</v>
      </c>
      <c r="N1231">
        <v>296</v>
      </c>
      <c r="O1231">
        <v>1</v>
      </c>
      <c r="P1231" t="s">
        <v>52</v>
      </c>
      <c r="Q1231">
        <v>0</v>
      </c>
      <c r="R1231">
        <v>0.75</v>
      </c>
      <c r="S1231">
        <v>228</v>
      </c>
      <c r="T1231" t="s">
        <v>284</v>
      </c>
      <c r="U1231">
        <v>190</v>
      </c>
      <c r="V1231" t="s">
        <v>285</v>
      </c>
      <c r="W1231">
        <v>194</v>
      </c>
      <c r="X1231" t="s">
        <v>285</v>
      </c>
      <c r="Y1231">
        <v>225</v>
      </c>
      <c r="Z1231" t="s">
        <v>285</v>
      </c>
      <c r="AA1231">
        <v>247</v>
      </c>
      <c r="AB1231" t="s">
        <v>285</v>
      </c>
      <c r="AC1231">
        <v>241</v>
      </c>
      <c r="AD1231" t="s">
        <v>285</v>
      </c>
      <c r="AE1231">
        <v>219</v>
      </c>
      <c r="AF1231" t="s">
        <v>285</v>
      </c>
      <c r="AG1231">
        <v>219</v>
      </c>
      <c r="AH1231" t="s">
        <v>286</v>
      </c>
      <c r="AI1231" t="s">
        <v>287</v>
      </c>
      <c r="AX1231">
        <v>263</v>
      </c>
      <c r="AY1231" t="s">
        <v>286</v>
      </c>
      <c r="AZ1231" t="s">
        <v>287</v>
      </c>
      <c r="BQ1231" t="s">
        <v>52</v>
      </c>
      <c r="BR1231">
        <v>0.65</v>
      </c>
      <c r="BS1231" t="s">
        <v>284</v>
      </c>
      <c r="BT1231">
        <v>0.9</v>
      </c>
      <c r="BU1231" t="s">
        <v>285</v>
      </c>
      <c r="BV1231">
        <v>0.27</v>
      </c>
      <c r="BW1231" t="s">
        <v>285</v>
      </c>
      <c r="BX1231">
        <v>0.22</v>
      </c>
      <c r="BY1231" t="s">
        <v>284</v>
      </c>
      <c r="BZ1231">
        <v>0.22</v>
      </c>
      <c r="CA1231" t="s">
        <v>284</v>
      </c>
      <c r="CF1231">
        <v>0.38</v>
      </c>
      <c r="CG1231" t="s">
        <v>54</v>
      </c>
      <c r="CH1231" t="s">
        <v>52</v>
      </c>
    </row>
    <row r="1232" spans="1:86" x14ac:dyDescent="0.25">
      <c r="A1232" t="s">
        <v>47</v>
      </c>
      <c r="B1232">
        <v>8</v>
      </c>
      <c r="C1232" t="s">
        <v>202</v>
      </c>
      <c r="D1232">
        <v>113</v>
      </c>
      <c r="E1232" t="s">
        <v>70</v>
      </c>
      <c r="F1232">
        <v>296</v>
      </c>
      <c r="G1232" t="s">
        <v>72</v>
      </c>
      <c r="H1232" t="s">
        <v>50</v>
      </c>
      <c r="K1232" t="s">
        <v>51</v>
      </c>
      <c r="L1232">
        <v>1</v>
      </c>
      <c r="M1232" t="s">
        <v>53</v>
      </c>
      <c r="N1232">
        <v>296</v>
      </c>
      <c r="O1232">
        <v>1</v>
      </c>
      <c r="P1232" t="s">
        <v>52</v>
      </c>
      <c r="Q1232">
        <v>0.5</v>
      </c>
      <c r="R1232">
        <v>0.75</v>
      </c>
      <c r="S1232">
        <v>228</v>
      </c>
      <c r="T1232" t="s">
        <v>284</v>
      </c>
      <c r="U1232">
        <v>221</v>
      </c>
      <c r="V1232" t="s">
        <v>284</v>
      </c>
      <c r="W1232">
        <v>236</v>
      </c>
      <c r="X1232" t="s">
        <v>284</v>
      </c>
      <c r="Y1232">
        <v>244</v>
      </c>
      <c r="Z1232" t="s">
        <v>284</v>
      </c>
      <c r="AA1232">
        <v>215</v>
      </c>
      <c r="AB1232" t="s">
        <v>285</v>
      </c>
      <c r="AG1232">
        <v>228.33330000000001</v>
      </c>
      <c r="AH1232" t="s">
        <v>54</v>
      </c>
      <c r="AI1232" t="s">
        <v>52</v>
      </c>
      <c r="AZ1232" t="s">
        <v>52</v>
      </c>
      <c r="BQ1232" t="s">
        <v>52</v>
      </c>
      <c r="BR1232">
        <v>1.85</v>
      </c>
      <c r="BS1232" t="s">
        <v>284</v>
      </c>
      <c r="BT1232">
        <v>1.58</v>
      </c>
      <c r="BU1232" t="s">
        <v>284</v>
      </c>
      <c r="BV1232">
        <v>1.5</v>
      </c>
      <c r="BW1232" t="s">
        <v>284</v>
      </c>
      <c r="BX1232">
        <v>1.2</v>
      </c>
      <c r="BY1232" t="s">
        <v>284</v>
      </c>
      <c r="BZ1232">
        <v>1.2</v>
      </c>
      <c r="CA1232" t="s">
        <v>284</v>
      </c>
      <c r="CF1232">
        <v>1.43</v>
      </c>
      <c r="CG1232" t="s">
        <v>54</v>
      </c>
      <c r="CH1232" t="s">
        <v>52</v>
      </c>
    </row>
    <row r="1233" spans="1:86" x14ac:dyDescent="0.25">
      <c r="A1233" t="s">
        <v>47</v>
      </c>
      <c r="B1233">
        <v>8</v>
      </c>
      <c r="C1233" t="s">
        <v>202</v>
      </c>
      <c r="D1233">
        <v>113</v>
      </c>
      <c r="E1233" t="s">
        <v>70</v>
      </c>
      <c r="F1233">
        <v>296</v>
      </c>
      <c r="G1233" t="s">
        <v>72</v>
      </c>
      <c r="H1233" t="s">
        <v>50</v>
      </c>
      <c r="K1233" t="s">
        <v>52</v>
      </c>
      <c r="L1233">
        <v>1</v>
      </c>
      <c r="M1233" t="s">
        <v>53</v>
      </c>
      <c r="N1233">
        <v>296</v>
      </c>
      <c r="O1233">
        <v>1</v>
      </c>
      <c r="P1233" t="s">
        <v>52</v>
      </c>
      <c r="Q1233">
        <v>0.5</v>
      </c>
      <c r="R1233">
        <v>0.75</v>
      </c>
      <c r="S1233">
        <v>228</v>
      </c>
      <c r="T1233" t="s">
        <v>284</v>
      </c>
      <c r="U1233">
        <v>221</v>
      </c>
      <c r="V1233" t="s">
        <v>284</v>
      </c>
      <c r="W1233">
        <v>236</v>
      </c>
      <c r="X1233" t="s">
        <v>284</v>
      </c>
      <c r="Y1233">
        <v>244</v>
      </c>
      <c r="Z1233" t="s">
        <v>284</v>
      </c>
      <c r="AA1233">
        <v>215</v>
      </c>
      <c r="AB1233" t="s">
        <v>285</v>
      </c>
      <c r="AG1233">
        <v>228.33330000000001</v>
      </c>
      <c r="AH1233" t="s">
        <v>54</v>
      </c>
      <c r="AI1233" t="s">
        <v>52</v>
      </c>
      <c r="AZ1233" t="s">
        <v>52</v>
      </c>
      <c r="BQ1233" t="s">
        <v>52</v>
      </c>
      <c r="BR1233">
        <v>0.65</v>
      </c>
      <c r="BS1233" t="s">
        <v>284</v>
      </c>
      <c r="BT1233">
        <v>0.82</v>
      </c>
      <c r="BU1233" t="s">
        <v>284</v>
      </c>
      <c r="BV1233">
        <v>0.25</v>
      </c>
      <c r="BW1233" t="s">
        <v>284</v>
      </c>
      <c r="BX1233">
        <v>0.25</v>
      </c>
      <c r="BY1233" t="s">
        <v>285</v>
      </c>
      <c r="BZ1233">
        <v>0.25</v>
      </c>
      <c r="CA1233" t="s">
        <v>284</v>
      </c>
      <c r="CF1233">
        <v>0.38</v>
      </c>
      <c r="CG1233" t="s">
        <v>54</v>
      </c>
      <c r="CH1233" t="s">
        <v>52</v>
      </c>
    </row>
    <row r="1234" spans="1:86" x14ac:dyDescent="0.25">
      <c r="A1234" t="s">
        <v>47</v>
      </c>
      <c r="B1234">
        <v>8</v>
      </c>
      <c r="C1234" t="s">
        <v>202</v>
      </c>
      <c r="D1234">
        <v>113</v>
      </c>
      <c r="E1234" t="s">
        <v>70</v>
      </c>
      <c r="F1234">
        <v>296</v>
      </c>
      <c r="G1234" t="s">
        <v>74</v>
      </c>
      <c r="H1234" t="s">
        <v>50</v>
      </c>
      <c r="K1234" t="s">
        <v>51</v>
      </c>
      <c r="L1234">
        <v>1</v>
      </c>
      <c r="M1234" t="s">
        <v>53</v>
      </c>
      <c r="N1234">
        <v>102</v>
      </c>
      <c r="O1234">
        <v>1</v>
      </c>
      <c r="P1234" t="s">
        <v>52</v>
      </c>
      <c r="Q1234">
        <v>0</v>
      </c>
      <c r="R1234">
        <v>0.75</v>
      </c>
      <c r="S1234">
        <v>135</v>
      </c>
      <c r="T1234" t="s">
        <v>284</v>
      </c>
      <c r="U1234">
        <v>132</v>
      </c>
      <c r="V1234" t="s">
        <v>284</v>
      </c>
      <c r="W1234">
        <v>147</v>
      </c>
      <c r="X1234" t="s">
        <v>284</v>
      </c>
      <c r="Y1234">
        <v>170</v>
      </c>
      <c r="Z1234" t="s">
        <v>284</v>
      </c>
      <c r="AA1234">
        <v>205</v>
      </c>
      <c r="AB1234" t="s">
        <v>285</v>
      </c>
      <c r="AG1234">
        <v>150.66669999999999</v>
      </c>
      <c r="AH1234" t="s">
        <v>54</v>
      </c>
      <c r="AI1234" t="s">
        <v>52</v>
      </c>
      <c r="AZ1234" t="s">
        <v>52</v>
      </c>
      <c r="BQ1234" t="s">
        <v>52</v>
      </c>
      <c r="BR1234">
        <v>1.85</v>
      </c>
      <c r="BS1234" t="s">
        <v>284</v>
      </c>
      <c r="BT1234">
        <v>1.79</v>
      </c>
      <c r="BU1234" t="s">
        <v>284</v>
      </c>
      <c r="BV1234">
        <v>1.18</v>
      </c>
      <c r="BW1234" t="s">
        <v>285</v>
      </c>
      <c r="BX1234">
        <v>1.18</v>
      </c>
      <c r="BY1234" t="s">
        <v>285</v>
      </c>
      <c r="BZ1234">
        <v>0.1</v>
      </c>
      <c r="CA1234" t="s">
        <v>288</v>
      </c>
      <c r="CF1234">
        <v>1.38</v>
      </c>
      <c r="CG1234" t="s">
        <v>54</v>
      </c>
      <c r="CH1234" t="s">
        <v>52</v>
      </c>
    </row>
    <row r="1235" spans="1:86" x14ac:dyDescent="0.25">
      <c r="A1235" t="s">
        <v>47</v>
      </c>
      <c r="B1235">
        <v>8</v>
      </c>
      <c r="C1235" t="s">
        <v>202</v>
      </c>
      <c r="D1235">
        <v>113</v>
      </c>
      <c r="E1235" t="s">
        <v>70</v>
      </c>
      <c r="F1235">
        <v>296</v>
      </c>
      <c r="G1235" t="s">
        <v>74</v>
      </c>
      <c r="H1235" t="s">
        <v>50</v>
      </c>
      <c r="K1235" t="s">
        <v>52</v>
      </c>
      <c r="L1235">
        <v>1</v>
      </c>
      <c r="M1235" t="s">
        <v>53</v>
      </c>
      <c r="N1235">
        <v>102</v>
      </c>
      <c r="O1235">
        <v>1</v>
      </c>
      <c r="P1235" t="s">
        <v>52</v>
      </c>
      <c r="Q1235">
        <v>0</v>
      </c>
      <c r="R1235">
        <v>0.75</v>
      </c>
      <c r="S1235">
        <v>135</v>
      </c>
      <c r="T1235" t="s">
        <v>284</v>
      </c>
      <c r="U1235">
        <v>132</v>
      </c>
      <c r="V1235" t="s">
        <v>284</v>
      </c>
      <c r="W1235">
        <v>147</v>
      </c>
      <c r="X1235" t="s">
        <v>284</v>
      </c>
      <c r="Y1235">
        <v>170</v>
      </c>
      <c r="Z1235" t="s">
        <v>284</v>
      </c>
      <c r="AA1235">
        <v>205</v>
      </c>
      <c r="AB1235" t="s">
        <v>285</v>
      </c>
      <c r="AG1235">
        <v>150.66669999999999</v>
      </c>
      <c r="AH1235" t="s">
        <v>54</v>
      </c>
      <c r="AI1235" t="s">
        <v>52</v>
      </c>
      <c r="AZ1235" t="s">
        <v>52</v>
      </c>
      <c r="BQ1235" t="s">
        <v>52</v>
      </c>
      <c r="BR1235">
        <v>0.65</v>
      </c>
      <c r="BS1235" t="s">
        <v>284</v>
      </c>
      <c r="BT1235">
        <v>0.52</v>
      </c>
      <c r="BU1235" t="s">
        <v>284</v>
      </c>
      <c r="BV1235">
        <v>0.11</v>
      </c>
      <c r="BW1235" t="s">
        <v>284</v>
      </c>
      <c r="BX1235">
        <v>0.25</v>
      </c>
      <c r="BY1235" t="s">
        <v>285</v>
      </c>
      <c r="BZ1235">
        <v>0.22</v>
      </c>
      <c r="CA1235" t="s">
        <v>289</v>
      </c>
      <c r="CF1235">
        <v>0.33</v>
      </c>
      <c r="CG1235" t="s">
        <v>54</v>
      </c>
      <c r="CH1235" t="s">
        <v>52</v>
      </c>
    </row>
    <row r="1236" spans="1:86" x14ac:dyDescent="0.25">
      <c r="A1236" t="s">
        <v>47</v>
      </c>
      <c r="B1236">
        <v>8</v>
      </c>
      <c r="C1236" t="s">
        <v>202</v>
      </c>
      <c r="D1236">
        <v>113</v>
      </c>
      <c r="E1236" t="s">
        <v>70</v>
      </c>
      <c r="F1236">
        <v>296</v>
      </c>
      <c r="G1236" t="s">
        <v>129</v>
      </c>
      <c r="H1236" t="s">
        <v>50</v>
      </c>
      <c r="K1236" t="s">
        <v>51</v>
      </c>
      <c r="L1236">
        <v>1</v>
      </c>
      <c r="M1236" t="s">
        <v>53</v>
      </c>
      <c r="N1236">
        <v>102</v>
      </c>
      <c r="O1236">
        <v>1</v>
      </c>
      <c r="P1236" t="s">
        <v>52</v>
      </c>
      <c r="Q1236">
        <v>0</v>
      </c>
      <c r="R1236">
        <v>0.75</v>
      </c>
      <c r="S1236">
        <v>228</v>
      </c>
      <c r="T1236" t="s">
        <v>284</v>
      </c>
      <c r="U1236">
        <v>190</v>
      </c>
      <c r="V1236" t="s">
        <v>284</v>
      </c>
      <c r="W1236">
        <v>194</v>
      </c>
      <c r="X1236" t="s">
        <v>284</v>
      </c>
      <c r="Y1236">
        <v>213</v>
      </c>
      <c r="Z1236" t="s">
        <v>284</v>
      </c>
      <c r="AA1236">
        <v>225</v>
      </c>
      <c r="AB1236" t="s">
        <v>285</v>
      </c>
      <c r="AG1236">
        <v>210.66669999999999</v>
      </c>
      <c r="AH1236" t="s">
        <v>54</v>
      </c>
      <c r="AI1236" t="s">
        <v>52</v>
      </c>
      <c r="AZ1236" t="s">
        <v>52</v>
      </c>
      <c r="BQ1236" t="s">
        <v>52</v>
      </c>
      <c r="BR1236">
        <v>1.85</v>
      </c>
      <c r="BS1236" t="s">
        <v>284</v>
      </c>
      <c r="BT1236">
        <v>1.79</v>
      </c>
      <c r="BU1236" t="s">
        <v>284</v>
      </c>
      <c r="BV1236">
        <v>1.07</v>
      </c>
      <c r="BW1236" t="s">
        <v>285</v>
      </c>
      <c r="BX1236">
        <v>1</v>
      </c>
      <c r="BY1236" t="s">
        <v>285</v>
      </c>
      <c r="BZ1236">
        <v>0.35</v>
      </c>
      <c r="CA1236" t="s">
        <v>285</v>
      </c>
      <c r="CF1236">
        <v>1.29</v>
      </c>
      <c r="CG1236" t="s">
        <v>54</v>
      </c>
      <c r="CH1236" t="s">
        <v>52</v>
      </c>
    </row>
    <row r="1237" spans="1:86" x14ac:dyDescent="0.25">
      <c r="A1237" t="s">
        <v>47</v>
      </c>
      <c r="B1237">
        <v>8</v>
      </c>
      <c r="C1237" t="s">
        <v>202</v>
      </c>
      <c r="D1237">
        <v>113</v>
      </c>
      <c r="E1237" t="s">
        <v>70</v>
      </c>
      <c r="F1237">
        <v>296</v>
      </c>
      <c r="G1237" t="s">
        <v>129</v>
      </c>
      <c r="H1237" t="s">
        <v>50</v>
      </c>
      <c r="K1237" t="s">
        <v>52</v>
      </c>
      <c r="L1237">
        <v>1</v>
      </c>
      <c r="M1237" t="s">
        <v>53</v>
      </c>
      <c r="N1237">
        <v>102</v>
      </c>
      <c r="O1237">
        <v>1</v>
      </c>
      <c r="P1237" t="s">
        <v>52</v>
      </c>
      <c r="Q1237">
        <v>0</v>
      </c>
      <c r="R1237">
        <v>0.75</v>
      </c>
      <c r="S1237">
        <v>228</v>
      </c>
      <c r="T1237" t="s">
        <v>284</v>
      </c>
      <c r="U1237">
        <v>190</v>
      </c>
      <c r="V1237" t="s">
        <v>284</v>
      </c>
      <c r="W1237">
        <v>194</v>
      </c>
      <c r="X1237" t="s">
        <v>284</v>
      </c>
      <c r="Y1237">
        <v>213</v>
      </c>
      <c r="Z1237" t="s">
        <v>284</v>
      </c>
      <c r="AA1237">
        <v>225</v>
      </c>
      <c r="AB1237" t="s">
        <v>285</v>
      </c>
      <c r="AG1237">
        <v>210.66669999999999</v>
      </c>
      <c r="AH1237" t="s">
        <v>54</v>
      </c>
      <c r="AI1237" t="s">
        <v>52</v>
      </c>
      <c r="AZ1237" t="s">
        <v>52</v>
      </c>
      <c r="BQ1237" t="s">
        <v>52</v>
      </c>
      <c r="BR1237">
        <v>0.65</v>
      </c>
      <c r="BS1237" t="s">
        <v>284</v>
      </c>
      <c r="BT1237">
        <v>0.9</v>
      </c>
      <c r="BU1237" t="s">
        <v>284</v>
      </c>
      <c r="BV1237">
        <v>0.28000000000000003</v>
      </c>
      <c r="BW1237" t="s">
        <v>284</v>
      </c>
      <c r="BX1237">
        <v>0.22</v>
      </c>
      <c r="BY1237" t="s">
        <v>284</v>
      </c>
      <c r="BZ1237">
        <v>0.22</v>
      </c>
      <c r="CA1237" t="s">
        <v>284</v>
      </c>
      <c r="CF1237">
        <v>0.38</v>
      </c>
      <c r="CG1237" t="s">
        <v>54</v>
      </c>
      <c r="CH1237" t="s">
        <v>52</v>
      </c>
    </row>
    <row r="1238" spans="1:86" x14ac:dyDescent="0.25">
      <c r="A1238" t="s">
        <v>47</v>
      </c>
      <c r="B1238">
        <v>8</v>
      </c>
      <c r="C1238" t="s">
        <v>202</v>
      </c>
      <c r="D1238">
        <v>113</v>
      </c>
      <c r="E1238" t="s">
        <v>70</v>
      </c>
      <c r="F1238">
        <v>296</v>
      </c>
      <c r="G1238" t="s">
        <v>89</v>
      </c>
      <c r="H1238" t="s">
        <v>50</v>
      </c>
      <c r="K1238" t="s">
        <v>51</v>
      </c>
      <c r="L1238">
        <v>1</v>
      </c>
      <c r="M1238" t="s">
        <v>53</v>
      </c>
      <c r="N1238">
        <v>102</v>
      </c>
      <c r="O1238">
        <v>1</v>
      </c>
      <c r="P1238" t="s">
        <v>52</v>
      </c>
      <c r="Q1238">
        <v>0.25</v>
      </c>
      <c r="R1238">
        <v>0.75</v>
      </c>
      <c r="S1238">
        <v>228</v>
      </c>
      <c r="T1238" t="s">
        <v>284</v>
      </c>
      <c r="U1238">
        <v>168</v>
      </c>
      <c r="V1238" t="s">
        <v>285</v>
      </c>
      <c r="W1238">
        <v>202</v>
      </c>
      <c r="X1238" t="s">
        <v>285</v>
      </c>
      <c r="Y1238">
        <v>206</v>
      </c>
      <c r="Z1238" t="s">
        <v>285</v>
      </c>
      <c r="AA1238">
        <v>215</v>
      </c>
      <c r="AB1238" t="s">
        <v>285</v>
      </c>
      <c r="AG1238">
        <v>207.66669999999999</v>
      </c>
      <c r="AH1238" t="s">
        <v>54</v>
      </c>
      <c r="AI1238" t="s">
        <v>52</v>
      </c>
      <c r="AZ1238" t="s">
        <v>52</v>
      </c>
      <c r="BQ1238" t="s">
        <v>52</v>
      </c>
      <c r="BR1238">
        <v>0.93</v>
      </c>
      <c r="BS1238" t="s">
        <v>289</v>
      </c>
      <c r="BT1238">
        <v>1.7</v>
      </c>
      <c r="BU1238" t="s">
        <v>289</v>
      </c>
      <c r="BV1238">
        <v>1.01</v>
      </c>
      <c r="BW1238" t="s">
        <v>289</v>
      </c>
      <c r="BX1238">
        <v>1.59</v>
      </c>
      <c r="BY1238" t="s">
        <v>289</v>
      </c>
      <c r="BZ1238">
        <v>1.59</v>
      </c>
      <c r="CA1238" t="s">
        <v>284</v>
      </c>
      <c r="CF1238">
        <v>1.4</v>
      </c>
      <c r="CG1238" t="s">
        <v>54</v>
      </c>
      <c r="CH1238" t="s">
        <v>52</v>
      </c>
    </row>
    <row r="1239" spans="1:86" x14ac:dyDescent="0.25">
      <c r="A1239" t="s">
        <v>47</v>
      </c>
      <c r="B1239">
        <v>8</v>
      </c>
      <c r="C1239" t="s">
        <v>202</v>
      </c>
      <c r="D1239">
        <v>113</v>
      </c>
      <c r="E1239" t="s">
        <v>70</v>
      </c>
      <c r="F1239">
        <v>296</v>
      </c>
      <c r="G1239" t="s">
        <v>122</v>
      </c>
      <c r="H1239" t="s">
        <v>50</v>
      </c>
      <c r="K1239" t="s">
        <v>51</v>
      </c>
      <c r="L1239">
        <v>1</v>
      </c>
      <c r="M1239" t="s">
        <v>53</v>
      </c>
      <c r="N1239">
        <v>102</v>
      </c>
      <c r="O1239">
        <v>1</v>
      </c>
      <c r="P1239" t="s">
        <v>52</v>
      </c>
      <c r="Q1239">
        <v>0</v>
      </c>
      <c r="R1239">
        <v>0.75</v>
      </c>
      <c r="S1239">
        <v>228</v>
      </c>
      <c r="T1239" t="s">
        <v>284</v>
      </c>
      <c r="U1239">
        <v>190</v>
      </c>
      <c r="V1239" t="s">
        <v>285</v>
      </c>
      <c r="W1239">
        <v>194</v>
      </c>
      <c r="X1239" t="s">
        <v>285</v>
      </c>
      <c r="Y1239">
        <v>213</v>
      </c>
      <c r="Z1239" t="s">
        <v>284</v>
      </c>
      <c r="AA1239">
        <v>225</v>
      </c>
      <c r="AB1239" t="s">
        <v>285</v>
      </c>
      <c r="AG1239">
        <v>210.66669999999999</v>
      </c>
      <c r="AH1239" t="s">
        <v>54</v>
      </c>
      <c r="AI1239" t="s">
        <v>52</v>
      </c>
      <c r="AZ1239" t="s">
        <v>52</v>
      </c>
      <c r="BQ1239" t="s">
        <v>52</v>
      </c>
      <c r="BR1239">
        <v>1.85</v>
      </c>
      <c r="BS1239" t="s">
        <v>284</v>
      </c>
      <c r="BT1239">
        <v>1.79</v>
      </c>
      <c r="BU1239" t="s">
        <v>284</v>
      </c>
      <c r="BV1239">
        <v>1.07</v>
      </c>
      <c r="BW1239" t="s">
        <v>285</v>
      </c>
      <c r="BX1239">
        <v>0.1</v>
      </c>
      <c r="BY1239" t="s">
        <v>288</v>
      </c>
      <c r="BZ1239">
        <v>0.56000000000000005</v>
      </c>
      <c r="CA1239" t="s">
        <v>288</v>
      </c>
      <c r="CF1239">
        <v>1.1399999999999999</v>
      </c>
      <c r="CG1239" t="s">
        <v>54</v>
      </c>
      <c r="CH1239" t="s">
        <v>52</v>
      </c>
    </row>
    <row r="1240" spans="1:86" x14ac:dyDescent="0.25">
      <c r="A1240" t="s">
        <v>47</v>
      </c>
      <c r="B1240">
        <v>8</v>
      </c>
      <c r="C1240" t="s">
        <v>202</v>
      </c>
      <c r="D1240">
        <v>113</v>
      </c>
      <c r="E1240" t="s">
        <v>70</v>
      </c>
      <c r="F1240">
        <v>296</v>
      </c>
      <c r="G1240" t="s">
        <v>122</v>
      </c>
      <c r="H1240" t="s">
        <v>50</v>
      </c>
      <c r="K1240" t="s">
        <v>52</v>
      </c>
      <c r="L1240">
        <v>1</v>
      </c>
      <c r="M1240" t="s">
        <v>53</v>
      </c>
      <c r="N1240">
        <v>102</v>
      </c>
      <c r="O1240">
        <v>1</v>
      </c>
      <c r="P1240" t="s">
        <v>52</v>
      </c>
      <c r="Q1240">
        <v>0</v>
      </c>
      <c r="R1240">
        <v>0.75</v>
      </c>
      <c r="S1240">
        <v>228</v>
      </c>
      <c r="T1240" t="s">
        <v>284</v>
      </c>
      <c r="U1240">
        <v>190</v>
      </c>
      <c r="V1240" t="s">
        <v>285</v>
      </c>
      <c r="W1240">
        <v>194</v>
      </c>
      <c r="X1240" t="s">
        <v>285</v>
      </c>
      <c r="Y1240">
        <v>213</v>
      </c>
      <c r="Z1240" t="s">
        <v>284</v>
      </c>
      <c r="AA1240">
        <v>225</v>
      </c>
      <c r="AB1240" t="s">
        <v>285</v>
      </c>
      <c r="AG1240">
        <v>210.66669999999999</v>
      </c>
      <c r="AH1240" t="s">
        <v>54</v>
      </c>
      <c r="AI1240" t="s">
        <v>52</v>
      </c>
      <c r="AZ1240" t="s">
        <v>52</v>
      </c>
      <c r="BQ1240" t="s">
        <v>52</v>
      </c>
      <c r="BR1240">
        <v>0.65</v>
      </c>
      <c r="BS1240" t="s">
        <v>284</v>
      </c>
      <c r="BT1240">
        <v>0.9</v>
      </c>
      <c r="BU1240" t="s">
        <v>284</v>
      </c>
      <c r="BV1240">
        <v>0.28000000000000003</v>
      </c>
      <c r="BW1240" t="s">
        <v>284</v>
      </c>
      <c r="BX1240">
        <v>0.22</v>
      </c>
      <c r="BY1240" t="s">
        <v>284</v>
      </c>
      <c r="BZ1240">
        <v>0.22</v>
      </c>
      <c r="CA1240" t="s">
        <v>284</v>
      </c>
      <c r="CF1240">
        <v>0.38</v>
      </c>
      <c r="CG1240" t="s">
        <v>54</v>
      </c>
      <c r="CH1240" t="s">
        <v>52</v>
      </c>
    </row>
    <row r="1241" spans="1:86" x14ac:dyDescent="0.25">
      <c r="A1241" t="s">
        <v>47</v>
      </c>
      <c r="B1241">
        <v>8</v>
      </c>
      <c r="C1241" t="s">
        <v>202</v>
      </c>
      <c r="D1241">
        <v>113</v>
      </c>
      <c r="E1241" t="s">
        <v>70</v>
      </c>
      <c r="F1241">
        <v>296</v>
      </c>
      <c r="G1241" t="s">
        <v>90</v>
      </c>
      <c r="H1241" t="s">
        <v>50</v>
      </c>
      <c r="K1241" t="s">
        <v>51</v>
      </c>
      <c r="L1241">
        <v>1</v>
      </c>
      <c r="M1241" t="s">
        <v>53</v>
      </c>
      <c r="N1241">
        <v>102</v>
      </c>
      <c r="O1241">
        <v>1</v>
      </c>
      <c r="P1241" t="s">
        <v>52</v>
      </c>
      <c r="Q1241">
        <v>0.5</v>
      </c>
      <c r="R1241">
        <v>0.75</v>
      </c>
      <c r="S1241">
        <v>228</v>
      </c>
      <c r="T1241" t="s">
        <v>284</v>
      </c>
      <c r="U1241">
        <v>190</v>
      </c>
      <c r="V1241" t="s">
        <v>285</v>
      </c>
      <c r="W1241">
        <v>236</v>
      </c>
      <c r="X1241" t="s">
        <v>284</v>
      </c>
      <c r="Y1241">
        <v>244</v>
      </c>
      <c r="Z1241" t="s">
        <v>284</v>
      </c>
      <c r="AA1241">
        <v>215</v>
      </c>
      <c r="AB1241" t="s">
        <v>285</v>
      </c>
      <c r="AG1241">
        <v>226.33330000000001</v>
      </c>
      <c r="AH1241" t="s">
        <v>54</v>
      </c>
      <c r="AI1241" t="s">
        <v>52</v>
      </c>
      <c r="AZ1241" t="s">
        <v>52</v>
      </c>
      <c r="BQ1241" t="s">
        <v>52</v>
      </c>
      <c r="BR1241">
        <v>0.65</v>
      </c>
      <c r="BS1241" t="s">
        <v>284</v>
      </c>
      <c r="BT1241">
        <v>1.58</v>
      </c>
      <c r="BU1241" t="s">
        <v>284</v>
      </c>
      <c r="BV1241">
        <v>1.5</v>
      </c>
      <c r="BW1241" t="s">
        <v>284</v>
      </c>
      <c r="BX1241">
        <v>1.2</v>
      </c>
      <c r="BY1241" t="s">
        <v>284</v>
      </c>
      <c r="BZ1241">
        <v>1.2</v>
      </c>
      <c r="CA1241" t="s">
        <v>284</v>
      </c>
      <c r="CF1241">
        <v>1.3</v>
      </c>
      <c r="CG1241" t="s">
        <v>54</v>
      </c>
      <c r="CH1241" t="s">
        <v>52</v>
      </c>
    </row>
    <row r="1242" spans="1:86" x14ac:dyDescent="0.25">
      <c r="A1242" t="s">
        <v>47</v>
      </c>
      <c r="B1242">
        <v>8</v>
      </c>
      <c r="C1242" t="s">
        <v>202</v>
      </c>
      <c r="D1242">
        <v>113</v>
      </c>
      <c r="E1242" t="s">
        <v>70</v>
      </c>
      <c r="F1242">
        <v>296</v>
      </c>
      <c r="G1242" t="s">
        <v>90</v>
      </c>
      <c r="H1242" t="s">
        <v>50</v>
      </c>
      <c r="K1242" t="s">
        <v>52</v>
      </c>
      <c r="L1242">
        <v>1</v>
      </c>
      <c r="M1242" t="s">
        <v>53</v>
      </c>
      <c r="N1242">
        <v>102</v>
      </c>
      <c r="O1242">
        <v>1</v>
      </c>
      <c r="P1242" t="s">
        <v>52</v>
      </c>
      <c r="Q1242">
        <v>0.5</v>
      </c>
      <c r="R1242">
        <v>0.75</v>
      </c>
      <c r="S1242">
        <v>228</v>
      </c>
      <c r="T1242" t="s">
        <v>284</v>
      </c>
      <c r="U1242">
        <v>190</v>
      </c>
      <c r="V1242" t="s">
        <v>285</v>
      </c>
      <c r="W1242">
        <v>236</v>
      </c>
      <c r="X1242" t="s">
        <v>284</v>
      </c>
      <c r="Y1242">
        <v>244</v>
      </c>
      <c r="Z1242" t="s">
        <v>284</v>
      </c>
      <c r="AA1242">
        <v>215</v>
      </c>
      <c r="AB1242" t="s">
        <v>285</v>
      </c>
      <c r="AG1242">
        <v>226.33330000000001</v>
      </c>
      <c r="AH1242" t="s">
        <v>54</v>
      </c>
      <c r="AI1242" t="s">
        <v>52</v>
      </c>
      <c r="AZ1242" t="s">
        <v>52</v>
      </c>
      <c r="BQ1242" t="s">
        <v>52</v>
      </c>
      <c r="BR1242">
        <v>0.65</v>
      </c>
      <c r="BS1242" t="s">
        <v>284</v>
      </c>
      <c r="BT1242">
        <v>0.82</v>
      </c>
      <c r="BU1242" t="s">
        <v>284</v>
      </c>
      <c r="BV1242">
        <v>0.25</v>
      </c>
      <c r="BW1242" t="s">
        <v>284</v>
      </c>
      <c r="BX1242">
        <v>0.25</v>
      </c>
      <c r="BY1242" t="s">
        <v>285</v>
      </c>
      <c r="BZ1242">
        <v>0.25</v>
      </c>
      <c r="CA1242" t="s">
        <v>284</v>
      </c>
      <c r="CF1242">
        <v>0.38</v>
      </c>
      <c r="CG1242" t="s">
        <v>54</v>
      </c>
      <c r="CH1242" t="s">
        <v>52</v>
      </c>
    </row>
    <row r="1243" spans="1:86" x14ac:dyDescent="0.25">
      <c r="A1243" t="s">
        <v>47</v>
      </c>
      <c r="B1243">
        <v>8</v>
      </c>
      <c r="C1243" t="s">
        <v>202</v>
      </c>
      <c r="D1243">
        <v>113</v>
      </c>
      <c r="E1243" t="s">
        <v>70</v>
      </c>
      <c r="F1243">
        <v>296</v>
      </c>
      <c r="G1243" t="s">
        <v>91</v>
      </c>
      <c r="H1243" t="s">
        <v>50</v>
      </c>
      <c r="K1243" t="s">
        <v>51</v>
      </c>
      <c r="L1243">
        <v>1</v>
      </c>
      <c r="M1243" t="s">
        <v>53</v>
      </c>
      <c r="N1243">
        <v>102</v>
      </c>
      <c r="O1243">
        <v>1</v>
      </c>
      <c r="P1243" t="s">
        <v>52</v>
      </c>
      <c r="Q1243">
        <v>0.5</v>
      </c>
      <c r="R1243">
        <v>0.75</v>
      </c>
      <c r="S1243">
        <v>228</v>
      </c>
      <c r="T1243" t="s">
        <v>284</v>
      </c>
      <c r="U1243">
        <v>190</v>
      </c>
      <c r="V1243" t="s">
        <v>285</v>
      </c>
      <c r="W1243">
        <v>236</v>
      </c>
      <c r="X1243" t="s">
        <v>284</v>
      </c>
      <c r="Y1243">
        <v>244</v>
      </c>
      <c r="Z1243" t="s">
        <v>284</v>
      </c>
      <c r="AA1243">
        <v>215</v>
      </c>
      <c r="AB1243" t="s">
        <v>285</v>
      </c>
      <c r="AG1243">
        <v>226.33330000000001</v>
      </c>
      <c r="AH1243" t="s">
        <v>54</v>
      </c>
      <c r="AI1243" t="s">
        <v>52</v>
      </c>
      <c r="AZ1243" t="s">
        <v>52</v>
      </c>
      <c r="BQ1243" t="s">
        <v>52</v>
      </c>
      <c r="BR1243">
        <v>1.85</v>
      </c>
      <c r="BS1243" t="s">
        <v>284</v>
      </c>
      <c r="BT1243">
        <v>1.58</v>
      </c>
      <c r="BU1243" t="s">
        <v>284</v>
      </c>
      <c r="BV1243">
        <v>1.5</v>
      </c>
      <c r="BW1243" t="s">
        <v>284</v>
      </c>
      <c r="BX1243">
        <v>1.2</v>
      </c>
      <c r="BY1243" t="s">
        <v>284</v>
      </c>
      <c r="BZ1243">
        <v>1.2</v>
      </c>
      <c r="CA1243" t="s">
        <v>284</v>
      </c>
      <c r="CF1243">
        <v>1.43</v>
      </c>
      <c r="CG1243" t="s">
        <v>54</v>
      </c>
      <c r="CH1243" t="s">
        <v>52</v>
      </c>
    </row>
    <row r="1244" spans="1:86" x14ac:dyDescent="0.25">
      <c r="A1244" t="s">
        <v>47</v>
      </c>
      <c r="B1244">
        <v>8</v>
      </c>
      <c r="C1244" t="s">
        <v>202</v>
      </c>
      <c r="D1244">
        <v>113</v>
      </c>
      <c r="E1244" t="s">
        <v>70</v>
      </c>
      <c r="F1244">
        <v>296</v>
      </c>
      <c r="G1244" t="s">
        <v>91</v>
      </c>
      <c r="H1244" t="s">
        <v>50</v>
      </c>
      <c r="K1244" t="s">
        <v>52</v>
      </c>
      <c r="L1244">
        <v>1</v>
      </c>
      <c r="M1244" t="s">
        <v>53</v>
      </c>
      <c r="N1244">
        <v>102</v>
      </c>
      <c r="O1244">
        <v>1</v>
      </c>
      <c r="P1244" t="s">
        <v>52</v>
      </c>
      <c r="Q1244">
        <v>0.5</v>
      </c>
      <c r="R1244">
        <v>0.75</v>
      </c>
      <c r="S1244">
        <v>228</v>
      </c>
      <c r="T1244" t="s">
        <v>284</v>
      </c>
      <c r="U1244">
        <v>190</v>
      </c>
      <c r="V1244" t="s">
        <v>285</v>
      </c>
      <c r="W1244">
        <v>236</v>
      </c>
      <c r="X1244" t="s">
        <v>284</v>
      </c>
      <c r="Y1244">
        <v>244</v>
      </c>
      <c r="Z1244" t="s">
        <v>284</v>
      </c>
      <c r="AA1244">
        <v>215</v>
      </c>
      <c r="AB1244" t="s">
        <v>285</v>
      </c>
      <c r="AG1244">
        <v>226.33330000000001</v>
      </c>
      <c r="AH1244" t="s">
        <v>54</v>
      </c>
      <c r="AI1244" t="s">
        <v>52</v>
      </c>
      <c r="AZ1244" t="s">
        <v>52</v>
      </c>
      <c r="BQ1244" t="s">
        <v>52</v>
      </c>
      <c r="BR1244">
        <v>0.65</v>
      </c>
      <c r="BS1244" t="s">
        <v>285</v>
      </c>
      <c r="BT1244">
        <v>0.82</v>
      </c>
      <c r="BU1244" t="s">
        <v>284</v>
      </c>
      <c r="BV1244">
        <v>0.25</v>
      </c>
      <c r="BW1244" t="s">
        <v>284</v>
      </c>
      <c r="BX1244">
        <v>0.25</v>
      </c>
      <c r="BY1244" t="s">
        <v>285</v>
      </c>
      <c r="BZ1244">
        <v>0.25</v>
      </c>
      <c r="CA1244" t="s">
        <v>284</v>
      </c>
      <c r="CF1244">
        <v>0.38</v>
      </c>
      <c r="CG1244" t="s">
        <v>54</v>
      </c>
      <c r="CH1244" t="s">
        <v>52</v>
      </c>
    </row>
    <row r="1245" spans="1:86" x14ac:dyDescent="0.25">
      <c r="A1245" t="s">
        <v>47</v>
      </c>
      <c r="B1245">
        <v>8</v>
      </c>
      <c r="C1245" t="s">
        <v>202</v>
      </c>
      <c r="D1245">
        <v>113</v>
      </c>
      <c r="E1245" t="s">
        <v>70</v>
      </c>
      <c r="F1245">
        <v>296</v>
      </c>
      <c r="G1245" t="s">
        <v>124</v>
      </c>
      <c r="H1245" t="s">
        <v>50</v>
      </c>
      <c r="K1245" t="s">
        <v>51</v>
      </c>
      <c r="L1245">
        <v>1</v>
      </c>
      <c r="M1245" t="s">
        <v>53</v>
      </c>
      <c r="N1245">
        <v>102</v>
      </c>
      <c r="O1245">
        <v>1</v>
      </c>
      <c r="P1245" t="s">
        <v>52</v>
      </c>
      <c r="Q1245">
        <v>0</v>
      </c>
      <c r="R1245">
        <v>0.75</v>
      </c>
      <c r="S1245">
        <v>228</v>
      </c>
      <c r="T1245" t="s">
        <v>284</v>
      </c>
      <c r="U1245">
        <v>177</v>
      </c>
      <c r="V1245" t="s">
        <v>284</v>
      </c>
      <c r="W1245">
        <v>147</v>
      </c>
      <c r="X1245" t="s">
        <v>284</v>
      </c>
      <c r="Y1245">
        <v>170</v>
      </c>
      <c r="Z1245" t="s">
        <v>284</v>
      </c>
      <c r="AA1245">
        <v>205</v>
      </c>
      <c r="AB1245" t="s">
        <v>285</v>
      </c>
      <c r="AG1245">
        <v>184</v>
      </c>
      <c r="AH1245" t="s">
        <v>54</v>
      </c>
      <c r="AI1245" t="s">
        <v>52</v>
      </c>
      <c r="AZ1245" t="s">
        <v>52</v>
      </c>
      <c r="BQ1245" t="s">
        <v>52</v>
      </c>
      <c r="BR1245">
        <v>1.85</v>
      </c>
      <c r="BS1245" t="s">
        <v>284</v>
      </c>
      <c r="BT1245">
        <v>1.79</v>
      </c>
      <c r="BU1245" t="s">
        <v>284</v>
      </c>
      <c r="BV1245">
        <v>1.18</v>
      </c>
      <c r="BW1245" t="s">
        <v>284</v>
      </c>
      <c r="BX1245">
        <v>1.18</v>
      </c>
      <c r="BY1245" t="s">
        <v>284</v>
      </c>
      <c r="BZ1245">
        <v>0.1</v>
      </c>
      <c r="CA1245" t="s">
        <v>288</v>
      </c>
      <c r="CF1245">
        <v>1.38</v>
      </c>
      <c r="CG1245" t="s">
        <v>54</v>
      </c>
      <c r="CH1245" t="s">
        <v>52</v>
      </c>
    </row>
    <row r="1246" spans="1:86" x14ac:dyDescent="0.25">
      <c r="A1246" t="s">
        <v>47</v>
      </c>
      <c r="B1246">
        <v>8</v>
      </c>
      <c r="C1246" t="s">
        <v>202</v>
      </c>
      <c r="D1246">
        <v>113</v>
      </c>
      <c r="E1246" t="s">
        <v>70</v>
      </c>
      <c r="F1246">
        <v>296</v>
      </c>
      <c r="G1246" t="s">
        <v>124</v>
      </c>
      <c r="H1246" t="s">
        <v>50</v>
      </c>
      <c r="K1246" t="s">
        <v>52</v>
      </c>
      <c r="L1246">
        <v>1</v>
      </c>
      <c r="M1246" t="s">
        <v>53</v>
      </c>
      <c r="N1246">
        <v>102</v>
      </c>
      <c r="O1246">
        <v>1</v>
      </c>
      <c r="P1246" t="s">
        <v>52</v>
      </c>
      <c r="Q1246">
        <v>0</v>
      </c>
      <c r="R1246">
        <v>0.75</v>
      </c>
      <c r="S1246">
        <v>228</v>
      </c>
      <c r="T1246" t="s">
        <v>284</v>
      </c>
      <c r="U1246">
        <v>177</v>
      </c>
      <c r="V1246" t="s">
        <v>284</v>
      </c>
      <c r="W1246">
        <v>147</v>
      </c>
      <c r="X1246" t="s">
        <v>284</v>
      </c>
      <c r="Y1246">
        <v>170</v>
      </c>
      <c r="Z1246" t="s">
        <v>284</v>
      </c>
      <c r="AA1246">
        <v>205</v>
      </c>
      <c r="AB1246" t="s">
        <v>285</v>
      </c>
      <c r="AG1246">
        <v>184</v>
      </c>
      <c r="AH1246" t="s">
        <v>54</v>
      </c>
      <c r="AI1246" t="s">
        <v>52</v>
      </c>
      <c r="AZ1246" t="s">
        <v>52</v>
      </c>
      <c r="BQ1246" t="s">
        <v>52</v>
      </c>
      <c r="BR1246">
        <v>0.65</v>
      </c>
      <c r="BS1246" t="s">
        <v>285</v>
      </c>
      <c r="BT1246">
        <v>0.52</v>
      </c>
      <c r="BU1246" t="s">
        <v>284</v>
      </c>
      <c r="BV1246">
        <v>0.11</v>
      </c>
      <c r="BW1246" t="s">
        <v>284</v>
      </c>
      <c r="BX1246">
        <v>0.25</v>
      </c>
      <c r="BY1246" t="s">
        <v>285</v>
      </c>
      <c r="BZ1246">
        <v>0.22</v>
      </c>
      <c r="CA1246" t="s">
        <v>289</v>
      </c>
      <c r="CF1246">
        <v>0.33</v>
      </c>
      <c r="CG1246" t="s">
        <v>54</v>
      </c>
      <c r="CH1246" t="s">
        <v>52</v>
      </c>
    </row>
    <row r="1247" spans="1:86" x14ac:dyDescent="0.25">
      <c r="A1247" t="s">
        <v>47</v>
      </c>
      <c r="B1247">
        <v>8</v>
      </c>
      <c r="C1247" t="s">
        <v>202</v>
      </c>
      <c r="D1247">
        <v>113</v>
      </c>
      <c r="E1247" t="s">
        <v>70</v>
      </c>
      <c r="F1247">
        <v>296</v>
      </c>
      <c r="G1247" t="s">
        <v>92</v>
      </c>
      <c r="H1247" t="s">
        <v>50</v>
      </c>
      <c r="K1247" t="s">
        <v>51</v>
      </c>
      <c r="L1247">
        <v>1</v>
      </c>
      <c r="M1247" t="s">
        <v>53</v>
      </c>
      <c r="N1247">
        <v>102</v>
      </c>
      <c r="O1247">
        <v>1</v>
      </c>
      <c r="P1247" t="s">
        <v>52</v>
      </c>
      <c r="Q1247">
        <v>0.5</v>
      </c>
      <c r="R1247">
        <v>0.75</v>
      </c>
      <c r="S1247">
        <v>228</v>
      </c>
      <c r="T1247" t="s">
        <v>284</v>
      </c>
      <c r="U1247">
        <v>189</v>
      </c>
      <c r="V1247" t="s">
        <v>285</v>
      </c>
      <c r="W1247">
        <v>199</v>
      </c>
      <c r="X1247" t="s">
        <v>285</v>
      </c>
      <c r="Y1247">
        <v>206</v>
      </c>
      <c r="Z1247" t="s">
        <v>285</v>
      </c>
      <c r="AA1247">
        <v>128</v>
      </c>
      <c r="AB1247" t="s">
        <v>285</v>
      </c>
      <c r="AG1247">
        <v>198</v>
      </c>
      <c r="AH1247" t="s">
        <v>54</v>
      </c>
      <c r="AI1247" t="s">
        <v>52</v>
      </c>
      <c r="AZ1247" t="s">
        <v>52</v>
      </c>
      <c r="BQ1247" t="s">
        <v>52</v>
      </c>
      <c r="BR1247">
        <v>1.85</v>
      </c>
      <c r="BS1247" t="s">
        <v>284</v>
      </c>
      <c r="BT1247">
        <v>1.79</v>
      </c>
      <c r="BU1247" t="s">
        <v>284</v>
      </c>
      <c r="BV1247">
        <v>1.79</v>
      </c>
      <c r="BW1247" t="s">
        <v>284</v>
      </c>
      <c r="BX1247">
        <v>1.79</v>
      </c>
      <c r="BY1247" t="s">
        <v>284</v>
      </c>
      <c r="BZ1247">
        <v>2.2599999999999998</v>
      </c>
      <c r="CA1247" t="s">
        <v>285</v>
      </c>
      <c r="CF1247">
        <v>1.81</v>
      </c>
      <c r="CG1247" t="s">
        <v>54</v>
      </c>
      <c r="CH1247" t="s">
        <v>52</v>
      </c>
    </row>
    <row r="1248" spans="1:86" x14ac:dyDescent="0.25">
      <c r="A1248" t="s">
        <v>47</v>
      </c>
      <c r="B1248">
        <v>8</v>
      </c>
      <c r="C1248" t="s">
        <v>202</v>
      </c>
      <c r="D1248">
        <v>113</v>
      </c>
      <c r="E1248" t="s">
        <v>70</v>
      </c>
      <c r="F1248">
        <v>296</v>
      </c>
      <c r="G1248" t="s">
        <v>92</v>
      </c>
      <c r="H1248" t="s">
        <v>50</v>
      </c>
      <c r="K1248" t="s">
        <v>52</v>
      </c>
      <c r="L1248">
        <v>1</v>
      </c>
      <c r="M1248" t="s">
        <v>53</v>
      </c>
      <c r="N1248">
        <v>102</v>
      </c>
      <c r="O1248">
        <v>1</v>
      </c>
      <c r="P1248" t="s">
        <v>52</v>
      </c>
      <c r="Q1248">
        <v>0.5</v>
      </c>
      <c r="R1248">
        <v>0.75</v>
      </c>
      <c r="S1248">
        <v>228</v>
      </c>
      <c r="T1248" t="s">
        <v>284</v>
      </c>
      <c r="U1248">
        <v>189</v>
      </c>
      <c r="V1248" t="s">
        <v>285</v>
      </c>
      <c r="W1248">
        <v>199</v>
      </c>
      <c r="X1248" t="s">
        <v>285</v>
      </c>
      <c r="Y1248">
        <v>206</v>
      </c>
      <c r="Z1248" t="s">
        <v>285</v>
      </c>
      <c r="AA1248">
        <v>128</v>
      </c>
      <c r="AB1248" t="s">
        <v>285</v>
      </c>
      <c r="AG1248">
        <v>198</v>
      </c>
      <c r="AH1248" t="s">
        <v>54</v>
      </c>
      <c r="AI1248" t="s">
        <v>52</v>
      </c>
      <c r="AZ1248" t="s">
        <v>52</v>
      </c>
      <c r="BQ1248" t="s">
        <v>52</v>
      </c>
      <c r="BR1248">
        <v>1.85</v>
      </c>
      <c r="BS1248" t="s">
        <v>284</v>
      </c>
      <c r="BT1248">
        <v>0.93</v>
      </c>
      <c r="BU1248" t="s">
        <v>284</v>
      </c>
      <c r="BV1248">
        <v>0.32</v>
      </c>
      <c r="BW1248" t="s">
        <v>284</v>
      </c>
      <c r="BX1248">
        <v>0.44</v>
      </c>
      <c r="BY1248" t="s">
        <v>284</v>
      </c>
      <c r="BZ1248">
        <v>0.44</v>
      </c>
      <c r="CA1248" t="s">
        <v>285</v>
      </c>
      <c r="CF1248">
        <v>0.6</v>
      </c>
      <c r="CG1248" t="s">
        <v>54</v>
      </c>
      <c r="CH1248" t="s">
        <v>52</v>
      </c>
    </row>
    <row r="1249" spans="1:86" x14ac:dyDescent="0.25">
      <c r="A1249" t="s">
        <v>47</v>
      </c>
      <c r="B1249">
        <v>8</v>
      </c>
      <c r="C1249" t="s">
        <v>202</v>
      </c>
      <c r="D1249">
        <v>113</v>
      </c>
      <c r="E1249" t="s">
        <v>70</v>
      </c>
      <c r="F1249">
        <v>296</v>
      </c>
      <c r="G1249" t="s">
        <v>116</v>
      </c>
      <c r="H1249" t="s">
        <v>50</v>
      </c>
      <c r="K1249" t="s">
        <v>51</v>
      </c>
      <c r="L1249">
        <v>1</v>
      </c>
      <c r="M1249" t="s">
        <v>53</v>
      </c>
      <c r="N1249">
        <v>102</v>
      </c>
      <c r="O1249">
        <v>1</v>
      </c>
      <c r="P1249" t="s">
        <v>52</v>
      </c>
      <c r="Q1249">
        <v>0.5</v>
      </c>
      <c r="R1249">
        <v>0.75</v>
      </c>
      <c r="S1249">
        <v>228</v>
      </c>
      <c r="T1249" t="s">
        <v>284</v>
      </c>
      <c r="U1249">
        <v>190</v>
      </c>
      <c r="V1249" t="s">
        <v>285</v>
      </c>
      <c r="W1249">
        <v>236</v>
      </c>
      <c r="X1249" t="s">
        <v>284</v>
      </c>
      <c r="Y1249">
        <v>244</v>
      </c>
      <c r="Z1249" t="s">
        <v>284</v>
      </c>
      <c r="AA1249">
        <v>215</v>
      </c>
      <c r="AB1249" t="s">
        <v>285</v>
      </c>
      <c r="AG1249">
        <v>226.33330000000001</v>
      </c>
      <c r="AH1249" t="s">
        <v>54</v>
      </c>
      <c r="AI1249" t="s">
        <v>52</v>
      </c>
      <c r="AZ1249" t="s">
        <v>52</v>
      </c>
      <c r="BQ1249" t="s">
        <v>52</v>
      </c>
      <c r="BR1249">
        <v>1.85</v>
      </c>
      <c r="BS1249" t="s">
        <v>285</v>
      </c>
      <c r="BT1249">
        <v>1.58</v>
      </c>
      <c r="BU1249" t="s">
        <v>284</v>
      </c>
      <c r="BV1249">
        <v>1.5</v>
      </c>
      <c r="BW1249" t="s">
        <v>284</v>
      </c>
      <c r="BX1249">
        <v>1.2</v>
      </c>
      <c r="BY1249" t="s">
        <v>284</v>
      </c>
      <c r="BZ1249">
        <v>1.2</v>
      </c>
      <c r="CA1249" t="s">
        <v>284</v>
      </c>
      <c r="CF1249">
        <v>1.43</v>
      </c>
      <c r="CG1249" t="s">
        <v>54</v>
      </c>
      <c r="CH1249" t="s">
        <v>52</v>
      </c>
    </row>
    <row r="1250" spans="1:86" x14ac:dyDescent="0.25">
      <c r="A1250" t="s">
        <v>47</v>
      </c>
      <c r="B1250">
        <v>8</v>
      </c>
      <c r="C1250" t="s">
        <v>202</v>
      </c>
      <c r="D1250">
        <v>113</v>
      </c>
      <c r="E1250" t="s">
        <v>70</v>
      </c>
      <c r="F1250">
        <v>296</v>
      </c>
      <c r="G1250" t="s">
        <v>116</v>
      </c>
      <c r="H1250" t="s">
        <v>50</v>
      </c>
      <c r="K1250" t="s">
        <v>52</v>
      </c>
      <c r="L1250">
        <v>1</v>
      </c>
      <c r="M1250" t="s">
        <v>53</v>
      </c>
      <c r="N1250">
        <v>102</v>
      </c>
      <c r="O1250">
        <v>1</v>
      </c>
      <c r="P1250" t="s">
        <v>52</v>
      </c>
      <c r="Q1250">
        <v>0.5</v>
      </c>
      <c r="R1250">
        <v>0.75</v>
      </c>
      <c r="S1250">
        <v>228</v>
      </c>
      <c r="T1250" t="s">
        <v>284</v>
      </c>
      <c r="U1250">
        <v>190</v>
      </c>
      <c r="V1250" t="s">
        <v>285</v>
      </c>
      <c r="W1250">
        <v>236</v>
      </c>
      <c r="X1250" t="s">
        <v>284</v>
      </c>
      <c r="Y1250">
        <v>244</v>
      </c>
      <c r="Z1250" t="s">
        <v>284</v>
      </c>
      <c r="AA1250">
        <v>215</v>
      </c>
      <c r="AB1250" t="s">
        <v>285</v>
      </c>
      <c r="AG1250">
        <v>226.33330000000001</v>
      </c>
      <c r="AH1250" t="s">
        <v>54</v>
      </c>
      <c r="AI1250" t="s">
        <v>52</v>
      </c>
      <c r="AZ1250" t="s">
        <v>52</v>
      </c>
      <c r="BQ1250" t="s">
        <v>52</v>
      </c>
      <c r="BR1250">
        <v>0.65</v>
      </c>
      <c r="BS1250" t="s">
        <v>285</v>
      </c>
      <c r="BT1250">
        <v>0.82</v>
      </c>
      <c r="BU1250" t="s">
        <v>284</v>
      </c>
      <c r="BV1250">
        <v>0.25</v>
      </c>
      <c r="BW1250" t="s">
        <v>284</v>
      </c>
      <c r="BX1250">
        <v>0.25</v>
      </c>
      <c r="BY1250" t="s">
        <v>284</v>
      </c>
      <c r="BZ1250">
        <v>0.25</v>
      </c>
      <c r="CA1250" t="s">
        <v>284</v>
      </c>
      <c r="CF1250">
        <v>0.38</v>
      </c>
      <c r="CG1250" t="s">
        <v>54</v>
      </c>
      <c r="CH1250" t="s">
        <v>52</v>
      </c>
    </row>
    <row r="1251" spans="1:86" x14ac:dyDescent="0.25">
      <c r="A1251" t="s">
        <v>47</v>
      </c>
      <c r="B1251">
        <v>8</v>
      </c>
      <c r="C1251" t="s">
        <v>202</v>
      </c>
      <c r="D1251">
        <v>113</v>
      </c>
      <c r="E1251" t="s">
        <v>75</v>
      </c>
      <c r="F1251">
        <v>16</v>
      </c>
      <c r="G1251" t="s">
        <v>76</v>
      </c>
      <c r="H1251" t="s">
        <v>50</v>
      </c>
      <c r="K1251" t="s">
        <v>51</v>
      </c>
      <c r="L1251">
        <v>1</v>
      </c>
      <c r="M1251" t="s">
        <v>53</v>
      </c>
      <c r="N1251">
        <v>16</v>
      </c>
      <c r="O1251">
        <v>2</v>
      </c>
      <c r="P1251" t="s">
        <v>52</v>
      </c>
      <c r="Q1251">
        <v>0.5</v>
      </c>
      <c r="R1251">
        <v>0.75</v>
      </c>
      <c r="S1251">
        <v>83.35</v>
      </c>
      <c r="T1251" t="s">
        <v>285</v>
      </c>
      <c r="U1251">
        <v>96.14</v>
      </c>
      <c r="V1251" t="s">
        <v>284</v>
      </c>
      <c r="W1251">
        <v>103.37</v>
      </c>
      <c r="X1251" t="s">
        <v>284</v>
      </c>
      <c r="Y1251">
        <v>106.14</v>
      </c>
      <c r="Z1251" t="s">
        <v>284</v>
      </c>
      <c r="AA1251">
        <v>128</v>
      </c>
      <c r="AB1251" t="s">
        <v>285</v>
      </c>
      <c r="AG1251">
        <v>101.88330000000001</v>
      </c>
      <c r="AH1251" t="s">
        <v>54</v>
      </c>
      <c r="AI1251" t="s">
        <v>52</v>
      </c>
      <c r="AX1251">
        <v>146.69999999999999</v>
      </c>
      <c r="AY1251" t="s">
        <v>285</v>
      </c>
      <c r="AZ1251" t="s">
        <v>287</v>
      </c>
      <c r="BQ1251" t="s">
        <v>52</v>
      </c>
      <c r="BR1251">
        <v>1.85</v>
      </c>
      <c r="BS1251" t="s">
        <v>284</v>
      </c>
      <c r="BT1251">
        <v>1.82</v>
      </c>
      <c r="BU1251" t="s">
        <v>285</v>
      </c>
      <c r="BV1251">
        <v>1.1499999999999999</v>
      </c>
      <c r="BW1251" t="s">
        <v>285</v>
      </c>
      <c r="BX1251">
        <v>1.59</v>
      </c>
      <c r="BY1251" t="s">
        <v>285</v>
      </c>
      <c r="BZ1251">
        <v>2.02</v>
      </c>
      <c r="CA1251" t="s">
        <v>288</v>
      </c>
      <c r="CF1251">
        <v>1.75</v>
      </c>
      <c r="CG1251" t="s">
        <v>54</v>
      </c>
      <c r="CH1251" t="s">
        <v>52</v>
      </c>
    </row>
    <row r="1252" spans="1:86" x14ac:dyDescent="0.25">
      <c r="A1252" t="s">
        <v>47</v>
      </c>
      <c r="B1252">
        <v>8</v>
      </c>
      <c r="C1252" t="s">
        <v>202</v>
      </c>
      <c r="D1252">
        <v>113</v>
      </c>
      <c r="E1252" t="s">
        <v>75</v>
      </c>
      <c r="F1252">
        <v>16</v>
      </c>
      <c r="G1252" t="s">
        <v>76</v>
      </c>
      <c r="H1252" t="s">
        <v>50</v>
      </c>
      <c r="K1252" t="s">
        <v>52</v>
      </c>
      <c r="L1252">
        <v>1</v>
      </c>
      <c r="M1252" t="s">
        <v>53</v>
      </c>
      <c r="N1252">
        <v>16</v>
      </c>
      <c r="O1252">
        <v>2</v>
      </c>
      <c r="P1252" t="s">
        <v>52</v>
      </c>
      <c r="Q1252">
        <v>0.5</v>
      </c>
      <c r="R1252">
        <v>0.75</v>
      </c>
      <c r="S1252">
        <v>83.35</v>
      </c>
      <c r="T1252" t="s">
        <v>285</v>
      </c>
      <c r="U1252">
        <v>96.14</v>
      </c>
      <c r="V1252" t="s">
        <v>284</v>
      </c>
      <c r="W1252">
        <v>103.37</v>
      </c>
      <c r="X1252" t="s">
        <v>284</v>
      </c>
      <c r="Y1252">
        <v>106.14</v>
      </c>
      <c r="Z1252" t="s">
        <v>284</v>
      </c>
      <c r="AA1252">
        <v>128</v>
      </c>
      <c r="AB1252" t="s">
        <v>285</v>
      </c>
      <c r="AG1252">
        <v>101.88330000000001</v>
      </c>
      <c r="AH1252" t="s">
        <v>54</v>
      </c>
      <c r="AI1252" t="s">
        <v>52</v>
      </c>
      <c r="AX1252">
        <v>146.69999999999999</v>
      </c>
      <c r="AY1252" t="s">
        <v>285</v>
      </c>
      <c r="AZ1252" t="s">
        <v>287</v>
      </c>
      <c r="BQ1252" t="s">
        <v>52</v>
      </c>
      <c r="BR1252">
        <v>0.65</v>
      </c>
      <c r="BS1252" t="s">
        <v>284</v>
      </c>
      <c r="BT1252">
        <v>0.87</v>
      </c>
      <c r="BU1252" t="s">
        <v>284</v>
      </c>
      <c r="BV1252">
        <v>1.55</v>
      </c>
      <c r="BW1252" t="s">
        <v>284</v>
      </c>
      <c r="BX1252">
        <v>1.6</v>
      </c>
      <c r="BY1252" t="s">
        <v>284</v>
      </c>
      <c r="BZ1252">
        <v>0.18</v>
      </c>
      <c r="CA1252" t="s">
        <v>289</v>
      </c>
      <c r="CF1252">
        <v>1.02</v>
      </c>
      <c r="CG1252" t="s">
        <v>54</v>
      </c>
      <c r="CH1252" t="s">
        <v>52</v>
      </c>
    </row>
    <row r="1253" spans="1:86" x14ac:dyDescent="0.25">
      <c r="A1253" t="s">
        <v>47</v>
      </c>
      <c r="B1253">
        <v>8</v>
      </c>
      <c r="C1253" t="s">
        <v>202</v>
      </c>
      <c r="D1253">
        <v>113</v>
      </c>
      <c r="E1253" t="s">
        <v>94</v>
      </c>
      <c r="F1253">
        <v>26</v>
      </c>
      <c r="H1253" t="s">
        <v>50</v>
      </c>
      <c r="K1253" t="s">
        <v>51</v>
      </c>
      <c r="L1253">
        <v>1</v>
      </c>
      <c r="M1253" t="s">
        <v>53</v>
      </c>
      <c r="N1253">
        <v>102</v>
      </c>
      <c r="O1253">
        <v>1</v>
      </c>
      <c r="P1253" t="s">
        <v>52</v>
      </c>
      <c r="Q1253">
        <v>0</v>
      </c>
      <c r="R1253">
        <v>0.92</v>
      </c>
      <c r="S1253">
        <v>131.69999999999999</v>
      </c>
      <c r="T1253" t="s">
        <v>284</v>
      </c>
      <c r="U1253">
        <v>170</v>
      </c>
      <c r="V1253" t="s">
        <v>284</v>
      </c>
      <c r="W1253">
        <v>191</v>
      </c>
      <c r="X1253" t="s">
        <v>284</v>
      </c>
      <c r="Y1253">
        <v>207</v>
      </c>
      <c r="Z1253" t="s">
        <v>284</v>
      </c>
      <c r="AA1253">
        <v>186</v>
      </c>
      <c r="AB1253" t="s">
        <v>284</v>
      </c>
      <c r="AG1253">
        <v>182.33330000000001</v>
      </c>
      <c r="AH1253" t="s">
        <v>54</v>
      </c>
      <c r="AI1253" t="s">
        <v>52</v>
      </c>
      <c r="AZ1253" t="s">
        <v>52</v>
      </c>
      <c r="BQ1253" t="s">
        <v>52</v>
      </c>
      <c r="BR1253">
        <v>0.74</v>
      </c>
      <c r="BS1253" t="s">
        <v>285</v>
      </c>
      <c r="BT1253">
        <v>2.08</v>
      </c>
      <c r="BU1253" t="s">
        <v>285</v>
      </c>
      <c r="BV1253">
        <v>0.75</v>
      </c>
      <c r="BW1253" t="s">
        <v>285</v>
      </c>
      <c r="BX1253">
        <v>0.16</v>
      </c>
      <c r="BY1253" t="s">
        <v>285</v>
      </c>
      <c r="BZ1253">
        <v>1.04</v>
      </c>
      <c r="CA1253" t="s">
        <v>289</v>
      </c>
      <c r="CF1253">
        <v>0.84</v>
      </c>
      <c r="CG1253" t="s">
        <v>54</v>
      </c>
      <c r="CH1253" t="s">
        <v>52</v>
      </c>
    </row>
    <row r="1254" spans="1:86" x14ac:dyDescent="0.25">
      <c r="A1254" t="s">
        <v>47</v>
      </c>
      <c r="B1254">
        <v>8</v>
      </c>
      <c r="C1254" t="s">
        <v>202</v>
      </c>
      <c r="D1254">
        <v>113</v>
      </c>
      <c r="E1254" t="s">
        <v>79</v>
      </c>
      <c r="F1254">
        <v>50</v>
      </c>
      <c r="G1254" t="s">
        <v>65</v>
      </c>
      <c r="H1254" t="s">
        <v>50</v>
      </c>
      <c r="K1254" t="s">
        <v>51</v>
      </c>
      <c r="L1254">
        <v>1</v>
      </c>
      <c r="M1254" t="s">
        <v>53</v>
      </c>
      <c r="N1254">
        <v>50</v>
      </c>
      <c r="O1254">
        <v>1</v>
      </c>
      <c r="P1254" t="s">
        <v>52</v>
      </c>
      <c r="Q1254">
        <v>0.5</v>
      </c>
      <c r="R1254">
        <v>0.75</v>
      </c>
      <c r="S1254">
        <v>85</v>
      </c>
      <c r="T1254" t="s">
        <v>285</v>
      </c>
      <c r="U1254">
        <v>93</v>
      </c>
      <c r="V1254" t="s">
        <v>284</v>
      </c>
      <c r="W1254">
        <v>89.7</v>
      </c>
      <c r="X1254" t="s">
        <v>284</v>
      </c>
      <c r="Y1254">
        <v>92.72</v>
      </c>
      <c r="Z1254" t="s">
        <v>284</v>
      </c>
      <c r="AA1254">
        <v>109</v>
      </c>
      <c r="AB1254" t="s">
        <v>285</v>
      </c>
      <c r="AG1254">
        <v>91.806700000000006</v>
      </c>
      <c r="AH1254" t="s">
        <v>54</v>
      </c>
      <c r="AI1254" t="s">
        <v>52</v>
      </c>
      <c r="AZ1254" t="s">
        <v>52</v>
      </c>
      <c r="BQ1254" t="s">
        <v>52</v>
      </c>
      <c r="CH1254" t="s">
        <v>52</v>
      </c>
    </row>
    <row r="1255" spans="1:86" x14ac:dyDescent="0.25">
      <c r="A1255" t="s">
        <v>47</v>
      </c>
      <c r="B1255">
        <v>8</v>
      </c>
      <c r="C1255" t="s">
        <v>202</v>
      </c>
      <c r="D1255">
        <v>113</v>
      </c>
      <c r="E1255" t="s">
        <v>79</v>
      </c>
      <c r="F1255">
        <v>50</v>
      </c>
      <c r="G1255" t="s">
        <v>65</v>
      </c>
      <c r="H1255" t="s">
        <v>50</v>
      </c>
      <c r="K1255" t="s">
        <v>52</v>
      </c>
      <c r="L1255">
        <v>1</v>
      </c>
      <c r="M1255" t="s">
        <v>53</v>
      </c>
      <c r="N1255">
        <v>50</v>
      </c>
      <c r="O1255">
        <v>1</v>
      </c>
      <c r="P1255" t="s">
        <v>52</v>
      </c>
      <c r="Q1255">
        <v>0.5</v>
      </c>
      <c r="R1255">
        <v>0.75</v>
      </c>
      <c r="S1255">
        <v>85</v>
      </c>
      <c r="T1255" t="s">
        <v>285</v>
      </c>
      <c r="U1255">
        <v>93</v>
      </c>
      <c r="V1255" t="s">
        <v>284</v>
      </c>
      <c r="W1255">
        <v>89.7</v>
      </c>
      <c r="X1255" t="s">
        <v>284</v>
      </c>
      <c r="Y1255">
        <v>92.72</v>
      </c>
      <c r="Z1255" t="s">
        <v>284</v>
      </c>
      <c r="AA1255">
        <v>109</v>
      </c>
      <c r="AB1255" t="s">
        <v>285</v>
      </c>
      <c r="AG1255">
        <v>91.806700000000006</v>
      </c>
      <c r="AH1255" t="s">
        <v>54</v>
      </c>
      <c r="AI1255" t="s">
        <v>52</v>
      </c>
      <c r="AZ1255" t="s">
        <v>52</v>
      </c>
      <c r="BQ1255" t="s">
        <v>52</v>
      </c>
      <c r="CH1255" t="s">
        <v>52</v>
      </c>
    </row>
    <row r="1256" spans="1:86" x14ac:dyDescent="0.25">
      <c r="A1256" t="s">
        <v>47</v>
      </c>
      <c r="B1256">
        <v>8</v>
      </c>
      <c r="C1256" t="s">
        <v>202</v>
      </c>
      <c r="D1256">
        <v>113</v>
      </c>
      <c r="E1256" t="s">
        <v>79</v>
      </c>
      <c r="F1256">
        <v>50</v>
      </c>
      <c r="G1256" t="s">
        <v>81</v>
      </c>
      <c r="H1256" t="s">
        <v>50</v>
      </c>
      <c r="K1256" t="s">
        <v>51</v>
      </c>
      <c r="L1256">
        <v>1</v>
      </c>
      <c r="M1256" t="s">
        <v>53</v>
      </c>
      <c r="N1256">
        <v>50</v>
      </c>
      <c r="O1256">
        <v>1</v>
      </c>
      <c r="P1256" t="s">
        <v>52</v>
      </c>
      <c r="Q1256">
        <v>0.5</v>
      </c>
      <c r="R1256">
        <v>0.75</v>
      </c>
      <c r="S1256">
        <v>85</v>
      </c>
      <c r="T1256" t="s">
        <v>285</v>
      </c>
      <c r="U1256">
        <v>93</v>
      </c>
      <c r="V1256" t="s">
        <v>284</v>
      </c>
      <c r="W1256">
        <v>89.7</v>
      </c>
      <c r="X1256" t="s">
        <v>284</v>
      </c>
      <c r="Y1256">
        <v>92.72</v>
      </c>
      <c r="Z1256" t="s">
        <v>284</v>
      </c>
      <c r="AA1256">
        <v>109</v>
      </c>
      <c r="AB1256" t="s">
        <v>285</v>
      </c>
      <c r="AG1256">
        <v>91.806700000000006</v>
      </c>
      <c r="AH1256" t="s">
        <v>54</v>
      </c>
      <c r="AI1256" t="s">
        <v>52</v>
      </c>
      <c r="AZ1256" t="s">
        <v>52</v>
      </c>
      <c r="BQ1256" t="s">
        <v>52</v>
      </c>
      <c r="CH1256" t="s">
        <v>52</v>
      </c>
    </row>
    <row r="1257" spans="1:86" x14ac:dyDescent="0.25">
      <c r="A1257" t="s">
        <v>47</v>
      </c>
      <c r="B1257">
        <v>8</v>
      </c>
      <c r="C1257" t="s">
        <v>202</v>
      </c>
      <c r="D1257">
        <v>113</v>
      </c>
      <c r="E1257" t="s">
        <v>79</v>
      </c>
      <c r="F1257">
        <v>50</v>
      </c>
      <c r="G1257" t="s">
        <v>81</v>
      </c>
      <c r="H1257" t="s">
        <v>50</v>
      </c>
      <c r="K1257" t="s">
        <v>52</v>
      </c>
      <c r="L1257">
        <v>1</v>
      </c>
      <c r="M1257" t="s">
        <v>53</v>
      </c>
      <c r="N1257">
        <v>50</v>
      </c>
      <c r="O1257">
        <v>1</v>
      </c>
      <c r="P1257" t="s">
        <v>52</v>
      </c>
      <c r="Q1257">
        <v>0.5</v>
      </c>
      <c r="R1257">
        <v>0.75</v>
      </c>
      <c r="S1257">
        <v>85</v>
      </c>
      <c r="T1257" t="s">
        <v>285</v>
      </c>
      <c r="U1257">
        <v>93</v>
      </c>
      <c r="V1257" t="s">
        <v>284</v>
      </c>
      <c r="W1257">
        <v>89.7</v>
      </c>
      <c r="X1257" t="s">
        <v>284</v>
      </c>
      <c r="Y1257">
        <v>92.72</v>
      </c>
      <c r="Z1257" t="s">
        <v>284</v>
      </c>
      <c r="AA1257">
        <v>109</v>
      </c>
      <c r="AB1257" t="s">
        <v>285</v>
      </c>
      <c r="AG1257">
        <v>91.806700000000006</v>
      </c>
      <c r="AH1257" t="s">
        <v>54</v>
      </c>
      <c r="AI1257" t="s">
        <v>52</v>
      </c>
      <c r="AZ1257" t="s">
        <v>52</v>
      </c>
      <c r="BQ1257" t="s">
        <v>52</v>
      </c>
      <c r="CH1257" t="s">
        <v>52</v>
      </c>
    </row>
    <row r="1258" spans="1:86" x14ac:dyDescent="0.25">
      <c r="A1258" t="s">
        <v>47</v>
      </c>
      <c r="B1258">
        <v>8</v>
      </c>
      <c r="C1258" t="s">
        <v>202</v>
      </c>
      <c r="D1258">
        <v>113</v>
      </c>
      <c r="E1258" t="s">
        <v>82</v>
      </c>
      <c r="F1258">
        <v>52</v>
      </c>
      <c r="H1258" t="s">
        <v>50</v>
      </c>
      <c r="K1258" t="s">
        <v>51</v>
      </c>
      <c r="L1258">
        <v>1</v>
      </c>
      <c r="M1258" t="s">
        <v>53</v>
      </c>
      <c r="N1258">
        <v>50</v>
      </c>
      <c r="O1258">
        <v>1</v>
      </c>
      <c r="P1258" t="s">
        <v>52</v>
      </c>
      <c r="Q1258">
        <v>0.5</v>
      </c>
      <c r="R1258">
        <v>0.75</v>
      </c>
      <c r="S1258">
        <v>85</v>
      </c>
      <c r="T1258" t="s">
        <v>285</v>
      </c>
      <c r="U1258">
        <v>93</v>
      </c>
      <c r="V1258" t="s">
        <v>284</v>
      </c>
      <c r="W1258">
        <v>191.5</v>
      </c>
      <c r="X1258" t="s">
        <v>284</v>
      </c>
      <c r="Y1258">
        <v>198</v>
      </c>
      <c r="Z1258" t="s">
        <v>284</v>
      </c>
      <c r="AA1258">
        <v>109</v>
      </c>
      <c r="AB1258" t="s">
        <v>285</v>
      </c>
      <c r="AG1258">
        <v>131.16669999999999</v>
      </c>
      <c r="AH1258" t="s">
        <v>54</v>
      </c>
      <c r="AI1258" t="s">
        <v>52</v>
      </c>
      <c r="AZ1258" t="s">
        <v>52</v>
      </c>
      <c r="BQ1258" t="s">
        <v>52</v>
      </c>
      <c r="BR1258">
        <v>3.58</v>
      </c>
      <c r="BS1258" t="s">
        <v>289</v>
      </c>
      <c r="BT1258">
        <v>1.99</v>
      </c>
      <c r="BU1258" t="s">
        <v>284</v>
      </c>
      <c r="CH1258" t="s">
        <v>52</v>
      </c>
    </row>
    <row r="1259" spans="1:86" x14ac:dyDescent="0.25">
      <c r="A1259" t="s">
        <v>47</v>
      </c>
      <c r="B1259">
        <v>8</v>
      </c>
      <c r="C1259" t="s">
        <v>202</v>
      </c>
      <c r="D1259">
        <v>113</v>
      </c>
      <c r="E1259" t="s">
        <v>82</v>
      </c>
      <c r="F1259">
        <v>52</v>
      </c>
      <c r="H1259" t="s">
        <v>50</v>
      </c>
      <c r="K1259" t="s">
        <v>52</v>
      </c>
      <c r="L1259">
        <v>1</v>
      </c>
      <c r="M1259" t="s">
        <v>53</v>
      </c>
      <c r="N1259">
        <v>50</v>
      </c>
      <c r="O1259">
        <v>1</v>
      </c>
      <c r="P1259" t="s">
        <v>52</v>
      </c>
      <c r="Q1259">
        <v>0.5</v>
      </c>
      <c r="R1259">
        <v>0.75</v>
      </c>
      <c r="S1259">
        <v>85</v>
      </c>
      <c r="T1259" t="s">
        <v>285</v>
      </c>
      <c r="U1259">
        <v>93</v>
      </c>
      <c r="V1259" t="s">
        <v>284</v>
      </c>
      <c r="W1259">
        <v>191.5</v>
      </c>
      <c r="X1259" t="s">
        <v>284</v>
      </c>
      <c r="Y1259">
        <v>198</v>
      </c>
      <c r="Z1259" t="s">
        <v>284</v>
      </c>
      <c r="AA1259">
        <v>109</v>
      </c>
      <c r="AB1259" t="s">
        <v>285</v>
      </c>
      <c r="AG1259">
        <v>131.16669999999999</v>
      </c>
      <c r="AH1259" t="s">
        <v>54</v>
      </c>
      <c r="AI1259" t="s">
        <v>52</v>
      </c>
      <c r="AZ1259" t="s">
        <v>52</v>
      </c>
      <c r="BQ1259" t="s">
        <v>52</v>
      </c>
      <c r="BR1259">
        <v>2.36</v>
      </c>
      <c r="BS1259" t="s">
        <v>289</v>
      </c>
      <c r="BT1259">
        <v>1.1299999999999999</v>
      </c>
      <c r="BU1259" t="s">
        <v>284</v>
      </c>
      <c r="CH1259" t="s">
        <v>52</v>
      </c>
    </row>
    <row r="1260" spans="1:86" x14ac:dyDescent="0.25">
      <c r="A1260" t="s">
        <v>47</v>
      </c>
      <c r="B1260">
        <v>8</v>
      </c>
      <c r="C1260" t="s">
        <v>202</v>
      </c>
      <c r="D1260">
        <v>113</v>
      </c>
      <c r="E1260" t="s">
        <v>83</v>
      </c>
      <c r="F1260">
        <v>158</v>
      </c>
      <c r="H1260" t="s">
        <v>50</v>
      </c>
      <c r="K1260" t="s">
        <v>51</v>
      </c>
      <c r="L1260">
        <v>1</v>
      </c>
      <c r="M1260" t="s">
        <v>53</v>
      </c>
      <c r="N1260">
        <v>158</v>
      </c>
      <c r="O1260">
        <v>2</v>
      </c>
      <c r="P1260" t="s">
        <v>52</v>
      </c>
      <c r="Q1260">
        <v>0.77</v>
      </c>
      <c r="R1260">
        <v>0.93</v>
      </c>
      <c r="S1260">
        <v>228</v>
      </c>
      <c r="T1260" t="s">
        <v>284</v>
      </c>
      <c r="U1260">
        <v>221</v>
      </c>
      <c r="V1260" t="s">
        <v>284</v>
      </c>
      <c r="W1260">
        <v>236</v>
      </c>
      <c r="X1260" t="s">
        <v>284</v>
      </c>
      <c r="Y1260">
        <v>244</v>
      </c>
      <c r="Z1260" t="s">
        <v>284</v>
      </c>
      <c r="AA1260">
        <v>252</v>
      </c>
      <c r="AB1260" t="s">
        <v>284</v>
      </c>
      <c r="AG1260">
        <v>236</v>
      </c>
      <c r="AH1260" t="s">
        <v>54</v>
      </c>
      <c r="AI1260" t="s">
        <v>52</v>
      </c>
      <c r="AX1260">
        <v>339</v>
      </c>
      <c r="AY1260" t="s">
        <v>285</v>
      </c>
      <c r="AZ1260" t="s">
        <v>287</v>
      </c>
      <c r="BQ1260" t="s">
        <v>52</v>
      </c>
      <c r="BR1260">
        <v>1.85</v>
      </c>
      <c r="BS1260" t="s">
        <v>284</v>
      </c>
      <c r="BT1260">
        <v>1.35</v>
      </c>
      <c r="BU1260" t="s">
        <v>284</v>
      </c>
      <c r="BV1260">
        <v>1.03</v>
      </c>
      <c r="BW1260" t="s">
        <v>288</v>
      </c>
      <c r="BX1260">
        <v>1.34</v>
      </c>
      <c r="BY1260" t="s">
        <v>289</v>
      </c>
      <c r="BZ1260">
        <v>1.22</v>
      </c>
      <c r="CA1260" t="s">
        <v>289</v>
      </c>
      <c r="CF1260">
        <v>1.3</v>
      </c>
      <c r="CG1260" t="s">
        <v>54</v>
      </c>
      <c r="CH1260" t="s">
        <v>52</v>
      </c>
    </row>
    <row r="1261" spans="1:86" x14ac:dyDescent="0.25">
      <c r="A1261" t="s">
        <v>47</v>
      </c>
      <c r="B1261">
        <v>8</v>
      </c>
      <c r="C1261" t="s">
        <v>202</v>
      </c>
      <c r="D1261">
        <v>113</v>
      </c>
      <c r="E1261" t="s">
        <v>83</v>
      </c>
      <c r="F1261">
        <v>158</v>
      </c>
      <c r="H1261" t="s">
        <v>50</v>
      </c>
      <c r="K1261" t="s">
        <v>52</v>
      </c>
      <c r="L1261">
        <v>1</v>
      </c>
      <c r="M1261" t="s">
        <v>53</v>
      </c>
      <c r="N1261">
        <v>158</v>
      </c>
      <c r="O1261">
        <v>2</v>
      </c>
      <c r="P1261" t="s">
        <v>52</v>
      </c>
      <c r="Q1261">
        <v>0.77</v>
      </c>
      <c r="R1261">
        <v>0.93</v>
      </c>
      <c r="S1261">
        <v>228</v>
      </c>
      <c r="T1261" t="s">
        <v>284</v>
      </c>
      <c r="U1261">
        <v>221</v>
      </c>
      <c r="V1261" t="s">
        <v>284</v>
      </c>
      <c r="W1261">
        <v>236</v>
      </c>
      <c r="X1261" t="s">
        <v>284</v>
      </c>
      <c r="Y1261">
        <v>244</v>
      </c>
      <c r="Z1261" t="s">
        <v>284</v>
      </c>
      <c r="AA1261">
        <v>252</v>
      </c>
      <c r="AB1261" t="s">
        <v>284</v>
      </c>
      <c r="AG1261">
        <v>236</v>
      </c>
      <c r="AH1261" t="s">
        <v>54</v>
      </c>
      <c r="AI1261" t="s">
        <v>52</v>
      </c>
      <c r="AX1261">
        <v>339</v>
      </c>
      <c r="AY1261" t="s">
        <v>285</v>
      </c>
      <c r="AZ1261" t="s">
        <v>287</v>
      </c>
      <c r="BQ1261" t="s">
        <v>52</v>
      </c>
      <c r="BR1261">
        <v>1.31</v>
      </c>
      <c r="BS1261" t="s">
        <v>289</v>
      </c>
      <c r="BT1261">
        <v>1.1000000000000001</v>
      </c>
      <c r="BU1261" t="s">
        <v>289</v>
      </c>
      <c r="BV1261">
        <v>0.33</v>
      </c>
      <c r="BW1261" t="s">
        <v>289</v>
      </c>
      <c r="BX1261">
        <v>0.56999999999999995</v>
      </c>
      <c r="BY1261" t="s">
        <v>289</v>
      </c>
      <c r="BZ1261">
        <v>0.1</v>
      </c>
      <c r="CA1261" t="s">
        <v>289</v>
      </c>
      <c r="CF1261">
        <v>0.67</v>
      </c>
      <c r="CG1261" t="s">
        <v>54</v>
      </c>
      <c r="CH1261" t="s">
        <v>52</v>
      </c>
    </row>
    <row r="1262" spans="1:86" x14ac:dyDescent="0.25">
      <c r="A1262" t="s">
        <v>47</v>
      </c>
      <c r="B1262">
        <v>8</v>
      </c>
      <c r="C1262" t="s">
        <v>202</v>
      </c>
      <c r="D1262">
        <v>113</v>
      </c>
      <c r="E1262" t="s">
        <v>84</v>
      </c>
      <c r="F1262">
        <v>11</v>
      </c>
      <c r="G1262" t="s">
        <v>85</v>
      </c>
      <c r="H1262" t="s">
        <v>50</v>
      </c>
      <c r="K1262" t="s">
        <v>51</v>
      </c>
      <c r="L1262">
        <v>1</v>
      </c>
      <c r="M1262" t="s">
        <v>53</v>
      </c>
      <c r="N1262">
        <v>11</v>
      </c>
      <c r="O1262">
        <v>2</v>
      </c>
      <c r="P1262" t="s">
        <v>52</v>
      </c>
      <c r="Q1262">
        <v>0.5</v>
      </c>
      <c r="R1262">
        <v>0.75</v>
      </c>
      <c r="S1262">
        <v>155</v>
      </c>
      <c r="T1262" t="s">
        <v>284</v>
      </c>
      <c r="U1262">
        <v>110</v>
      </c>
      <c r="V1262" t="s">
        <v>284</v>
      </c>
      <c r="W1262">
        <v>118</v>
      </c>
      <c r="X1262" t="s">
        <v>284</v>
      </c>
      <c r="Y1262">
        <v>122</v>
      </c>
      <c r="Z1262" t="s">
        <v>284</v>
      </c>
      <c r="AA1262">
        <v>126</v>
      </c>
      <c r="AB1262" t="s">
        <v>284</v>
      </c>
      <c r="AG1262">
        <v>122</v>
      </c>
      <c r="AH1262" t="s">
        <v>54</v>
      </c>
      <c r="AI1262" t="s">
        <v>52</v>
      </c>
      <c r="AZ1262" t="s">
        <v>52</v>
      </c>
      <c r="BQ1262" t="s">
        <v>52</v>
      </c>
      <c r="BR1262">
        <v>1.41</v>
      </c>
      <c r="BS1262" t="s">
        <v>285</v>
      </c>
      <c r="BT1262">
        <v>1.36</v>
      </c>
      <c r="BU1262" t="s">
        <v>284</v>
      </c>
      <c r="BV1262">
        <v>1.48</v>
      </c>
      <c r="BW1262" t="s">
        <v>284</v>
      </c>
      <c r="BX1262">
        <v>1.29</v>
      </c>
      <c r="BY1262" t="s">
        <v>284</v>
      </c>
      <c r="BZ1262">
        <v>1.22</v>
      </c>
      <c r="CA1262" t="s">
        <v>284</v>
      </c>
      <c r="CF1262">
        <v>1.35</v>
      </c>
      <c r="CG1262" t="s">
        <v>54</v>
      </c>
      <c r="CH1262" t="s">
        <v>52</v>
      </c>
    </row>
    <row r="1263" spans="1:86" x14ac:dyDescent="0.25">
      <c r="A1263" t="s">
        <v>47</v>
      </c>
      <c r="B1263">
        <v>8</v>
      </c>
      <c r="C1263" t="s">
        <v>202</v>
      </c>
      <c r="D1263">
        <v>113</v>
      </c>
      <c r="E1263" t="s">
        <v>84</v>
      </c>
      <c r="F1263">
        <v>11</v>
      </c>
      <c r="G1263" t="s">
        <v>85</v>
      </c>
      <c r="H1263" t="s">
        <v>50</v>
      </c>
      <c r="K1263" t="s">
        <v>52</v>
      </c>
      <c r="L1263">
        <v>1</v>
      </c>
      <c r="M1263" t="s">
        <v>53</v>
      </c>
      <c r="N1263">
        <v>11</v>
      </c>
      <c r="O1263">
        <v>2</v>
      </c>
      <c r="P1263" t="s">
        <v>52</v>
      </c>
      <c r="Q1263">
        <v>0.5</v>
      </c>
      <c r="R1263">
        <v>0.75</v>
      </c>
      <c r="S1263">
        <v>155</v>
      </c>
      <c r="T1263" t="s">
        <v>284</v>
      </c>
      <c r="U1263">
        <v>110</v>
      </c>
      <c r="V1263" t="s">
        <v>284</v>
      </c>
      <c r="W1263">
        <v>118</v>
      </c>
      <c r="X1263" t="s">
        <v>284</v>
      </c>
      <c r="Y1263">
        <v>122</v>
      </c>
      <c r="Z1263" t="s">
        <v>284</v>
      </c>
      <c r="AA1263">
        <v>126</v>
      </c>
      <c r="AB1263" t="s">
        <v>284</v>
      </c>
      <c r="AG1263">
        <v>122</v>
      </c>
      <c r="AH1263" t="s">
        <v>54</v>
      </c>
      <c r="AI1263" t="s">
        <v>52</v>
      </c>
      <c r="AZ1263" t="s">
        <v>52</v>
      </c>
      <c r="BQ1263" t="s">
        <v>52</v>
      </c>
      <c r="BR1263">
        <v>0.51</v>
      </c>
      <c r="BS1263" t="s">
        <v>285</v>
      </c>
      <c r="BT1263">
        <v>0.43</v>
      </c>
      <c r="BU1263" t="s">
        <v>284</v>
      </c>
      <c r="BV1263">
        <v>0.53</v>
      </c>
      <c r="BW1263" t="s">
        <v>284</v>
      </c>
      <c r="BX1263">
        <v>0.46</v>
      </c>
      <c r="BY1263" t="s">
        <v>284</v>
      </c>
      <c r="BZ1263">
        <v>0.41</v>
      </c>
      <c r="CA1263" t="s">
        <v>284</v>
      </c>
      <c r="CF1263">
        <v>0.47</v>
      </c>
      <c r="CG1263" t="s">
        <v>54</v>
      </c>
      <c r="CH1263" t="s">
        <v>52</v>
      </c>
    </row>
    <row r="1264" spans="1:86" x14ac:dyDescent="0.25">
      <c r="A1264" t="s">
        <v>47</v>
      </c>
      <c r="B1264">
        <v>8</v>
      </c>
      <c r="C1264" t="s">
        <v>202</v>
      </c>
      <c r="D1264">
        <v>113</v>
      </c>
      <c r="E1264" t="s">
        <v>84</v>
      </c>
      <c r="F1264">
        <v>11</v>
      </c>
      <c r="G1264" t="s">
        <v>96</v>
      </c>
      <c r="H1264" t="s">
        <v>50</v>
      </c>
      <c r="K1264" t="s">
        <v>51</v>
      </c>
      <c r="L1264">
        <v>1</v>
      </c>
      <c r="M1264" t="s">
        <v>53</v>
      </c>
      <c r="N1264">
        <v>11</v>
      </c>
      <c r="O1264">
        <v>2</v>
      </c>
      <c r="P1264" t="s">
        <v>52</v>
      </c>
      <c r="Q1264">
        <v>0.5</v>
      </c>
      <c r="R1264">
        <v>0.75</v>
      </c>
      <c r="S1264">
        <v>124</v>
      </c>
      <c r="T1264" t="s">
        <v>284</v>
      </c>
      <c r="U1264">
        <v>110</v>
      </c>
      <c r="V1264" t="s">
        <v>284</v>
      </c>
      <c r="W1264">
        <v>118</v>
      </c>
      <c r="X1264" t="s">
        <v>284</v>
      </c>
      <c r="Y1264">
        <v>122</v>
      </c>
      <c r="Z1264" t="s">
        <v>284</v>
      </c>
      <c r="AA1264">
        <v>126</v>
      </c>
      <c r="AB1264" t="s">
        <v>284</v>
      </c>
      <c r="AG1264">
        <v>121.33329999999999</v>
      </c>
      <c r="AH1264" t="s">
        <v>54</v>
      </c>
      <c r="AI1264" t="s">
        <v>52</v>
      </c>
      <c r="AZ1264" t="s">
        <v>52</v>
      </c>
      <c r="BQ1264" t="s">
        <v>52</v>
      </c>
      <c r="BR1264">
        <v>1.41</v>
      </c>
      <c r="BS1264" t="s">
        <v>285</v>
      </c>
      <c r="BT1264">
        <v>1.36</v>
      </c>
      <c r="BU1264" t="s">
        <v>284</v>
      </c>
      <c r="BV1264">
        <v>1.48</v>
      </c>
      <c r="BW1264" t="s">
        <v>284</v>
      </c>
      <c r="BX1264">
        <v>1.29</v>
      </c>
      <c r="BY1264" t="s">
        <v>284</v>
      </c>
      <c r="BZ1264">
        <v>1.1100000000000001</v>
      </c>
      <c r="CA1264" t="s">
        <v>284</v>
      </c>
      <c r="CF1264">
        <v>1.35</v>
      </c>
      <c r="CG1264" t="s">
        <v>54</v>
      </c>
      <c r="CH1264" t="s">
        <v>52</v>
      </c>
    </row>
    <row r="1265" spans="1:86" x14ac:dyDescent="0.25">
      <c r="A1265" t="s">
        <v>47</v>
      </c>
      <c r="B1265">
        <v>8</v>
      </c>
      <c r="C1265" t="s">
        <v>202</v>
      </c>
      <c r="D1265">
        <v>113</v>
      </c>
      <c r="E1265" t="s">
        <v>84</v>
      </c>
      <c r="F1265">
        <v>11</v>
      </c>
      <c r="G1265" t="s">
        <v>96</v>
      </c>
      <c r="H1265" t="s">
        <v>50</v>
      </c>
      <c r="K1265" t="s">
        <v>52</v>
      </c>
      <c r="L1265">
        <v>1</v>
      </c>
      <c r="M1265" t="s">
        <v>53</v>
      </c>
      <c r="N1265">
        <v>11</v>
      </c>
      <c r="O1265">
        <v>2</v>
      </c>
      <c r="P1265" t="s">
        <v>52</v>
      </c>
      <c r="Q1265">
        <v>0.5</v>
      </c>
      <c r="R1265">
        <v>0.75</v>
      </c>
      <c r="S1265">
        <v>124</v>
      </c>
      <c r="T1265" t="s">
        <v>284</v>
      </c>
      <c r="U1265">
        <v>110</v>
      </c>
      <c r="V1265" t="s">
        <v>284</v>
      </c>
      <c r="W1265">
        <v>118</v>
      </c>
      <c r="X1265" t="s">
        <v>284</v>
      </c>
      <c r="Y1265">
        <v>122</v>
      </c>
      <c r="Z1265" t="s">
        <v>284</v>
      </c>
      <c r="AA1265">
        <v>126</v>
      </c>
      <c r="AB1265" t="s">
        <v>284</v>
      </c>
      <c r="AG1265">
        <v>121.33329999999999</v>
      </c>
      <c r="AH1265" t="s">
        <v>54</v>
      </c>
      <c r="AI1265" t="s">
        <v>52</v>
      </c>
      <c r="AZ1265" t="s">
        <v>52</v>
      </c>
      <c r="BQ1265" t="s">
        <v>52</v>
      </c>
      <c r="BR1265">
        <v>0.51</v>
      </c>
      <c r="BS1265" t="s">
        <v>285</v>
      </c>
      <c r="BT1265">
        <v>0.43</v>
      </c>
      <c r="BU1265" t="s">
        <v>284</v>
      </c>
      <c r="BV1265">
        <v>0.53</v>
      </c>
      <c r="BW1265" t="s">
        <v>284</v>
      </c>
      <c r="BX1265">
        <v>0.46</v>
      </c>
      <c r="BY1265" t="s">
        <v>284</v>
      </c>
      <c r="BZ1265">
        <v>0.41</v>
      </c>
      <c r="CA1265" t="s">
        <v>284</v>
      </c>
      <c r="CF1265">
        <v>0.47</v>
      </c>
      <c r="CG1265" t="s">
        <v>54</v>
      </c>
      <c r="CH1265" t="s">
        <v>52</v>
      </c>
    </row>
    <row r="1266" spans="1:86" x14ac:dyDescent="0.25">
      <c r="A1266" t="s">
        <v>47</v>
      </c>
      <c r="B1266">
        <v>8</v>
      </c>
      <c r="C1266" t="s">
        <v>203</v>
      </c>
      <c r="D1266">
        <v>115</v>
      </c>
      <c r="E1266" t="s">
        <v>49</v>
      </c>
      <c r="F1266">
        <v>27</v>
      </c>
      <c r="H1266" t="s">
        <v>50</v>
      </c>
      <c r="K1266" t="s">
        <v>51</v>
      </c>
      <c r="L1266">
        <v>1</v>
      </c>
      <c r="M1266" t="s">
        <v>53</v>
      </c>
      <c r="N1266">
        <v>27</v>
      </c>
      <c r="O1266">
        <v>1</v>
      </c>
      <c r="P1266" t="s">
        <v>52</v>
      </c>
      <c r="Q1266">
        <v>0</v>
      </c>
      <c r="R1266">
        <v>0.75</v>
      </c>
      <c r="S1266">
        <v>231</v>
      </c>
      <c r="T1266" t="s">
        <v>284</v>
      </c>
      <c r="U1266">
        <v>208</v>
      </c>
      <c r="V1266" t="s">
        <v>284</v>
      </c>
      <c r="W1266">
        <v>224</v>
      </c>
      <c r="X1266" t="s">
        <v>284</v>
      </c>
      <c r="Y1266">
        <v>225</v>
      </c>
      <c r="Z1266" t="s">
        <v>285</v>
      </c>
      <c r="AA1266">
        <v>247</v>
      </c>
      <c r="AB1266" t="s">
        <v>285</v>
      </c>
      <c r="AC1266">
        <v>241</v>
      </c>
      <c r="AD1266" t="s">
        <v>285</v>
      </c>
      <c r="AE1266">
        <v>219</v>
      </c>
      <c r="AF1266" t="s">
        <v>285</v>
      </c>
      <c r="AG1266">
        <v>219</v>
      </c>
      <c r="AH1266" t="s">
        <v>286</v>
      </c>
      <c r="AI1266" t="s">
        <v>287</v>
      </c>
      <c r="AX1266">
        <v>263</v>
      </c>
      <c r="AY1266" t="s">
        <v>286</v>
      </c>
      <c r="AZ1266" t="s">
        <v>287</v>
      </c>
      <c r="BQ1266" t="s">
        <v>52</v>
      </c>
      <c r="BR1266">
        <v>3.7</v>
      </c>
      <c r="BS1266" t="s">
        <v>284</v>
      </c>
      <c r="BT1266">
        <v>3.4</v>
      </c>
      <c r="BU1266" t="s">
        <v>284</v>
      </c>
      <c r="BV1266">
        <v>2.88</v>
      </c>
      <c r="BW1266" t="s">
        <v>284</v>
      </c>
      <c r="BX1266">
        <v>3.98</v>
      </c>
      <c r="BY1266" t="s">
        <v>284</v>
      </c>
      <c r="BZ1266">
        <v>3.5</v>
      </c>
      <c r="CA1266" t="s">
        <v>289</v>
      </c>
      <c r="CF1266">
        <v>3.53</v>
      </c>
      <c r="CG1266" t="s">
        <v>54</v>
      </c>
      <c r="CH1266" t="s">
        <v>52</v>
      </c>
    </row>
    <row r="1267" spans="1:86" x14ac:dyDescent="0.25">
      <c r="A1267" t="s">
        <v>47</v>
      </c>
      <c r="B1267">
        <v>8</v>
      </c>
      <c r="C1267" t="s">
        <v>203</v>
      </c>
      <c r="D1267">
        <v>115</v>
      </c>
      <c r="E1267" t="s">
        <v>49</v>
      </c>
      <c r="F1267">
        <v>27</v>
      </c>
      <c r="H1267" t="s">
        <v>50</v>
      </c>
      <c r="K1267" t="s">
        <v>52</v>
      </c>
      <c r="L1267">
        <v>1</v>
      </c>
      <c r="M1267" t="s">
        <v>53</v>
      </c>
      <c r="N1267">
        <v>27</v>
      </c>
      <c r="O1267">
        <v>1</v>
      </c>
      <c r="P1267" t="s">
        <v>52</v>
      </c>
      <c r="Q1267">
        <v>0</v>
      </c>
      <c r="R1267">
        <v>0.75</v>
      </c>
      <c r="S1267">
        <v>231</v>
      </c>
      <c r="T1267" t="s">
        <v>284</v>
      </c>
      <c r="U1267">
        <v>208</v>
      </c>
      <c r="V1267" t="s">
        <v>284</v>
      </c>
      <c r="W1267">
        <v>224</v>
      </c>
      <c r="X1267" t="s">
        <v>284</v>
      </c>
      <c r="Y1267">
        <v>225</v>
      </c>
      <c r="Z1267" t="s">
        <v>285</v>
      </c>
      <c r="AA1267">
        <v>247</v>
      </c>
      <c r="AB1267" t="s">
        <v>285</v>
      </c>
      <c r="AC1267">
        <v>241</v>
      </c>
      <c r="AD1267" t="s">
        <v>285</v>
      </c>
      <c r="AE1267">
        <v>219</v>
      </c>
      <c r="AF1267" t="s">
        <v>285</v>
      </c>
      <c r="AG1267">
        <v>219</v>
      </c>
      <c r="AH1267" t="s">
        <v>286</v>
      </c>
      <c r="AI1267" t="s">
        <v>287</v>
      </c>
      <c r="AX1267">
        <v>263</v>
      </c>
      <c r="AY1267" t="s">
        <v>286</v>
      </c>
      <c r="AZ1267" t="s">
        <v>287</v>
      </c>
      <c r="BQ1267" t="s">
        <v>52</v>
      </c>
      <c r="BR1267">
        <v>1.3</v>
      </c>
      <c r="BS1267" t="s">
        <v>284</v>
      </c>
      <c r="BT1267">
        <v>1.2</v>
      </c>
      <c r="BU1267" t="s">
        <v>284</v>
      </c>
      <c r="BV1267">
        <v>0.75</v>
      </c>
      <c r="BW1267" t="s">
        <v>284</v>
      </c>
      <c r="BX1267">
        <v>0.12</v>
      </c>
      <c r="BY1267" t="s">
        <v>284</v>
      </c>
      <c r="BZ1267">
        <v>0.14000000000000001</v>
      </c>
      <c r="CA1267" t="s">
        <v>289</v>
      </c>
      <c r="CF1267">
        <v>0.7</v>
      </c>
      <c r="CG1267" t="s">
        <v>54</v>
      </c>
      <c r="CH1267" t="s">
        <v>52</v>
      </c>
    </row>
    <row r="1268" spans="1:86" x14ac:dyDescent="0.25">
      <c r="A1268" t="s">
        <v>47</v>
      </c>
      <c r="B1268">
        <v>8</v>
      </c>
      <c r="C1268" t="s">
        <v>203</v>
      </c>
      <c r="D1268">
        <v>115</v>
      </c>
      <c r="E1268" t="s">
        <v>87</v>
      </c>
      <c r="F1268">
        <v>91</v>
      </c>
      <c r="G1268" t="s">
        <v>76</v>
      </c>
      <c r="H1268" t="s">
        <v>50</v>
      </c>
      <c r="K1268" t="s">
        <v>51</v>
      </c>
      <c r="L1268">
        <v>1</v>
      </c>
      <c r="M1268" t="s">
        <v>53</v>
      </c>
      <c r="N1268">
        <v>91</v>
      </c>
      <c r="O1268">
        <v>2</v>
      </c>
      <c r="P1268" t="s">
        <v>52</v>
      </c>
      <c r="Q1268">
        <v>0.77</v>
      </c>
      <c r="R1268">
        <v>0.93</v>
      </c>
      <c r="S1268">
        <v>135</v>
      </c>
      <c r="T1268" t="s">
        <v>284</v>
      </c>
      <c r="U1268">
        <v>133</v>
      </c>
      <c r="V1268" t="s">
        <v>284</v>
      </c>
      <c r="W1268">
        <v>147</v>
      </c>
      <c r="X1268" t="s">
        <v>284</v>
      </c>
      <c r="Y1268">
        <v>170</v>
      </c>
      <c r="Z1268" t="s">
        <v>284</v>
      </c>
      <c r="AA1268">
        <v>167</v>
      </c>
      <c r="AB1268" t="s">
        <v>284</v>
      </c>
      <c r="AG1268">
        <v>149.66669999999999</v>
      </c>
      <c r="AH1268" t="s">
        <v>54</v>
      </c>
      <c r="AI1268" t="s">
        <v>52</v>
      </c>
      <c r="AZ1268" t="s">
        <v>52</v>
      </c>
      <c r="BQ1268" t="s">
        <v>52</v>
      </c>
      <c r="CH1268" t="s">
        <v>52</v>
      </c>
    </row>
    <row r="1269" spans="1:86" x14ac:dyDescent="0.25">
      <c r="A1269" t="s">
        <v>47</v>
      </c>
      <c r="B1269">
        <v>8</v>
      </c>
      <c r="C1269" t="s">
        <v>203</v>
      </c>
      <c r="D1269">
        <v>115</v>
      </c>
      <c r="E1269" t="s">
        <v>87</v>
      </c>
      <c r="F1269">
        <v>91</v>
      </c>
      <c r="G1269" t="s">
        <v>76</v>
      </c>
      <c r="H1269" t="s">
        <v>50</v>
      </c>
      <c r="K1269" t="s">
        <v>52</v>
      </c>
      <c r="L1269">
        <v>1</v>
      </c>
      <c r="M1269" t="s">
        <v>53</v>
      </c>
      <c r="N1269">
        <v>91</v>
      </c>
      <c r="O1269">
        <v>2</v>
      </c>
      <c r="P1269" t="s">
        <v>52</v>
      </c>
      <c r="Q1269">
        <v>0.77</v>
      </c>
      <c r="R1269">
        <v>0.93</v>
      </c>
      <c r="S1269">
        <v>135</v>
      </c>
      <c r="T1269" t="s">
        <v>284</v>
      </c>
      <c r="U1269">
        <v>133</v>
      </c>
      <c r="V1269" t="s">
        <v>284</v>
      </c>
      <c r="W1269">
        <v>147</v>
      </c>
      <c r="X1269" t="s">
        <v>284</v>
      </c>
      <c r="Y1269">
        <v>170</v>
      </c>
      <c r="Z1269" t="s">
        <v>284</v>
      </c>
      <c r="AA1269">
        <v>167</v>
      </c>
      <c r="AB1269" t="s">
        <v>284</v>
      </c>
      <c r="AG1269">
        <v>149.66669999999999</v>
      </c>
      <c r="AH1269" t="s">
        <v>54</v>
      </c>
      <c r="AI1269" t="s">
        <v>52</v>
      </c>
      <c r="AZ1269" t="s">
        <v>52</v>
      </c>
      <c r="BQ1269" t="s">
        <v>52</v>
      </c>
      <c r="CH1269" t="s">
        <v>52</v>
      </c>
    </row>
    <row r="1270" spans="1:86" x14ac:dyDescent="0.25">
      <c r="A1270" t="s">
        <v>47</v>
      </c>
      <c r="B1270">
        <v>8</v>
      </c>
      <c r="C1270" t="s">
        <v>203</v>
      </c>
      <c r="D1270">
        <v>115</v>
      </c>
      <c r="E1270" t="s">
        <v>58</v>
      </c>
      <c r="F1270">
        <v>102</v>
      </c>
      <c r="G1270" t="s">
        <v>59</v>
      </c>
      <c r="H1270" t="s">
        <v>50</v>
      </c>
      <c r="K1270" t="s">
        <v>51</v>
      </c>
      <c r="L1270">
        <v>1</v>
      </c>
      <c r="M1270" t="s">
        <v>53</v>
      </c>
      <c r="N1270">
        <v>102</v>
      </c>
      <c r="O1270">
        <v>1</v>
      </c>
      <c r="P1270" t="s">
        <v>52</v>
      </c>
      <c r="Q1270">
        <v>0</v>
      </c>
      <c r="R1270">
        <v>0.92</v>
      </c>
      <c r="S1270">
        <v>131.69999999999999</v>
      </c>
      <c r="T1270" t="s">
        <v>284</v>
      </c>
      <c r="U1270">
        <v>126.5</v>
      </c>
      <c r="V1270" t="s">
        <v>284</v>
      </c>
      <c r="W1270">
        <v>170</v>
      </c>
      <c r="X1270" t="s">
        <v>284</v>
      </c>
      <c r="Y1270">
        <v>207</v>
      </c>
      <c r="Z1270" t="s">
        <v>284</v>
      </c>
      <c r="AA1270">
        <v>315</v>
      </c>
      <c r="AB1270" t="s">
        <v>285</v>
      </c>
      <c r="AG1270">
        <v>169.5667</v>
      </c>
      <c r="AH1270" t="s">
        <v>54</v>
      </c>
      <c r="AI1270" t="s">
        <v>52</v>
      </c>
      <c r="AZ1270" t="s">
        <v>52</v>
      </c>
      <c r="BQ1270" t="s">
        <v>52</v>
      </c>
      <c r="BR1270">
        <v>1.49</v>
      </c>
      <c r="BS1270" t="s">
        <v>288</v>
      </c>
      <c r="BT1270">
        <v>1.82</v>
      </c>
      <c r="BU1270" t="s">
        <v>284</v>
      </c>
      <c r="BV1270">
        <v>1.42</v>
      </c>
      <c r="BW1270" t="s">
        <v>285</v>
      </c>
      <c r="BX1270">
        <v>0.98</v>
      </c>
      <c r="BY1270" t="s">
        <v>285</v>
      </c>
      <c r="BZ1270">
        <v>0.84</v>
      </c>
      <c r="CA1270" t="s">
        <v>284</v>
      </c>
      <c r="CF1270">
        <v>1.3</v>
      </c>
      <c r="CG1270" t="s">
        <v>54</v>
      </c>
      <c r="CH1270" t="s">
        <v>52</v>
      </c>
    </row>
    <row r="1271" spans="1:86" x14ac:dyDescent="0.25">
      <c r="A1271" t="s">
        <v>47</v>
      </c>
      <c r="B1271">
        <v>8</v>
      </c>
      <c r="C1271" t="s">
        <v>203</v>
      </c>
      <c r="D1271">
        <v>115</v>
      </c>
      <c r="E1271" t="s">
        <v>58</v>
      </c>
      <c r="F1271">
        <v>102</v>
      </c>
      <c r="G1271" t="s">
        <v>59</v>
      </c>
      <c r="H1271" t="s">
        <v>50</v>
      </c>
      <c r="K1271" t="s">
        <v>52</v>
      </c>
      <c r="L1271">
        <v>1</v>
      </c>
      <c r="M1271" t="s">
        <v>53</v>
      </c>
      <c r="N1271">
        <v>102</v>
      </c>
      <c r="O1271">
        <v>1</v>
      </c>
      <c r="P1271" t="s">
        <v>52</v>
      </c>
      <c r="Q1271">
        <v>0</v>
      </c>
      <c r="R1271">
        <v>0.92</v>
      </c>
      <c r="S1271">
        <v>131.69999999999999</v>
      </c>
      <c r="T1271" t="s">
        <v>284</v>
      </c>
      <c r="U1271">
        <v>126.5</v>
      </c>
      <c r="V1271" t="s">
        <v>284</v>
      </c>
      <c r="W1271">
        <v>170</v>
      </c>
      <c r="X1271" t="s">
        <v>284</v>
      </c>
      <c r="Y1271">
        <v>207</v>
      </c>
      <c r="Z1271" t="s">
        <v>284</v>
      </c>
      <c r="AA1271">
        <v>315</v>
      </c>
      <c r="AB1271" t="s">
        <v>285</v>
      </c>
      <c r="AG1271">
        <v>169.5667</v>
      </c>
      <c r="AH1271" t="s">
        <v>54</v>
      </c>
      <c r="AI1271" t="s">
        <v>52</v>
      </c>
      <c r="AZ1271" t="s">
        <v>52</v>
      </c>
      <c r="BQ1271" t="s">
        <v>52</v>
      </c>
      <c r="BR1271">
        <v>0.85</v>
      </c>
      <c r="BS1271" t="s">
        <v>285</v>
      </c>
      <c r="BT1271">
        <v>0.7</v>
      </c>
      <c r="BU1271" t="s">
        <v>284</v>
      </c>
      <c r="BV1271">
        <v>0.54</v>
      </c>
      <c r="BW1271" t="s">
        <v>285</v>
      </c>
      <c r="BX1271">
        <v>0.38</v>
      </c>
      <c r="BY1271" t="s">
        <v>285</v>
      </c>
      <c r="BZ1271">
        <v>0.33</v>
      </c>
      <c r="CA1271" t="s">
        <v>284</v>
      </c>
      <c r="CF1271">
        <v>0.54</v>
      </c>
      <c r="CG1271" t="s">
        <v>54</v>
      </c>
      <c r="CH1271" t="s">
        <v>52</v>
      </c>
    </row>
    <row r="1272" spans="1:86" x14ac:dyDescent="0.25">
      <c r="A1272" t="s">
        <v>47</v>
      </c>
      <c r="B1272">
        <v>8</v>
      </c>
      <c r="C1272" t="s">
        <v>203</v>
      </c>
      <c r="D1272">
        <v>115</v>
      </c>
      <c r="E1272" t="s">
        <v>58</v>
      </c>
      <c r="F1272">
        <v>102</v>
      </c>
      <c r="G1272" t="s">
        <v>62</v>
      </c>
      <c r="H1272" t="s">
        <v>50</v>
      </c>
      <c r="K1272" t="s">
        <v>51</v>
      </c>
      <c r="L1272">
        <v>1</v>
      </c>
      <c r="M1272" t="s">
        <v>53</v>
      </c>
      <c r="N1272">
        <v>102</v>
      </c>
      <c r="O1272">
        <v>1</v>
      </c>
      <c r="P1272" t="s">
        <v>52</v>
      </c>
      <c r="Q1272">
        <v>0</v>
      </c>
      <c r="R1272">
        <v>0.92</v>
      </c>
      <c r="S1272">
        <v>131.69999999999999</v>
      </c>
      <c r="T1272" t="s">
        <v>284</v>
      </c>
      <c r="U1272">
        <v>170</v>
      </c>
      <c r="V1272" t="s">
        <v>284</v>
      </c>
      <c r="W1272">
        <v>191</v>
      </c>
      <c r="X1272" t="s">
        <v>284</v>
      </c>
      <c r="Y1272">
        <v>207</v>
      </c>
      <c r="Z1272" t="s">
        <v>284</v>
      </c>
      <c r="AA1272">
        <v>205</v>
      </c>
      <c r="AB1272" t="s">
        <v>285</v>
      </c>
      <c r="AG1272">
        <v>188.66669999999999</v>
      </c>
      <c r="AH1272" t="s">
        <v>54</v>
      </c>
      <c r="AI1272" t="s">
        <v>52</v>
      </c>
      <c r="AX1272">
        <v>271.60000000000002</v>
      </c>
      <c r="AY1272" t="s">
        <v>285</v>
      </c>
      <c r="AZ1272" t="s">
        <v>287</v>
      </c>
      <c r="BQ1272" t="s">
        <v>52</v>
      </c>
      <c r="BR1272">
        <v>1.85</v>
      </c>
      <c r="BS1272" t="s">
        <v>284</v>
      </c>
      <c r="BT1272">
        <v>1.82</v>
      </c>
      <c r="BU1272" t="s">
        <v>284</v>
      </c>
      <c r="BV1272">
        <v>0.54</v>
      </c>
      <c r="BW1272" t="s">
        <v>285</v>
      </c>
      <c r="BX1272">
        <v>0.68</v>
      </c>
      <c r="BY1272" t="s">
        <v>285</v>
      </c>
      <c r="BZ1272">
        <v>0.57999999999999996</v>
      </c>
      <c r="CA1272" t="s">
        <v>284</v>
      </c>
      <c r="CF1272">
        <v>1.03</v>
      </c>
      <c r="CG1272" t="s">
        <v>54</v>
      </c>
      <c r="CH1272" t="s">
        <v>52</v>
      </c>
    </row>
    <row r="1273" spans="1:86" x14ac:dyDescent="0.25">
      <c r="A1273" t="s">
        <v>47</v>
      </c>
      <c r="B1273">
        <v>8</v>
      </c>
      <c r="C1273" t="s">
        <v>203</v>
      </c>
      <c r="D1273">
        <v>115</v>
      </c>
      <c r="E1273" t="s">
        <v>58</v>
      </c>
      <c r="F1273">
        <v>102</v>
      </c>
      <c r="G1273" t="s">
        <v>62</v>
      </c>
      <c r="H1273" t="s">
        <v>50</v>
      </c>
      <c r="K1273" t="s">
        <v>52</v>
      </c>
      <c r="L1273">
        <v>1</v>
      </c>
      <c r="M1273" t="s">
        <v>53</v>
      </c>
      <c r="N1273">
        <v>102</v>
      </c>
      <c r="O1273">
        <v>1</v>
      </c>
      <c r="P1273" t="s">
        <v>52</v>
      </c>
      <c r="Q1273">
        <v>0</v>
      </c>
      <c r="R1273">
        <v>0.92</v>
      </c>
      <c r="S1273">
        <v>131.69999999999999</v>
      </c>
      <c r="T1273" t="s">
        <v>284</v>
      </c>
      <c r="U1273">
        <v>170</v>
      </c>
      <c r="V1273" t="s">
        <v>284</v>
      </c>
      <c r="W1273">
        <v>191</v>
      </c>
      <c r="X1273" t="s">
        <v>284</v>
      </c>
      <c r="Y1273">
        <v>207</v>
      </c>
      <c r="Z1273" t="s">
        <v>284</v>
      </c>
      <c r="AA1273">
        <v>205</v>
      </c>
      <c r="AB1273" t="s">
        <v>285</v>
      </c>
      <c r="AG1273">
        <v>188.66669999999999</v>
      </c>
      <c r="AH1273" t="s">
        <v>54</v>
      </c>
      <c r="AI1273" t="s">
        <v>52</v>
      </c>
      <c r="AX1273">
        <v>271.60000000000002</v>
      </c>
      <c r="AY1273" t="s">
        <v>285</v>
      </c>
      <c r="AZ1273" t="s">
        <v>287</v>
      </c>
      <c r="BQ1273" t="s">
        <v>52</v>
      </c>
      <c r="BR1273">
        <v>0.83</v>
      </c>
      <c r="BS1273" t="s">
        <v>285</v>
      </c>
      <c r="BT1273">
        <v>0.99</v>
      </c>
      <c r="BU1273" t="s">
        <v>284</v>
      </c>
      <c r="BV1273">
        <v>0.28999999999999998</v>
      </c>
      <c r="BW1273" t="s">
        <v>285</v>
      </c>
      <c r="BX1273">
        <v>0.54</v>
      </c>
      <c r="BY1273" t="s">
        <v>285</v>
      </c>
      <c r="BZ1273">
        <v>0.46</v>
      </c>
      <c r="CA1273" t="s">
        <v>284</v>
      </c>
      <c r="CF1273">
        <v>0.61</v>
      </c>
      <c r="CG1273" t="s">
        <v>54</v>
      </c>
      <c r="CH1273" t="s">
        <v>52</v>
      </c>
    </row>
    <row r="1274" spans="1:86" x14ac:dyDescent="0.25">
      <c r="A1274" t="s">
        <v>47</v>
      </c>
      <c r="B1274">
        <v>8</v>
      </c>
      <c r="C1274" t="s">
        <v>203</v>
      </c>
      <c r="D1274">
        <v>115</v>
      </c>
      <c r="E1274" t="s">
        <v>58</v>
      </c>
      <c r="F1274">
        <v>102</v>
      </c>
      <c r="G1274" t="s">
        <v>128</v>
      </c>
      <c r="H1274" t="s">
        <v>50</v>
      </c>
      <c r="K1274" t="s">
        <v>51</v>
      </c>
      <c r="L1274">
        <v>1</v>
      </c>
      <c r="M1274" t="s">
        <v>53</v>
      </c>
      <c r="N1274">
        <v>102</v>
      </c>
      <c r="O1274">
        <v>1</v>
      </c>
      <c r="P1274" t="s">
        <v>52</v>
      </c>
      <c r="Q1274">
        <v>0</v>
      </c>
      <c r="R1274">
        <v>0.92</v>
      </c>
      <c r="S1274">
        <v>131.69999999999999</v>
      </c>
      <c r="T1274" t="s">
        <v>284</v>
      </c>
      <c r="U1274">
        <v>170</v>
      </c>
      <c r="V1274" t="s">
        <v>284</v>
      </c>
      <c r="W1274">
        <v>191</v>
      </c>
      <c r="X1274" t="s">
        <v>284</v>
      </c>
      <c r="Y1274">
        <v>207</v>
      </c>
      <c r="Z1274" t="s">
        <v>284</v>
      </c>
      <c r="AA1274">
        <v>315</v>
      </c>
      <c r="AB1274" t="s">
        <v>285</v>
      </c>
      <c r="AG1274">
        <v>189.33330000000001</v>
      </c>
      <c r="AH1274" t="s">
        <v>54</v>
      </c>
      <c r="AI1274" t="s">
        <v>52</v>
      </c>
      <c r="AZ1274" t="s">
        <v>52</v>
      </c>
      <c r="BQ1274" t="s">
        <v>52</v>
      </c>
      <c r="BR1274">
        <v>1.3</v>
      </c>
      <c r="BS1274" t="s">
        <v>285</v>
      </c>
      <c r="BT1274">
        <v>1.61</v>
      </c>
      <c r="BU1274" t="s">
        <v>285</v>
      </c>
      <c r="BV1274">
        <v>0.99</v>
      </c>
      <c r="BW1274" t="s">
        <v>285</v>
      </c>
      <c r="BX1274">
        <v>1.99</v>
      </c>
      <c r="BY1274" t="s">
        <v>289</v>
      </c>
      <c r="BZ1274">
        <v>1.71</v>
      </c>
      <c r="CA1274" t="s">
        <v>284</v>
      </c>
      <c r="CF1274">
        <v>1.54</v>
      </c>
      <c r="CG1274" t="s">
        <v>54</v>
      </c>
      <c r="CH1274" t="s">
        <v>52</v>
      </c>
    </row>
    <row r="1275" spans="1:86" x14ac:dyDescent="0.25">
      <c r="A1275" t="s">
        <v>47</v>
      </c>
      <c r="B1275">
        <v>8</v>
      </c>
      <c r="C1275" t="s">
        <v>203</v>
      </c>
      <c r="D1275">
        <v>115</v>
      </c>
      <c r="E1275" t="s">
        <v>58</v>
      </c>
      <c r="F1275">
        <v>102</v>
      </c>
      <c r="G1275" t="s">
        <v>128</v>
      </c>
      <c r="H1275" t="s">
        <v>50</v>
      </c>
      <c r="K1275" t="s">
        <v>52</v>
      </c>
      <c r="L1275">
        <v>1</v>
      </c>
      <c r="M1275" t="s">
        <v>53</v>
      </c>
      <c r="N1275">
        <v>102</v>
      </c>
      <c r="O1275">
        <v>1</v>
      </c>
      <c r="P1275" t="s">
        <v>52</v>
      </c>
      <c r="Q1275">
        <v>0</v>
      </c>
      <c r="R1275">
        <v>0.92</v>
      </c>
      <c r="S1275">
        <v>131.69999999999999</v>
      </c>
      <c r="T1275" t="s">
        <v>284</v>
      </c>
      <c r="U1275">
        <v>170</v>
      </c>
      <c r="V1275" t="s">
        <v>284</v>
      </c>
      <c r="W1275">
        <v>191</v>
      </c>
      <c r="X1275" t="s">
        <v>284</v>
      </c>
      <c r="Y1275">
        <v>207</v>
      </c>
      <c r="Z1275" t="s">
        <v>284</v>
      </c>
      <c r="AA1275">
        <v>315</v>
      </c>
      <c r="AB1275" t="s">
        <v>285</v>
      </c>
      <c r="AG1275">
        <v>189.33330000000001</v>
      </c>
      <c r="AH1275" t="s">
        <v>54</v>
      </c>
      <c r="AI1275" t="s">
        <v>52</v>
      </c>
      <c r="AZ1275" t="s">
        <v>52</v>
      </c>
      <c r="BQ1275" t="s">
        <v>52</v>
      </c>
      <c r="BR1275">
        <v>0.93</v>
      </c>
      <c r="BS1275" t="s">
        <v>285</v>
      </c>
      <c r="BT1275">
        <v>0.95</v>
      </c>
      <c r="BU1275" t="s">
        <v>284</v>
      </c>
      <c r="BV1275">
        <v>0.74</v>
      </c>
      <c r="BW1275" t="s">
        <v>285</v>
      </c>
      <c r="BX1275">
        <v>0.51</v>
      </c>
      <c r="BY1275" t="s">
        <v>285</v>
      </c>
      <c r="BZ1275">
        <v>0.44</v>
      </c>
      <c r="CA1275" t="s">
        <v>284</v>
      </c>
      <c r="CF1275">
        <v>0.73</v>
      </c>
      <c r="CG1275" t="s">
        <v>54</v>
      </c>
      <c r="CH1275" t="s">
        <v>52</v>
      </c>
    </row>
    <row r="1276" spans="1:86" x14ac:dyDescent="0.25">
      <c r="A1276" t="s">
        <v>47</v>
      </c>
      <c r="B1276">
        <v>8</v>
      </c>
      <c r="C1276" t="s">
        <v>203</v>
      </c>
      <c r="D1276">
        <v>115</v>
      </c>
      <c r="E1276" t="s">
        <v>68</v>
      </c>
      <c r="F1276">
        <v>80</v>
      </c>
      <c r="G1276" t="s">
        <v>69</v>
      </c>
      <c r="H1276" t="s">
        <v>50</v>
      </c>
      <c r="K1276" t="s">
        <v>51</v>
      </c>
      <c r="L1276">
        <v>1</v>
      </c>
      <c r="M1276" t="s">
        <v>53</v>
      </c>
      <c r="N1276">
        <v>80</v>
      </c>
      <c r="O1276">
        <v>1</v>
      </c>
      <c r="P1276" t="s">
        <v>52</v>
      </c>
      <c r="Q1276">
        <v>0.5</v>
      </c>
      <c r="R1276">
        <v>0.75</v>
      </c>
      <c r="S1276">
        <v>202.92</v>
      </c>
      <c r="T1276" t="s">
        <v>284</v>
      </c>
      <c r="U1276">
        <v>198.9</v>
      </c>
      <c r="V1276" t="s">
        <v>284</v>
      </c>
      <c r="W1276">
        <v>212.4</v>
      </c>
      <c r="X1276" t="s">
        <v>284</v>
      </c>
      <c r="Y1276">
        <v>219.6</v>
      </c>
      <c r="Z1276" t="s">
        <v>284</v>
      </c>
      <c r="AA1276">
        <v>178</v>
      </c>
      <c r="AB1276" t="s">
        <v>284</v>
      </c>
      <c r="AG1276">
        <v>204.74</v>
      </c>
      <c r="AH1276" t="s">
        <v>54</v>
      </c>
      <c r="AI1276" t="s">
        <v>52</v>
      </c>
      <c r="AZ1276" t="s">
        <v>52</v>
      </c>
      <c r="BQ1276" t="s">
        <v>52</v>
      </c>
      <c r="CH1276" t="s">
        <v>52</v>
      </c>
    </row>
    <row r="1277" spans="1:86" x14ac:dyDescent="0.25">
      <c r="A1277" t="s">
        <v>47</v>
      </c>
      <c r="B1277">
        <v>8</v>
      </c>
      <c r="C1277" t="s">
        <v>203</v>
      </c>
      <c r="D1277">
        <v>115</v>
      </c>
      <c r="E1277" t="s">
        <v>68</v>
      </c>
      <c r="F1277">
        <v>80</v>
      </c>
      <c r="G1277" t="s">
        <v>69</v>
      </c>
      <c r="H1277" t="s">
        <v>50</v>
      </c>
      <c r="K1277" t="s">
        <v>52</v>
      </c>
      <c r="L1277">
        <v>1</v>
      </c>
      <c r="M1277" t="s">
        <v>53</v>
      </c>
      <c r="N1277">
        <v>80</v>
      </c>
      <c r="O1277">
        <v>1</v>
      </c>
      <c r="P1277" t="s">
        <v>52</v>
      </c>
      <c r="Q1277">
        <v>0.5</v>
      </c>
      <c r="R1277">
        <v>0.75</v>
      </c>
      <c r="S1277">
        <v>202.92</v>
      </c>
      <c r="T1277" t="s">
        <v>284</v>
      </c>
      <c r="U1277">
        <v>198.9</v>
      </c>
      <c r="V1277" t="s">
        <v>284</v>
      </c>
      <c r="W1277">
        <v>212.4</v>
      </c>
      <c r="X1277" t="s">
        <v>284</v>
      </c>
      <c r="Y1277">
        <v>219.6</v>
      </c>
      <c r="Z1277" t="s">
        <v>284</v>
      </c>
      <c r="AA1277">
        <v>178</v>
      </c>
      <c r="AB1277" t="s">
        <v>284</v>
      </c>
      <c r="AG1277">
        <v>204.74</v>
      </c>
      <c r="AH1277" t="s">
        <v>54</v>
      </c>
      <c r="AI1277" t="s">
        <v>52</v>
      </c>
      <c r="AZ1277" t="s">
        <v>52</v>
      </c>
      <c r="BQ1277" t="s">
        <v>52</v>
      </c>
      <c r="BR1277">
        <v>0.65</v>
      </c>
      <c r="BS1277" t="s">
        <v>285</v>
      </c>
      <c r="BT1277">
        <v>0.86</v>
      </c>
      <c r="BU1277" t="s">
        <v>284</v>
      </c>
      <c r="BV1277">
        <v>1.24</v>
      </c>
      <c r="BW1277" t="s">
        <v>284</v>
      </c>
      <c r="BX1277">
        <v>1.18</v>
      </c>
      <c r="BY1277" t="s">
        <v>284</v>
      </c>
      <c r="BZ1277">
        <v>1.03</v>
      </c>
      <c r="CA1277" t="s">
        <v>285</v>
      </c>
      <c r="CF1277">
        <v>1.02</v>
      </c>
      <c r="CG1277" t="s">
        <v>54</v>
      </c>
      <c r="CH1277" t="s">
        <v>52</v>
      </c>
    </row>
    <row r="1278" spans="1:86" x14ac:dyDescent="0.25">
      <c r="A1278" t="s">
        <v>47</v>
      </c>
      <c r="B1278">
        <v>8</v>
      </c>
      <c r="C1278" t="s">
        <v>203</v>
      </c>
      <c r="D1278">
        <v>115</v>
      </c>
      <c r="E1278" t="s">
        <v>68</v>
      </c>
      <c r="F1278">
        <v>80</v>
      </c>
      <c r="G1278" t="s">
        <v>105</v>
      </c>
      <c r="H1278" t="s">
        <v>50</v>
      </c>
      <c r="K1278" t="s">
        <v>51</v>
      </c>
      <c r="L1278">
        <v>1</v>
      </c>
      <c r="M1278" t="s">
        <v>53</v>
      </c>
      <c r="N1278">
        <v>80</v>
      </c>
      <c r="O1278">
        <v>1</v>
      </c>
      <c r="P1278" t="s">
        <v>52</v>
      </c>
      <c r="Q1278">
        <v>0.5</v>
      </c>
      <c r="R1278">
        <v>0.75</v>
      </c>
      <c r="S1278">
        <v>228</v>
      </c>
      <c r="T1278" t="s">
        <v>285</v>
      </c>
      <c r="U1278">
        <v>221</v>
      </c>
      <c r="V1278" t="s">
        <v>285</v>
      </c>
      <c r="W1278">
        <v>212.4</v>
      </c>
      <c r="X1278" t="s">
        <v>284</v>
      </c>
      <c r="Y1278">
        <v>219.6</v>
      </c>
      <c r="Z1278" t="s">
        <v>284</v>
      </c>
      <c r="AA1278">
        <v>178</v>
      </c>
      <c r="AB1278" t="s">
        <v>285</v>
      </c>
      <c r="AG1278">
        <v>217.66669999999999</v>
      </c>
      <c r="AH1278" t="s">
        <v>54</v>
      </c>
      <c r="AI1278" t="s">
        <v>52</v>
      </c>
      <c r="AZ1278" t="s">
        <v>52</v>
      </c>
      <c r="BQ1278" t="s">
        <v>52</v>
      </c>
      <c r="CH1278" t="s">
        <v>52</v>
      </c>
    </row>
    <row r="1279" spans="1:86" x14ac:dyDescent="0.25">
      <c r="A1279" t="s">
        <v>47</v>
      </c>
      <c r="B1279">
        <v>8</v>
      </c>
      <c r="C1279" t="s">
        <v>203</v>
      </c>
      <c r="D1279">
        <v>115</v>
      </c>
      <c r="E1279" t="s">
        <v>68</v>
      </c>
      <c r="F1279">
        <v>80</v>
      </c>
      <c r="G1279" t="s">
        <v>105</v>
      </c>
      <c r="H1279" t="s">
        <v>50</v>
      </c>
      <c r="K1279" t="s">
        <v>52</v>
      </c>
      <c r="L1279">
        <v>1</v>
      </c>
      <c r="M1279" t="s">
        <v>53</v>
      </c>
      <c r="N1279">
        <v>80</v>
      </c>
      <c r="O1279">
        <v>1</v>
      </c>
      <c r="P1279" t="s">
        <v>52</v>
      </c>
      <c r="Q1279">
        <v>0.5</v>
      </c>
      <c r="R1279">
        <v>0.75</v>
      </c>
      <c r="S1279">
        <v>228</v>
      </c>
      <c r="T1279" t="s">
        <v>285</v>
      </c>
      <c r="U1279">
        <v>221</v>
      </c>
      <c r="V1279" t="s">
        <v>285</v>
      </c>
      <c r="W1279">
        <v>212.4</v>
      </c>
      <c r="X1279" t="s">
        <v>284</v>
      </c>
      <c r="Y1279">
        <v>219.6</v>
      </c>
      <c r="Z1279" t="s">
        <v>284</v>
      </c>
      <c r="AA1279">
        <v>178</v>
      </c>
      <c r="AB1279" t="s">
        <v>285</v>
      </c>
      <c r="AG1279">
        <v>217.66669999999999</v>
      </c>
      <c r="AH1279" t="s">
        <v>54</v>
      </c>
      <c r="AI1279" t="s">
        <v>52</v>
      </c>
      <c r="AZ1279" t="s">
        <v>52</v>
      </c>
      <c r="BQ1279" t="s">
        <v>52</v>
      </c>
      <c r="CH1279" t="s">
        <v>52</v>
      </c>
    </row>
    <row r="1280" spans="1:86" x14ac:dyDescent="0.25">
      <c r="A1280" t="s">
        <v>47</v>
      </c>
      <c r="B1280">
        <v>8</v>
      </c>
      <c r="C1280" t="s">
        <v>203</v>
      </c>
      <c r="D1280">
        <v>115</v>
      </c>
      <c r="E1280" t="s">
        <v>68</v>
      </c>
      <c r="F1280">
        <v>80</v>
      </c>
      <c r="G1280" t="s">
        <v>204</v>
      </c>
      <c r="H1280" t="s">
        <v>50</v>
      </c>
      <c r="K1280" t="s">
        <v>51</v>
      </c>
      <c r="L1280">
        <v>1</v>
      </c>
      <c r="M1280" t="s">
        <v>53</v>
      </c>
      <c r="N1280">
        <v>80</v>
      </c>
      <c r="O1280">
        <v>1</v>
      </c>
      <c r="P1280" t="s">
        <v>52</v>
      </c>
      <c r="Q1280">
        <v>0.5</v>
      </c>
      <c r="R1280">
        <v>0.75</v>
      </c>
      <c r="S1280">
        <v>202.92</v>
      </c>
      <c r="T1280" t="s">
        <v>284</v>
      </c>
      <c r="U1280">
        <v>198.9</v>
      </c>
      <c r="V1280" t="s">
        <v>284</v>
      </c>
      <c r="AI1280" t="s">
        <v>52</v>
      </c>
      <c r="AZ1280" t="s">
        <v>52</v>
      </c>
      <c r="BQ1280" t="s">
        <v>52</v>
      </c>
      <c r="BR1280">
        <v>1.85</v>
      </c>
      <c r="BS1280" t="s">
        <v>285</v>
      </c>
      <c r="BT1280">
        <v>1.64</v>
      </c>
      <c r="BU1280" t="s">
        <v>284</v>
      </c>
      <c r="CH1280" t="s">
        <v>52</v>
      </c>
    </row>
    <row r="1281" spans="1:86" x14ac:dyDescent="0.25">
      <c r="A1281" t="s">
        <v>47</v>
      </c>
      <c r="B1281">
        <v>8</v>
      </c>
      <c r="C1281" t="s">
        <v>203</v>
      </c>
      <c r="D1281">
        <v>115</v>
      </c>
      <c r="E1281" t="s">
        <v>68</v>
      </c>
      <c r="F1281">
        <v>80</v>
      </c>
      <c r="G1281" t="s">
        <v>204</v>
      </c>
      <c r="H1281" t="s">
        <v>50</v>
      </c>
      <c r="K1281" t="s">
        <v>52</v>
      </c>
      <c r="L1281">
        <v>1</v>
      </c>
      <c r="M1281" t="s">
        <v>53</v>
      </c>
      <c r="N1281">
        <v>80</v>
      </c>
      <c r="O1281">
        <v>1</v>
      </c>
      <c r="P1281" t="s">
        <v>52</v>
      </c>
      <c r="Q1281">
        <v>0.5</v>
      </c>
      <c r="R1281">
        <v>0.75</v>
      </c>
      <c r="S1281">
        <v>202.92</v>
      </c>
      <c r="T1281" t="s">
        <v>284</v>
      </c>
      <c r="U1281">
        <v>198.9</v>
      </c>
      <c r="V1281" t="s">
        <v>284</v>
      </c>
      <c r="AI1281" t="s">
        <v>52</v>
      </c>
      <c r="AZ1281" t="s">
        <v>52</v>
      </c>
      <c r="BQ1281" t="s">
        <v>52</v>
      </c>
      <c r="CH1281" t="s">
        <v>52</v>
      </c>
    </row>
    <row r="1282" spans="1:86" x14ac:dyDescent="0.25">
      <c r="A1282" t="s">
        <v>47</v>
      </c>
      <c r="B1282">
        <v>8</v>
      </c>
      <c r="C1282" t="s">
        <v>203</v>
      </c>
      <c r="D1282">
        <v>115</v>
      </c>
      <c r="E1282" t="s">
        <v>70</v>
      </c>
      <c r="F1282">
        <v>296</v>
      </c>
      <c r="G1282" t="s">
        <v>71</v>
      </c>
      <c r="H1282" t="s">
        <v>50</v>
      </c>
      <c r="K1282" t="s">
        <v>51</v>
      </c>
      <c r="L1282">
        <v>1</v>
      </c>
      <c r="M1282" t="s">
        <v>53</v>
      </c>
      <c r="N1282">
        <v>296</v>
      </c>
      <c r="O1282">
        <v>1</v>
      </c>
      <c r="P1282" t="s">
        <v>52</v>
      </c>
      <c r="Q1282">
        <v>0</v>
      </c>
      <c r="R1282">
        <v>0.75</v>
      </c>
      <c r="S1282">
        <v>228</v>
      </c>
      <c r="T1282" t="s">
        <v>284</v>
      </c>
      <c r="U1282">
        <v>190</v>
      </c>
      <c r="V1282" t="s">
        <v>285</v>
      </c>
      <c r="W1282">
        <v>194</v>
      </c>
      <c r="X1282" t="s">
        <v>285</v>
      </c>
      <c r="Y1282">
        <v>225</v>
      </c>
      <c r="Z1282" t="s">
        <v>285</v>
      </c>
      <c r="AA1282">
        <v>247</v>
      </c>
      <c r="AB1282" t="s">
        <v>285</v>
      </c>
      <c r="AC1282">
        <v>241</v>
      </c>
      <c r="AD1282" t="s">
        <v>285</v>
      </c>
      <c r="AE1282">
        <v>219</v>
      </c>
      <c r="AF1282" t="s">
        <v>285</v>
      </c>
      <c r="AG1282">
        <v>219</v>
      </c>
      <c r="AH1282" t="s">
        <v>286</v>
      </c>
      <c r="AI1282" t="s">
        <v>287</v>
      </c>
      <c r="AX1282">
        <v>263</v>
      </c>
      <c r="AY1282" t="s">
        <v>286</v>
      </c>
      <c r="AZ1282" t="s">
        <v>287</v>
      </c>
      <c r="BQ1282" t="s">
        <v>52</v>
      </c>
      <c r="BR1282">
        <v>1.85</v>
      </c>
      <c r="BS1282" t="s">
        <v>284</v>
      </c>
      <c r="BT1282">
        <v>1.82</v>
      </c>
      <c r="BU1282" t="s">
        <v>284</v>
      </c>
      <c r="BV1282">
        <v>1.0900000000000001</v>
      </c>
      <c r="BW1282" t="s">
        <v>284</v>
      </c>
      <c r="BX1282">
        <v>1.0900000000000001</v>
      </c>
      <c r="BY1282" t="s">
        <v>285</v>
      </c>
      <c r="BZ1282">
        <v>1.0900000000000001</v>
      </c>
      <c r="CA1282" t="s">
        <v>284</v>
      </c>
      <c r="CF1282">
        <v>1.33</v>
      </c>
      <c r="CG1282" t="s">
        <v>54</v>
      </c>
      <c r="CH1282" t="s">
        <v>52</v>
      </c>
    </row>
    <row r="1283" spans="1:86" x14ac:dyDescent="0.25">
      <c r="A1283" t="s">
        <v>47</v>
      </c>
      <c r="B1283">
        <v>8</v>
      </c>
      <c r="C1283" t="s">
        <v>203</v>
      </c>
      <c r="D1283">
        <v>115</v>
      </c>
      <c r="E1283" t="s">
        <v>70</v>
      </c>
      <c r="F1283">
        <v>296</v>
      </c>
      <c r="G1283" t="s">
        <v>71</v>
      </c>
      <c r="H1283" t="s">
        <v>50</v>
      </c>
      <c r="K1283" t="s">
        <v>52</v>
      </c>
      <c r="L1283">
        <v>1</v>
      </c>
      <c r="M1283" t="s">
        <v>53</v>
      </c>
      <c r="N1283">
        <v>296</v>
      </c>
      <c r="O1283">
        <v>1</v>
      </c>
      <c r="P1283" t="s">
        <v>52</v>
      </c>
      <c r="Q1283">
        <v>0</v>
      </c>
      <c r="R1283">
        <v>0.75</v>
      </c>
      <c r="S1283">
        <v>228</v>
      </c>
      <c r="T1283" t="s">
        <v>284</v>
      </c>
      <c r="U1283">
        <v>190</v>
      </c>
      <c r="V1283" t="s">
        <v>285</v>
      </c>
      <c r="W1283">
        <v>194</v>
      </c>
      <c r="X1283" t="s">
        <v>285</v>
      </c>
      <c r="Y1283">
        <v>225</v>
      </c>
      <c r="Z1283" t="s">
        <v>285</v>
      </c>
      <c r="AA1283">
        <v>247</v>
      </c>
      <c r="AB1283" t="s">
        <v>285</v>
      </c>
      <c r="AC1283">
        <v>241</v>
      </c>
      <c r="AD1283" t="s">
        <v>285</v>
      </c>
      <c r="AE1283">
        <v>219</v>
      </c>
      <c r="AF1283" t="s">
        <v>285</v>
      </c>
      <c r="AG1283">
        <v>219</v>
      </c>
      <c r="AH1283" t="s">
        <v>286</v>
      </c>
      <c r="AI1283" t="s">
        <v>287</v>
      </c>
      <c r="AX1283">
        <v>263</v>
      </c>
      <c r="AY1283" t="s">
        <v>286</v>
      </c>
      <c r="AZ1283" t="s">
        <v>287</v>
      </c>
      <c r="BQ1283" t="s">
        <v>52</v>
      </c>
      <c r="BR1283">
        <v>0.65</v>
      </c>
      <c r="BS1283" t="s">
        <v>284</v>
      </c>
      <c r="BT1283">
        <v>0.91</v>
      </c>
      <c r="BU1283" t="s">
        <v>285</v>
      </c>
      <c r="BV1283">
        <v>0.28000000000000003</v>
      </c>
      <c r="BW1283" t="s">
        <v>289</v>
      </c>
      <c r="BX1283">
        <v>0.22</v>
      </c>
      <c r="BY1283" t="s">
        <v>289</v>
      </c>
      <c r="BZ1283">
        <v>0.22</v>
      </c>
      <c r="CA1283" t="s">
        <v>284</v>
      </c>
      <c r="CF1283">
        <v>0.38</v>
      </c>
      <c r="CG1283" t="s">
        <v>54</v>
      </c>
      <c r="CH1283" t="s">
        <v>52</v>
      </c>
    </row>
    <row r="1284" spans="1:86" x14ac:dyDescent="0.25">
      <c r="A1284" t="s">
        <v>47</v>
      </c>
      <c r="B1284">
        <v>8</v>
      </c>
      <c r="C1284" t="s">
        <v>203</v>
      </c>
      <c r="D1284">
        <v>115</v>
      </c>
      <c r="E1284" t="s">
        <v>70</v>
      </c>
      <c r="F1284">
        <v>296</v>
      </c>
      <c r="G1284" t="s">
        <v>72</v>
      </c>
      <c r="H1284" t="s">
        <v>50</v>
      </c>
      <c r="K1284" t="s">
        <v>51</v>
      </c>
      <c r="L1284">
        <v>1</v>
      </c>
      <c r="M1284" t="s">
        <v>53</v>
      </c>
      <c r="N1284">
        <v>296</v>
      </c>
      <c r="O1284">
        <v>1</v>
      </c>
      <c r="P1284" t="s">
        <v>52</v>
      </c>
      <c r="Q1284">
        <v>0.5</v>
      </c>
      <c r="R1284">
        <v>0.75</v>
      </c>
      <c r="S1284">
        <v>228</v>
      </c>
      <c r="T1284" t="s">
        <v>284</v>
      </c>
      <c r="U1284">
        <v>221</v>
      </c>
      <c r="V1284" t="s">
        <v>284</v>
      </c>
      <c r="W1284">
        <v>236</v>
      </c>
      <c r="X1284" t="s">
        <v>284</v>
      </c>
      <c r="Y1284">
        <v>244</v>
      </c>
      <c r="Z1284" t="s">
        <v>284</v>
      </c>
      <c r="AA1284">
        <v>215</v>
      </c>
      <c r="AB1284" t="s">
        <v>285</v>
      </c>
      <c r="AG1284">
        <v>228.33330000000001</v>
      </c>
      <c r="AH1284" t="s">
        <v>54</v>
      </c>
      <c r="AI1284" t="s">
        <v>52</v>
      </c>
      <c r="AZ1284" t="s">
        <v>52</v>
      </c>
      <c r="BQ1284" t="s">
        <v>52</v>
      </c>
      <c r="BR1284">
        <v>1.85</v>
      </c>
      <c r="BS1284" t="s">
        <v>284</v>
      </c>
      <c r="BT1284">
        <v>1.82</v>
      </c>
      <c r="BU1284" t="s">
        <v>284</v>
      </c>
      <c r="BV1284">
        <v>1.73</v>
      </c>
      <c r="BW1284" t="s">
        <v>284</v>
      </c>
      <c r="BX1284">
        <v>1.38</v>
      </c>
      <c r="BY1284" t="s">
        <v>284</v>
      </c>
      <c r="BZ1284">
        <v>1.38</v>
      </c>
      <c r="CA1284" t="s">
        <v>284</v>
      </c>
      <c r="CF1284">
        <v>1.64</v>
      </c>
      <c r="CG1284" t="s">
        <v>54</v>
      </c>
      <c r="CH1284" t="s">
        <v>52</v>
      </c>
    </row>
    <row r="1285" spans="1:86" x14ac:dyDescent="0.25">
      <c r="A1285" t="s">
        <v>47</v>
      </c>
      <c r="B1285">
        <v>8</v>
      </c>
      <c r="C1285" t="s">
        <v>203</v>
      </c>
      <c r="D1285">
        <v>115</v>
      </c>
      <c r="E1285" t="s">
        <v>70</v>
      </c>
      <c r="F1285">
        <v>296</v>
      </c>
      <c r="G1285" t="s">
        <v>72</v>
      </c>
      <c r="H1285" t="s">
        <v>50</v>
      </c>
      <c r="K1285" t="s">
        <v>52</v>
      </c>
      <c r="L1285">
        <v>1</v>
      </c>
      <c r="M1285" t="s">
        <v>53</v>
      </c>
      <c r="N1285">
        <v>296</v>
      </c>
      <c r="O1285">
        <v>1</v>
      </c>
      <c r="P1285" t="s">
        <v>52</v>
      </c>
      <c r="Q1285">
        <v>0.5</v>
      </c>
      <c r="R1285">
        <v>0.75</v>
      </c>
      <c r="S1285">
        <v>228</v>
      </c>
      <c r="T1285" t="s">
        <v>284</v>
      </c>
      <c r="U1285">
        <v>221</v>
      </c>
      <c r="V1285" t="s">
        <v>284</v>
      </c>
      <c r="W1285">
        <v>236</v>
      </c>
      <c r="X1285" t="s">
        <v>284</v>
      </c>
      <c r="Y1285">
        <v>244</v>
      </c>
      <c r="Z1285" t="s">
        <v>284</v>
      </c>
      <c r="AA1285">
        <v>215</v>
      </c>
      <c r="AB1285" t="s">
        <v>285</v>
      </c>
      <c r="AG1285">
        <v>228.33330000000001</v>
      </c>
      <c r="AH1285" t="s">
        <v>54</v>
      </c>
      <c r="AI1285" t="s">
        <v>52</v>
      </c>
      <c r="AZ1285" t="s">
        <v>52</v>
      </c>
      <c r="BQ1285" t="s">
        <v>52</v>
      </c>
      <c r="BR1285">
        <v>0.65</v>
      </c>
      <c r="BS1285" t="s">
        <v>284</v>
      </c>
      <c r="BT1285">
        <v>0.95</v>
      </c>
      <c r="BU1285" t="s">
        <v>284</v>
      </c>
      <c r="BV1285">
        <v>0.28999999999999998</v>
      </c>
      <c r="BW1285" t="s">
        <v>284</v>
      </c>
      <c r="BX1285">
        <v>0.25</v>
      </c>
      <c r="BY1285" t="s">
        <v>284</v>
      </c>
      <c r="BZ1285">
        <v>0.25</v>
      </c>
      <c r="CA1285" t="s">
        <v>284</v>
      </c>
      <c r="CF1285">
        <v>0.4</v>
      </c>
      <c r="CG1285" t="s">
        <v>54</v>
      </c>
      <c r="CH1285" t="s">
        <v>52</v>
      </c>
    </row>
    <row r="1286" spans="1:86" x14ac:dyDescent="0.25">
      <c r="A1286" t="s">
        <v>47</v>
      </c>
      <c r="B1286">
        <v>8</v>
      </c>
      <c r="C1286" t="s">
        <v>203</v>
      </c>
      <c r="D1286">
        <v>115</v>
      </c>
      <c r="E1286" t="s">
        <v>70</v>
      </c>
      <c r="F1286">
        <v>296</v>
      </c>
      <c r="G1286" t="s">
        <v>74</v>
      </c>
      <c r="H1286" t="s">
        <v>50</v>
      </c>
      <c r="K1286" t="s">
        <v>51</v>
      </c>
      <c r="L1286">
        <v>1</v>
      </c>
      <c r="M1286" t="s">
        <v>53</v>
      </c>
      <c r="N1286">
        <v>102</v>
      </c>
      <c r="O1286">
        <v>1</v>
      </c>
      <c r="P1286" t="s">
        <v>52</v>
      </c>
      <c r="Q1286">
        <v>0</v>
      </c>
      <c r="R1286">
        <v>0.75</v>
      </c>
      <c r="S1286">
        <v>135</v>
      </c>
      <c r="T1286" t="s">
        <v>284</v>
      </c>
      <c r="U1286">
        <v>132</v>
      </c>
      <c r="V1286" t="s">
        <v>284</v>
      </c>
      <c r="W1286">
        <v>147</v>
      </c>
      <c r="X1286" t="s">
        <v>284</v>
      </c>
      <c r="Y1286">
        <v>170</v>
      </c>
      <c r="Z1286" t="s">
        <v>284</v>
      </c>
      <c r="AA1286">
        <v>205</v>
      </c>
      <c r="AB1286" t="s">
        <v>285</v>
      </c>
      <c r="AG1286">
        <v>150.66669999999999</v>
      </c>
      <c r="AH1286" t="s">
        <v>54</v>
      </c>
      <c r="AI1286" t="s">
        <v>52</v>
      </c>
      <c r="AZ1286" t="s">
        <v>52</v>
      </c>
      <c r="BQ1286" t="s">
        <v>52</v>
      </c>
      <c r="CH1286" t="s">
        <v>52</v>
      </c>
    </row>
    <row r="1287" spans="1:86" x14ac:dyDescent="0.25">
      <c r="A1287" t="s">
        <v>47</v>
      </c>
      <c r="B1287">
        <v>8</v>
      </c>
      <c r="C1287" t="s">
        <v>203</v>
      </c>
      <c r="D1287">
        <v>115</v>
      </c>
      <c r="E1287" t="s">
        <v>70</v>
      </c>
      <c r="F1287">
        <v>296</v>
      </c>
      <c r="G1287" t="s">
        <v>74</v>
      </c>
      <c r="H1287" t="s">
        <v>50</v>
      </c>
      <c r="K1287" t="s">
        <v>52</v>
      </c>
      <c r="L1287">
        <v>1</v>
      </c>
      <c r="M1287" t="s">
        <v>53</v>
      </c>
      <c r="N1287">
        <v>102</v>
      </c>
      <c r="O1287">
        <v>1</v>
      </c>
      <c r="P1287" t="s">
        <v>52</v>
      </c>
      <c r="Q1287">
        <v>0</v>
      </c>
      <c r="R1287">
        <v>0.75</v>
      </c>
      <c r="S1287">
        <v>135</v>
      </c>
      <c r="T1287" t="s">
        <v>284</v>
      </c>
      <c r="U1287">
        <v>132</v>
      </c>
      <c r="V1287" t="s">
        <v>284</v>
      </c>
      <c r="W1287">
        <v>147</v>
      </c>
      <c r="X1287" t="s">
        <v>284</v>
      </c>
      <c r="Y1287">
        <v>170</v>
      </c>
      <c r="Z1287" t="s">
        <v>284</v>
      </c>
      <c r="AA1287">
        <v>205</v>
      </c>
      <c r="AB1287" t="s">
        <v>285</v>
      </c>
      <c r="AG1287">
        <v>150.66669999999999</v>
      </c>
      <c r="AH1287" t="s">
        <v>54</v>
      </c>
      <c r="AI1287" t="s">
        <v>52</v>
      </c>
      <c r="AZ1287" t="s">
        <v>52</v>
      </c>
      <c r="BQ1287" t="s">
        <v>52</v>
      </c>
      <c r="BR1287">
        <v>0.65</v>
      </c>
      <c r="BS1287" t="s">
        <v>284</v>
      </c>
      <c r="BT1287">
        <v>0.52</v>
      </c>
      <c r="BU1287" t="s">
        <v>284</v>
      </c>
      <c r="BV1287">
        <v>0.11</v>
      </c>
      <c r="BW1287" t="s">
        <v>289</v>
      </c>
      <c r="BX1287">
        <v>0.25</v>
      </c>
      <c r="BY1287" t="s">
        <v>289</v>
      </c>
      <c r="BZ1287">
        <v>0.22</v>
      </c>
      <c r="CA1287" t="s">
        <v>289</v>
      </c>
      <c r="CF1287">
        <v>0.33</v>
      </c>
      <c r="CG1287" t="s">
        <v>54</v>
      </c>
      <c r="CH1287" t="s">
        <v>52</v>
      </c>
    </row>
    <row r="1288" spans="1:86" x14ac:dyDescent="0.25">
      <c r="A1288" t="s">
        <v>47</v>
      </c>
      <c r="B1288">
        <v>8</v>
      </c>
      <c r="C1288" t="s">
        <v>203</v>
      </c>
      <c r="D1288">
        <v>115</v>
      </c>
      <c r="E1288" t="s">
        <v>70</v>
      </c>
      <c r="F1288">
        <v>296</v>
      </c>
      <c r="G1288" t="s">
        <v>90</v>
      </c>
      <c r="H1288" t="s">
        <v>50</v>
      </c>
      <c r="K1288" t="s">
        <v>51</v>
      </c>
      <c r="L1288">
        <v>1</v>
      </c>
      <c r="M1288" t="s">
        <v>53</v>
      </c>
      <c r="N1288">
        <v>102</v>
      </c>
      <c r="O1288">
        <v>1</v>
      </c>
      <c r="P1288" t="s">
        <v>52</v>
      </c>
      <c r="Q1288">
        <v>0.5</v>
      </c>
      <c r="R1288">
        <v>0.75</v>
      </c>
      <c r="S1288">
        <v>228</v>
      </c>
      <c r="T1288" t="s">
        <v>284</v>
      </c>
      <c r="U1288">
        <v>190</v>
      </c>
      <c r="V1288" t="s">
        <v>285</v>
      </c>
      <c r="W1288">
        <v>236</v>
      </c>
      <c r="X1288" t="s">
        <v>284</v>
      </c>
      <c r="Y1288">
        <v>244</v>
      </c>
      <c r="Z1288" t="s">
        <v>284</v>
      </c>
      <c r="AA1288">
        <v>215</v>
      </c>
      <c r="AB1288" t="s">
        <v>285</v>
      </c>
      <c r="AG1288">
        <v>226.33330000000001</v>
      </c>
      <c r="AH1288" t="s">
        <v>54</v>
      </c>
      <c r="AI1288" t="s">
        <v>52</v>
      </c>
      <c r="AZ1288" t="s">
        <v>52</v>
      </c>
      <c r="BQ1288" t="s">
        <v>52</v>
      </c>
      <c r="BR1288">
        <v>0.65</v>
      </c>
      <c r="BS1288" t="s">
        <v>284</v>
      </c>
      <c r="BT1288">
        <v>1.82</v>
      </c>
      <c r="BU1288" t="s">
        <v>284</v>
      </c>
      <c r="BV1288">
        <v>1.73</v>
      </c>
      <c r="BW1288" t="s">
        <v>284</v>
      </c>
      <c r="BX1288">
        <v>1.38</v>
      </c>
      <c r="BY1288" t="s">
        <v>284</v>
      </c>
      <c r="BZ1288">
        <v>1.38</v>
      </c>
      <c r="CA1288" t="s">
        <v>284</v>
      </c>
      <c r="CF1288">
        <v>1.5</v>
      </c>
      <c r="CG1288" t="s">
        <v>54</v>
      </c>
      <c r="CH1288" t="s">
        <v>52</v>
      </c>
    </row>
    <row r="1289" spans="1:86" x14ac:dyDescent="0.25">
      <c r="A1289" t="s">
        <v>47</v>
      </c>
      <c r="B1289">
        <v>8</v>
      </c>
      <c r="C1289" t="s">
        <v>203</v>
      </c>
      <c r="D1289">
        <v>115</v>
      </c>
      <c r="E1289" t="s">
        <v>70</v>
      </c>
      <c r="F1289">
        <v>296</v>
      </c>
      <c r="G1289" t="s">
        <v>90</v>
      </c>
      <c r="H1289" t="s">
        <v>50</v>
      </c>
      <c r="K1289" t="s">
        <v>52</v>
      </c>
      <c r="L1289">
        <v>1</v>
      </c>
      <c r="M1289" t="s">
        <v>53</v>
      </c>
      <c r="N1289">
        <v>102</v>
      </c>
      <c r="O1289">
        <v>1</v>
      </c>
      <c r="P1289" t="s">
        <v>52</v>
      </c>
      <c r="Q1289">
        <v>0.5</v>
      </c>
      <c r="R1289">
        <v>0.75</v>
      </c>
      <c r="S1289">
        <v>228</v>
      </c>
      <c r="T1289" t="s">
        <v>284</v>
      </c>
      <c r="U1289">
        <v>190</v>
      </c>
      <c r="V1289" t="s">
        <v>285</v>
      </c>
      <c r="W1289">
        <v>236</v>
      </c>
      <c r="X1289" t="s">
        <v>284</v>
      </c>
      <c r="Y1289">
        <v>244</v>
      </c>
      <c r="Z1289" t="s">
        <v>284</v>
      </c>
      <c r="AA1289">
        <v>215</v>
      </c>
      <c r="AB1289" t="s">
        <v>285</v>
      </c>
      <c r="AG1289">
        <v>226.33330000000001</v>
      </c>
      <c r="AH1289" t="s">
        <v>54</v>
      </c>
      <c r="AI1289" t="s">
        <v>52</v>
      </c>
      <c r="AZ1289" t="s">
        <v>52</v>
      </c>
      <c r="BQ1289" t="s">
        <v>52</v>
      </c>
      <c r="BR1289">
        <v>0.65</v>
      </c>
      <c r="BS1289" t="s">
        <v>284</v>
      </c>
      <c r="BT1289">
        <v>0.95</v>
      </c>
      <c r="BU1289" t="s">
        <v>284</v>
      </c>
      <c r="BV1289">
        <v>0.28999999999999998</v>
      </c>
      <c r="BW1289" t="s">
        <v>284</v>
      </c>
      <c r="BX1289">
        <v>0.25</v>
      </c>
      <c r="BY1289" t="s">
        <v>284</v>
      </c>
      <c r="BZ1289">
        <v>0.25</v>
      </c>
      <c r="CA1289" t="s">
        <v>284</v>
      </c>
      <c r="CF1289">
        <v>0.4</v>
      </c>
      <c r="CG1289" t="s">
        <v>54</v>
      </c>
      <c r="CH1289" t="s">
        <v>52</v>
      </c>
    </row>
    <row r="1290" spans="1:86" x14ac:dyDescent="0.25">
      <c r="A1290" t="s">
        <v>47</v>
      </c>
      <c r="B1290">
        <v>8</v>
      </c>
      <c r="C1290" t="s">
        <v>203</v>
      </c>
      <c r="D1290">
        <v>115</v>
      </c>
      <c r="E1290" t="s">
        <v>75</v>
      </c>
      <c r="F1290">
        <v>16</v>
      </c>
      <c r="G1290" t="s">
        <v>76</v>
      </c>
      <c r="H1290" t="s">
        <v>50</v>
      </c>
      <c r="K1290" t="s">
        <v>51</v>
      </c>
      <c r="L1290">
        <v>1</v>
      </c>
      <c r="M1290" t="s">
        <v>53</v>
      </c>
      <c r="N1290">
        <v>16</v>
      </c>
      <c r="O1290">
        <v>2</v>
      </c>
      <c r="P1290" t="s">
        <v>52</v>
      </c>
      <c r="Q1290">
        <v>0.5</v>
      </c>
      <c r="R1290">
        <v>0.75</v>
      </c>
      <c r="S1290">
        <v>83.35</v>
      </c>
      <c r="T1290" t="s">
        <v>285</v>
      </c>
      <c r="U1290">
        <v>96.14</v>
      </c>
      <c r="V1290" t="s">
        <v>284</v>
      </c>
      <c r="W1290">
        <v>103.37</v>
      </c>
      <c r="X1290" t="s">
        <v>284</v>
      </c>
      <c r="Y1290">
        <v>106.14</v>
      </c>
      <c r="Z1290" t="s">
        <v>284</v>
      </c>
      <c r="AA1290">
        <v>128</v>
      </c>
      <c r="AB1290" t="s">
        <v>285</v>
      </c>
      <c r="AG1290">
        <v>101.88330000000001</v>
      </c>
      <c r="AH1290" t="s">
        <v>54</v>
      </c>
      <c r="AI1290" t="s">
        <v>52</v>
      </c>
      <c r="AX1290">
        <v>146.69999999999999</v>
      </c>
      <c r="AY1290" t="s">
        <v>285</v>
      </c>
      <c r="AZ1290" t="s">
        <v>287</v>
      </c>
      <c r="BQ1290" t="s">
        <v>52</v>
      </c>
      <c r="BR1290">
        <v>1.85</v>
      </c>
      <c r="BS1290" t="s">
        <v>284</v>
      </c>
      <c r="BT1290">
        <v>1.82</v>
      </c>
      <c r="BU1290" t="s">
        <v>284</v>
      </c>
      <c r="BV1290">
        <v>1.53</v>
      </c>
      <c r="BW1290" t="s">
        <v>284</v>
      </c>
      <c r="BX1290">
        <v>2.4900000000000002</v>
      </c>
      <c r="BY1290" t="s">
        <v>284</v>
      </c>
      <c r="BZ1290">
        <v>2.91</v>
      </c>
      <c r="CA1290" t="s">
        <v>289</v>
      </c>
      <c r="CF1290">
        <v>2.0499999999999998</v>
      </c>
      <c r="CG1290" t="s">
        <v>54</v>
      </c>
      <c r="CH1290" t="s">
        <v>52</v>
      </c>
    </row>
    <row r="1291" spans="1:86" x14ac:dyDescent="0.25">
      <c r="A1291" t="s">
        <v>47</v>
      </c>
      <c r="B1291">
        <v>8</v>
      </c>
      <c r="C1291" t="s">
        <v>203</v>
      </c>
      <c r="D1291">
        <v>115</v>
      </c>
      <c r="E1291" t="s">
        <v>75</v>
      </c>
      <c r="F1291">
        <v>16</v>
      </c>
      <c r="G1291" t="s">
        <v>76</v>
      </c>
      <c r="H1291" t="s">
        <v>50</v>
      </c>
      <c r="K1291" t="s">
        <v>52</v>
      </c>
      <c r="L1291">
        <v>1</v>
      </c>
      <c r="M1291" t="s">
        <v>53</v>
      </c>
      <c r="N1291">
        <v>16</v>
      </c>
      <c r="O1291">
        <v>2</v>
      </c>
      <c r="P1291" t="s">
        <v>52</v>
      </c>
      <c r="Q1291">
        <v>0.5</v>
      </c>
      <c r="R1291">
        <v>0.75</v>
      </c>
      <c r="S1291">
        <v>83.35</v>
      </c>
      <c r="T1291" t="s">
        <v>285</v>
      </c>
      <c r="U1291">
        <v>96.14</v>
      </c>
      <c r="V1291" t="s">
        <v>284</v>
      </c>
      <c r="W1291">
        <v>103.37</v>
      </c>
      <c r="X1291" t="s">
        <v>284</v>
      </c>
      <c r="Y1291">
        <v>106.14</v>
      </c>
      <c r="Z1291" t="s">
        <v>284</v>
      </c>
      <c r="AA1291">
        <v>128</v>
      </c>
      <c r="AB1291" t="s">
        <v>285</v>
      </c>
      <c r="AG1291">
        <v>101.88330000000001</v>
      </c>
      <c r="AH1291" t="s">
        <v>54</v>
      </c>
      <c r="AI1291" t="s">
        <v>52</v>
      </c>
      <c r="AX1291">
        <v>146.69999999999999</v>
      </c>
      <c r="AY1291" t="s">
        <v>285</v>
      </c>
      <c r="AZ1291" t="s">
        <v>287</v>
      </c>
      <c r="BQ1291" t="s">
        <v>52</v>
      </c>
      <c r="BR1291">
        <v>0.65</v>
      </c>
      <c r="BS1291" t="s">
        <v>284</v>
      </c>
      <c r="BT1291">
        <v>0.95</v>
      </c>
      <c r="BU1291" t="s">
        <v>284</v>
      </c>
      <c r="BV1291">
        <v>1.71</v>
      </c>
      <c r="BW1291" t="s">
        <v>284</v>
      </c>
      <c r="BX1291">
        <v>1.76</v>
      </c>
      <c r="BY1291" t="s">
        <v>284</v>
      </c>
      <c r="BZ1291">
        <v>0.19</v>
      </c>
      <c r="CA1291" t="s">
        <v>289</v>
      </c>
      <c r="CF1291">
        <v>1.1000000000000001</v>
      </c>
      <c r="CG1291" t="s">
        <v>54</v>
      </c>
      <c r="CH1291" t="s">
        <v>52</v>
      </c>
    </row>
    <row r="1292" spans="1:86" x14ac:dyDescent="0.25">
      <c r="A1292" t="s">
        <v>47</v>
      </c>
      <c r="B1292">
        <v>8</v>
      </c>
      <c r="C1292" t="s">
        <v>203</v>
      </c>
      <c r="D1292">
        <v>115</v>
      </c>
      <c r="E1292" t="s">
        <v>93</v>
      </c>
      <c r="F1292">
        <v>94</v>
      </c>
      <c r="H1292" t="s">
        <v>50</v>
      </c>
      <c r="K1292" t="s">
        <v>52</v>
      </c>
      <c r="L1292">
        <v>1</v>
      </c>
      <c r="M1292" t="s">
        <v>53</v>
      </c>
      <c r="N1292">
        <v>94</v>
      </c>
      <c r="O1292">
        <v>2</v>
      </c>
      <c r="P1292" t="s">
        <v>52</v>
      </c>
      <c r="Q1292">
        <v>0.77</v>
      </c>
      <c r="R1292">
        <v>0.93</v>
      </c>
      <c r="S1292">
        <v>205</v>
      </c>
      <c r="T1292" t="s">
        <v>284</v>
      </c>
      <c r="U1292">
        <v>175</v>
      </c>
      <c r="V1292" t="s">
        <v>284</v>
      </c>
      <c r="W1292">
        <v>188</v>
      </c>
      <c r="X1292" t="s">
        <v>284</v>
      </c>
      <c r="Y1292">
        <v>202.32</v>
      </c>
      <c r="Z1292" t="s">
        <v>284</v>
      </c>
      <c r="AA1292">
        <v>209.16</v>
      </c>
      <c r="AB1292" t="s">
        <v>284</v>
      </c>
      <c r="AG1292">
        <v>198.44</v>
      </c>
      <c r="AH1292" t="s">
        <v>54</v>
      </c>
      <c r="AI1292" t="s">
        <v>52</v>
      </c>
      <c r="AZ1292" t="s">
        <v>52</v>
      </c>
      <c r="BQ1292" t="s">
        <v>52</v>
      </c>
      <c r="BR1292">
        <v>1.17</v>
      </c>
      <c r="BS1292" t="s">
        <v>285</v>
      </c>
      <c r="BT1292">
        <v>1.04</v>
      </c>
      <c r="BU1292" t="s">
        <v>284</v>
      </c>
      <c r="BV1292">
        <v>1.26</v>
      </c>
      <c r="BW1292" t="s">
        <v>284</v>
      </c>
      <c r="BX1292">
        <v>1.24</v>
      </c>
      <c r="BY1292" t="s">
        <v>284</v>
      </c>
      <c r="BZ1292">
        <v>1.02</v>
      </c>
      <c r="CA1292" t="s">
        <v>284</v>
      </c>
      <c r="CF1292">
        <v>1.1499999999999999</v>
      </c>
      <c r="CG1292" t="s">
        <v>54</v>
      </c>
      <c r="CH1292" t="s">
        <v>52</v>
      </c>
    </row>
    <row r="1293" spans="1:86" x14ac:dyDescent="0.25">
      <c r="A1293" t="s">
        <v>47</v>
      </c>
      <c r="B1293">
        <v>8</v>
      </c>
      <c r="C1293" t="s">
        <v>203</v>
      </c>
      <c r="D1293">
        <v>115</v>
      </c>
      <c r="E1293" t="s">
        <v>79</v>
      </c>
      <c r="F1293">
        <v>50</v>
      </c>
      <c r="G1293" t="s">
        <v>80</v>
      </c>
      <c r="H1293" t="s">
        <v>50</v>
      </c>
      <c r="K1293" t="s">
        <v>51</v>
      </c>
      <c r="L1293">
        <v>1</v>
      </c>
      <c r="M1293" t="s">
        <v>53</v>
      </c>
      <c r="N1293">
        <v>50</v>
      </c>
      <c r="O1293">
        <v>1</v>
      </c>
      <c r="P1293" t="s">
        <v>52</v>
      </c>
      <c r="Q1293">
        <v>0.5</v>
      </c>
      <c r="R1293">
        <v>0.75</v>
      </c>
      <c r="S1293">
        <v>85</v>
      </c>
      <c r="T1293" t="s">
        <v>285</v>
      </c>
      <c r="U1293">
        <v>93</v>
      </c>
      <c r="V1293" t="s">
        <v>284</v>
      </c>
      <c r="W1293">
        <v>89.7</v>
      </c>
      <c r="X1293" t="s">
        <v>284</v>
      </c>
      <c r="Y1293">
        <v>92.72</v>
      </c>
      <c r="Z1293" t="s">
        <v>284</v>
      </c>
      <c r="AA1293">
        <v>109</v>
      </c>
      <c r="AB1293" t="s">
        <v>285</v>
      </c>
      <c r="AG1293">
        <v>91.806700000000006</v>
      </c>
      <c r="AH1293" t="s">
        <v>54</v>
      </c>
      <c r="AI1293" t="s">
        <v>52</v>
      </c>
      <c r="AZ1293" t="s">
        <v>52</v>
      </c>
      <c r="BQ1293" t="s">
        <v>52</v>
      </c>
      <c r="BR1293">
        <v>4.4800000000000004</v>
      </c>
      <c r="BS1293" t="s">
        <v>289</v>
      </c>
      <c r="BT1293">
        <v>2.63</v>
      </c>
      <c r="BU1293" t="s">
        <v>285</v>
      </c>
      <c r="BV1293">
        <v>1.85</v>
      </c>
      <c r="BW1293" t="s">
        <v>285</v>
      </c>
      <c r="BX1293">
        <v>2.88</v>
      </c>
      <c r="BY1293" t="s">
        <v>285</v>
      </c>
      <c r="BZ1293">
        <v>3.77</v>
      </c>
      <c r="CA1293" t="s">
        <v>289</v>
      </c>
      <c r="CF1293">
        <v>3.09</v>
      </c>
      <c r="CG1293" t="s">
        <v>54</v>
      </c>
      <c r="CH1293" t="s">
        <v>52</v>
      </c>
    </row>
    <row r="1294" spans="1:86" x14ac:dyDescent="0.25">
      <c r="A1294" t="s">
        <v>47</v>
      </c>
      <c r="B1294">
        <v>8</v>
      </c>
      <c r="C1294" t="s">
        <v>203</v>
      </c>
      <c r="D1294">
        <v>115</v>
      </c>
      <c r="E1294" t="s">
        <v>79</v>
      </c>
      <c r="F1294">
        <v>50</v>
      </c>
      <c r="G1294" t="s">
        <v>80</v>
      </c>
      <c r="H1294" t="s">
        <v>50</v>
      </c>
      <c r="K1294" t="s">
        <v>52</v>
      </c>
      <c r="L1294">
        <v>1</v>
      </c>
      <c r="M1294" t="s">
        <v>53</v>
      </c>
      <c r="N1294">
        <v>50</v>
      </c>
      <c r="O1294">
        <v>1</v>
      </c>
      <c r="P1294" t="s">
        <v>52</v>
      </c>
      <c r="Q1294">
        <v>0.5</v>
      </c>
      <c r="R1294">
        <v>0.75</v>
      </c>
      <c r="S1294">
        <v>85</v>
      </c>
      <c r="T1294" t="s">
        <v>285</v>
      </c>
      <c r="U1294">
        <v>93</v>
      </c>
      <c r="V1294" t="s">
        <v>284</v>
      </c>
      <c r="W1294">
        <v>89.7</v>
      </c>
      <c r="X1294" t="s">
        <v>284</v>
      </c>
      <c r="Y1294">
        <v>92.72</v>
      </c>
      <c r="Z1294" t="s">
        <v>284</v>
      </c>
      <c r="AA1294">
        <v>109</v>
      </c>
      <c r="AB1294" t="s">
        <v>285</v>
      </c>
      <c r="AG1294">
        <v>91.806700000000006</v>
      </c>
      <c r="AH1294" t="s">
        <v>54</v>
      </c>
      <c r="AI1294" t="s">
        <v>52</v>
      </c>
      <c r="AZ1294" t="s">
        <v>52</v>
      </c>
      <c r="BQ1294" t="s">
        <v>52</v>
      </c>
      <c r="BR1294">
        <v>0.75</v>
      </c>
      <c r="BS1294" t="s">
        <v>289</v>
      </c>
      <c r="BT1294">
        <v>0.81</v>
      </c>
      <c r="BU1294" t="s">
        <v>284</v>
      </c>
      <c r="BV1294">
        <v>1.1599999999999999</v>
      </c>
      <c r="BW1294" t="s">
        <v>284</v>
      </c>
      <c r="BX1294">
        <v>1.1100000000000001</v>
      </c>
      <c r="BY1294" t="s">
        <v>284</v>
      </c>
      <c r="BZ1294">
        <v>0.61</v>
      </c>
      <c r="CA1294" t="s">
        <v>289</v>
      </c>
      <c r="CF1294">
        <v>0.89</v>
      </c>
      <c r="CG1294" t="s">
        <v>54</v>
      </c>
      <c r="CH1294" t="s">
        <v>52</v>
      </c>
    </row>
    <row r="1295" spans="1:86" x14ac:dyDescent="0.25">
      <c r="A1295" t="s">
        <v>47</v>
      </c>
      <c r="B1295">
        <v>8</v>
      </c>
      <c r="C1295" t="s">
        <v>203</v>
      </c>
      <c r="D1295">
        <v>115</v>
      </c>
      <c r="E1295" t="s">
        <v>79</v>
      </c>
      <c r="F1295">
        <v>50</v>
      </c>
      <c r="G1295" t="s">
        <v>65</v>
      </c>
      <c r="H1295" t="s">
        <v>50</v>
      </c>
      <c r="K1295" t="s">
        <v>51</v>
      </c>
      <c r="L1295">
        <v>1</v>
      </c>
      <c r="M1295" t="s">
        <v>53</v>
      </c>
      <c r="N1295">
        <v>50</v>
      </c>
      <c r="O1295">
        <v>1</v>
      </c>
      <c r="P1295" t="s">
        <v>52</v>
      </c>
      <c r="Q1295">
        <v>0.5</v>
      </c>
      <c r="R1295">
        <v>0.75</v>
      </c>
      <c r="S1295">
        <v>85</v>
      </c>
      <c r="T1295" t="s">
        <v>285</v>
      </c>
      <c r="U1295">
        <v>93</v>
      </c>
      <c r="V1295" t="s">
        <v>284</v>
      </c>
      <c r="W1295">
        <v>89.7</v>
      </c>
      <c r="X1295" t="s">
        <v>284</v>
      </c>
      <c r="Y1295">
        <v>92.72</v>
      </c>
      <c r="Z1295" t="s">
        <v>284</v>
      </c>
      <c r="AA1295">
        <v>109</v>
      </c>
      <c r="AB1295" t="s">
        <v>285</v>
      </c>
      <c r="AG1295">
        <v>91.806700000000006</v>
      </c>
      <c r="AH1295" t="s">
        <v>54</v>
      </c>
      <c r="AI1295" t="s">
        <v>52</v>
      </c>
      <c r="AZ1295" t="s">
        <v>52</v>
      </c>
      <c r="BQ1295" t="s">
        <v>52</v>
      </c>
      <c r="BR1295">
        <v>3.57</v>
      </c>
      <c r="BS1295" t="s">
        <v>288</v>
      </c>
      <c r="BT1295">
        <v>2.21</v>
      </c>
      <c r="BU1295" t="s">
        <v>285</v>
      </c>
      <c r="BV1295">
        <v>1.6</v>
      </c>
      <c r="BW1295" t="s">
        <v>285</v>
      </c>
      <c r="BX1295">
        <v>2.42</v>
      </c>
      <c r="BY1295" t="s">
        <v>285</v>
      </c>
      <c r="BZ1295">
        <v>3.17</v>
      </c>
      <c r="CA1295" t="s">
        <v>289</v>
      </c>
      <c r="CF1295">
        <v>2.6</v>
      </c>
      <c r="CG1295" t="s">
        <v>54</v>
      </c>
      <c r="CH1295" t="s">
        <v>52</v>
      </c>
    </row>
    <row r="1296" spans="1:86" x14ac:dyDescent="0.25">
      <c r="A1296" t="s">
        <v>47</v>
      </c>
      <c r="B1296">
        <v>8</v>
      </c>
      <c r="C1296" t="s">
        <v>203</v>
      </c>
      <c r="D1296">
        <v>115</v>
      </c>
      <c r="E1296" t="s">
        <v>79</v>
      </c>
      <c r="F1296">
        <v>50</v>
      </c>
      <c r="G1296" t="s">
        <v>65</v>
      </c>
      <c r="H1296" t="s">
        <v>50</v>
      </c>
      <c r="K1296" t="s">
        <v>52</v>
      </c>
      <c r="L1296">
        <v>1</v>
      </c>
      <c r="M1296" t="s">
        <v>53</v>
      </c>
      <c r="N1296">
        <v>50</v>
      </c>
      <c r="O1296">
        <v>1</v>
      </c>
      <c r="P1296" t="s">
        <v>52</v>
      </c>
      <c r="Q1296">
        <v>0.5</v>
      </c>
      <c r="R1296">
        <v>0.75</v>
      </c>
      <c r="S1296">
        <v>85</v>
      </c>
      <c r="T1296" t="s">
        <v>285</v>
      </c>
      <c r="U1296">
        <v>93</v>
      </c>
      <c r="V1296" t="s">
        <v>284</v>
      </c>
      <c r="W1296">
        <v>89.7</v>
      </c>
      <c r="X1296" t="s">
        <v>284</v>
      </c>
      <c r="Y1296">
        <v>92.72</v>
      </c>
      <c r="Z1296" t="s">
        <v>284</v>
      </c>
      <c r="AA1296">
        <v>109</v>
      </c>
      <c r="AB1296" t="s">
        <v>285</v>
      </c>
      <c r="AG1296">
        <v>91.806700000000006</v>
      </c>
      <c r="AH1296" t="s">
        <v>54</v>
      </c>
      <c r="AI1296" t="s">
        <v>52</v>
      </c>
      <c r="AZ1296" t="s">
        <v>52</v>
      </c>
      <c r="BQ1296" t="s">
        <v>52</v>
      </c>
      <c r="BR1296">
        <v>0.43</v>
      </c>
      <c r="BS1296" t="s">
        <v>289</v>
      </c>
      <c r="BT1296">
        <v>0.6</v>
      </c>
      <c r="BU1296" t="s">
        <v>284</v>
      </c>
      <c r="BV1296">
        <v>0.87</v>
      </c>
      <c r="BW1296" t="s">
        <v>284</v>
      </c>
      <c r="BX1296">
        <v>0.83</v>
      </c>
      <c r="BY1296" t="s">
        <v>284</v>
      </c>
      <c r="BZ1296">
        <v>0.46</v>
      </c>
      <c r="CA1296" t="s">
        <v>289</v>
      </c>
      <c r="CF1296">
        <v>0.63</v>
      </c>
      <c r="CG1296" t="s">
        <v>54</v>
      </c>
      <c r="CH1296" t="s">
        <v>52</v>
      </c>
    </row>
    <row r="1297" spans="1:86" x14ac:dyDescent="0.25">
      <c r="A1297" t="s">
        <v>47</v>
      </c>
      <c r="B1297">
        <v>8</v>
      </c>
      <c r="C1297" t="s">
        <v>203</v>
      </c>
      <c r="D1297">
        <v>115</v>
      </c>
      <c r="E1297" t="s">
        <v>144</v>
      </c>
      <c r="F1297">
        <v>81</v>
      </c>
      <c r="G1297" t="s">
        <v>69</v>
      </c>
      <c r="H1297" t="s">
        <v>50</v>
      </c>
      <c r="K1297" t="s">
        <v>51</v>
      </c>
      <c r="L1297">
        <v>1</v>
      </c>
      <c r="M1297" t="s">
        <v>53</v>
      </c>
      <c r="N1297">
        <v>81</v>
      </c>
      <c r="O1297">
        <v>1</v>
      </c>
      <c r="P1297" t="s">
        <v>52</v>
      </c>
      <c r="Q1297">
        <v>0.67</v>
      </c>
      <c r="R1297">
        <v>0.92</v>
      </c>
      <c r="S1297">
        <v>228</v>
      </c>
      <c r="T1297" t="s">
        <v>284</v>
      </c>
      <c r="U1297">
        <v>198.9</v>
      </c>
      <c r="V1297" t="s">
        <v>284</v>
      </c>
      <c r="AI1297" t="s">
        <v>52</v>
      </c>
      <c r="AZ1297" t="s">
        <v>52</v>
      </c>
      <c r="BQ1297" t="s">
        <v>52</v>
      </c>
      <c r="BR1297">
        <v>1.85</v>
      </c>
      <c r="BS1297" t="s">
        <v>284</v>
      </c>
      <c r="BT1297">
        <v>1.34</v>
      </c>
      <c r="BU1297" t="s">
        <v>284</v>
      </c>
      <c r="CH1297" t="s">
        <v>52</v>
      </c>
    </row>
    <row r="1298" spans="1:86" x14ac:dyDescent="0.25">
      <c r="A1298" t="s">
        <v>47</v>
      </c>
      <c r="B1298">
        <v>8</v>
      </c>
      <c r="C1298" t="s">
        <v>203</v>
      </c>
      <c r="D1298">
        <v>115</v>
      </c>
      <c r="E1298" t="s">
        <v>144</v>
      </c>
      <c r="F1298">
        <v>81</v>
      </c>
      <c r="G1298" t="s">
        <v>69</v>
      </c>
      <c r="H1298" t="s">
        <v>50</v>
      </c>
      <c r="K1298" t="s">
        <v>52</v>
      </c>
      <c r="L1298">
        <v>1</v>
      </c>
      <c r="M1298" t="s">
        <v>53</v>
      </c>
      <c r="N1298">
        <v>81</v>
      </c>
      <c r="O1298">
        <v>1</v>
      </c>
      <c r="P1298" t="s">
        <v>52</v>
      </c>
      <c r="Q1298">
        <v>0.67</v>
      </c>
      <c r="R1298">
        <v>0.92</v>
      </c>
      <c r="S1298">
        <v>228</v>
      </c>
      <c r="T1298" t="s">
        <v>284</v>
      </c>
      <c r="U1298">
        <v>198.9</v>
      </c>
      <c r="V1298" t="s">
        <v>284</v>
      </c>
      <c r="AI1298" t="s">
        <v>52</v>
      </c>
      <c r="AZ1298" t="s">
        <v>52</v>
      </c>
      <c r="BQ1298" t="s">
        <v>52</v>
      </c>
      <c r="BR1298">
        <v>0.93</v>
      </c>
      <c r="BS1298" t="s">
        <v>285</v>
      </c>
      <c r="BT1298">
        <v>0.7</v>
      </c>
      <c r="BU1298" t="s">
        <v>289</v>
      </c>
      <c r="CH1298" t="s">
        <v>52</v>
      </c>
    </row>
    <row r="1299" spans="1:86" x14ac:dyDescent="0.25">
      <c r="A1299" t="s">
        <v>47</v>
      </c>
      <c r="B1299">
        <v>8</v>
      </c>
      <c r="C1299" t="s">
        <v>203</v>
      </c>
      <c r="D1299">
        <v>115</v>
      </c>
      <c r="E1299" t="s">
        <v>144</v>
      </c>
      <c r="F1299">
        <v>81</v>
      </c>
      <c r="G1299" t="s">
        <v>205</v>
      </c>
      <c r="H1299" t="s">
        <v>50</v>
      </c>
      <c r="K1299" t="s">
        <v>51</v>
      </c>
      <c r="L1299">
        <v>1</v>
      </c>
      <c r="M1299" t="s">
        <v>53</v>
      </c>
      <c r="N1299">
        <v>81</v>
      </c>
      <c r="O1299">
        <v>1</v>
      </c>
      <c r="P1299" t="s">
        <v>52</v>
      </c>
      <c r="Q1299">
        <v>0.67</v>
      </c>
      <c r="R1299">
        <v>0.92</v>
      </c>
      <c r="S1299">
        <v>228</v>
      </c>
      <c r="T1299" t="s">
        <v>284</v>
      </c>
      <c r="U1299">
        <v>198.9</v>
      </c>
      <c r="V1299" t="s">
        <v>284</v>
      </c>
      <c r="AI1299" t="s">
        <v>52</v>
      </c>
      <c r="AZ1299" t="s">
        <v>52</v>
      </c>
      <c r="BQ1299" t="s">
        <v>52</v>
      </c>
      <c r="BR1299">
        <v>1.85</v>
      </c>
      <c r="BS1299" t="s">
        <v>284</v>
      </c>
      <c r="BT1299">
        <v>1.34</v>
      </c>
      <c r="BU1299" t="s">
        <v>284</v>
      </c>
      <c r="CH1299" t="s">
        <v>52</v>
      </c>
    </row>
    <row r="1300" spans="1:86" x14ac:dyDescent="0.25">
      <c r="A1300" t="s">
        <v>47</v>
      </c>
      <c r="B1300">
        <v>8</v>
      </c>
      <c r="C1300" t="s">
        <v>203</v>
      </c>
      <c r="D1300">
        <v>115</v>
      </c>
      <c r="E1300" t="s">
        <v>144</v>
      </c>
      <c r="F1300">
        <v>81</v>
      </c>
      <c r="G1300" t="s">
        <v>205</v>
      </c>
      <c r="H1300" t="s">
        <v>50</v>
      </c>
      <c r="K1300" t="s">
        <v>52</v>
      </c>
      <c r="L1300">
        <v>1</v>
      </c>
      <c r="M1300" t="s">
        <v>53</v>
      </c>
      <c r="N1300">
        <v>81</v>
      </c>
      <c r="O1300">
        <v>1</v>
      </c>
      <c r="P1300" t="s">
        <v>52</v>
      </c>
      <c r="Q1300">
        <v>0.67</v>
      </c>
      <c r="R1300">
        <v>0.92</v>
      </c>
      <c r="S1300">
        <v>228</v>
      </c>
      <c r="T1300" t="s">
        <v>284</v>
      </c>
      <c r="U1300">
        <v>198.9</v>
      </c>
      <c r="V1300" t="s">
        <v>284</v>
      </c>
      <c r="AI1300" t="s">
        <v>52</v>
      </c>
      <c r="AZ1300" t="s">
        <v>52</v>
      </c>
      <c r="BQ1300" t="s">
        <v>52</v>
      </c>
      <c r="BR1300">
        <v>0.93</v>
      </c>
      <c r="BS1300" t="s">
        <v>285</v>
      </c>
      <c r="BT1300">
        <v>0.7</v>
      </c>
      <c r="BU1300" t="s">
        <v>284</v>
      </c>
      <c r="CH1300" t="s">
        <v>52</v>
      </c>
    </row>
    <row r="1301" spans="1:86" x14ac:dyDescent="0.25">
      <c r="A1301" t="s">
        <v>47</v>
      </c>
      <c r="B1301">
        <v>8</v>
      </c>
      <c r="C1301" t="s">
        <v>203</v>
      </c>
      <c r="D1301">
        <v>115</v>
      </c>
      <c r="E1301" t="s">
        <v>83</v>
      </c>
      <c r="F1301">
        <v>158</v>
      </c>
      <c r="H1301" t="s">
        <v>50</v>
      </c>
      <c r="K1301" t="s">
        <v>51</v>
      </c>
      <c r="L1301">
        <v>1</v>
      </c>
      <c r="M1301" t="s">
        <v>53</v>
      </c>
      <c r="N1301">
        <v>158</v>
      </c>
      <c r="O1301">
        <v>2</v>
      </c>
      <c r="P1301" t="s">
        <v>52</v>
      </c>
      <c r="Q1301">
        <v>0.77</v>
      </c>
      <c r="R1301">
        <v>0.93</v>
      </c>
      <c r="S1301">
        <v>228</v>
      </c>
      <c r="T1301" t="s">
        <v>284</v>
      </c>
      <c r="U1301">
        <v>221</v>
      </c>
      <c r="V1301" t="s">
        <v>284</v>
      </c>
      <c r="W1301">
        <v>236</v>
      </c>
      <c r="X1301" t="s">
        <v>284</v>
      </c>
      <c r="Y1301">
        <v>244</v>
      </c>
      <c r="Z1301" t="s">
        <v>284</v>
      </c>
      <c r="AA1301">
        <v>252</v>
      </c>
      <c r="AB1301" t="s">
        <v>284</v>
      </c>
      <c r="AG1301">
        <v>236</v>
      </c>
      <c r="AH1301" t="s">
        <v>54</v>
      </c>
      <c r="AI1301" t="s">
        <v>52</v>
      </c>
      <c r="AX1301">
        <v>339</v>
      </c>
      <c r="AY1301" t="s">
        <v>285</v>
      </c>
      <c r="AZ1301" t="s">
        <v>287</v>
      </c>
      <c r="BQ1301" t="s">
        <v>52</v>
      </c>
      <c r="BR1301">
        <v>1.85</v>
      </c>
      <c r="BS1301" t="s">
        <v>284</v>
      </c>
      <c r="BT1301">
        <v>1.35</v>
      </c>
      <c r="BU1301" t="s">
        <v>284</v>
      </c>
      <c r="BV1301">
        <v>1.03</v>
      </c>
      <c r="BW1301" t="s">
        <v>288</v>
      </c>
      <c r="BX1301">
        <v>1.34</v>
      </c>
      <c r="BY1301" t="s">
        <v>289</v>
      </c>
      <c r="BZ1301">
        <v>1.22</v>
      </c>
      <c r="CA1301" t="s">
        <v>289</v>
      </c>
      <c r="CF1301">
        <v>1.3</v>
      </c>
      <c r="CG1301" t="s">
        <v>54</v>
      </c>
      <c r="CH1301" t="s">
        <v>52</v>
      </c>
    </row>
    <row r="1302" spans="1:86" x14ac:dyDescent="0.25">
      <c r="A1302" t="s">
        <v>47</v>
      </c>
      <c r="B1302">
        <v>8</v>
      </c>
      <c r="C1302" t="s">
        <v>203</v>
      </c>
      <c r="D1302">
        <v>115</v>
      </c>
      <c r="E1302" t="s">
        <v>83</v>
      </c>
      <c r="F1302">
        <v>158</v>
      </c>
      <c r="H1302" t="s">
        <v>50</v>
      </c>
      <c r="K1302" t="s">
        <v>52</v>
      </c>
      <c r="L1302">
        <v>1</v>
      </c>
      <c r="M1302" t="s">
        <v>53</v>
      </c>
      <c r="N1302">
        <v>158</v>
      </c>
      <c r="O1302">
        <v>2</v>
      </c>
      <c r="P1302" t="s">
        <v>52</v>
      </c>
      <c r="Q1302">
        <v>0.77</v>
      </c>
      <c r="R1302">
        <v>0.93</v>
      </c>
      <c r="S1302">
        <v>228</v>
      </c>
      <c r="T1302" t="s">
        <v>284</v>
      </c>
      <c r="U1302">
        <v>221</v>
      </c>
      <c r="V1302" t="s">
        <v>284</v>
      </c>
      <c r="W1302">
        <v>236</v>
      </c>
      <c r="X1302" t="s">
        <v>284</v>
      </c>
      <c r="Y1302">
        <v>244</v>
      </c>
      <c r="Z1302" t="s">
        <v>284</v>
      </c>
      <c r="AA1302">
        <v>252</v>
      </c>
      <c r="AB1302" t="s">
        <v>284</v>
      </c>
      <c r="AG1302">
        <v>236</v>
      </c>
      <c r="AH1302" t="s">
        <v>54</v>
      </c>
      <c r="AI1302" t="s">
        <v>52</v>
      </c>
      <c r="AX1302">
        <v>339</v>
      </c>
      <c r="AY1302" t="s">
        <v>285</v>
      </c>
      <c r="AZ1302" t="s">
        <v>287</v>
      </c>
      <c r="BQ1302" t="s">
        <v>52</v>
      </c>
      <c r="BR1302">
        <v>1.31</v>
      </c>
      <c r="BS1302" t="s">
        <v>285</v>
      </c>
      <c r="BT1302">
        <v>1.01</v>
      </c>
      <c r="BU1302" t="s">
        <v>284</v>
      </c>
      <c r="BV1302">
        <v>0.33</v>
      </c>
      <c r="BW1302" t="s">
        <v>288</v>
      </c>
      <c r="BX1302">
        <v>0.56999999999999995</v>
      </c>
      <c r="BY1302" t="s">
        <v>285</v>
      </c>
      <c r="BZ1302">
        <v>0.1</v>
      </c>
      <c r="CA1302" t="s">
        <v>289</v>
      </c>
      <c r="CF1302">
        <v>0.64</v>
      </c>
      <c r="CG1302" t="s">
        <v>54</v>
      </c>
      <c r="CH1302" t="s">
        <v>52</v>
      </c>
    </row>
    <row r="1303" spans="1:86" x14ac:dyDescent="0.25">
      <c r="A1303" t="s">
        <v>47</v>
      </c>
      <c r="B1303">
        <v>8</v>
      </c>
      <c r="C1303" t="s">
        <v>203</v>
      </c>
      <c r="D1303">
        <v>115</v>
      </c>
      <c r="E1303" t="s">
        <v>84</v>
      </c>
      <c r="F1303">
        <v>11</v>
      </c>
      <c r="G1303" t="s">
        <v>96</v>
      </c>
      <c r="H1303" t="s">
        <v>50</v>
      </c>
      <c r="K1303" t="s">
        <v>51</v>
      </c>
      <c r="L1303">
        <v>1</v>
      </c>
      <c r="M1303" t="s">
        <v>53</v>
      </c>
      <c r="N1303">
        <v>11</v>
      </c>
      <c r="O1303">
        <v>2</v>
      </c>
      <c r="P1303" t="s">
        <v>52</v>
      </c>
      <c r="Q1303">
        <v>0.5</v>
      </c>
      <c r="R1303">
        <v>0.75</v>
      </c>
      <c r="S1303">
        <v>124</v>
      </c>
      <c r="T1303" t="s">
        <v>284</v>
      </c>
      <c r="U1303">
        <v>110</v>
      </c>
      <c r="V1303" t="s">
        <v>284</v>
      </c>
      <c r="W1303">
        <v>118</v>
      </c>
      <c r="X1303" t="s">
        <v>284</v>
      </c>
      <c r="Y1303">
        <v>122</v>
      </c>
      <c r="Z1303" t="s">
        <v>284</v>
      </c>
      <c r="AA1303">
        <v>126</v>
      </c>
      <c r="AB1303" t="s">
        <v>284</v>
      </c>
      <c r="AG1303">
        <v>121.33329999999999</v>
      </c>
      <c r="AH1303" t="s">
        <v>54</v>
      </c>
      <c r="AI1303" t="s">
        <v>52</v>
      </c>
      <c r="AZ1303" t="s">
        <v>52</v>
      </c>
      <c r="BQ1303" t="s">
        <v>52</v>
      </c>
      <c r="BR1303">
        <v>1.89</v>
      </c>
      <c r="BS1303" t="s">
        <v>285</v>
      </c>
      <c r="BT1303">
        <v>1.71</v>
      </c>
      <c r="BU1303" t="s">
        <v>284</v>
      </c>
      <c r="BV1303">
        <v>1.99</v>
      </c>
      <c r="BW1303" t="s">
        <v>284</v>
      </c>
      <c r="BX1303">
        <v>1.73</v>
      </c>
      <c r="BY1303" t="s">
        <v>284</v>
      </c>
      <c r="BZ1303">
        <v>1.49</v>
      </c>
      <c r="CA1303" t="s">
        <v>284</v>
      </c>
      <c r="CF1303">
        <v>1.78</v>
      </c>
      <c r="CG1303" t="s">
        <v>54</v>
      </c>
      <c r="CH1303" t="s">
        <v>52</v>
      </c>
    </row>
    <row r="1304" spans="1:86" x14ac:dyDescent="0.25">
      <c r="A1304" t="s">
        <v>47</v>
      </c>
      <c r="B1304">
        <v>8</v>
      </c>
      <c r="C1304" t="s">
        <v>203</v>
      </c>
      <c r="D1304">
        <v>115</v>
      </c>
      <c r="E1304" t="s">
        <v>84</v>
      </c>
      <c r="F1304">
        <v>11</v>
      </c>
      <c r="G1304" t="s">
        <v>96</v>
      </c>
      <c r="H1304" t="s">
        <v>50</v>
      </c>
      <c r="K1304" t="s">
        <v>52</v>
      </c>
      <c r="L1304">
        <v>1</v>
      </c>
      <c r="M1304" t="s">
        <v>53</v>
      </c>
      <c r="N1304">
        <v>11</v>
      </c>
      <c r="O1304">
        <v>2</v>
      </c>
      <c r="P1304" t="s">
        <v>52</v>
      </c>
      <c r="Q1304">
        <v>0.5</v>
      </c>
      <c r="R1304">
        <v>0.75</v>
      </c>
      <c r="S1304">
        <v>124</v>
      </c>
      <c r="T1304" t="s">
        <v>284</v>
      </c>
      <c r="U1304">
        <v>110</v>
      </c>
      <c r="V1304" t="s">
        <v>284</v>
      </c>
      <c r="W1304">
        <v>118</v>
      </c>
      <c r="X1304" t="s">
        <v>284</v>
      </c>
      <c r="Y1304">
        <v>122</v>
      </c>
      <c r="Z1304" t="s">
        <v>284</v>
      </c>
      <c r="AA1304">
        <v>126</v>
      </c>
      <c r="AB1304" t="s">
        <v>284</v>
      </c>
      <c r="AG1304">
        <v>121.33329999999999</v>
      </c>
      <c r="AH1304" t="s">
        <v>54</v>
      </c>
      <c r="AI1304" t="s">
        <v>52</v>
      </c>
      <c r="AZ1304" t="s">
        <v>52</v>
      </c>
      <c r="BQ1304" t="s">
        <v>52</v>
      </c>
      <c r="BR1304">
        <v>0.75</v>
      </c>
      <c r="BS1304" t="s">
        <v>285</v>
      </c>
      <c r="BT1304">
        <v>0.65</v>
      </c>
      <c r="BU1304" t="s">
        <v>284</v>
      </c>
      <c r="BV1304">
        <v>0.79</v>
      </c>
      <c r="BW1304" t="s">
        <v>284</v>
      </c>
      <c r="BX1304">
        <v>0.68</v>
      </c>
      <c r="BY1304" t="s">
        <v>284</v>
      </c>
      <c r="BZ1304">
        <v>0.6</v>
      </c>
      <c r="CA1304" t="s">
        <v>284</v>
      </c>
      <c r="CF1304">
        <v>0.69</v>
      </c>
      <c r="CG1304" t="s">
        <v>54</v>
      </c>
      <c r="CH1304" t="s">
        <v>52</v>
      </c>
    </row>
    <row r="1305" spans="1:86" x14ac:dyDescent="0.25">
      <c r="A1305" t="s">
        <v>47</v>
      </c>
      <c r="B1305">
        <v>8</v>
      </c>
      <c r="C1305" t="s">
        <v>206</v>
      </c>
      <c r="D1305">
        <v>117</v>
      </c>
      <c r="E1305" t="s">
        <v>49</v>
      </c>
      <c r="F1305">
        <v>27</v>
      </c>
      <c r="H1305" t="s">
        <v>50</v>
      </c>
      <c r="K1305" t="s">
        <v>51</v>
      </c>
      <c r="L1305">
        <v>1</v>
      </c>
      <c r="M1305" t="s">
        <v>53</v>
      </c>
      <c r="N1305">
        <v>27</v>
      </c>
      <c r="O1305">
        <v>1</v>
      </c>
      <c r="P1305" t="s">
        <v>52</v>
      </c>
      <c r="Q1305">
        <v>0</v>
      </c>
      <c r="R1305">
        <v>0.75</v>
      </c>
      <c r="S1305">
        <v>231</v>
      </c>
      <c r="T1305" t="s">
        <v>284</v>
      </c>
      <c r="U1305">
        <v>208</v>
      </c>
      <c r="V1305" t="s">
        <v>284</v>
      </c>
      <c r="W1305">
        <v>224</v>
      </c>
      <c r="X1305" t="s">
        <v>284</v>
      </c>
      <c r="Y1305">
        <v>225</v>
      </c>
      <c r="Z1305" t="s">
        <v>285</v>
      </c>
      <c r="AA1305">
        <v>247</v>
      </c>
      <c r="AB1305" t="s">
        <v>285</v>
      </c>
      <c r="AC1305">
        <v>241</v>
      </c>
      <c r="AD1305" t="s">
        <v>285</v>
      </c>
      <c r="AE1305">
        <v>219</v>
      </c>
      <c r="AF1305" t="s">
        <v>285</v>
      </c>
      <c r="AG1305">
        <v>219</v>
      </c>
      <c r="AH1305" t="s">
        <v>286</v>
      </c>
      <c r="AI1305" t="s">
        <v>287</v>
      </c>
      <c r="AX1305">
        <v>263</v>
      </c>
      <c r="AY1305" t="s">
        <v>286</v>
      </c>
      <c r="AZ1305" t="s">
        <v>287</v>
      </c>
      <c r="BQ1305" t="s">
        <v>52</v>
      </c>
      <c r="CH1305" t="s">
        <v>52</v>
      </c>
    </row>
    <row r="1306" spans="1:86" x14ac:dyDescent="0.25">
      <c r="A1306" t="s">
        <v>47</v>
      </c>
      <c r="B1306">
        <v>8</v>
      </c>
      <c r="C1306" t="s">
        <v>206</v>
      </c>
      <c r="D1306">
        <v>117</v>
      </c>
      <c r="E1306" t="s">
        <v>58</v>
      </c>
      <c r="F1306">
        <v>102</v>
      </c>
      <c r="G1306" t="s">
        <v>62</v>
      </c>
      <c r="H1306" t="s">
        <v>50</v>
      </c>
      <c r="K1306" t="s">
        <v>51</v>
      </c>
      <c r="L1306">
        <v>1</v>
      </c>
      <c r="M1306" t="s">
        <v>53</v>
      </c>
      <c r="N1306">
        <v>102</v>
      </c>
      <c r="O1306">
        <v>1</v>
      </c>
      <c r="P1306" t="s">
        <v>52</v>
      </c>
      <c r="Q1306">
        <v>0</v>
      </c>
      <c r="R1306">
        <v>0.92</v>
      </c>
      <c r="S1306">
        <v>131.69999999999999</v>
      </c>
      <c r="T1306" t="s">
        <v>284</v>
      </c>
      <c r="U1306">
        <v>170</v>
      </c>
      <c r="V1306" t="s">
        <v>284</v>
      </c>
      <c r="W1306">
        <v>191</v>
      </c>
      <c r="X1306" t="s">
        <v>284</v>
      </c>
      <c r="Y1306">
        <v>207</v>
      </c>
      <c r="Z1306" t="s">
        <v>284</v>
      </c>
      <c r="AA1306">
        <v>205</v>
      </c>
      <c r="AB1306" t="s">
        <v>285</v>
      </c>
      <c r="AG1306">
        <v>188.66669999999999</v>
      </c>
      <c r="AH1306" t="s">
        <v>54</v>
      </c>
      <c r="AI1306" t="s">
        <v>52</v>
      </c>
      <c r="AX1306">
        <v>271.60000000000002</v>
      </c>
      <c r="AY1306" t="s">
        <v>285</v>
      </c>
      <c r="AZ1306" t="s">
        <v>287</v>
      </c>
      <c r="BQ1306" t="s">
        <v>52</v>
      </c>
      <c r="BR1306">
        <v>1.85</v>
      </c>
      <c r="BS1306" t="s">
        <v>284</v>
      </c>
      <c r="BT1306">
        <v>1.1599999999999999</v>
      </c>
      <c r="BU1306" t="s">
        <v>284</v>
      </c>
      <c r="BV1306">
        <v>0.53</v>
      </c>
      <c r="BW1306" t="s">
        <v>285</v>
      </c>
      <c r="BX1306">
        <v>0.48</v>
      </c>
      <c r="BY1306" t="s">
        <v>285</v>
      </c>
      <c r="BZ1306">
        <v>0.41</v>
      </c>
      <c r="CA1306" t="s">
        <v>284</v>
      </c>
      <c r="CF1306">
        <v>0.72</v>
      </c>
      <c r="CG1306" t="s">
        <v>54</v>
      </c>
      <c r="CH1306" t="s">
        <v>52</v>
      </c>
    </row>
    <row r="1307" spans="1:86" x14ac:dyDescent="0.25">
      <c r="A1307" t="s">
        <v>47</v>
      </c>
      <c r="B1307">
        <v>8</v>
      </c>
      <c r="C1307" t="s">
        <v>206</v>
      </c>
      <c r="D1307">
        <v>117</v>
      </c>
      <c r="E1307" t="s">
        <v>58</v>
      </c>
      <c r="F1307">
        <v>102</v>
      </c>
      <c r="G1307" t="s">
        <v>62</v>
      </c>
      <c r="H1307" t="s">
        <v>50</v>
      </c>
      <c r="K1307" t="s">
        <v>52</v>
      </c>
      <c r="L1307">
        <v>1</v>
      </c>
      <c r="M1307" t="s">
        <v>53</v>
      </c>
      <c r="N1307">
        <v>102</v>
      </c>
      <c r="O1307">
        <v>1</v>
      </c>
      <c r="P1307" t="s">
        <v>52</v>
      </c>
      <c r="Q1307">
        <v>0</v>
      </c>
      <c r="R1307">
        <v>0.92</v>
      </c>
      <c r="S1307">
        <v>131.69999999999999</v>
      </c>
      <c r="T1307" t="s">
        <v>284</v>
      </c>
      <c r="U1307">
        <v>170</v>
      </c>
      <c r="V1307" t="s">
        <v>284</v>
      </c>
      <c r="W1307">
        <v>191</v>
      </c>
      <c r="X1307" t="s">
        <v>284</v>
      </c>
      <c r="Y1307">
        <v>207</v>
      </c>
      <c r="Z1307" t="s">
        <v>284</v>
      </c>
      <c r="AA1307">
        <v>205</v>
      </c>
      <c r="AB1307" t="s">
        <v>285</v>
      </c>
      <c r="AG1307">
        <v>188.66669999999999</v>
      </c>
      <c r="AH1307" t="s">
        <v>54</v>
      </c>
      <c r="AI1307" t="s">
        <v>52</v>
      </c>
      <c r="AX1307">
        <v>271.60000000000002</v>
      </c>
      <c r="AY1307" t="s">
        <v>285</v>
      </c>
      <c r="AZ1307" t="s">
        <v>287</v>
      </c>
      <c r="BQ1307" t="s">
        <v>52</v>
      </c>
      <c r="BR1307">
        <v>0.83</v>
      </c>
      <c r="BS1307" t="s">
        <v>285</v>
      </c>
      <c r="BT1307">
        <v>0.73</v>
      </c>
      <c r="BU1307" t="s">
        <v>284</v>
      </c>
      <c r="BV1307">
        <v>0.22</v>
      </c>
      <c r="BW1307" t="s">
        <v>285</v>
      </c>
      <c r="BX1307">
        <v>0.39</v>
      </c>
      <c r="BY1307" t="s">
        <v>285</v>
      </c>
      <c r="BZ1307">
        <v>0.34</v>
      </c>
      <c r="CA1307" t="s">
        <v>284</v>
      </c>
      <c r="CF1307">
        <v>0.49</v>
      </c>
      <c r="CG1307" t="s">
        <v>54</v>
      </c>
      <c r="CH1307" t="s">
        <v>52</v>
      </c>
    </row>
    <row r="1308" spans="1:86" x14ac:dyDescent="0.25">
      <c r="A1308" t="s">
        <v>47</v>
      </c>
      <c r="B1308">
        <v>8</v>
      </c>
      <c r="C1308" t="s">
        <v>206</v>
      </c>
      <c r="D1308">
        <v>117</v>
      </c>
      <c r="E1308" t="s">
        <v>70</v>
      </c>
      <c r="F1308">
        <v>296</v>
      </c>
      <c r="G1308" t="s">
        <v>71</v>
      </c>
      <c r="H1308" t="s">
        <v>50</v>
      </c>
      <c r="K1308" t="s">
        <v>51</v>
      </c>
      <c r="L1308">
        <v>1</v>
      </c>
      <c r="M1308" t="s">
        <v>53</v>
      </c>
      <c r="N1308">
        <v>296</v>
      </c>
      <c r="O1308">
        <v>1</v>
      </c>
      <c r="P1308" t="s">
        <v>52</v>
      </c>
      <c r="Q1308">
        <v>0</v>
      </c>
      <c r="R1308">
        <v>0.75</v>
      </c>
      <c r="S1308">
        <v>228</v>
      </c>
      <c r="T1308" t="s">
        <v>284</v>
      </c>
      <c r="U1308">
        <v>190</v>
      </c>
      <c r="V1308" t="s">
        <v>285</v>
      </c>
      <c r="W1308">
        <v>194</v>
      </c>
      <c r="X1308" t="s">
        <v>285</v>
      </c>
      <c r="Y1308">
        <v>225</v>
      </c>
      <c r="Z1308" t="s">
        <v>285</v>
      </c>
      <c r="AA1308">
        <v>247</v>
      </c>
      <c r="AB1308" t="s">
        <v>285</v>
      </c>
      <c r="AC1308">
        <v>241</v>
      </c>
      <c r="AD1308" t="s">
        <v>285</v>
      </c>
      <c r="AE1308">
        <v>219</v>
      </c>
      <c r="AF1308" t="s">
        <v>285</v>
      </c>
      <c r="AG1308">
        <v>219</v>
      </c>
      <c r="AH1308" t="s">
        <v>286</v>
      </c>
      <c r="AI1308" t="s">
        <v>287</v>
      </c>
      <c r="AX1308">
        <v>263</v>
      </c>
      <c r="AY1308" t="s">
        <v>286</v>
      </c>
      <c r="AZ1308" t="s">
        <v>287</v>
      </c>
      <c r="BQ1308" t="s">
        <v>52</v>
      </c>
      <c r="CH1308" t="s">
        <v>52</v>
      </c>
    </row>
    <row r="1309" spans="1:86" x14ac:dyDescent="0.25">
      <c r="A1309" t="s">
        <v>47</v>
      </c>
      <c r="B1309">
        <v>8</v>
      </c>
      <c r="C1309" t="s">
        <v>206</v>
      </c>
      <c r="D1309">
        <v>117</v>
      </c>
      <c r="E1309" t="s">
        <v>70</v>
      </c>
      <c r="F1309">
        <v>296</v>
      </c>
      <c r="G1309" t="s">
        <v>71</v>
      </c>
      <c r="H1309" t="s">
        <v>50</v>
      </c>
      <c r="K1309" t="s">
        <v>52</v>
      </c>
      <c r="L1309">
        <v>1</v>
      </c>
      <c r="M1309" t="s">
        <v>53</v>
      </c>
      <c r="N1309">
        <v>296</v>
      </c>
      <c r="O1309">
        <v>1</v>
      </c>
      <c r="P1309" t="s">
        <v>52</v>
      </c>
      <c r="Q1309">
        <v>0</v>
      </c>
      <c r="R1309">
        <v>0.75</v>
      </c>
      <c r="S1309">
        <v>228</v>
      </c>
      <c r="T1309" t="s">
        <v>284</v>
      </c>
      <c r="U1309">
        <v>190</v>
      </c>
      <c r="V1309" t="s">
        <v>285</v>
      </c>
      <c r="W1309">
        <v>194</v>
      </c>
      <c r="X1309" t="s">
        <v>285</v>
      </c>
      <c r="Y1309">
        <v>225</v>
      </c>
      <c r="Z1309" t="s">
        <v>285</v>
      </c>
      <c r="AA1309">
        <v>247</v>
      </c>
      <c r="AB1309" t="s">
        <v>285</v>
      </c>
      <c r="AC1309">
        <v>241</v>
      </c>
      <c r="AD1309" t="s">
        <v>285</v>
      </c>
      <c r="AE1309">
        <v>219</v>
      </c>
      <c r="AF1309" t="s">
        <v>285</v>
      </c>
      <c r="AG1309">
        <v>219</v>
      </c>
      <c r="AH1309" t="s">
        <v>286</v>
      </c>
      <c r="AI1309" t="s">
        <v>287</v>
      </c>
      <c r="AX1309">
        <v>263</v>
      </c>
      <c r="AY1309" t="s">
        <v>286</v>
      </c>
      <c r="AZ1309" t="s">
        <v>287</v>
      </c>
      <c r="BQ1309" t="s">
        <v>52</v>
      </c>
      <c r="CH1309" t="s">
        <v>52</v>
      </c>
    </row>
    <row r="1310" spans="1:86" x14ac:dyDescent="0.25">
      <c r="A1310" t="s">
        <v>47</v>
      </c>
      <c r="B1310">
        <v>8</v>
      </c>
      <c r="C1310" t="s">
        <v>206</v>
      </c>
      <c r="D1310">
        <v>117</v>
      </c>
      <c r="E1310" t="s">
        <v>70</v>
      </c>
      <c r="F1310">
        <v>296</v>
      </c>
      <c r="G1310" t="s">
        <v>73</v>
      </c>
      <c r="H1310" t="s">
        <v>50</v>
      </c>
      <c r="K1310" t="s">
        <v>51</v>
      </c>
      <c r="L1310">
        <v>1</v>
      </c>
      <c r="M1310" t="s">
        <v>53</v>
      </c>
      <c r="N1310">
        <v>296</v>
      </c>
      <c r="O1310">
        <v>1</v>
      </c>
      <c r="P1310" t="s">
        <v>52</v>
      </c>
      <c r="Q1310">
        <v>0</v>
      </c>
      <c r="R1310">
        <v>0.75</v>
      </c>
      <c r="S1310">
        <v>228</v>
      </c>
      <c r="T1310" t="s">
        <v>284</v>
      </c>
      <c r="U1310">
        <v>221</v>
      </c>
      <c r="V1310" t="s">
        <v>284</v>
      </c>
      <c r="W1310">
        <v>236</v>
      </c>
      <c r="X1310" t="s">
        <v>284</v>
      </c>
      <c r="Y1310">
        <v>244</v>
      </c>
      <c r="Z1310" t="s">
        <v>284</v>
      </c>
      <c r="AA1310">
        <v>225</v>
      </c>
      <c r="AB1310" t="s">
        <v>285</v>
      </c>
      <c r="AG1310">
        <v>229.66669999999999</v>
      </c>
      <c r="AH1310" t="s">
        <v>54</v>
      </c>
      <c r="AI1310" t="s">
        <v>52</v>
      </c>
      <c r="AZ1310" t="s">
        <v>52</v>
      </c>
      <c r="BQ1310" t="s">
        <v>52</v>
      </c>
      <c r="CH1310" t="s">
        <v>52</v>
      </c>
    </row>
    <row r="1311" spans="1:86" x14ac:dyDescent="0.25">
      <c r="A1311" t="s">
        <v>47</v>
      </c>
      <c r="B1311">
        <v>8</v>
      </c>
      <c r="C1311" t="s">
        <v>206</v>
      </c>
      <c r="D1311">
        <v>117</v>
      </c>
      <c r="E1311" t="s">
        <v>70</v>
      </c>
      <c r="F1311">
        <v>296</v>
      </c>
      <c r="G1311" t="s">
        <v>74</v>
      </c>
      <c r="H1311" t="s">
        <v>50</v>
      </c>
      <c r="K1311" t="s">
        <v>51</v>
      </c>
      <c r="L1311">
        <v>1</v>
      </c>
      <c r="M1311" t="s">
        <v>53</v>
      </c>
      <c r="N1311">
        <v>102</v>
      </c>
      <c r="O1311">
        <v>1</v>
      </c>
      <c r="P1311" t="s">
        <v>52</v>
      </c>
      <c r="Q1311">
        <v>0</v>
      </c>
      <c r="R1311">
        <v>0.75</v>
      </c>
      <c r="S1311">
        <v>135</v>
      </c>
      <c r="T1311" t="s">
        <v>284</v>
      </c>
      <c r="U1311">
        <v>132</v>
      </c>
      <c r="V1311" t="s">
        <v>284</v>
      </c>
      <c r="W1311">
        <v>147</v>
      </c>
      <c r="X1311" t="s">
        <v>284</v>
      </c>
      <c r="Y1311">
        <v>170</v>
      </c>
      <c r="Z1311" t="s">
        <v>284</v>
      </c>
      <c r="AA1311">
        <v>205</v>
      </c>
      <c r="AB1311" t="s">
        <v>285</v>
      </c>
      <c r="AG1311">
        <v>150.66669999999999</v>
      </c>
      <c r="AH1311" t="s">
        <v>54</v>
      </c>
      <c r="AI1311" t="s">
        <v>52</v>
      </c>
      <c r="AZ1311" t="s">
        <v>52</v>
      </c>
      <c r="BQ1311" t="s">
        <v>52</v>
      </c>
      <c r="CH1311" t="s">
        <v>52</v>
      </c>
    </row>
    <row r="1312" spans="1:86" x14ac:dyDescent="0.25">
      <c r="A1312" t="s">
        <v>47</v>
      </c>
      <c r="B1312">
        <v>8</v>
      </c>
      <c r="C1312" t="s">
        <v>206</v>
      </c>
      <c r="D1312">
        <v>117</v>
      </c>
      <c r="E1312" t="s">
        <v>70</v>
      </c>
      <c r="F1312">
        <v>296</v>
      </c>
      <c r="G1312" t="s">
        <v>74</v>
      </c>
      <c r="H1312" t="s">
        <v>50</v>
      </c>
      <c r="K1312" t="s">
        <v>52</v>
      </c>
      <c r="L1312">
        <v>1</v>
      </c>
      <c r="M1312" t="s">
        <v>53</v>
      </c>
      <c r="N1312">
        <v>102</v>
      </c>
      <c r="O1312">
        <v>1</v>
      </c>
      <c r="P1312" t="s">
        <v>52</v>
      </c>
      <c r="Q1312">
        <v>0</v>
      </c>
      <c r="R1312">
        <v>0.75</v>
      </c>
      <c r="S1312">
        <v>135</v>
      </c>
      <c r="T1312" t="s">
        <v>284</v>
      </c>
      <c r="U1312">
        <v>132</v>
      </c>
      <c r="V1312" t="s">
        <v>284</v>
      </c>
      <c r="W1312">
        <v>147</v>
      </c>
      <c r="X1312" t="s">
        <v>284</v>
      </c>
      <c r="Y1312">
        <v>170</v>
      </c>
      <c r="Z1312" t="s">
        <v>284</v>
      </c>
      <c r="AA1312">
        <v>205</v>
      </c>
      <c r="AB1312" t="s">
        <v>285</v>
      </c>
      <c r="AG1312">
        <v>150.66669999999999</v>
      </c>
      <c r="AH1312" t="s">
        <v>54</v>
      </c>
      <c r="AI1312" t="s">
        <v>52</v>
      </c>
      <c r="AZ1312" t="s">
        <v>52</v>
      </c>
      <c r="BQ1312" t="s">
        <v>52</v>
      </c>
      <c r="CH1312" t="s">
        <v>52</v>
      </c>
    </row>
    <row r="1313" spans="1:86" x14ac:dyDescent="0.25">
      <c r="A1313" t="s">
        <v>47</v>
      </c>
      <c r="B1313">
        <v>8</v>
      </c>
      <c r="C1313" t="s">
        <v>207</v>
      </c>
      <c r="D1313">
        <v>119</v>
      </c>
      <c r="E1313" t="s">
        <v>58</v>
      </c>
      <c r="F1313">
        <v>102</v>
      </c>
      <c r="G1313" t="s">
        <v>62</v>
      </c>
      <c r="H1313" t="s">
        <v>50</v>
      </c>
      <c r="K1313" t="s">
        <v>51</v>
      </c>
      <c r="L1313">
        <v>1</v>
      </c>
      <c r="M1313" t="s">
        <v>53</v>
      </c>
      <c r="N1313">
        <v>102</v>
      </c>
      <c r="O1313">
        <v>1</v>
      </c>
      <c r="P1313" t="s">
        <v>52</v>
      </c>
      <c r="Q1313">
        <v>0</v>
      </c>
      <c r="R1313">
        <v>0.92</v>
      </c>
      <c r="S1313">
        <v>131.69999999999999</v>
      </c>
      <c r="T1313" t="s">
        <v>284</v>
      </c>
      <c r="U1313">
        <v>170</v>
      </c>
      <c r="V1313" t="s">
        <v>284</v>
      </c>
      <c r="W1313">
        <v>191</v>
      </c>
      <c r="X1313" t="s">
        <v>284</v>
      </c>
      <c r="Y1313">
        <v>207</v>
      </c>
      <c r="Z1313" t="s">
        <v>284</v>
      </c>
      <c r="AA1313">
        <v>205</v>
      </c>
      <c r="AB1313" t="s">
        <v>285</v>
      </c>
      <c r="AG1313">
        <v>188.66669999999999</v>
      </c>
      <c r="AH1313" t="s">
        <v>54</v>
      </c>
      <c r="AI1313" t="s">
        <v>52</v>
      </c>
      <c r="AX1313">
        <v>271.60000000000002</v>
      </c>
      <c r="AY1313" t="s">
        <v>285</v>
      </c>
      <c r="AZ1313" t="s">
        <v>287</v>
      </c>
      <c r="BQ1313" t="s">
        <v>52</v>
      </c>
      <c r="BR1313">
        <v>1.85</v>
      </c>
      <c r="BS1313" t="s">
        <v>284</v>
      </c>
      <c r="BT1313">
        <v>0.72</v>
      </c>
      <c r="BU1313" t="s">
        <v>284</v>
      </c>
      <c r="BV1313">
        <v>0.53</v>
      </c>
      <c r="BW1313" t="s">
        <v>285</v>
      </c>
      <c r="BX1313">
        <v>0.35</v>
      </c>
      <c r="BY1313" t="s">
        <v>285</v>
      </c>
      <c r="BZ1313">
        <v>0.3</v>
      </c>
      <c r="CA1313" t="s">
        <v>284</v>
      </c>
      <c r="CF1313">
        <v>0.53</v>
      </c>
      <c r="CG1313" t="s">
        <v>54</v>
      </c>
      <c r="CH1313" t="s">
        <v>52</v>
      </c>
    </row>
    <row r="1314" spans="1:86" x14ac:dyDescent="0.25">
      <c r="A1314" t="s">
        <v>47</v>
      </c>
      <c r="B1314">
        <v>8</v>
      </c>
      <c r="C1314" t="s">
        <v>207</v>
      </c>
      <c r="D1314">
        <v>119</v>
      </c>
      <c r="E1314" t="s">
        <v>58</v>
      </c>
      <c r="F1314">
        <v>102</v>
      </c>
      <c r="G1314" t="s">
        <v>62</v>
      </c>
      <c r="H1314" t="s">
        <v>50</v>
      </c>
      <c r="K1314" t="s">
        <v>52</v>
      </c>
      <c r="L1314">
        <v>1</v>
      </c>
      <c r="M1314" t="s">
        <v>53</v>
      </c>
      <c r="N1314">
        <v>102</v>
      </c>
      <c r="O1314">
        <v>1</v>
      </c>
      <c r="P1314" t="s">
        <v>52</v>
      </c>
      <c r="Q1314">
        <v>0</v>
      </c>
      <c r="R1314">
        <v>0.92</v>
      </c>
      <c r="S1314">
        <v>131.69999999999999</v>
      </c>
      <c r="T1314" t="s">
        <v>284</v>
      </c>
      <c r="U1314">
        <v>170</v>
      </c>
      <c r="V1314" t="s">
        <v>284</v>
      </c>
      <c r="W1314">
        <v>191</v>
      </c>
      <c r="X1314" t="s">
        <v>284</v>
      </c>
      <c r="Y1314">
        <v>207</v>
      </c>
      <c r="Z1314" t="s">
        <v>284</v>
      </c>
      <c r="AA1314">
        <v>205</v>
      </c>
      <c r="AB1314" t="s">
        <v>285</v>
      </c>
      <c r="AG1314">
        <v>188.66669999999999</v>
      </c>
      <c r="AH1314" t="s">
        <v>54</v>
      </c>
      <c r="AI1314" t="s">
        <v>52</v>
      </c>
      <c r="AX1314">
        <v>271.60000000000002</v>
      </c>
      <c r="AY1314" t="s">
        <v>285</v>
      </c>
      <c r="AZ1314" t="s">
        <v>287</v>
      </c>
      <c r="BQ1314" t="s">
        <v>52</v>
      </c>
      <c r="BR1314">
        <v>0.83</v>
      </c>
      <c r="BS1314" t="s">
        <v>285</v>
      </c>
      <c r="BT1314">
        <v>0.56000000000000005</v>
      </c>
      <c r="BU1314" t="s">
        <v>284</v>
      </c>
      <c r="BV1314">
        <v>0.16</v>
      </c>
      <c r="BW1314" t="s">
        <v>285</v>
      </c>
      <c r="BX1314">
        <v>0.3</v>
      </c>
      <c r="BY1314" t="s">
        <v>285</v>
      </c>
      <c r="BZ1314">
        <v>0.26</v>
      </c>
      <c r="CA1314" t="s">
        <v>284</v>
      </c>
      <c r="CF1314">
        <v>0.37</v>
      </c>
      <c r="CG1314" t="s">
        <v>54</v>
      </c>
      <c r="CH1314" t="s">
        <v>52</v>
      </c>
    </row>
    <row r="1315" spans="1:86" x14ac:dyDescent="0.25">
      <c r="A1315" t="s">
        <v>47</v>
      </c>
      <c r="B1315">
        <v>8</v>
      </c>
      <c r="C1315" t="s">
        <v>208</v>
      </c>
      <c r="D1315">
        <v>121</v>
      </c>
      <c r="E1315" t="s">
        <v>49</v>
      </c>
      <c r="F1315">
        <v>27</v>
      </c>
      <c r="H1315" t="s">
        <v>50</v>
      </c>
      <c r="K1315" t="s">
        <v>51</v>
      </c>
      <c r="L1315">
        <v>1</v>
      </c>
      <c r="M1315" t="s">
        <v>53</v>
      </c>
      <c r="N1315">
        <v>27</v>
      </c>
      <c r="O1315">
        <v>1</v>
      </c>
      <c r="P1315" t="s">
        <v>52</v>
      </c>
      <c r="Q1315">
        <v>0</v>
      </c>
      <c r="R1315">
        <v>0.75</v>
      </c>
      <c r="S1315">
        <v>231</v>
      </c>
      <c r="T1315" t="s">
        <v>284</v>
      </c>
      <c r="U1315">
        <v>208</v>
      </c>
      <c r="V1315" t="s">
        <v>284</v>
      </c>
      <c r="W1315">
        <v>224</v>
      </c>
      <c r="X1315" t="s">
        <v>284</v>
      </c>
      <c r="Y1315">
        <v>225</v>
      </c>
      <c r="Z1315" t="s">
        <v>285</v>
      </c>
      <c r="AA1315">
        <v>247</v>
      </c>
      <c r="AB1315" t="s">
        <v>285</v>
      </c>
      <c r="AC1315">
        <v>241</v>
      </c>
      <c r="AD1315" t="s">
        <v>285</v>
      </c>
      <c r="AE1315">
        <v>219</v>
      </c>
      <c r="AF1315" t="s">
        <v>285</v>
      </c>
      <c r="AG1315">
        <v>219</v>
      </c>
      <c r="AH1315" t="s">
        <v>286</v>
      </c>
      <c r="AI1315" t="s">
        <v>287</v>
      </c>
      <c r="AX1315">
        <v>263</v>
      </c>
      <c r="AY1315" t="s">
        <v>286</v>
      </c>
      <c r="AZ1315" t="s">
        <v>287</v>
      </c>
      <c r="BQ1315" t="s">
        <v>52</v>
      </c>
      <c r="BR1315">
        <v>3.7</v>
      </c>
      <c r="BS1315" t="s">
        <v>284</v>
      </c>
      <c r="BT1315">
        <v>3.4</v>
      </c>
      <c r="BU1315" t="s">
        <v>284</v>
      </c>
      <c r="BV1315">
        <v>5.61</v>
      </c>
      <c r="BW1315" t="s">
        <v>284</v>
      </c>
      <c r="BX1315">
        <v>5.61</v>
      </c>
      <c r="BY1315" t="s">
        <v>284</v>
      </c>
      <c r="BZ1315">
        <v>5.6</v>
      </c>
      <c r="CA1315" t="s">
        <v>289</v>
      </c>
      <c r="CF1315">
        <v>4.97</v>
      </c>
      <c r="CG1315" t="s">
        <v>54</v>
      </c>
      <c r="CH1315" t="s">
        <v>52</v>
      </c>
    </row>
    <row r="1316" spans="1:86" x14ac:dyDescent="0.25">
      <c r="A1316" t="s">
        <v>47</v>
      </c>
      <c r="B1316">
        <v>8</v>
      </c>
      <c r="C1316" t="s">
        <v>208</v>
      </c>
      <c r="D1316">
        <v>121</v>
      </c>
      <c r="E1316" t="s">
        <v>49</v>
      </c>
      <c r="F1316">
        <v>27</v>
      </c>
      <c r="H1316" t="s">
        <v>50</v>
      </c>
      <c r="K1316" t="s">
        <v>52</v>
      </c>
      <c r="L1316">
        <v>1</v>
      </c>
      <c r="M1316" t="s">
        <v>53</v>
      </c>
      <c r="N1316">
        <v>27</v>
      </c>
      <c r="O1316">
        <v>1</v>
      </c>
      <c r="P1316" t="s">
        <v>52</v>
      </c>
      <c r="Q1316">
        <v>0</v>
      </c>
      <c r="R1316">
        <v>0.75</v>
      </c>
      <c r="S1316">
        <v>231</v>
      </c>
      <c r="T1316" t="s">
        <v>284</v>
      </c>
      <c r="U1316">
        <v>208</v>
      </c>
      <c r="V1316" t="s">
        <v>284</v>
      </c>
      <c r="W1316">
        <v>224</v>
      </c>
      <c r="X1316" t="s">
        <v>284</v>
      </c>
      <c r="Y1316">
        <v>225</v>
      </c>
      <c r="Z1316" t="s">
        <v>285</v>
      </c>
      <c r="AA1316">
        <v>247</v>
      </c>
      <c r="AB1316" t="s">
        <v>285</v>
      </c>
      <c r="AC1316">
        <v>241</v>
      </c>
      <c r="AD1316" t="s">
        <v>285</v>
      </c>
      <c r="AE1316">
        <v>219</v>
      </c>
      <c r="AF1316" t="s">
        <v>285</v>
      </c>
      <c r="AG1316">
        <v>219</v>
      </c>
      <c r="AH1316" t="s">
        <v>286</v>
      </c>
      <c r="AI1316" t="s">
        <v>287</v>
      </c>
      <c r="AX1316">
        <v>263</v>
      </c>
      <c r="AY1316" t="s">
        <v>286</v>
      </c>
      <c r="AZ1316" t="s">
        <v>287</v>
      </c>
      <c r="BQ1316" t="s">
        <v>52</v>
      </c>
      <c r="BR1316">
        <v>1.3</v>
      </c>
      <c r="BS1316" t="s">
        <v>284</v>
      </c>
      <c r="BT1316">
        <v>1.2</v>
      </c>
      <c r="BU1316" t="s">
        <v>284</v>
      </c>
      <c r="BV1316">
        <v>0.75</v>
      </c>
      <c r="BW1316" t="s">
        <v>284</v>
      </c>
      <c r="BX1316">
        <v>0.12</v>
      </c>
      <c r="BY1316" t="s">
        <v>284</v>
      </c>
      <c r="BZ1316">
        <v>0.9</v>
      </c>
      <c r="CA1316" t="s">
        <v>288</v>
      </c>
      <c r="CF1316">
        <v>0.95</v>
      </c>
      <c r="CG1316" t="s">
        <v>54</v>
      </c>
      <c r="CH1316" t="s">
        <v>52</v>
      </c>
    </row>
    <row r="1317" spans="1:86" x14ac:dyDescent="0.25">
      <c r="A1317" t="s">
        <v>47</v>
      </c>
      <c r="B1317">
        <v>8</v>
      </c>
      <c r="C1317" t="s">
        <v>208</v>
      </c>
      <c r="D1317">
        <v>121</v>
      </c>
      <c r="E1317" t="s">
        <v>87</v>
      </c>
      <c r="F1317">
        <v>91</v>
      </c>
      <c r="G1317" t="s">
        <v>76</v>
      </c>
      <c r="H1317" t="s">
        <v>50</v>
      </c>
      <c r="K1317" t="s">
        <v>51</v>
      </c>
      <c r="L1317">
        <v>1</v>
      </c>
      <c r="M1317" t="s">
        <v>53</v>
      </c>
      <c r="N1317">
        <v>91</v>
      </c>
      <c r="O1317">
        <v>2</v>
      </c>
      <c r="P1317" t="s">
        <v>52</v>
      </c>
      <c r="Q1317">
        <v>0.77</v>
      </c>
      <c r="R1317">
        <v>0.93</v>
      </c>
      <c r="S1317">
        <v>135</v>
      </c>
      <c r="T1317" t="s">
        <v>284</v>
      </c>
      <c r="U1317">
        <v>133</v>
      </c>
      <c r="V1317" t="s">
        <v>284</v>
      </c>
      <c r="W1317">
        <v>147</v>
      </c>
      <c r="X1317" t="s">
        <v>284</v>
      </c>
      <c r="Y1317">
        <v>170</v>
      </c>
      <c r="Z1317" t="s">
        <v>284</v>
      </c>
      <c r="AA1317">
        <v>167</v>
      </c>
      <c r="AB1317" t="s">
        <v>284</v>
      </c>
      <c r="AG1317">
        <v>149.66669999999999</v>
      </c>
      <c r="AH1317" t="s">
        <v>54</v>
      </c>
      <c r="AI1317" t="s">
        <v>52</v>
      </c>
      <c r="AZ1317" t="s">
        <v>52</v>
      </c>
      <c r="BQ1317" t="s">
        <v>52</v>
      </c>
      <c r="BR1317">
        <v>1.42</v>
      </c>
      <c r="BS1317" t="s">
        <v>285</v>
      </c>
      <c r="BT1317">
        <v>1.35</v>
      </c>
      <c r="BU1317" t="s">
        <v>284</v>
      </c>
      <c r="BV1317">
        <v>0.83</v>
      </c>
      <c r="BW1317" t="s">
        <v>288</v>
      </c>
      <c r="BX1317">
        <v>1.85</v>
      </c>
      <c r="BY1317" t="s">
        <v>284</v>
      </c>
      <c r="BZ1317">
        <v>1.01</v>
      </c>
      <c r="CA1317" t="s">
        <v>285</v>
      </c>
      <c r="CF1317">
        <v>1.26</v>
      </c>
      <c r="CG1317" t="s">
        <v>54</v>
      </c>
      <c r="CH1317" t="s">
        <v>52</v>
      </c>
    </row>
    <row r="1318" spans="1:86" x14ac:dyDescent="0.25">
      <c r="A1318" t="s">
        <v>47</v>
      </c>
      <c r="B1318">
        <v>8</v>
      </c>
      <c r="C1318" t="s">
        <v>208</v>
      </c>
      <c r="D1318">
        <v>121</v>
      </c>
      <c r="E1318" t="s">
        <v>87</v>
      </c>
      <c r="F1318">
        <v>91</v>
      </c>
      <c r="G1318" t="s">
        <v>76</v>
      </c>
      <c r="H1318" t="s">
        <v>50</v>
      </c>
      <c r="K1318" t="s">
        <v>52</v>
      </c>
      <c r="L1318">
        <v>1</v>
      </c>
      <c r="M1318" t="s">
        <v>53</v>
      </c>
      <c r="N1318">
        <v>91</v>
      </c>
      <c r="O1318">
        <v>2</v>
      </c>
      <c r="P1318" t="s">
        <v>52</v>
      </c>
      <c r="Q1318">
        <v>0.77</v>
      </c>
      <c r="R1318">
        <v>0.93</v>
      </c>
      <c r="S1318">
        <v>135</v>
      </c>
      <c r="T1318" t="s">
        <v>284</v>
      </c>
      <c r="U1318">
        <v>133</v>
      </c>
      <c r="V1318" t="s">
        <v>284</v>
      </c>
      <c r="W1318">
        <v>147</v>
      </c>
      <c r="X1318" t="s">
        <v>284</v>
      </c>
      <c r="Y1318">
        <v>170</v>
      </c>
      <c r="Z1318" t="s">
        <v>284</v>
      </c>
      <c r="AA1318">
        <v>167</v>
      </c>
      <c r="AB1318" t="s">
        <v>284</v>
      </c>
      <c r="AG1318">
        <v>149.66669999999999</v>
      </c>
      <c r="AH1318" t="s">
        <v>54</v>
      </c>
      <c r="AI1318" t="s">
        <v>52</v>
      </c>
      <c r="AZ1318" t="s">
        <v>52</v>
      </c>
      <c r="BQ1318" t="s">
        <v>52</v>
      </c>
      <c r="BR1318">
        <v>0.57999999999999996</v>
      </c>
      <c r="BS1318" t="s">
        <v>285</v>
      </c>
      <c r="BT1318">
        <v>0.38</v>
      </c>
      <c r="BU1318" t="s">
        <v>284</v>
      </c>
      <c r="BV1318">
        <v>0.54</v>
      </c>
      <c r="BW1318" t="s">
        <v>284</v>
      </c>
      <c r="BX1318">
        <v>0.52</v>
      </c>
      <c r="BY1318" t="s">
        <v>284</v>
      </c>
      <c r="BZ1318">
        <v>0.45</v>
      </c>
      <c r="CA1318" t="s">
        <v>284</v>
      </c>
      <c r="CF1318">
        <v>0.5</v>
      </c>
      <c r="CG1318" t="s">
        <v>54</v>
      </c>
      <c r="CH1318" t="s">
        <v>52</v>
      </c>
    </row>
    <row r="1319" spans="1:86" x14ac:dyDescent="0.25">
      <c r="A1319" t="s">
        <v>47</v>
      </c>
      <c r="B1319">
        <v>8</v>
      </c>
      <c r="C1319" t="s">
        <v>208</v>
      </c>
      <c r="D1319">
        <v>121</v>
      </c>
      <c r="E1319" t="s">
        <v>58</v>
      </c>
      <c r="F1319">
        <v>102</v>
      </c>
      <c r="G1319" t="s">
        <v>62</v>
      </c>
      <c r="H1319" t="s">
        <v>50</v>
      </c>
      <c r="K1319" t="s">
        <v>52</v>
      </c>
      <c r="L1319">
        <v>1</v>
      </c>
      <c r="M1319" t="s">
        <v>53</v>
      </c>
      <c r="N1319">
        <v>102</v>
      </c>
      <c r="O1319">
        <v>1</v>
      </c>
      <c r="P1319" t="s">
        <v>52</v>
      </c>
      <c r="Q1319">
        <v>0</v>
      </c>
      <c r="R1319">
        <v>0.92</v>
      </c>
      <c r="S1319">
        <v>131.69999999999999</v>
      </c>
      <c r="T1319" t="s">
        <v>284</v>
      </c>
      <c r="U1319">
        <v>170</v>
      </c>
      <c r="V1319" t="s">
        <v>284</v>
      </c>
      <c r="W1319">
        <v>191</v>
      </c>
      <c r="X1319" t="s">
        <v>284</v>
      </c>
      <c r="Y1319">
        <v>207</v>
      </c>
      <c r="Z1319" t="s">
        <v>284</v>
      </c>
      <c r="AA1319">
        <v>205</v>
      </c>
      <c r="AB1319" t="s">
        <v>285</v>
      </c>
      <c r="AG1319">
        <v>188.66669999999999</v>
      </c>
      <c r="AH1319" t="s">
        <v>54</v>
      </c>
      <c r="AI1319" t="s">
        <v>52</v>
      </c>
      <c r="AX1319">
        <v>271.60000000000002</v>
      </c>
      <c r="AY1319" t="s">
        <v>285</v>
      </c>
      <c r="AZ1319" t="s">
        <v>287</v>
      </c>
      <c r="BQ1319" t="s">
        <v>52</v>
      </c>
      <c r="BR1319">
        <v>0.76</v>
      </c>
      <c r="BS1319" t="s">
        <v>285</v>
      </c>
      <c r="BT1319">
        <v>0.85</v>
      </c>
      <c r="BU1319" t="s">
        <v>285</v>
      </c>
      <c r="BV1319">
        <v>0.27</v>
      </c>
      <c r="BW1319" t="s">
        <v>285</v>
      </c>
      <c r="BX1319">
        <v>0.63</v>
      </c>
      <c r="BY1319" t="s">
        <v>285</v>
      </c>
      <c r="BZ1319">
        <v>0.11</v>
      </c>
      <c r="CA1319" t="s">
        <v>288</v>
      </c>
      <c r="CF1319">
        <v>0.55000000000000004</v>
      </c>
      <c r="CG1319" t="s">
        <v>54</v>
      </c>
      <c r="CH1319" t="s">
        <v>52</v>
      </c>
    </row>
    <row r="1320" spans="1:86" x14ac:dyDescent="0.25">
      <c r="A1320" t="s">
        <v>47</v>
      </c>
      <c r="B1320">
        <v>8</v>
      </c>
      <c r="C1320" t="s">
        <v>208</v>
      </c>
      <c r="D1320">
        <v>121</v>
      </c>
      <c r="E1320" t="s">
        <v>68</v>
      </c>
      <c r="F1320">
        <v>80</v>
      </c>
      <c r="G1320" t="s">
        <v>69</v>
      </c>
      <c r="H1320" t="s">
        <v>50</v>
      </c>
      <c r="K1320" t="s">
        <v>51</v>
      </c>
      <c r="L1320">
        <v>1</v>
      </c>
      <c r="M1320" t="s">
        <v>53</v>
      </c>
      <c r="N1320">
        <v>80</v>
      </c>
      <c r="O1320">
        <v>1</v>
      </c>
      <c r="P1320" t="s">
        <v>52</v>
      </c>
      <c r="Q1320">
        <v>0.5</v>
      </c>
      <c r="R1320">
        <v>0.75</v>
      </c>
      <c r="S1320">
        <v>202.92</v>
      </c>
      <c r="T1320" t="s">
        <v>284</v>
      </c>
      <c r="U1320">
        <v>198.9</v>
      </c>
      <c r="V1320" t="s">
        <v>284</v>
      </c>
      <c r="W1320">
        <v>212.4</v>
      </c>
      <c r="X1320" t="s">
        <v>284</v>
      </c>
      <c r="Y1320">
        <v>219.6</v>
      </c>
      <c r="Z1320" t="s">
        <v>284</v>
      </c>
      <c r="AA1320">
        <v>178</v>
      </c>
      <c r="AB1320" t="s">
        <v>284</v>
      </c>
      <c r="AG1320">
        <v>204.74</v>
      </c>
      <c r="AH1320" t="s">
        <v>54</v>
      </c>
      <c r="AI1320" t="s">
        <v>52</v>
      </c>
      <c r="AZ1320" t="s">
        <v>52</v>
      </c>
      <c r="BQ1320" t="s">
        <v>52</v>
      </c>
      <c r="BR1320">
        <v>1.85</v>
      </c>
      <c r="BS1320" t="s">
        <v>284</v>
      </c>
      <c r="BT1320">
        <v>1.61</v>
      </c>
      <c r="BU1320" t="s">
        <v>284</v>
      </c>
      <c r="BV1320">
        <v>1.87</v>
      </c>
      <c r="BW1320" t="s">
        <v>284</v>
      </c>
      <c r="BX1320">
        <v>1.81</v>
      </c>
      <c r="BY1320" t="s">
        <v>284</v>
      </c>
      <c r="BZ1320">
        <v>1.56</v>
      </c>
      <c r="CA1320" t="s">
        <v>288</v>
      </c>
      <c r="CF1320">
        <v>1.76</v>
      </c>
      <c r="CG1320" t="s">
        <v>54</v>
      </c>
      <c r="CH1320" t="s">
        <v>52</v>
      </c>
    </row>
    <row r="1321" spans="1:86" x14ac:dyDescent="0.25">
      <c r="A1321" t="s">
        <v>47</v>
      </c>
      <c r="B1321">
        <v>8</v>
      </c>
      <c r="C1321" t="s">
        <v>208</v>
      </c>
      <c r="D1321">
        <v>121</v>
      </c>
      <c r="E1321" t="s">
        <v>68</v>
      </c>
      <c r="F1321">
        <v>80</v>
      </c>
      <c r="G1321" t="s">
        <v>69</v>
      </c>
      <c r="H1321" t="s">
        <v>50</v>
      </c>
      <c r="K1321" t="s">
        <v>52</v>
      </c>
      <c r="L1321">
        <v>1</v>
      </c>
      <c r="M1321" t="s">
        <v>53</v>
      </c>
      <c r="N1321">
        <v>80</v>
      </c>
      <c r="O1321">
        <v>1</v>
      </c>
      <c r="P1321" t="s">
        <v>52</v>
      </c>
      <c r="Q1321">
        <v>0.5</v>
      </c>
      <c r="R1321">
        <v>0.75</v>
      </c>
      <c r="S1321">
        <v>202.92</v>
      </c>
      <c r="T1321" t="s">
        <v>284</v>
      </c>
      <c r="U1321">
        <v>198.9</v>
      </c>
      <c r="V1321" t="s">
        <v>284</v>
      </c>
      <c r="W1321">
        <v>212.4</v>
      </c>
      <c r="X1321" t="s">
        <v>284</v>
      </c>
      <c r="Y1321">
        <v>219.6</v>
      </c>
      <c r="Z1321" t="s">
        <v>284</v>
      </c>
      <c r="AA1321">
        <v>178</v>
      </c>
      <c r="AB1321" t="s">
        <v>284</v>
      </c>
      <c r="AG1321">
        <v>204.74</v>
      </c>
      <c r="AH1321" t="s">
        <v>54</v>
      </c>
      <c r="AI1321" t="s">
        <v>52</v>
      </c>
      <c r="AZ1321" t="s">
        <v>52</v>
      </c>
      <c r="BQ1321" t="s">
        <v>52</v>
      </c>
      <c r="BR1321">
        <v>0.65</v>
      </c>
      <c r="BS1321" t="s">
        <v>285</v>
      </c>
      <c r="BT1321">
        <v>1.1200000000000001</v>
      </c>
      <c r="BU1321" t="s">
        <v>285</v>
      </c>
      <c r="BV1321">
        <v>0.62</v>
      </c>
      <c r="BW1321" t="s">
        <v>284</v>
      </c>
      <c r="BX1321">
        <v>0.94</v>
      </c>
      <c r="BY1321" t="s">
        <v>284</v>
      </c>
      <c r="BZ1321">
        <v>0.48</v>
      </c>
      <c r="CA1321" t="s">
        <v>288</v>
      </c>
      <c r="CF1321">
        <v>0.74</v>
      </c>
      <c r="CG1321" t="s">
        <v>54</v>
      </c>
      <c r="CH1321" t="s">
        <v>52</v>
      </c>
    </row>
    <row r="1322" spans="1:86" x14ac:dyDescent="0.25">
      <c r="A1322" t="s">
        <v>47</v>
      </c>
      <c r="B1322">
        <v>8</v>
      </c>
      <c r="C1322" t="s">
        <v>208</v>
      </c>
      <c r="D1322">
        <v>121</v>
      </c>
      <c r="E1322" t="s">
        <v>70</v>
      </c>
      <c r="F1322">
        <v>296</v>
      </c>
      <c r="G1322" t="s">
        <v>71</v>
      </c>
      <c r="H1322" t="s">
        <v>50</v>
      </c>
      <c r="K1322" t="s">
        <v>51</v>
      </c>
      <c r="L1322">
        <v>1</v>
      </c>
      <c r="M1322" t="s">
        <v>53</v>
      </c>
      <c r="N1322">
        <v>296</v>
      </c>
      <c r="O1322">
        <v>1</v>
      </c>
      <c r="P1322" t="s">
        <v>52</v>
      </c>
      <c r="Q1322">
        <v>0</v>
      </c>
      <c r="R1322">
        <v>0.75</v>
      </c>
      <c r="S1322">
        <v>228</v>
      </c>
      <c r="T1322" t="s">
        <v>284</v>
      </c>
      <c r="U1322">
        <v>190</v>
      </c>
      <c r="V1322" t="s">
        <v>285</v>
      </c>
      <c r="W1322">
        <v>194</v>
      </c>
      <c r="X1322" t="s">
        <v>285</v>
      </c>
      <c r="Y1322">
        <v>225</v>
      </c>
      <c r="Z1322" t="s">
        <v>285</v>
      </c>
      <c r="AA1322">
        <v>247</v>
      </c>
      <c r="AB1322" t="s">
        <v>285</v>
      </c>
      <c r="AC1322">
        <v>241</v>
      </c>
      <c r="AD1322" t="s">
        <v>285</v>
      </c>
      <c r="AE1322">
        <v>219</v>
      </c>
      <c r="AF1322" t="s">
        <v>285</v>
      </c>
      <c r="AG1322">
        <v>219</v>
      </c>
      <c r="AH1322" t="s">
        <v>286</v>
      </c>
      <c r="AI1322" t="s">
        <v>287</v>
      </c>
      <c r="AX1322">
        <v>263</v>
      </c>
      <c r="AY1322" t="s">
        <v>286</v>
      </c>
      <c r="AZ1322" t="s">
        <v>287</v>
      </c>
      <c r="BQ1322" t="s">
        <v>52</v>
      </c>
      <c r="BR1322">
        <v>1.85</v>
      </c>
      <c r="BS1322" t="s">
        <v>284</v>
      </c>
      <c r="BT1322">
        <v>1.61</v>
      </c>
      <c r="BU1322" t="s">
        <v>284</v>
      </c>
      <c r="BV1322">
        <v>0.96</v>
      </c>
      <c r="BW1322" t="s">
        <v>285</v>
      </c>
      <c r="CH1322" t="s">
        <v>52</v>
      </c>
    </row>
    <row r="1323" spans="1:86" x14ac:dyDescent="0.25">
      <c r="A1323" t="s">
        <v>47</v>
      </c>
      <c r="B1323">
        <v>8</v>
      </c>
      <c r="C1323" t="s">
        <v>208</v>
      </c>
      <c r="D1323">
        <v>121</v>
      </c>
      <c r="E1323" t="s">
        <v>70</v>
      </c>
      <c r="F1323">
        <v>296</v>
      </c>
      <c r="G1323" t="s">
        <v>71</v>
      </c>
      <c r="H1323" t="s">
        <v>50</v>
      </c>
      <c r="K1323" t="s">
        <v>52</v>
      </c>
      <c r="L1323">
        <v>1</v>
      </c>
      <c r="M1323" t="s">
        <v>53</v>
      </c>
      <c r="N1323">
        <v>296</v>
      </c>
      <c r="O1323">
        <v>1</v>
      </c>
      <c r="P1323" t="s">
        <v>52</v>
      </c>
      <c r="Q1323">
        <v>0</v>
      </c>
      <c r="R1323">
        <v>0.75</v>
      </c>
      <c r="S1323">
        <v>228</v>
      </c>
      <c r="T1323" t="s">
        <v>284</v>
      </c>
      <c r="U1323">
        <v>190</v>
      </c>
      <c r="V1323" t="s">
        <v>285</v>
      </c>
      <c r="W1323">
        <v>194</v>
      </c>
      <c r="X1323" t="s">
        <v>285</v>
      </c>
      <c r="Y1323">
        <v>225</v>
      </c>
      <c r="Z1323" t="s">
        <v>285</v>
      </c>
      <c r="AA1323">
        <v>247</v>
      </c>
      <c r="AB1323" t="s">
        <v>285</v>
      </c>
      <c r="AC1323">
        <v>241</v>
      </c>
      <c r="AD1323" t="s">
        <v>285</v>
      </c>
      <c r="AE1323">
        <v>219</v>
      </c>
      <c r="AF1323" t="s">
        <v>285</v>
      </c>
      <c r="AG1323">
        <v>219</v>
      </c>
      <c r="AH1323" t="s">
        <v>286</v>
      </c>
      <c r="AI1323" t="s">
        <v>287</v>
      </c>
      <c r="AX1323">
        <v>263</v>
      </c>
      <c r="AY1323" t="s">
        <v>286</v>
      </c>
      <c r="AZ1323" t="s">
        <v>287</v>
      </c>
      <c r="BQ1323" t="s">
        <v>52</v>
      </c>
      <c r="BR1323">
        <v>0.65</v>
      </c>
      <c r="BS1323" t="s">
        <v>284</v>
      </c>
      <c r="BT1323">
        <v>0.81</v>
      </c>
      <c r="BU1323" t="s">
        <v>285</v>
      </c>
      <c r="BV1323">
        <v>0.24</v>
      </c>
      <c r="BW1323" t="s">
        <v>285</v>
      </c>
      <c r="BX1323">
        <v>0.22</v>
      </c>
      <c r="BY1323" t="s">
        <v>284</v>
      </c>
      <c r="BZ1323">
        <v>0.22</v>
      </c>
      <c r="CA1323" t="s">
        <v>284</v>
      </c>
      <c r="CF1323">
        <v>0.37</v>
      </c>
      <c r="CG1323" t="s">
        <v>54</v>
      </c>
      <c r="CH1323" t="s">
        <v>52</v>
      </c>
    </row>
    <row r="1324" spans="1:86" x14ac:dyDescent="0.25">
      <c r="A1324" t="s">
        <v>47</v>
      </c>
      <c r="B1324">
        <v>8</v>
      </c>
      <c r="C1324" t="s">
        <v>208</v>
      </c>
      <c r="D1324">
        <v>121</v>
      </c>
      <c r="E1324" t="s">
        <v>70</v>
      </c>
      <c r="F1324">
        <v>296</v>
      </c>
      <c r="G1324" t="s">
        <v>72</v>
      </c>
      <c r="H1324" t="s">
        <v>50</v>
      </c>
      <c r="K1324" t="s">
        <v>51</v>
      </c>
      <c r="L1324">
        <v>1</v>
      </c>
      <c r="M1324" t="s">
        <v>53</v>
      </c>
      <c r="N1324">
        <v>296</v>
      </c>
      <c r="O1324">
        <v>1</v>
      </c>
      <c r="P1324" t="s">
        <v>52</v>
      </c>
      <c r="Q1324">
        <v>0.5</v>
      </c>
      <c r="R1324">
        <v>0.75</v>
      </c>
      <c r="S1324">
        <v>228</v>
      </c>
      <c r="T1324" t="s">
        <v>284</v>
      </c>
      <c r="U1324">
        <v>221</v>
      </c>
      <c r="V1324" t="s">
        <v>284</v>
      </c>
      <c r="W1324">
        <v>236</v>
      </c>
      <c r="X1324" t="s">
        <v>284</v>
      </c>
      <c r="Y1324">
        <v>244</v>
      </c>
      <c r="Z1324" t="s">
        <v>284</v>
      </c>
      <c r="AA1324">
        <v>215</v>
      </c>
      <c r="AB1324" t="s">
        <v>285</v>
      </c>
      <c r="AG1324">
        <v>228.33330000000001</v>
      </c>
      <c r="AH1324" t="s">
        <v>54</v>
      </c>
      <c r="AI1324" t="s">
        <v>52</v>
      </c>
      <c r="AZ1324" t="s">
        <v>52</v>
      </c>
      <c r="BQ1324" t="s">
        <v>52</v>
      </c>
      <c r="BR1324">
        <v>1.85</v>
      </c>
      <c r="BS1324" t="s">
        <v>284</v>
      </c>
      <c r="BT1324">
        <v>1.61</v>
      </c>
      <c r="BU1324" t="s">
        <v>284</v>
      </c>
      <c r="BV1324">
        <v>1.53</v>
      </c>
      <c r="BW1324" t="s">
        <v>284</v>
      </c>
      <c r="BX1324">
        <v>1.23</v>
      </c>
      <c r="BY1324" t="s">
        <v>284</v>
      </c>
      <c r="BZ1324">
        <v>1.23</v>
      </c>
      <c r="CA1324" t="s">
        <v>284</v>
      </c>
      <c r="CF1324">
        <v>1.46</v>
      </c>
      <c r="CG1324" t="s">
        <v>54</v>
      </c>
      <c r="CH1324" t="s">
        <v>52</v>
      </c>
    </row>
    <row r="1325" spans="1:86" x14ac:dyDescent="0.25">
      <c r="A1325" t="s">
        <v>47</v>
      </c>
      <c r="B1325">
        <v>8</v>
      </c>
      <c r="C1325" t="s">
        <v>208</v>
      </c>
      <c r="D1325">
        <v>121</v>
      </c>
      <c r="E1325" t="s">
        <v>70</v>
      </c>
      <c r="F1325">
        <v>296</v>
      </c>
      <c r="G1325" t="s">
        <v>72</v>
      </c>
      <c r="H1325" t="s">
        <v>50</v>
      </c>
      <c r="K1325" t="s">
        <v>52</v>
      </c>
      <c r="L1325">
        <v>1</v>
      </c>
      <c r="M1325" t="s">
        <v>53</v>
      </c>
      <c r="N1325">
        <v>296</v>
      </c>
      <c r="O1325">
        <v>1</v>
      </c>
      <c r="P1325" t="s">
        <v>52</v>
      </c>
      <c r="Q1325">
        <v>0.5</v>
      </c>
      <c r="R1325">
        <v>0.75</v>
      </c>
      <c r="S1325">
        <v>228</v>
      </c>
      <c r="T1325" t="s">
        <v>284</v>
      </c>
      <c r="U1325">
        <v>221</v>
      </c>
      <c r="V1325" t="s">
        <v>284</v>
      </c>
      <c r="W1325">
        <v>236</v>
      </c>
      <c r="X1325" t="s">
        <v>284</v>
      </c>
      <c r="Y1325">
        <v>244</v>
      </c>
      <c r="Z1325" t="s">
        <v>284</v>
      </c>
      <c r="AA1325">
        <v>215</v>
      </c>
      <c r="AB1325" t="s">
        <v>285</v>
      </c>
      <c r="AG1325">
        <v>228.33330000000001</v>
      </c>
      <c r="AH1325" t="s">
        <v>54</v>
      </c>
      <c r="AI1325" t="s">
        <v>52</v>
      </c>
      <c r="AZ1325" t="s">
        <v>52</v>
      </c>
      <c r="BQ1325" t="s">
        <v>52</v>
      </c>
      <c r="BR1325">
        <v>0.65</v>
      </c>
      <c r="BS1325" t="s">
        <v>284</v>
      </c>
      <c r="BT1325">
        <v>0.84</v>
      </c>
      <c r="BU1325" t="s">
        <v>284</v>
      </c>
      <c r="BV1325">
        <v>0.25</v>
      </c>
      <c r="BW1325" t="s">
        <v>284</v>
      </c>
      <c r="BX1325">
        <v>0.25</v>
      </c>
      <c r="BY1325" t="s">
        <v>285</v>
      </c>
      <c r="BZ1325">
        <v>0.25</v>
      </c>
      <c r="CA1325" t="s">
        <v>284</v>
      </c>
      <c r="CF1325">
        <v>0.38</v>
      </c>
      <c r="CG1325" t="s">
        <v>54</v>
      </c>
      <c r="CH1325" t="s">
        <v>52</v>
      </c>
    </row>
    <row r="1326" spans="1:86" x14ac:dyDescent="0.25">
      <c r="A1326" t="s">
        <v>47</v>
      </c>
      <c r="B1326">
        <v>8</v>
      </c>
      <c r="C1326" t="s">
        <v>208</v>
      </c>
      <c r="D1326">
        <v>121</v>
      </c>
      <c r="E1326" t="s">
        <v>70</v>
      </c>
      <c r="F1326">
        <v>296</v>
      </c>
      <c r="G1326" t="s">
        <v>73</v>
      </c>
      <c r="H1326" t="s">
        <v>50</v>
      </c>
      <c r="K1326" t="s">
        <v>51</v>
      </c>
      <c r="L1326">
        <v>1</v>
      </c>
      <c r="M1326" t="s">
        <v>53</v>
      </c>
      <c r="N1326">
        <v>296</v>
      </c>
      <c r="O1326">
        <v>1</v>
      </c>
      <c r="P1326" t="s">
        <v>52</v>
      </c>
      <c r="Q1326">
        <v>0</v>
      </c>
      <c r="R1326">
        <v>0.75</v>
      </c>
      <c r="S1326">
        <v>228</v>
      </c>
      <c r="T1326" t="s">
        <v>284</v>
      </c>
      <c r="U1326">
        <v>221</v>
      </c>
      <c r="V1326" t="s">
        <v>284</v>
      </c>
      <c r="W1326">
        <v>236</v>
      </c>
      <c r="X1326" t="s">
        <v>284</v>
      </c>
      <c r="Y1326">
        <v>244</v>
      </c>
      <c r="Z1326" t="s">
        <v>284</v>
      </c>
      <c r="AA1326">
        <v>225</v>
      </c>
      <c r="AB1326" t="s">
        <v>285</v>
      </c>
      <c r="AG1326">
        <v>229.66669999999999</v>
      </c>
      <c r="AH1326" t="s">
        <v>54</v>
      </c>
      <c r="AI1326" t="s">
        <v>52</v>
      </c>
      <c r="AZ1326" t="s">
        <v>52</v>
      </c>
      <c r="BQ1326" t="s">
        <v>52</v>
      </c>
      <c r="BR1326">
        <v>1.85</v>
      </c>
      <c r="BS1326" t="s">
        <v>284</v>
      </c>
      <c r="BT1326">
        <v>1.61</v>
      </c>
      <c r="BU1326" t="s">
        <v>284</v>
      </c>
      <c r="BV1326">
        <v>0.96</v>
      </c>
      <c r="BW1326" t="s">
        <v>284</v>
      </c>
      <c r="BX1326">
        <v>1.35</v>
      </c>
      <c r="BY1326" t="s">
        <v>284</v>
      </c>
      <c r="BZ1326">
        <v>1.35</v>
      </c>
      <c r="CA1326" t="s">
        <v>284</v>
      </c>
      <c r="CF1326">
        <v>1.44</v>
      </c>
      <c r="CG1326" t="s">
        <v>54</v>
      </c>
      <c r="CH1326" t="s">
        <v>52</v>
      </c>
    </row>
    <row r="1327" spans="1:86" x14ac:dyDescent="0.25">
      <c r="A1327" t="s">
        <v>47</v>
      </c>
      <c r="B1327">
        <v>8</v>
      </c>
      <c r="C1327" t="s">
        <v>208</v>
      </c>
      <c r="D1327">
        <v>121</v>
      </c>
      <c r="E1327" t="s">
        <v>70</v>
      </c>
      <c r="F1327">
        <v>296</v>
      </c>
      <c r="G1327" t="s">
        <v>73</v>
      </c>
      <c r="H1327" t="s">
        <v>50</v>
      </c>
      <c r="K1327" t="s">
        <v>52</v>
      </c>
      <c r="L1327">
        <v>1</v>
      </c>
      <c r="M1327" t="s">
        <v>53</v>
      </c>
      <c r="N1327">
        <v>296</v>
      </c>
      <c r="O1327">
        <v>1</v>
      </c>
      <c r="P1327" t="s">
        <v>52</v>
      </c>
      <c r="Q1327">
        <v>0</v>
      </c>
      <c r="R1327">
        <v>0.75</v>
      </c>
      <c r="S1327">
        <v>228</v>
      </c>
      <c r="T1327" t="s">
        <v>284</v>
      </c>
      <c r="U1327">
        <v>221</v>
      </c>
      <c r="V1327" t="s">
        <v>284</v>
      </c>
      <c r="W1327">
        <v>236</v>
      </c>
      <c r="X1327" t="s">
        <v>284</v>
      </c>
      <c r="Y1327">
        <v>244</v>
      </c>
      <c r="Z1327" t="s">
        <v>284</v>
      </c>
      <c r="AA1327">
        <v>225</v>
      </c>
      <c r="AB1327" t="s">
        <v>285</v>
      </c>
      <c r="AG1327">
        <v>229.66669999999999</v>
      </c>
      <c r="AH1327" t="s">
        <v>54</v>
      </c>
      <c r="AI1327" t="s">
        <v>52</v>
      </c>
      <c r="AZ1327" t="s">
        <v>52</v>
      </c>
      <c r="BQ1327" t="s">
        <v>52</v>
      </c>
      <c r="BR1327">
        <v>0.65</v>
      </c>
      <c r="BS1327" t="s">
        <v>284</v>
      </c>
      <c r="BT1327">
        <v>0.84</v>
      </c>
      <c r="BU1327" t="s">
        <v>284</v>
      </c>
      <c r="BV1327">
        <v>0.25</v>
      </c>
      <c r="BW1327" t="s">
        <v>284</v>
      </c>
      <c r="BX1327">
        <v>0.17</v>
      </c>
      <c r="BY1327" t="s">
        <v>284</v>
      </c>
      <c r="BZ1327">
        <v>0.17</v>
      </c>
      <c r="CA1327" t="s">
        <v>284</v>
      </c>
      <c r="CF1327">
        <v>0.36</v>
      </c>
      <c r="CG1327" t="s">
        <v>54</v>
      </c>
      <c r="CH1327" t="s">
        <v>52</v>
      </c>
    </row>
    <row r="1328" spans="1:86" x14ac:dyDescent="0.25">
      <c r="A1328" t="s">
        <v>47</v>
      </c>
      <c r="B1328">
        <v>8</v>
      </c>
      <c r="C1328" t="s">
        <v>208</v>
      </c>
      <c r="D1328">
        <v>121</v>
      </c>
      <c r="E1328" t="s">
        <v>70</v>
      </c>
      <c r="F1328">
        <v>296</v>
      </c>
      <c r="G1328" t="s">
        <v>115</v>
      </c>
      <c r="H1328" t="s">
        <v>50</v>
      </c>
      <c r="K1328" t="s">
        <v>51</v>
      </c>
      <c r="L1328">
        <v>1</v>
      </c>
      <c r="M1328" t="s">
        <v>53</v>
      </c>
      <c r="N1328">
        <v>102</v>
      </c>
      <c r="O1328">
        <v>1</v>
      </c>
      <c r="P1328" t="s">
        <v>52</v>
      </c>
      <c r="Q1328">
        <v>0.5</v>
      </c>
      <c r="R1328">
        <v>0.75</v>
      </c>
      <c r="S1328">
        <v>228</v>
      </c>
      <c r="T1328" t="s">
        <v>284</v>
      </c>
      <c r="U1328">
        <v>176.5</v>
      </c>
      <c r="V1328" t="s">
        <v>284</v>
      </c>
      <c r="W1328">
        <v>191.5</v>
      </c>
      <c r="X1328" t="s">
        <v>284</v>
      </c>
      <c r="Y1328">
        <v>194</v>
      </c>
      <c r="Z1328" t="s">
        <v>284</v>
      </c>
      <c r="AA1328">
        <v>145</v>
      </c>
      <c r="AB1328" t="s">
        <v>285</v>
      </c>
      <c r="AG1328">
        <v>187.33330000000001</v>
      </c>
      <c r="AH1328" t="s">
        <v>54</v>
      </c>
      <c r="AI1328" t="s">
        <v>52</v>
      </c>
      <c r="AZ1328" t="s">
        <v>52</v>
      </c>
      <c r="BQ1328" t="s">
        <v>52</v>
      </c>
      <c r="BR1328">
        <v>1.85</v>
      </c>
      <c r="BS1328" t="s">
        <v>284</v>
      </c>
      <c r="BT1328">
        <v>1.61</v>
      </c>
      <c r="BU1328" t="s">
        <v>284</v>
      </c>
      <c r="BV1328">
        <v>1.61</v>
      </c>
      <c r="BW1328" t="s">
        <v>284</v>
      </c>
      <c r="BX1328">
        <v>1.53</v>
      </c>
      <c r="BY1328" t="s">
        <v>284</v>
      </c>
      <c r="BZ1328">
        <v>1.56</v>
      </c>
      <c r="CA1328" t="s">
        <v>289</v>
      </c>
      <c r="CF1328">
        <v>1.59</v>
      </c>
      <c r="CG1328" t="s">
        <v>54</v>
      </c>
      <c r="CH1328" t="s">
        <v>52</v>
      </c>
    </row>
    <row r="1329" spans="1:86" x14ac:dyDescent="0.25">
      <c r="A1329" t="s">
        <v>47</v>
      </c>
      <c r="B1329">
        <v>8</v>
      </c>
      <c r="C1329" t="s">
        <v>208</v>
      </c>
      <c r="D1329">
        <v>121</v>
      </c>
      <c r="E1329" t="s">
        <v>70</v>
      </c>
      <c r="F1329">
        <v>296</v>
      </c>
      <c r="G1329" t="s">
        <v>115</v>
      </c>
      <c r="H1329" t="s">
        <v>50</v>
      </c>
      <c r="K1329" t="s">
        <v>52</v>
      </c>
      <c r="L1329">
        <v>1</v>
      </c>
      <c r="M1329" t="s">
        <v>53</v>
      </c>
      <c r="N1329">
        <v>102</v>
      </c>
      <c r="O1329">
        <v>1</v>
      </c>
      <c r="P1329" t="s">
        <v>52</v>
      </c>
      <c r="Q1329">
        <v>0.5</v>
      </c>
      <c r="R1329">
        <v>0.75</v>
      </c>
      <c r="S1329">
        <v>228</v>
      </c>
      <c r="T1329" t="s">
        <v>284</v>
      </c>
      <c r="U1329">
        <v>176.5</v>
      </c>
      <c r="V1329" t="s">
        <v>284</v>
      </c>
      <c r="W1329">
        <v>191.5</v>
      </c>
      <c r="X1329" t="s">
        <v>284</v>
      </c>
      <c r="Y1329">
        <v>194</v>
      </c>
      <c r="Z1329" t="s">
        <v>284</v>
      </c>
      <c r="AA1329">
        <v>145</v>
      </c>
      <c r="AB1329" t="s">
        <v>285</v>
      </c>
      <c r="AG1329">
        <v>187.33330000000001</v>
      </c>
      <c r="AH1329" t="s">
        <v>54</v>
      </c>
      <c r="AI1329" t="s">
        <v>52</v>
      </c>
      <c r="AZ1329" t="s">
        <v>52</v>
      </c>
      <c r="BQ1329" t="s">
        <v>52</v>
      </c>
      <c r="BR1329">
        <v>0.65</v>
      </c>
      <c r="BS1329" t="s">
        <v>285</v>
      </c>
      <c r="BT1329">
        <v>1.04</v>
      </c>
      <c r="BU1329" t="s">
        <v>285</v>
      </c>
      <c r="BV1329">
        <v>0.32</v>
      </c>
      <c r="BW1329" t="s">
        <v>285</v>
      </c>
      <c r="BX1329">
        <v>0.3</v>
      </c>
      <c r="BY1329" t="s">
        <v>285</v>
      </c>
      <c r="BZ1329">
        <v>0.78</v>
      </c>
      <c r="CA1329" t="s">
        <v>285</v>
      </c>
      <c r="CF1329">
        <v>0.57999999999999996</v>
      </c>
      <c r="CG1329" t="s">
        <v>54</v>
      </c>
      <c r="CH1329" t="s">
        <v>52</v>
      </c>
    </row>
    <row r="1330" spans="1:86" x14ac:dyDescent="0.25">
      <c r="A1330" t="s">
        <v>47</v>
      </c>
      <c r="B1330">
        <v>8</v>
      </c>
      <c r="C1330" t="s">
        <v>208</v>
      </c>
      <c r="D1330">
        <v>121</v>
      </c>
      <c r="E1330" t="s">
        <v>70</v>
      </c>
      <c r="F1330">
        <v>296</v>
      </c>
      <c r="G1330" t="s">
        <v>74</v>
      </c>
      <c r="H1330" t="s">
        <v>50</v>
      </c>
      <c r="K1330" t="s">
        <v>51</v>
      </c>
      <c r="L1330">
        <v>1</v>
      </c>
      <c r="M1330" t="s">
        <v>53</v>
      </c>
      <c r="N1330">
        <v>102</v>
      </c>
      <c r="O1330">
        <v>1</v>
      </c>
      <c r="P1330" t="s">
        <v>52</v>
      </c>
      <c r="Q1330">
        <v>0</v>
      </c>
      <c r="R1330">
        <v>0.75</v>
      </c>
      <c r="S1330">
        <v>135</v>
      </c>
      <c r="T1330" t="s">
        <v>284</v>
      </c>
      <c r="U1330">
        <v>132</v>
      </c>
      <c r="V1330" t="s">
        <v>284</v>
      </c>
      <c r="W1330">
        <v>147</v>
      </c>
      <c r="X1330" t="s">
        <v>284</v>
      </c>
      <c r="Y1330">
        <v>170</v>
      </c>
      <c r="Z1330" t="s">
        <v>284</v>
      </c>
      <c r="AA1330">
        <v>205</v>
      </c>
      <c r="AB1330" t="s">
        <v>285</v>
      </c>
      <c r="AG1330">
        <v>150.66669999999999</v>
      </c>
      <c r="AH1330" t="s">
        <v>54</v>
      </c>
      <c r="AI1330" t="s">
        <v>52</v>
      </c>
      <c r="AZ1330" t="s">
        <v>52</v>
      </c>
      <c r="BQ1330" t="s">
        <v>52</v>
      </c>
      <c r="BR1330">
        <v>1.85</v>
      </c>
      <c r="BS1330" t="s">
        <v>284</v>
      </c>
      <c r="BT1330">
        <v>1.61</v>
      </c>
      <c r="BU1330" t="s">
        <v>284</v>
      </c>
      <c r="BV1330">
        <v>1.06</v>
      </c>
      <c r="BW1330" t="s">
        <v>285</v>
      </c>
      <c r="BX1330">
        <v>1.06</v>
      </c>
      <c r="BY1330" t="s">
        <v>285</v>
      </c>
      <c r="BZ1330">
        <v>1.01</v>
      </c>
      <c r="CA1330" t="s">
        <v>289</v>
      </c>
      <c r="CF1330">
        <v>1.24</v>
      </c>
      <c r="CG1330" t="s">
        <v>54</v>
      </c>
      <c r="CH1330" t="s">
        <v>52</v>
      </c>
    </row>
    <row r="1331" spans="1:86" x14ac:dyDescent="0.25">
      <c r="A1331" t="s">
        <v>47</v>
      </c>
      <c r="B1331">
        <v>8</v>
      </c>
      <c r="C1331" t="s">
        <v>208</v>
      </c>
      <c r="D1331">
        <v>121</v>
      </c>
      <c r="E1331" t="s">
        <v>70</v>
      </c>
      <c r="F1331">
        <v>296</v>
      </c>
      <c r="G1331" t="s">
        <v>74</v>
      </c>
      <c r="H1331" t="s">
        <v>50</v>
      </c>
      <c r="K1331" t="s">
        <v>52</v>
      </c>
      <c r="L1331">
        <v>1</v>
      </c>
      <c r="M1331" t="s">
        <v>53</v>
      </c>
      <c r="N1331">
        <v>102</v>
      </c>
      <c r="O1331">
        <v>1</v>
      </c>
      <c r="P1331" t="s">
        <v>52</v>
      </c>
      <c r="Q1331">
        <v>0</v>
      </c>
      <c r="R1331">
        <v>0.75</v>
      </c>
      <c r="S1331">
        <v>135</v>
      </c>
      <c r="T1331" t="s">
        <v>284</v>
      </c>
      <c r="U1331">
        <v>132</v>
      </c>
      <c r="V1331" t="s">
        <v>284</v>
      </c>
      <c r="W1331">
        <v>147</v>
      </c>
      <c r="X1331" t="s">
        <v>284</v>
      </c>
      <c r="Y1331">
        <v>170</v>
      </c>
      <c r="Z1331" t="s">
        <v>284</v>
      </c>
      <c r="AA1331">
        <v>205</v>
      </c>
      <c r="AB1331" t="s">
        <v>285</v>
      </c>
      <c r="AG1331">
        <v>150.66669999999999</v>
      </c>
      <c r="AH1331" t="s">
        <v>54</v>
      </c>
      <c r="AI1331" t="s">
        <v>52</v>
      </c>
      <c r="AZ1331" t="s">
        <v>52</v>
      </c>
      <c r="BQ1331" t="s">
        <v>52</v>
      </c>
      <c r="BR1331">
        <v>0.65</v>
      </c>
      <c r="BS1331" t="s">
        <v>284</v>
      </c>
      <c r="BT1331">
        <v>0.51</v>
      </c>
      <c r="BU1331" t="s">
        <v>284</v>
      </c>
      <c r="BV1331">
        <v>0.11</v>
      </c>
      <c r="BW1331" t="s">
        <v>284</v>
      </c>
      <c r="BX1331">
        <v>0.25</v>
      </c>
      <c r="BY1331" t="s">
        <v>285</v>
      </c>
      <c r="BZ1331">
        <v>0.22</v>
      </c>
      <c r="CA1331" t="s">
        <v>289</v>
      </c>
      <c r="CF1331">
        <v>0.33</v>
      </c>
      <c r="CG1331" t="s">
        <v>54</v>
      </c>
      <c r="CH1331" t="s">
        <v>52</v>
      </c>
    </row>
    <row r="1332" spans="1:86" x14ac:dyDescent="0.25">
      <c r="A1332" t="s">
        <v>47</v>
      </c>
      <c r="B1332">
        <v>8</v>
      </c>
      <c r="C1332" t="s">
        <v>208</v>
      </c>
      <c r="D1332">
        <v>121</v>
      </c>
      <c r="E1332" t="s">
        <v>70</v>
      </c>
      <c r="F1332">
        <v>296</v>
      </c>
      <c r="G1332" t="s">
        <v>209</v>
      </c>
      <c r="H1332" t="s">
        <v>50</v>
      </c>
      <c r="K1332" t="s">
        <v>51</v>
      </c>
      <c r="L1332">
        <v>1</v>
      </c>
      <c r="M1332" t="s">
        <v>53</v>
      </c>
      <c r="N1332">
        <v>102</v>
      </c>
      <c r="O1332">
        <v>1</v>
      </c>
      <c r="P1332" t="s">
        <v>52</v>
      </c>
      <c r="Q1332">
        <v>0.5</v>
      </c>
      <c r="R1332">
        <v>0.75</v>
      </c>
      <c r="S1332">
        <v>228</v>
      </c>
      <c r="T1332" t="s">
        <v>284</v>
      </c>
      <c r="AI1332" t="s">
        <v>52</v>
      </c>
      <c r="AZ1332" t="s">
        <v>52</v>
      </c>
      <c r="BQ1332" t="s">
        <v>52</v>
      </c>
      <c r="BR1332">
        <v>1.85</v>
      </c>
      <c r="BS1332" t="s">
        <v>284</v>
      </c>
      <c r="CH1332" t="s">
        <v>52</v>
      </c>
    </row>
    <row r="1333" spans="1:86" x14ac:dyDescent="0.25">
      <c r="A1333" t="s">
        <v>47</v>
      </c>
      <c r="B1333">
        <v>8</v>
      </c>
      <c r="C1333" t="s">
        <v>208</v>
      </c>
      <c r="D1333">
        <v>121</v>
      </c>
      <c r="E1333" t="s">
        <v>70</v>
      </c>
      <c r="F1333">
        <v>296</v>
      </c>
      <c r="G1333" t="s">
        <v>209</v>
      </c>
      <c r="H1333" t="s">
        <v>50</v>
      </c>
      <c r="K1333" t="s">
        <v>52</v>
      </c>
      <c r="L1333">
        <v>1</v>
      </c>
      <c r="M1333" t="s">
        <v>53</v>
      </c>
      <c r="N1333">
        <v>102</v>
      </c>
      <c r="O1333">
        <v>1</v>
      </c>
      <c r="P1333" t="s">
        <v>52</v>
      </c>
      <c r="Q1333">
        <v>0.5</v>
      </c>
      <c r="R1333">
        <v>0.75</v>
      </c>
      <c r="S1333">
        <v>228</v>
      </c>
      <c r="T1333" t="s">
        <v>284</v>
      </c>
      <c r="AI1333" t="s">
        <v>52</v>
      </c>
      <c r="AZ1333" t="s">
        <v>52</v>
      </c>
      <c r="BQ1333" t="s">
        <v>52</v>
      </c>
      <c r="CH1333" t="s">
        <v>52</v>
      </c>
    </row>
    <row r="1334" spans="1:86" x14ac:dyDescent="0.25">
      <c r="A1334" t="s">
        <v>47</v>
      </c>
      <c r="B1334">
        <v>8</v>
      </c>
      <c r="C1334" t="s">
        <v>208</v>
      </c>
      <c r="D1334">
        <v>121</v>
      </c>
      <c r="E1334" t="s">
        <v>70</v>
      </c>
      <c r="F1334">
        <v>296</v>
      </c>
      <c r="G1334" t="s">
        <v>129</v>
      </c>
      <c r="H1334" t="s">
        <v>50</v>
      </c>
      <c r="K1334" t="s">
        <v>51</v>
      </c>
      <c r="L1334">
        <v>1</v>
      </c>
      <c r="M1334" t="s">
        <v>53</v>
      </c>
      <c r="N1334">
        <v>102</v>
      </c>
      <c r="O1334">
        <v>1</v>
      </c>
      <c r="P1334" t="s">
        <v>52</v>
      </c>
      <c r="Q1334">
        <v>0</v>
      </c>
      <c r="R1334">
        <v>0.75</v>
      </c>
      <c r="S1334">
        <v>228</v>
      </c>
      <c r="T1334" t="s">
        <v>284</v>
      </c>
      <c r="U1334">
        <v>190</v>
      </c>
      <c r="V1334" t="s">
        <v>284</v>
      </c>
      <c r="W1334">
        <v>194</v>
      </c>
      <c r="X1334" t="s">
        <v>284</v>
      </c>
      <c r="Y1334">
        <v>213</v>
      </c>
      <c r="Z1334" t="s">
        <v>284</v>
      </c>
      <c r="AA1334">
        <v>225</v>
      </c>
      <c r="AB1334" t="s">
        <v>285</v>
      </c>
      <c r="AG1334">
        <v>210.66669999999999</v>
      </c>
      <c r="AH1334" t="s">
        <v>54</v>
      </c>
      <c r="AI1334" t="s">
        <v>52</v>
      </c>
      <c r="AZ1334" t="s">
        <v>52</v>
      </c>
      <c r="BQ1334" t="s">
        <v>52</v>
      </c>
      <c r="CH1334" t="s">
        <v>52</v>
      </c>
    </row>
    <row r="1335" spans="1:86" x14ac:dyDescent="0.25">
      <c r="A1335" t="s">
        <v>47</v>
      </c>
      <c r="B1335">
        <v>8</v>
      </c>
      <c r="C1335" t="s">
        <v>208</v>
      </c>
      <c r="D1335">
        <v>121</v>
      </c>
      <c r="E1335" t="s">
        <v>70</v>
      </c>
      <c r="F1335">
        <v>296</v>
      </c>
      <c r="G1335" t="s">
        <v>129</v>
      </c>
      <c r="H1335" t="s">
        <v>50</v>
      </c>
      <c r="K1335" t="s">
        <v>52</v>
      </c>
      <c r="L1335">
        <v>1</v>
      </c>
      <c r="M1335" t="s">
        <v>53</v>
      </c>
      <c r="N1335">
        <v>102</v>
      </c>
      <c r="O1335">
        <v>1</v>
      </c>
      <c r="P1335" t="s">
        <v>52</v>
      </c>
      <c r="Q1335">
        <v>0</v>
      </c>
      <c r="R1335">
        <v>0.75</v>
      </c>
      <c r="S1335">
        <v>228</v>
      </c>
      <c r="T1335" t="s">
        <v>284</v>
      </c>
      <c r="U1335">
        <v>190</v>
      </c>
      <c r="V1335" t="s">
        <v>284</v>
      </c>
      <c r="W1335">
        <v>194</v>
      </c>
      <c r="X1335" t="s">
        <v>284</v>
      </c>
      <c r="Y1335">
        <v>213</v>
      </c>
      <c r="Z1335" t="s">
        <v>284</v>
      </c>
      <c r="AA1335">
        <v>225</v>
      </c>
      <c r="AB1335" t="s">
        <v>285</v>
      </c>
      <c r="AG1335">
        <v>210.66669999999999</v>
      </c>
      <c r="AH1335" t="s">
        <v>54</v>
      </c>
      <c r="AI1335" t="s">
        <v>52</v>
      </c>
      <c r="AZ1335" t="s">
        <v>52</v>
      </c>
      <c r="BQ1335" t="s">
        <v>52</v>
      </c>
      <c r="BR1335">
        <v>0.65</v>
      </c>
      <c r="BS1335" t="s">
        <v>284</v>
      </c>
      <c r="BT1335">
        <v>0.81</v>
      </c>
      <c r="BU1335" t="s">
        <v>284</v>
      </c>
      <c r="BV1335">
        <v>0.25</v>
      </c>
      <c r="BW1335" t="s">
        <v>284</v>
      </c>
      <c r="BX1335">
        <v>0.22</v>
      </c>
      <c r="BY1335" t="s">
        <v>284</v>
      </c>
      <c r="CH1335" t="s">
        <v>52</v>
      </c>
    </row>
    <row r="1336" spans="1:86" x14ac:dyDescent="0.25">
      <c r="A1336" t="s">
        <v>47</v>
      </c>
      <c r="B1336">
        <v>8</v>
      </c>
      <c r="C1336" t="s">
        <v>208</v>
      </c>
      <c r="D1336">
        <v>121</v>
      </c>
      <c r="E1336" t="s">
        <v>70</v>
      </c>
      <c r="F1336">
        <v>296</v>
      </c>
      <c r="G1336" t="s">
        <v>89</v>
      </c>
      <c r="H1336" t="s">
        <v>50</v>
      </c>
      <c r="K1336" t="s">
        <v>51</v>
      </c>
      <c r="L1336">
        <v>1</v>
      </c>
      <c r="M1336" t="s">
        <v>53</v>
      </c>
      <c r="N1336">
        <v>102</v>
      </c>
      <c r="O1336">
        <v>1</v>
      </c>
      <c r="P1336" t="s">
        <v>52</v>
      </c>
      <c r="Q1336">
        <v>0.25</v>
      </c>
      <c r="R1336">
        <v>0.75</v>
      </c>
      <c r="S1336">
        <v>228</v>
      </c>
      <c r="T1336" t="s">
        <v>284</v>
      </c>
      <c r="U1336">
        <v>168</v>
      </c>
      <c r="V1336" t="s">
        <v>285</v>
      </c>
      <c r="W1336">
        <v>202</v>
      </c>
      <c r="X1336" t="s">
        <v>285</v>
      </c>
      <c r="Y1336">
        <v>206</v>
      </c>
      <c r="Z1336" t="s">
        <v>285</v>
      </c>
      <c r="AA1336">
        <v>215</v>
      </c>
      <c r="AB1336" t="s">
        <v>285</v>
      </c>
      <c r="AG1336">
        <v>207.66669999999999</v>
      </c>
      <c r="AH1336" t="s">
        <v>54</v>
      </c>
      <c r="AI1336" t="s">
        <v>52</v>
      </c>
      <c r="AZ1336" t="s">
        <v>52</v>
      </c>
      <c r="BQ1336" t="s">
        <v>52</v>
      </c>
      <c r="BR1336">
        <v>1.85</v>
      </c>
      <c r="BS1336" t="s">
        <v>284</v>
      </c>
      <c r="BT1336">
        <v>1.81</v>
      </c>
      <c r="BU1336" t="s">
        <v>285</v>
      </c>
      <c r="BV1336">
        <v>1.08</v>
      </c>
      <c r="BW1336" t="s">
        <v>285</v>
      </c>
      <c r="BX1336">
        <v>1.41</v>
      </c>
      <c r="BY1336" t="s">
        <v>285</v>
      </c>
      <c r="BZ1336">
        <v>1.41</v>
      </c>
      <c r="CA1336" t="s">
        <v>284</v>
      </c>
      <c r="CF1336">
        <v>1.54</v>
      </c>
      <c r="CG1336" t="s">
        <v>54</v>
      </c>
      <c r="CH1336" t="s">
        <v>52</v>
      </c>
    </row>
    <row r="1337" spans="1:86" x14ac:dyDescent="0.25">
      <c r="A1337" t="s">
        <v>47</v>
      </c>
      <c r="B1337">
        <v>8</v>
      </c>
      <c r="C1337" t="s">
        <v>208</v>
      </c>
      <c r="D1337">
        <v>121</v>
      </c>
      <c r="E1337" t="s">
        <v>70</v>
      </c>
      <c r="F1337">
        <v>296</v>
      </c>
      <c r="G1337" t="s">
        <v>89</v>
      </c>
      <c r="H1337" t="s">
        <v>50</v>
      </c>
      <c r="K1337" t="s">
        <v>52</v>
      </c>
      <c r="L1337">
        <v>1</v>
      </c>
      <c r="M1337" t="s">
        <v>53</v>
      </c>
      <c r="N1337">
        <v>102</v>
      </c>
      <c r="O1337">
        <v>1</v>
      </c>
      <c r="P1337" t="s">
        <v>52</v>
      </c>
      <c r="Q1337">
        <v>0.25</v>
      </c>
      <c r="R1337">
        <v>0.75</v>
      </c>
      <c r="S1337">
        <v>228</v>
      </c>
      <c r="T1337" t="s">
        <v>284</v>
      </c>
      <c r="U1337">
        <v>168</v>
      </c>
      <c r="V1337" t="s">
        <v>285</v>
      </c>
      <c r="W1337">
        <v>202</v>
      </c>
      <c r="X1337" t="s">
        <v>285</v>
      </c>
      <c r="Y1337">
        <v>206</v>
      </c>
      <c r="Z1337" t="s">
        <v>285</v>
      </c>
      <c r="AA1337">
        <v>215</v>
      </c>
      <c r="AB1337" t="s">
        <v>285</v>
      </c>
      <c r="AG1337">
        <v>207.66669999999999</v>
      </c>
      <c r="AH1337" t="s">
        <v>54</v>
      </c>
      <c r="AI1337" t="s">
        <v>52</v>
      </c>
      <c r="AZ1337" t="s">
        <v>52</v>
      </c>
      <c r="BQ1337" t="s">
        <v>52</v>
      </c>
      <c r="BR1337">
        <v>0.65</v>
      </c>
      <c r="BS1337" t="s">
        <v>284</v>
      </c>
      <c r="BT1337">
        <v>1.29</v>
      </c>
      <c r="BU1337" t="s">
        <v>285</v>
      </c>
      <c r="BV1337">
        <v>0.32</v>
      </c>
      <c r="BW1337" t="s">
        <v>285</v>
      </c>
      <c r="BX1337">
        <v>1.67</v>
      </c>
      <c r="BY1337" t="s">
        <v>285</v>
      </c>
      <c r="BZ1337">
        <v>0.13</v>
      </c>
      <c r="CA1337" t="s">
        <v>288</v>
      </c>
      <c r="CF1337">
        <v>0.75</v>
      </c>
      <c r="CG1337" t="s">
        <v>54</v>
      </c>
      <c r="CH1337" t="s">
        <v>52</v>
      </c>
    </row>
    <row r="1338" spans="1:86" x14ac:dyDescent="0.25">
      <c r="A1338" t="s">
        <v>47</v>
      </c>
      <c r="B1338">
        <v>8</v>
      </c>
      <c r="C1338" t="s">
        <v>208</v>
      </c>
      <c r="D1338">
        <v>121</v>
      </c>
      <c r="E1338" t="s">
        <v>70</v>
      </c>
      <c r="F1338">
        <v>296</v>
      </c>
      <c r="G1338" t="s">
        <v>122</v>
      </c>
      <c r="H1338" t="s">
        <v>50</v>
      </c>
      <c r="K1338" t="s">
        <v>51</v>
      </c>
      <c r="L1338">
        <v>1</v>
      </c>
      <c r="M1338" t="s">
        <v>53</v>
      </c>
      <c r="N1338">
        <v>102</v>
      </c>
      <c r="O1338">
        <v>1</v>
      </c>
      <c r="P1338" t="s">
        <v>52</v>
      </c>
      <c r="Q1338">
        <v>0</v>
      </c>
      <c r="R1338">
        <v>0.75</v>
      </c>
      <c r="S1338">
        <v>228</v>
      </c>
      <c r="T1338" t="s">
        <v>284</v>
      </c>
      <c r="U1338">
        <v>190</v>
      </c>
      <c r="V1338" t="s">
        <v>285</v>
      </c>
      <c r="W1338">
        <v>194</v>
      </c>
      <c r="X1338" t="s">
        <v>285</v>
      </c>
      <c r="Y1338">
        <v>213</v>
      </c>
      <c r="Z1338" t="s">
        <v>284</v>
      </c>
      <c r="AA1338">
        <v>225</v>
      </c>
      <c r="AB1338" t="s">
        <v>285</v>
      </c>
      <c r="AG1338">
        <v>210.66669999999999</v>
      </c>
      <c r="AH1338" t="s">
        <v>54</v>
      </c>
      <c r="AI1338" t="s">
        <v>52</v>
      </c>
      <c r="AZ1338" t="s">
        <v>52</v>
      </c>
      <c r="BQ1338" t="s">
        <v>52</v>
      </c>
      <c r="BR1338">
        <v>1.85</v>
      </c>
      <c r="BS1338" t="s">
        <v>284</v>
      </c>
      <c r="BT1338">
        <v>1.61</v>
      </c>
      <c r="BU1338" t="s">
        <v>284</v>
      </c>
      <c r="BV1338">
        <v>0.96</v>
      </c>
      <c r="BW1338" t="s">
        <v>285</v>
      </c>
      <c r="BX1338">
        <v>0.97</v>
      </c>
      <c r="BY1338" t="s">
        <v>285</v>
      </c>
      <c r="BZ1338">
        <v>0.97</v>
      </c>
      <c r="CA1338" t="s">
        <v>284</v>
      </c>
      <c r="CF1338">
        <v>1.18</v>
      </c>
      <c r="CG1338" t="s">
        <v>54</v>
      </c>
      <c r="CH1338" t="s">
        <v>52</v>
      </c>
    </row>
    <row r="1339" spans="1:86" x14ac:dyDescent="0.25">
      <c r="A1339" t="s">
        <v>47</v>
      </c>
      <c r="B1339">
        <v>8</v>
      </c>
      <c r="C1339" t="s">
        <v>208</v>
      </c>
      <c r="D1339">
        <v>121</v>
      </c>
      <c r="E1339" t="s">
        <v>70</v>
      </c>
      <c r="F1339">
        <v>296</v>
      </c>
      <c r="G1339" t="s">
        <v>122</v>
      </c>
      <c r="H1339" t="s">
        <v>50</v>
      </c>
      <c r="K1339" t="s">
        <v>52</v>
      </c>
      <c r="L1339">
        <v>1</v>
      </c>
      <c r="M1339" t="s">
        <v>53</v>
      </c>
      <c r="N1339">
        <v>102</v>
      </c>
      <c r="O1339">
        <v>1</v>
      </c>
      <c r="P1339" t="s">
        <v>52</v>
      </c>
      <c r="Q1339">
        <v>0</v>
      </c>
      <c r="R1339">
        <v>0.75</v>
      </c>
      <c r="S1339">
        <v>228</v>
      </c>
      <c r="T1339" t="s">
        <v>284</v>
      </c>
      <c r="U1339">
        <v>190</v>
      </c>
      <c r="V1339" t="s">
        <v>285</v>
      </c>
      <c r="W1339">
        <v>194</v>
      </c>
      <c r="X1339" t="s">
        <v>285</v>
      </c>
      <c r="Y1339">
        <v>213</v>
      </c>
      <c r="Z1339" t="s">
        <v>284</v>
      </c>
      <c r="AA1339">
        <v>225</v>
      </c>
      <c r="AB1339" t="s">
        <v>285</v>
      </c>
      <c r="AG1339">
        <v>210.66669999999999</v>
      </c>
      <c r="AH1339" t="s">
        <v>54</v>
      </c>
      <c r="AI1339" t="s">
        <v>52</v>
      </c>
      <c r="AZ1339" t="s">
        <v>52</v>
      </c>
      <c r="BQ1339" t="s">
        <v>52</v>
      </c>
      <c r="BR1339">
        <v>0.65</v>
      </c>
      <c r="BS1339" t="s">
        <v>284</v>
      </c>
      <c r="BT1339">
        <v>0.81</v>
      </c>
      <c r="BU1339" t="s">
        <v>284</v>
      </c>
      <c r="BV1339">
        <v>0.25</v>
      </c>
      <c r="BW1339" t="s">
        <v>284</v>
      </c>
      <c r="BX1339">
        <v>0.22</v>
      </c>
      <c r="BY1339" t="s">
        <v>284</v>
      </c>
      <c r="BZ1339">
        <v>0.22</v>
      </c>
      <c r="CA1339" t="s">
        <v>284</v>
      </c>
      <c r="CF1339">
        <v>0.37</v>
      </c>
      <c r="CG1339" t="s">
        <v>54</v>
      </c>
      <c r="CH1339" t="s">
        <v>52</v>
      </c>
    </row>
    <row r="1340" spans="1:86" x14ac:dyDescent="0.25">
      <c r="A1340" t="s">
        <v>47</v>
      </c>
      <c r="B1340">
        <v>8</v>
      </c>
      <c r="C1340" t="s">
        <v>208</v>
      </c>
      <c r="D1340">
        <v>121</v>
      </c>
      <c r="E1340" t="s">
        <v>70</v>
      </c>
      <c r="F1340">
        <v>296</v>
      </c>
      <c r="G1340" t="s">
        <v>90</v>
      </c>
      <c r="H1340" t="s">
        <v>50</v>
      </c>
      <c r="K1340" t="s">
        <v>51</v>
      </c>
      <c r="L1340">
        <v>1</v>
      </c>
      <c r="M1340" t="s">
        <v>53</v>
      </c>
      <c r="N1340">
        <v>102</v>
      </c>
      <c r="O1340">
        <v>1</v>
      </c>
      <c r="P1340" t="s">
        <v>52</v>
      </c>
      <c r="Q1340">
        <v>0.5</v>
      </c>
      <c r="R1340">
        <v>0.75</v>
      </c>
      <c r="S1340">
        <v>228</v>
      </c>
      <c r="T1340" t="s">
        <v>284</v>
      </c>
      <c r="U1340">
        <v>190</v>
      </c>
      <c r="V1340" t="s">
        <v>285</v>
      </c>
      <c r="W1340">
        <v>236</v>
      </c>
      <c r="X1340" t="s">
        <v>284</v>
      </c>
      <c r="Y1340">
        <v>244</v>
      </c>
      <c r="Z1340" t="s">
        <v>284</v>
      </c>
      <c r="AA1340">
        <v>215</v>
      </c>
      <c r="AB1340" t="s">
        <v>285</v>
      </c>
      <c r="AG1340">
        <v>226.33330000000001</v>
      </c>
      <c r="AH1340" t="s">
        <v>54</v>
      </c>
      <c r="AI1340" t="s">
        <v>52</v>
      </c>
      <c r="AZ1340" t="s">
        <v>52</v>
      </c>
      <c r="BQ1340" t="s">
        <v>52</v>
      </c>
      <c r="BR1340">
        <v>0.65</v>
      </c>
      <c r="BS1340" t="s">
        <v>284</v>
      </c>
      <c r="BT1340">
        <v>1.61</v>
      </c>
      <c r="BU1340" t="s">
        <v>284</v>
      </c>
      <c r="BV1340">
        <v>1.53</v>
      </c>
      <c r="BW1340" t="s">
        <v>284</v>
      </c>
      <c r="BX1340">
        <v>1.23</v>
      </c>
      <c r="BY1340" t="s">
        <v>284</v>
      </c>
      <c r="BZ1340">
        <v>1.23</v>
      </c>
      <c r="CA1340" t="s">
        <v>284</v>
      </c>
      <c r="CF1340">
        <v>1.33</v>
      </c>
      <c r="CG1340" t="s">
        <v>54</v>
      </c>
      <c r="CH1340" t="s">
        <v>52</v>
      </c>
    </row>
    <row r="1341" spans="1:86" x14ac:dyDescent="0.25">
      <c r="A1341" t="s">
        <v>47</v>
      </c>
      <c r="B1341">
        <v>8</v>
      </c>
      <c r="C1341" t="s">
        <v>208</v>
      </c>
      <c r="D1341">
        <v>121</v>
      </c>
      <c r="E1341" t="s">
        <v>70</v>
      </c>
      <c r="F1341">
        <v>296</v>
      </c>
      <c r="G1341" t="s">
        <v>90</v>
      </c>
      <c r="H1341" t="s">
        <v>50</v>
      </c>
      <c r="K1341" t="s">
        <v>52</v>
      </c>
      <c r="L1341">
        <v>1</v>
      </c>
      <c r="M1341" t="s">
        <v>53</v>
      </c>
      <c r="N1341">
        <v>102</v>
      </c>
      <c r="O1341">
        <v>1</v>
      </c>
      <c r="P1341" t="s">
        <v>52</v>
      </c>
      <c r="Q1341">
        <v>0.5</v>
      </c>
      <c r="R1341">
        <v>0.75</v>
      </c>
      <c r="S1341">
        <v>228</v>
      </c>
      <c r="T1341" t="s">
        <v>284</v>
      </c>
      <c r="U1341">
        <v>190</v>
      </c>
      <c r="V1341" t="s">
        <v>285</v>
      </c>
      <c r="W1341">
        <v>236</v>
      </c>
      <c r="X1341" t="s">
        <v>284</v>
      </c>
      <c r="Y1341">
        <v>244</v>
      </c>
      <c r="Z1341" t="s">
        <v>284</v>
      </c>
      <c r="AA1341">
        <v>215</v>
      </c>
      <c r="AB1341" t="s">
        <v>285</v>
      </c>
      <c r="AG1341">
        <v>226.33330000000001</v>
      </c>
      <c r="AH1341" t="s">
        <v>54</v>
      </c>
      <c r="AI1341" t="s">
        <v>52</v>
      </c>
      <c r="AZ1341" t="s">
        <v>52</v>
      </c>
      <c r="BQ1341" t="s">
        <v>52</v>
      </c>
      <c r="BR1341">
        <v>0.65</v>
      </c>
      <c r="BS1341" t="s">
        <v>284</v>
      </c>
      <c r="BT1341">
        <v>0.84</v>
      </c>
      <c r="BU1341" t="s">
        <v>284</v>
      </c>
      <c r="BV1341">
        <v>0.25</v>
      </c>
      <c r="BW1341" t="s">
        <v>284</v>
      </c>
      <c r="BX1341">
        <v>0.25</v>
      </c>
      <c r="BY1341" t="s">
        <v>285</v>
      </c>
      <c r="BZ1341">
        <v>0.25</v>
      </c>
      <c r="CA1341" t="s">
        <v>284</v>
      </c>
      <c r="CF1341">
        <v>0.38</v>
      </c>
      <c r="CG1341" t="s">
        <v>54</v>
      </c>
      <c r="CH1341" t="s">
        <v>52</v>
      </c>
    </row>
    <row r="1342" spans="1:86" x14ac:dyDescent="0.25">
      <c r="A1342" t="s">
        <v>47</v>
      </c>
      <c r="B1342">
        <v>8</v>
      </c>
      <c r="C1342" t="s">
        <v>208</v>
      </c>
      <c r="D1342">
        <v>121</v>
      </c>
      <c r="E1342" t="s">
        <v>70</v>
      </c>
      <c r="F1342">
        <v>296</v>
      </c>
      <c r="G1342" t="s">
        <v>91</v>
      </c>
      <c r="H1342" t="s">
        <v>50</v>
      </c>
      <c r="K1342" t="s">
        <v>51</v>
      </c>
      <c r="L1342">
        <v>1</v>
      </c>
      <c r="M1342" t="s">
        <v>53</v>
      </c>
      <c r="N1342">
        <v>102</v>
      </c>
      <c r="O1342">
        <v>1</v>
      </c>
      <c r="P1342" t="s">
        <v>52</v>
      </c>
      <c r="Q1342">
        <v>0.5</v>
      </c>
      <c r="R1342">
        <v>0.75</v>
      </c>
      <c r="S1342">
        <v>228</v>
      </c>
      <c r="T1342" t="s">
        <v>284</v>
      </c>
      <c r="U1342">
        <v>190</v>
      </c>
      <c r="V1342" t="s">
        <v>285</v>
      </c>
      <c r="W1342">
        <v>236</v>
      </c>
      <c r="X1342" t="s">
        <v>284</v>
      </c>
      <c r="Y1342">
        <v>244</v>
      </c>
      <c r="Z1342" t="s">
        <v>284</v>
      </c>
      <c r="AA1342">
        <v>215</v>
      </c>
      <c r="AB1342" t="s">
        <v>285</v>
      </c>
      <c r="AG1342">
        <v>226.33330000000001</v>
      </c>
      <c r="AH1342" t="s">
        <v>54</v>
      </c>
      <c r="AI1342" t="s">
        <v>52</v>
      </c>
      <c r="AZ1342" t="s">
        <v>52</v>
      </c>
      <c r="BQ1342" t="s">
        <v>52</v>
      </c>
      <c r="BR1342">
        <v>1.85</v>
      </c>
      <c r="BS1342" t="s">
        <v>284</v>
      </c>
      <c r="BT1342">
        <v>1.61</v>
      </c>
      <c r="BU1342" t="s">
        <v>284</v>
      </c>
      <c r="BV1342">
        <v>1.53</v>
      </c>
      <c r="BW1342" t="s">
        <v>284</v>
      </c>
      <c r="BX1342">
        <v>1.23</v>
      </c>
      <c r="BY1342" t="s">
        <v>284</v>
      </c>
      <c r="BZ1342">
        <v>1.23</v>
      </c>
      <c r="CA1342" t="s">
        <v>284</v>
      </c>
      <c r="CF1342">
        <v>1.46</v>
      </c>
      <c r="CG1342" t="s">
        <v>54</v>
      </c>
      <c r="CH1342" t="s">
        <v>52</v>
      </c>
    </row>
    <row r="1343" spans="1:86" x14ac:dyDescent="0.25">
      <c r="A1343" t="s">
        <v>47</v>
      </c>
      <c r="B1343">
        <v>8</v>
      </c>
      <c r="C1343" t="s">
        <v>208</v>
      </c>
      <c r="D1343">
        <v>121</v>
      </c>
      <c r="E1343" t="s">
        <v>70</v>
      </c>
      <c r="F1343">
        <v>296</v>
      </c>
      <c r="G1343" t="s">
        <v>91</v>
      </c>
      <c r="H1343" t="s">
        <v>50</v>
      </c>
      <c r="K1343" t="s">
        <v>52</v>
      </c>
      <c r="L1343">
        <v>1</v>
      </c>
      <c r="M1343" t="s">
        <v>53</v>
      </c>
      <c r="N1343">
        <v>102</v>
      </c>
      <c r="O1343">
        <v>1</v>
      </c>
      <c r="P1343" t="s">
        <v>52</v>
      </c>
      <c r="Q1343">
        <v>0.5</v>
      </c>
      <c r="R1343">
        <v>0.75</v>
      </c>
      <c r="S1343">
        <v>228</v>
      </c>
      <c r="T1343" t="s">
        <v>284</v>
      </c>
      <c r="U1343">
        <v>190</v>
      </c>
      <c r="V1343" t="s">
        <v>285</v>
      </c>
      <c r="W1343">
        <v>236</v>
      </c>
      <c r="X1343" t="s">
        <v>284</v>
      </c>
      <c r="Y1343">
        <v>244</v>
      </c>
      <c r="Z1343" t="s">
        <v>284</v>
      </c>
      <c r="AA1343">
        <v>215</v>
      </c>
      <c r="AB1343" t="s">
        <v>285</v>
      </c>
      <c r="AG1343">
        <v>226.33330000000001</v>
      </c>
      <c r="AH1343" t="s">
        <v>54</v>
      </c>
      <c r="AI1343" t="s">
        <v>52</v>
      </c>
      <c r="AZ1343" t="s">
        <v>52</v>
      </c>
      <c r="BQ1343" t="s">
        <v>52</v>
      </c>
      <c r="BR1343">
        <v>0.65</v>
      </c>
      <c r="BS1343" t="s">
        <v>285</v>
      </c>
      <c r="BT1343">
        <v>0.84</v>
      </c>
      <c r="BU1343" t="s">
        <v>284</v>
      </c>
      <c r="BV1343">
        <v>0.25</v>
      </c>
      <c r="BW1343" t="s">
        <v>284</v>
      </c>
      <c r="BX1343">
        <v>0.25</v>
      </c>
      <c r="BY1343" t="s">
        <v>285</v>
      </c>
      <c r="BZ1343">
        <v>0.25</v>
      </c>
      <c r="CA1343" t="s">
        <v>284</v>
      </c>
      <c r="CF1343">
        <v>0.38</v>
      </c>
      <c r="CG1343" t="s">
        <v>54</v>
      </c>
      <c r="CH1343" t="s">
        <v>52</v>
      </c>
    </row>
    <row r="1344" spans="1:86" x14ac:dyDescent="0.25">
      <c r="A1344" t="s">
        <v>47</v>
      </c>
      <c r="B1344">
        <v>8</v>
      </c>
      <c r="C1344" t="s">
        <v>208</v>
      </c>
      <c r="D1344">
        <v>121</v>
      </c>
      <c r="E1344" t="s">
        <v>70</v>
      </c>
      <c r="F1344">
        <v>296</v>
      </c>
      <c r="G1344" t="s">
        <v>124</v>
      </c>
      <c r="H1344" t="s">
        <v>50</v>
      </c>
      <c r="K1344" t="s">
        <v>51</v>
      </c>
      <c r="L1344">
        <v>1</v>
      </c>
      <c r="M1344" t="s">
        <v>53</v>
      </c>
      <c r="N1344">
        <v>102</v>
      </c>
      <c r="O1344">
        <v>1</v>
      </c>
      <c r="P1344" t="s">
        <v>52</v>
      </c>
      <c r="Q1344">
        <v>0</v>
      </c>
      <c r="R1344">
        <v>0.75</v>
      </c>
      <c r="S1344">
        <v>228</v>
      </c>
      <c r="T1344" t="s">
        <v>284</v>
      </c>
      <c r="U1344">
        <v>177</v>
      </c>
      <c r="V1344" t="s">
        <v>284</v>
      </c>
      <c r="W1344">
        <v>147</v>
      </c>
      <c r="X1344" t="s">
        <v>284</v>
      </c>
      <c r="Y1344">
        <v>170</v>
      </c>
      <c r="Z1344" t="s">
        <v>284</v>
      </c>
      <c r="AA1344">
        <v>205</v>
      </c>
      <c r="AB1344" t="s">
        <v>285</v>
      </c>
      <c r="AG1344">
        <v>184</v>
      </c>
      <c r="AH1344" t="s">
        <v>54</v>
      </c>
      <c r="AI1344" t="s">
        <v>52</v>
      </c>
      <c r="AZ1344" t="s">
        <v>52</v>
      </c>
      <c r="BQ1344" t="s">
        <v>52</v>
      </c>
      <c r="BR1344">
        <v>1.85</v>
      </c>
      <c r="BS1344" t="s">
        <v>284</v>
      </c>
      <c r="BT1344">
        <v>1.61</v>
      </c>
      <c r="BU1344" t="s">
        <v>284</v>
      </c>
      <c r="BV1344">
        <v>1.06</v>
      </c>
      <c r="BW1344" t="s">
        <v>284</v>
      </c>
      <c r="BX1344">
        <v>1.06</v>
      </c>
      <c r="BY1344" t="s">
        <v>284</v>
      </c>
      <c r="BZ1344">
        <v>1.01</v>
      </c>
      <c r="CA1344" t="s">
        <v>289</v>
      </c>
      <c r="CF1344">
        <v>1.24</v>
      </c>
      <c r="CG1344" t="s">
        <v>54</v>
      </c>
      <c r="CH1344" t="s">
        <v>52</v>
      </c>
    </row>
    <row r="1345" spans="1:86" x14ac:dyDescent="0.25">
      <c r="A1345" t="s">
        <v>47</v>
      </c>
      <c r="B1345">
        <v>8</v>
      </c>
      <c r="C1345" t="s">
        <v>208</v>
      </c>
      <c r="D1345">
        <v>121</v>
      </c>
      <c r="E1345" t="s">
        <v>70</v>
      </c>
      <c r="F1345">
        <v>296</v>
      </c>
      <c r="G1345" t="s">
        <v>124</v>
      </c>
      <c r="H1345" t="s">
        <v>50</v>
      </c>
      <c r="K1345" t="s">
        <v>52</v>
      </c>
      <c r="L1345">
        <v>1</v>
      </c>
      <c r="M1345" t="s">
        <v>53</v>
      </c>
      <c r="N1345">
        <v>102</v>
      </c>
      <c r="O1345">
        <v>1</v>
      </c>
      <c r="P1345" t="s">
        <v>52</v>
      </c>
      <c r="Q1345">
        <v>0</v>
      </c>
      <c r="R1345">
        <v>0.75</v>
      </c>
      <c r="S1345">
        <v>228</v>
      </c>
      <c r="T1345" t="s">
        <v>284</v>
      </c>
      <c r="U1345">
        <v>177</v>
      </c>
      <c r="V1345" t="s">
        <v>284</v>
      </c>
      <c r="W1345">
        <v>147</v>
      </c>
      <c r="X1345" t="s">
        <v>284</v>
      </c>
      <c r="Y1345">
        <v>170</v>
      </c>
      <c r="Z1345" t="s">
        <v>284</v>
      </c>
      <c r="AA1345">
        <v>205</v>
      </c>
      <c r="AB1345" t="s">
        <v>285</v>
      </c>
      <c r="AG1345">
        <v>184</v>
      </c>
      <c r="AH1345" t="s">
        <v>54</v>
      </c>
      <c r="AI1345" t="s">
        <v>52</v>
      </c>
      <c r="AZ1345" t="s">
        <v>52</v>
      </c>
      <c r="BQ1345" t="s">
        <v>52</v>
      </c>
      <c r="BR1345">
        <v>0.65</v>
      </c>
      <c r="BS1345" t="s">
        <v>285</v>
      </c>
      <c r="BT1345">
        <v>0.51</v>
      </c>
      <c r="BU1345" t="s">
        <v>284</v>
      </c>
      <c r="BV1345">
        <v>0.11</v>
      </c>
      <c r="BW1345" t="s">
        <v>284</v>
      </c>
      <c r="BX1345">
        <v>0.25</v>
      </c>
      <c r="BY1345" t="s">
        <v>285</v>
      </c>
      <c r="BZ1345">
        <v>0.22</v>
      </c>
      <c r="CA1345" t="s">
        <v>289</v>
      </c>
      <c r="CF1345">
        <v>0.33</v>
      </c>
      <c r="CG1345" t="s">
        <v>54</v>
      </c>
      <c r="CH1345" t="s">
        <v>52</v>
      </c>
    </row>
    <row r="1346" spans="1:86" x14ac:dyDescent="0.25">
      <c r="A1346" t="s">
        <v>47</v>
      </c>
      <c r="B1346">
        <v>8</v>
      </c>
      <c r="C1346" t="s">
        <v>208</v>
      </c>
      <c r="D1346">
        <v>121</v>
      </c>
      <c r="E1346" t="s">
        <v>70</v>
      </c>
      <c r="F1346">
        <v>296</v>
      </c>
      <c r="G1346" t="s">
        <v>92</v>
      </c>
      <c r="H1346" t="s">
        <v>50</v>
      </c>
      <c r="K1346" t="s">
        <v>51</v>
      </c>
      <c r="L1346">
        <v>1</v>
      </c>
      <c r="M1346" t="s">
        <v>53</v>
      </c>
      <c r="N1346">
        <v>102</v>
      </c>
      <c r="O1346">
        <v>1</v>
      </c>
      <c r="P1346" t="s">
        <v>52</v>
      </c>
      <c r="Q1346">
        <v>0.5</v>
      </c>
      <c r="R1346">
        <v>0.75</v>
      </c>
      <c r="S1346">
        <v>228</v>
      </c>
      <c r="T1346" t="s">
        <v>284</v>
      </c>
      <c r="U1346">
        <v>189</v>
      </c>
      <c r="V1346" t="s">
        <v>285</v>
      </c>
      <c r="W1346">
        <v>199</v>
      </c>
      <c r="X1346" t="s">
        <v>285</v>
      </c>
      <c r="Y1346">
        <v>206</v>
      </c>
      <c r="Z1346" t="s">
        <v>285</v>
      </c>
      <c r="AA1346">
        <v>128</v>
      </c>
      <c r="AB1346" t="s">
        <v>285</v>
      </c>
      <c r="AG1346">
        <v>198</v>
      </c>
      <c r="AH1346" t="s">
        <v>54</v>
      </c>
      <c r="AI1346" t="s">
        <v>52</v>
      </c>
      <c r="AZ1346" t="s">
        <v>52</v>
      </c>
      <c r="BQ1346" t="s">
        <v>52</v>
      </c>
      <c r="CH1346" t="s">
        <v>52</v>
      </c>
    </row>
    <row r="1347" spans="1:86" x14ac:dyDescent="0.25">
      <c r="A1347" t="s">
        <v>47</v>
      </c>
      <c r="B1347">
        <v>8</v>
      </c>
      <c r="C1347" t="s">
        <v>208</v>
      </c>
      <c r="D1347">
        <v>121</v>
      </c>
      <c r="E1347" t="s">
        <v>70</v>
      </c>
      <c r="F1347">
        <v>296</v>
      </c>
      <c r="G1347" t="s">
        <v>92</v>
      </c>
      <c r="H1347" t="s">
        <v>50</v>
      </c>
      <c r="K1347" t="s">
        <v>52</v>
      </c>
      <c r="L1347">
        <v>1</v>
      </c>
      <c r="M1347" t="s">
        <v>53</v>
      </c>
      <c r="N1347">
        <v>102</v>
      </c>
      <c r="O1347">
        <v>1</v>
      </c>
      <c r="P1347" t="s">
        <v>52</v>
      </c>
      <c r="Q1347">
        <v>0.5</v>
      </c>
      <c r="R1347">
        <v>0.75</v>
      </c>
      <c r="S1347">
        <v>228</v>
      </c>
      <c r="T1347" t="s">
        <v>284</v>
      </c>
      <c r="U1347">
        <v>189</v>
      </c>
      <c r="V1347" t="s">
        <v>285</v>
      </c>
      <c r="W1347">
        <v>199</v>
      </c>
      <c r="X1347" t="s">
        <v>285</v>
      </c>
      <c r="Y1347">
        <v>206</v>
      </c>
      <c r="Z1347" t="s">
        <v>285</v>
      </c>
      <c r="AA1347">
        <v>128</v>
      </c>
      <c r="AB1347" t="s">
        <v>285</v>
      </c>
      <c r="AG1347">
        <v>198</v>
      </c>
      <c r="AH1347" t="s">
        <v>54</v>
      </c>
      <c r="AI1347" t="s">
        <v>52</v>
      </c>
      <c r="AZ1347" t="s">
        <v>52</v>
      </c>
      <c r="BQ1347" t="s">
        <v>52</v>
      </c>
      <c r="CH1347" t="s">
        <v>52</v>
      </c>
    </row>
    <row r="1348" spans="1:86" x14ac:dyDescent="0.25">
      <c r="A1348" t="s">
        <v>47</v>
      </c>
      <c r="B1348">
        <v>8</v>
      </c>
      <c r="C1348" t="s">
        <v>208</v>
      </c>
      <c r="D1348">
        <v>121</v>
      </c>
      <c r="E1348" t="s">
        <v>70</v>
      </c>
      <c r="F1348">
        <v>296</v>
      </c>
      <c r="G1348" t="s">
        <v>116</v>
      </c>
      <c r="H1348" t="s">
        <v>50</v>
      </c>
      <c r="K1348" t="s">
        <v>51</v>
      </c>
      <c r="L1348">
        <v>1</v>
      </c>
      <c r="M1348" t="s">
        <v>53</v>
      </c>
      <c r="N1348">
        <v>102</v>
      </c>
      <c r="O1348">
        <v>1</v>
      </c>
      <c r="P1348" t="s">
        <v>52</v>
      </c>
      <c r="Q1348">
        <v>0.5</v>
      </c>
      <c r="R1348">
        <v>0.75</v>
      </c>
      <c r="S1348">
        <v>228</v>
      </c>
      <c r="T1348" t="s">
        <v>284</v>
      </c>
      <c r="U1348">
        <v>190</v>
      </c>
      <c r="V1348" t="s">
        <v>285</v>
      </c>
      <c r="W1348">
        <v>236</v>
      </c>
      <c r="X1348" t="s">
        <v>284</v>
      </c>
      <c r="Y1348">
        <v>244</v>
      </c>
      <c r="Z1348" t="s">
        <v>284</v>
      </c>
      <c r="AA1348">
        <v>215</v>
      </c>
      <c r="AB1348" t="s">
        <v>285</v>
      </c>
      <c r="AG1348">
        <v>226.33330000000001</v>
      </c>
      <c r="AH1348" t="s">
        <v>54</v>
      </c>
      <c r="AI1348" t="s">
        <v>52</v>
      </c>
      <c r="AZ1348" t="s">
        <v>52</v>
      </c>
      <c r="BQ1348" t="s">
        <v>52</v>
      </c>
      <c r="CH1348" t="s">
        <v>52</v>
      </c>
    </row>
    <row r="1349" spans="1:86" x14ac:dyDescent="0.25">
      <c r="A1349" t="s">
        <v>47</v>
      </c>
      <c r="B1349">
        <v>8</v>
      </c>
      <c r="C1349" t="s">
        <v>208</v>
      </c>
      <c r="D1349">
        <v>121</v>
      </c>
      <c r="E1349" t="s">
        <v>70</v>
      </c>
      <c r="F1349">
        <v>296</v>
      </c>
      <c r="G1349" t="s">
        <v>116</v>
      </c>
      <c r="H1349" t="s">
        <v>50</v>
      </c>
      <c r="K1349" t="s">
        <v>52</v>
      </c>
      <c r="L1349">
        <v>1</v>
      </c>
      <c r="M1349" t="s">
        <v>53</v>
      </c>
      <c r="N1349">
        <v>102</v>
      </c>
      <c r="O1349">
        <v>1</v>
      </c>
      <c r="P1349" t="s">
        <v>52</v>
      </c>
      <c r="Q1349">
        <v>0.5</v>
      </c>
      <c r="R1349">
        <v>0.75</v>
      </c>
      <c r="S1349">
        <v>228</v>
      </c>
      <c r="T1349" t="s">
        <v>284</v>
      </c>
      <c r="U1349">
        <v>190</v>
      </c>
      <c r="V1349" t="s">
        <v>285</v>
      </c>
      <c r="W1349">
        <v>236</v>
      </c>
      <c r="X1349" t="s">
        <v>284</v>
      </c>
      <c r="Y1349">
        <v>244</v>
      </c>
      <c r="Z1349" t="s">
        <v>284</v>
      </c>
      <c r="AA1349">
        <v>215</v>
      </c>
      <c r="AB1349" t="s">
        <v>285</v>
      </c>
      <c r="AG1349">
        <v>226.33330000000001</v>
      </c>
      <c r="AH1349" t="s">
        <v>54</v>
      </c>
      <c r="AI1349" t="s">
        <v>52</v>
      </c>
      <c r="AZ1349" t="s">
        <v>52</v>
      </c>
      <c r="BQ1349" t="s">
        <v>52</v>
      </c>
      <c r="CH1349" t="s">
        <v>52</v>
      </c>
    </row>
    <row r="1350" spans="1:86" x14ac:dyDescent="0.25">
      <c r="A1350" t="s">
        <v>47</v>
      </c>
      <c r="B1350">
        <v>8</v>
      </c>
      <c r="C1350" t="s">
        <v>208</v>
      </c>
      <c r="D1350">
        <v>121</v>
      </c>
      <c r="E1350" t="s">
        <v>75</v>
      </c>
      <c r="F1350">
        <v>16</v>
      </c>
      <c r="G1350" t="s">
        <v>76</v>
      </c>
      <c r="H1350" t="s">
        <v>50</v>
      </c>
      <c r="K1350" t="s">
        <v>51</v>
      </c>
      <c r="L1350">
        <v>1</v>
      </c>
      <c r="M1350" t="s">
        <v>53</v>
      </c>
      <c r="N1350">
        <v>16</v>
      </c>
      <c r="O1350">
        <v>2</v>
      </c>
      <c r="P1350" t="s">
        <v>52</v>
      </c>
      <c r="Q1350">
        <v>0.5</v>
      </c>
      <c r="R1350">
        <v>0.75</v>
      </c>
      <c r="S1350">
        <v>83.35</v>
      </c>
      <c r="T1350" t="s">
        <v>285</v>
      </c>
      <c r="U1350">
        <v>96.14</v>
      </c>
      <c r="V1350" t="s">
        <v>284</v>
      </c>
      <c r="W1350">
        <v>103.37</v>
      </c>
      <c r="X1350" t="s">
        <v>284</v>
      </c>
      <c r="Y1350">
        <v>106.14</v>
      </c>
      <c r="Z1350" t="s">
        <v>284</v>
      </c>
      <c r="AA1350">
        <v>128</v>
      </c>
      <c r="AB1350" t="s">
        <v>285</v>
      </c>
      <c r="AG1350">
        <v>101.88330000000001</v>
      </c>
      <c r="AH1350" t="s">
        <v>54</v>
      </c>
      <c r="AI1350" t="s">
        <v>52</v>
      </c>
      <c r="AX1350">
        <v>146.69999999999999</v>
      </c>
      <c r="AY1350" t="s">
        <v>285</v>
      </c>
      <c r="AZ1350" t="s">
        <v>287</v>
      </c>
      <c r="BQ1350" t="s">
        <v>52</v>
      </c>
      <c r="BR1350">
        <v>1.85</v>
      </c>
      <c r="BS1350" t="s">
        <v>284</v>
      </c>
      <c r="BT1350">
        <v>1.61</v>
      </c>
      <c r="BU1350" t="s">
        <v>284</v>
      </c>
      <c r="BV1350">
        <v>1.35</v>
      </c>
      <c r="BW1350" t="s">
        <v>284</v>
      </c>
      <c r="BX1350">
        <v>2.2000000000000002</v>
      </c>
      <c r="BY1350" t="s">
        <v>284</v>
      </c>
      <c r="BZ1350">
        <v>2.57</v>
      </c>
      <c r="CA1350" t="s">
        <v>289</v>
      </c>
      <c r="CF1350">
        <v>1.89</v>
      </c>
      <c r="CG1350" t="s">
        <v>54</v>
      </c>
      <c r="CH1350" t="s">
        <v>52</v>
      </c>
    </row>
    <row r="1351" spans="1:86" x14ac:dyDescent="0.25">
      <c r="A1351" t="s">
        <v>47</v>
      </c>
      <c r="B1351">
        <v>8</v>
      </c>
      <c r="C1351" t="s">
        <v>208</v>
      </c>
      <c r="D1351">
        <v>121</v>
      </c>
      <c r="E1351" t="s">
        <v>75</v>
      </c>
      <c r="F1351">
        <v>16</v>
      </c>
      <c r="G1351" t="s">
        <v>76</v>
      </c>
      <c r="H1351" t="s">
        <v>50</v>
      </c>
      <c r="K1351" t="s">
        <v>52</v>
      </c>
      <c r="L1351">
        <v>1</v>
      </c>
      <c r="M1351" t="s">
        <v>53</v>
      </c>
      <c r="N1351">
        <v>16</v>
      </c>
      <c r="O1351">
        <v>2</v>
      </c>
      <c r="P1351" t="s">
        <v>52</v>
      </c>
      <c r="Q1351">
        <v>0.5</v>
      </c>
      <c r="R1351">
        <v>0.75</v>
      </c>
      <c r="S1351">
        <v>83.35</v>
      </c>
      <c r="T1351" t="s">
        <v>285</v>
      </c>
      <c r="U1351">
        <v>96.14</v>
      </c>
      <c r="V1351" t="s">
        <v>284</v>
      </c>
      <c r="W1351">
        <v>103.37</v>
      </c>
      <c r="X1351" t="s">
        <v>284</v>
      </c>
      <c r="Y1351">
        <v>106.14</v>
      </c>
      <c r="Z1351" t="s">
        <v>284</v>
      </c>
      <c r="AA1351">
        <v>128</v>
      </c>
      <c r="AB1351" t="s">
        <v>285</v>
      </c>
      <c r="AG1351">
        <v>101.88330000000001</v>
      </c>
      <c r="AH1351" t="s">
        <v>54</v>
      </c>
      <c r="AI1351" t="s">
        <v>52</v>
      </c>
      <c r="AX1351">
        <v>146.69999999999999</v>
      </c>
      <c r="AY1351" t="s">
        <v>285</v>
      </c>
      <c r="AZ1351" t="s">
        <v>287</v>
      </c>
      <c r="BQ1351" t="s">
        <v>52</v>
      </c>
      <c r="BR1351">
        <v>0.65</v>
      </c>
      <c r="BS1351" t="s">
        <v>284</v>
      </c>
      <c r="BT1351">
        <v>0.84</v>
      </c>
      <c r="BU1351" t="s">
        <v>284</v>
      </c>
      <c r="BV1351">
        <v>1.51</v>
      </c>
      <c r="BW1351" t="s">
        <v>284</v>
      </c>
      <c r="BX1351">
        <v>1.56</v>
      </c>
      <c r="BY1351" t="s">
        <v>284</v>
      </c>
      <c r="BZ1351">
        <v>0.3</v>
      </c>
      <c r="CA1351" t="s">
        <v>288</v>
      </c>
      <c r="CF1351">
        <v>1</v>
      </c>
      <c r="CG1351" t="s">
        <v>54</v>
      </c>
      <c r="CH1351" t="s">
        <v>52</v>
      </c>
    </row>
    <row r="1352" spans="1:86" x14ac:dyDescent="0.25">
      <c r="A1352" t="s">
        <v>47</v>
      </c>
      <c r="B1352">
        <v>8</v>
      </c>
      <c r="C1352" t="s">
        <v>208</v>
      </c>
      <c r="D1352">
        <v>121</v>
      </c>
      <c r="E1352" t="s">
        <v>93</v>
      </c>
      <c r="F1352">
        <v>94</v>
      </c>
      <c r="H1352" t="s">
        <v>50</v>
      </c>
      <c r="K1352" t="s">
        <v>51</v>
      </c>
      <c r="L1352">
        <v>1</v>
      </c>
      <c r="M1352" t="s">
        <v>53</v>
      </c>
      <c r="N1352">
        <v>94</v>
      </c>
      <c r="O1352">
        <v>2</v>
      </c>
      <c r="P1352" t="s">
        <v>52</v>
      </c>
      <c r="Q1352">
        <v>0.77</v>
      </c>
      <c r="R1352">
        <v>0.93</v>
      </c>
      <c r="S1352">
        <v>205</v>
      </c>
      <c r="T1352" t="s">
        <v>284</v>
      </c>
      <c r="U1352">
        <v>175</v>
      </c>
      <c r="V1352" t="s">
        <v>284</v>
      </c>
      <c r="W1352">
        <v>188</v>
      </c>
      <c r="X1352" t="s">
        <v>284</v>
      </c>
      <c r="Y1352">
        <v>202.32</v>
      </c>
      <c r="Z1352" t="s">
        <v>284</v>
      </c>
      <c r="AA1352">
        <v>209.16</v>
      </c>
      <c r="AB1352" t="s">
        <v>284</v>
      </c>
      <c r="AG1352">
        <v>198.44</v>
      </c>
      <c r="AH1352" t="s">
        <v>54</v>
      </c>
      <c r="AI1352" t="s">
        <v>52</v>
      </c>
      <c r="AZ1352" t="s">
        <v>52</v>
      </c>
      <c r="BQ1352" t="s">
        <v>52</v>
      </c>
      <c r="BR1352">
        <v>1.71</v>
      </c>
      <c r="BS1352" t="s">
        <v>285</v>
      </c>
      <c r="BT1352">
        <v>1.04</v>
      </c>
      <c r="BU1352" t="s">
        <v>284</v>
      </c>
      <c r="BV1352">
        <v>1.75</v>
      </c>
      <c r="BW1352" t="s">
        <v>284</v>
      </c>
      <c r="BX1352">
        <v>1.66</v>
      </c>
      <c r="BY1352" t="s">
        <v>284</v>
      </c>
      <c r="BZ1352">
        <v>1.43</v>
      </c>
      <c r="CA1352" t="s">
        <v>284</v>
      </c>
      <c r="CF1352">
        <v>1.6</v>
      </c>
      <c r="CG1352" t="s">
        <v>54</v>
      </c>
      <c r="CH1352" t="s">
        <v>52</v>
      </c>
    </row>
    <row r="1353" spans="1:86" x14ac:dyDescent="0.25">
      <c r="A1353" t="s">
        <v>47</v>
      </c>
      <c r="B1353">
        <v>8</v>
      </c>
      <c r="C1353" t="s">
        <v>208</v>
      </c>
      <c r="D1353">
        <v>121</v>
      </c>
      <c r="E1353" t="s">
        <v>93</v>
      </c>
      <c r="F1353">
        <v>94</v>
      </c>
      <c r="H1353" t="s">
        <v>50</v>
      </c>
      <c r="K1353" t="s">
        <v>52</v>
      </c>
      <c r="L1353">
        <v>1</v>
      </c>
      <c r="M1353" t="s">
        <v>53</v>
      </c>
      <c r="N1353">
        <v>94</v>
      </c>
      <c r="O1353">
        <v>2</v>
      </c>
      <c r="P1353" t="s">
        <v>52</v>
      </c>
      <c r="Q1353">
        <v>0.77</v>
      </c>
      <c r="R1353">
        <v>0.93</v>
      </c>
      <c r="S1353">
        <v>205</v>
      </c>
      <c r="T1353" t="s">
        <v>284</v>
      </c>
      <c r="U1353">
        <v>175</v>
      </c>
      <c r="V1353" t="s">
        <v>284</v>
      </c>
      <c r="W1353">
        <v>188</v>
      </c>
      <c r="X1353" t="s">
        <v>284</v>
      </c>
      <c r="Y1353">
        <v>202.32</v>
      </c>
      <c r="Z1353" t="s">
        <v>284</v>
      </c>
      <c r="AA1353">
        <v>209.16</v>
      </c>
      <c r="AB1353" t="s">
        <v>284</v>
      </c>
      <c r="AG1353">
        <v>198.44</v>
      </c>
      <c r="AH1353" t="s">
        <v>54</v>
      </c>
      <c r="AI1353" t="s">
        <v>52</v>
      </c>
      <c r="AZ1353" t="s">
        <v>52</v>
      </c>
      <c r="BQ1353" t="s">
        <v>52</v>
      </c>
      <c r="BR1353">
        <v>0.99</v>
      </c>
      <c r="BS1353" t="s">
        <v>285</v>
      </c>
      <c r="BT1353">
        <v>0.46</v>
      </c>
      <c r="BU1353" t="s">
        <v>284</v>
      </c>
      <c r="BV1353">
        <v>0.79</v>
      </c>
      <c r="BW1353" t="s">
        <v>284</v>
      </c>
      <c r="BX1353">
        <v>0.76</v>
      </c>
      <c r="BY1353" t="s">
        <v>284</v>
      </c>
      <c r="BZ1353">
        <v>0.86</v>
      </c>
      <c r="CA1353" t="s">
        <v>284</v>
      </c>
      <c r="CF1353">
        <v>0.8</v>
      </c>
      <c r="CG1353" t="s">
        <v>54</v>
      </c>
      <c r="CH1353" t="s">
        <v>52</v>
      </c>
    </row>
    <row r="1354" spans="1:86" x14ac:dyDescent="0.25">
      <c r="A1354" t="s">
        <v>47</v>
      </c>
      <c r="B1354">
        <v>8</v>
      </c>
      <c r="C1354" t="s">
        <v>208</v>
      </c>
      <c r="D1354">
        <v>121</v>
      </c>
      <c r="E1354" t="s">
        <v>79</v>
      </c>
      <c r="F1354">
        <v>50</v>
      </c>
      <c r="G1354" t="s">
        <v>80</v>
      </c>
      <c r="H1354" t="s">
        <v>50</v>
      </c>
      <c r="K1354" t="s">
        <v>51</v>
      </c>
      <c r="L1354">
        <v>1</v>
      </c>
      <c r="M1354" t="s">
        <v>53</v>
      </c>
      <c r="N1354">
        <v>50</v>
      </c>
      <c r="O1354">
        <v>1</v>
      </c>
      <c r="P1354" t="s">
        <v>52</v>
      </c>
      <c r="Q1354">
        <v>0.5</v>
      </c>
      <c r="R1354">
        <v>0.75</v>
      </c>
      <c r="S1354">
        <v>85</v>
      </c>
      <c r="T1354" t="s">
        <v>285</v>
      </c>
      <c r="U1354">
        <v>93</v>
      </c>
      <c r="V1354" t="s">
        <v>284</v>
      </c>
      <c r="W1354">
        <v>89.7</v>
      </c>
      <c r="X1354" t="s">
        <v>284</v>
      </c>
      <c r="Y1354">
        <v>92.72</v>
      </c>
      <c r="Z1354" t="s">
        <v>284</v>
      </c>
      <c r="AA1354">
        <v>109</v>
      </c>
      <c r="AB1354" t="s">
        <v>285</v>
      </c>
      <c r="AG1354">
        <v>91.806700000000006</v>
      </c>
      <c r="AH1354" t="s">
        <v>54</v>
      </c>
      <c r="AI1354" t="s">
        <v>52</v>
      </c>
      <c r="AZ1354" t="s">
        <v>52</v>
      </c>
      <c r="BQ1354" t="s">
        <v>52</v>
      </c>
      <c r="BR1354">
        <v>4.4800000000000004</v>
      </c>
      <c r="BS1354" t="s">
        <v>289</v>
      </c>
      <c r="BT1354">
        <v>1.58</v>
      </c>
      <c r="BU1354" t="s">
        <v>285</v>
      </c>
      <c r="BV1354">
        <v>2.75</v>
      </c>
      <c r="BW1354" t="s">
        <v>284</v>
      </c>
      <c r="BX1354">
        <v>2.61</v>
      </c>
      <c r="BY1354" t="s">
        <v>285</v>
      </c>
      <c r="BZ1354">
        <v>3.42</v>
      </c>
      <c r="CA1354" t="s">
        <v>289</v>
      </c>
      <c r="CF1354">
        <v>2.93</v>
      </c>
      <c r="CG1354" t="s">
        <v>54</v>
      </c>
      <c r="CH1354" t="s">
        <v>52</v>
      </c>
    </row>
    <row r="1355" spans="1:86" x14ac:dyDescent="0.25">
      <c r="A1355" t="s">
        <v>47</v>
      </c>
      <c r="B1355">
        <v>8</v>
      </c>
      <c r="C1355" t="s">
        <v>208</v>
      </c>
      <c r="D1355">
        <v>121</v>
      </c>
      <c r="E1355" t="s">
        <v>79</v>
      </c>
      <c r="F1355">
        <v>50</v>
      </c>
      <c r="G1355" t="s">
        <v>80</v>
      </c>
      <c r="H1355" t="s">
        <v>50</v>
      </c>
      <c r="K1355" t="s">
        <v>52</v>
      </c>
      <c r="L1355">
        <v>1</v>
      </c>
      <c r="M1355" t="s">
        <v>53</v>
      </c>
      <c r="N1355">
        <v>50</v>
      </c>
      <c r="O1355">
        <v>1</v>
      </c>
      <c r="P1355" t="s">
        <v>52</v>
      </c>
      <c r="Q1355">
        <v>0.5</v>
      </c>
      <c r="R1355">
        <v>0.75</v>
      </c>
      <c r="S1355">
        <v>85</v>
      </c>
      <c r="T1355" t="s">
        <v>285</v>
      </c>
      <c r="U1355">
        <v>93</v>
      </c>
      <c r="V1355" t="s">
        <v>284</v>
      </c>
      <c r="W1355">
        <v>89.7</v>
      </c>
      <c r="X1355" t="s">
        <v>284</v>
      </c>
      <c r="Y1355">
        <v>92.72</v>
      </c>
      <c r="Z1355" t="s">
        <v>284</v>
      </c>
      <c r="AA1355">
        <v>109</v>
      </c>
      <c r="AB1355" t="s">
        <v>285</v>
      </c>
      <c r="AG1355">
        <v>91.806700000000006</v>
      </c>
      <c r="AH1355" t="s">
        <v>54</v>
      </c>
      <c r="AI1355" t="s">
        <v>52</v>
      </c>
      <c r="AZ1355" t="s">
        <v>52</v>
      </c>
      <c r="BQ1355" t="s">
        <v>52</v>
      </c>
      <c r="BR1355">
        <v>0.75</v>
      </c>
      <c r="BS1355" t="s">
        <v>289</v>
      </c>
      <c r="BT1355">
        <v>1.0900000000000001</v>
      </c>
      <c r="BU1355" t="s">
        <v>285</v>
      </c>
      <c r="BV1355">
        <v>1.17</v>
      </c>
      <c r="BW1355" t="s">
        <v>284</v>
      </c>
      <c r="BX1355">
        <v>1.27</v>
      </c>
      <c r="BY1355" t="s">
        <v>284</v>
      </c>
      <c r="BZ1355">
        <v>0.7</v>
      </c>
      <c r="CA1355" t="s">
        <v>289</v>
      </c>
      <c r="CF1355">
        <v>1</v>
      </c>
      <c r="CG1355" t="s">
        <v>54</v>
      </c>
      <c r="CH1355" t="s">
        <v>52</v>
      </c>
    </row>
    <row r="1356" spans="1:86" x14ac:dyDescent="0.25">
      <c r="A1356" t="s">
        <v>47</v>
      </c>
      <c r="B1356">
        <v>8</v>
      </c>
      <c r="C1356" t="s">
        <v>208</v>
      </c>
      <c r="D1356">
        <v>121</v>
      </c>
      <c r="E1356" t="s">
        <v>79</v>
      </c>
      <c r="F1356">
        <v>50</v>
      </c>
      <c r="G1356" t="s">
        <v>65</v>
      </c>
      <c r="H1356" t="s">
        <v>50</v>
      </c>
      <c r="K1356" t="s">
        <v>51</v>
      </c>
      <c r="L1356">
        <v>1</v>
      </c>
      <c r="M1356" t="s">
        <v>53</v>
      </c>
      <c r="N1356">
        <v>50</v>
      </c>
      <c r="O1356">
        <v>1</v>
      </c>
      <c r="P1356" t="s">
        <v>52</v>
      </c>
      <c r="Q1356">
        <v>0.5</v>
      </c>
      <c r="R1356">
        <v>0.75</v>
      </c>
      <c r="S1356">
        <v>85</v>
      </c>
      <c r="T1356" t="s">
        <v>285</v>
      </c>
      <c r="U1356">
        <v>93</v>
      </c>
      <c r="V1356" t="s">
        <v>284</v>
      </c>
      <c r="W1356">
        <v>89.7</v>
      </c>
      <c r="X1356" t="s">
        <v>284</v>
      </c>
      <c r="Y1356">
        <v>92.72</v>
      </c>
      <c r="Z1356" t="s">
        <v>284</v>
      </c>
      <c r="AA1356">
        <v>109</v>
      </c>
      <c r="AB1356" t="s">
        <v>285</v>
      </c>
      <c r="AG1356">
        <v>91.806700000000006</v>
      </c>
      <c r="AH1356" t="s">
        <v>54</v>
      </c>
      <c r="AI1356" t="s">
        <v>52</v>
      </c>
      <c r="AZ1356" t="s">
        <v>52</v>
      </c>
      <c r="BQ1356" t="s">
        <v>52</v>
      </c>
      <c r="BR1356">
        <v>3.57</v>
      </c>
      <c r="BS1356" t="s">
        <v>289</v>
      </c>
      <c r="BT1356">
        <v>1.41</v>
      </c>
      <c r="BU1356" t="s">
        <v>285</v>
      </c>
      <c r="BV1356">
        <v>2.31</v>
      </c>
      <c r="BW1356" t="s">
        <v>284</v>
      </c>
      <c r="BX1356">
        <v>2.19</v>
      </c>
      <c r="BY1356" t="s">
        <v>284</v>
      </c>
      <c r="BZ1356">
        <v>2.87</v>
      </c>
      <c r="CA1356" t="s">
        <v>289</v>
      </c>
      <c r="CF1356">
        <v>2.46</v>
      </c>
      <c r="CG1356" t="s">
        <v>54</v>
      </c>
      <c r="CH1356" t="s">
        <v>52</v>
      </c>
    </row>
    <row r="1357" spans="1:86" x14ac:dyDescent="0.25">
      <c r="A1357" t="s">
        <v>47</v>
      </c>
      <c r="B1357">
        <v>8</v>
      </c>
      <c r="C1357" t="s">
        <v>208</v>
      </c>
      <c r="D1357">
        <v>121</v>
      </c>
      <c r="E1357" t="s">
        <v>79</v>
      </c>
      <c r="F1357">
        <v>50</v>
      </c>
      <c r="G1357" t="s">
        <v>65</v>
      </c>
      <c r="H1357" t="s">
        <v>50</v>
      </c>
      <c r="K1357" t="s">
        <v>52</v>
      </c>
      <c r="L1357">
        <v>1</v>
      </c>
      <c r="M1357" t="s">
        <v>53</v>
      </c>
      <c r="N1357">
        <v>50</v>
      </c>
      <c r="O1357">
        <v>1</v>
      </c>
      <c r="P1357" t="s">
        <v>52</v>
      </c>
      <c r="Q1357">
        <v>0.5</v>
      </c>
      <c r="R1357">
        <v>0.75</v>
      </c>
      <c r="S1357">
        <v>85</v>
      </c>
      <c r="T1357" t="s">
        <v>285</v>
      </c>
      <c r="U1357">
        <v>93</v>
      </c>
      <c r="V1357" t="s">
        <v>284</v>
      </c>
      <c r="W1357">
        <v>89.7</v>
      </c>
      <c r="X1357" t="s">
        <v>284</v>
      </c>
      <c r="Y1357">
        <v>92.72</v>
      </c>
      <c r="Z1357" t="s">
        <v>284</v>
      </c>
      <c r="AA1357">
        <v>109</v>
      </c>
      <c r="AB1357" t="s">
        <v>285</v>
      </c>
      <c r="AG1357">
        <v>91.806700000000006</v>
      </c>
      <c r="AH1357" t="s">
        <v>54</v>
      </c>
      <c r="AI1357" t="s">
        <v>52</v>
      </c>
      <c r="AZ1357" t="s">
        <v>52</v>
      </c>
      <c r="BQ1357" t="s">
        <v>52</v>
      </c>
      <c r="BR1357">
        <v>0.43</v>
      </c>
      <c r="BS1357" t="s">
        <v>289</v>
      </c>
      <c r="BT1357">
        <v>0.8</v>
      </c>
      <c r="BU1357" t="s">
        <v>285</v>
      </c>
      <c r="BV1357">
        <v>0.86</v>
      </c>
      <c r="BW1357" t="s">
        <v>284</v>
      </c>
      <c r="BX1357">
        <v>0.99</v>
      </c>
      <c r="BY1357" t="s">
        <v>284</v>
      </c>
      <c r="BZ1357">
        <v>0.54</v>
      </c>
      <c r="CA1357" t="s">
        <v>289</v>
      </c>
      <c r="CF1357">
        <v>0.73</v>
      </c>
      <c r="CG1357" t="s">
        <v>54</v>
      </c>
      <c r="CH1357" t="s">
        <v>52</v>
      </c>
    </row>
    <row r="1358" spans="1:86" x14ac:dyDescent="0.25">
      <c r="A1358" t="s">
        <v>47</v>
      </c>
      <c r="B1358">
        <v>8</v>
      </c>
      <c r="C1358" t="s">
        <v>208</v>
      </c>
      <c r="D1358">
        <v>121</v>
      </c>
      <c r="E1358" t="s">
        <v>79</v>
      </c>
      <c r="F1358">
        <v>50</v>
      </c>
      <c r="G1358" t="s">
        <v>81</v>
      </c>
      <c r="H1358" t="s">
        <v>50</v>
      </c>
      <c r="K1358" t="s">
        <v>51</v>
      </c>
      <c r="L1358">
        <v>1</v>
      </c>
      <c r="M1358" t="s">
        <v>53</v>
      </c>
      <c r="N1358">
        <v>50</v>
      </c>
      <c r="O1358">
        <v>1</v>
      </c>
      <c r="P1358" t="s">
        <v>52</v>
      </c>
      <c r="Q1358">
        <v>0.5</v>
      </c>
      <c r="R1358">
        <v>0.75</v>
      </c>
      <c r="S1358">
        <v>85</v>
      </c>
      <c r="T1358" t="s">
        <v>285</v>
      </c>
      <c r="U1358">
        <v>93</v>
      </c>
      <c r="V1358" t="s">
        <v>284</v>
      </c>
      <c r="W1358">
        <v>89.7</v>
      </c>
      <c r="X1358" t="s">
        <v>284</v>
      </c>
      <c r="Y1358">
        <v>92.72</v>
      </c>
      <c r="Z1358" t="s">
        <v>284</v>
      </c>
      <c r="AA1358">
        <v>109</v>
      </c>
      <c r="AB1358" t="s">
        <v>285</v>
      </c>
      <c r="AG1358">
        <v>91.806700000000006</v>
      </c>
      <c r="AH1358" t="s">
        <v>54</v>
      </c>
      <c r="AI1358" t="s">
        <v>52</v>
      </c>
      <c r="AZ1358" t="s">
        <v>52</v>
      </c>
      <c r="BQ1358" t="s">
        <v>52</v>
      </c>
      <c r="BR1358">
        <v>2.74</v>
      </c>
      <c r="BS1358" t="s">
        <v>289</v>
      </c>
      <c r="BT1358">
        <v>1.34</v>
      </c>
      <c r="BU1358" t="s">
        <v>285</v>
      </c>
      <c r="BV1358">
        <v>2.11</v>
      </c>
      <c r="BW1358" t="s">
        <v>284</v>
      </c>
      <c r="BX1358">
        <v>2</v>
      </c>
      <c r="BY1358" t="s">
        <v>284</v>
      </c>
      <c r="BZ1358">
        <v>2.62</v>
      </c>
      <c r="CA1358" t="s">
        <v>289</v>
      </c>
      <c r="CF1358">
        <v>2.2400000000000002</v>
      </c>
      <c r="CG1358" t="s">
        <v>54</v>
      </c>
      <c r="CH1358" t="s">
        <v>52</v>
      </c>
    </row>
    <row r="1359" spans="1:86" x14ac:dyDescent="0.25">
      <c r="A1359" t="s">
        <v>47</v>
      </c>
      <c r="B1359">
        <v>8</v>
      </c>
      <c r="C1359" t="s">
        <v>208</v>
      </c>
      <c r="D1359">
        <v>121</v>
      </c>
      <c r="E1359" t="s">
        <v>79</v>
      </c>
      <c r="F1359">
        <v>50</v>
      </c>
      <c r="G1359" t="s">
        <v>81</v>
      </c>
      <c r="H1359" t="s">
        <v>50</v>
      </c>
      <c r="K1359" t="s">
        <v>52</v>
      </c>
      <c r="L1359">
        <v>1</v>
      </c>
      <c r="M1359" t="s">
        <v>53</v>
      </c>
      <c r="N1359">
        <v>50</v>
      </c>
      <c r="O1359">
        <v>1</v>
      </c>
      <c r="P1359" t="s">
        <v>52</v>
      </c>
      <c r="Q1359">
        <v>0.5</v>
      </c>
      <c r="R1359">
        <v>0.75</v>
      </c>
      <c r="S1359">
        <v>85</v>
      </c>
      <c r="T1359" t="s">
        <v>285</v>
      </c>
      <c r="U1359">
        <v>93</v>
      </c>
      <c r="V1359" t="s">
        <v>284</v>
      </c>
      <c r="W1359">
        <v>89.7</v>
      </c>
      <c r="X1359" t="s">
        <v>284</v>
      </c>
      <c r="Y1359">
        <v>92.72</v>
      </c>
      <c r="Z1359" t="s">
        <v>284</v>
      </c>
      <c r="AA1359">
        <v>109</v>
      </c>
      <c r="AB1359" t="s">
        <v>285</v>
      </c>
      <c r="AG1359">
        <v>91.806700000000006</v>
      </c>
      <c r="AH1359" t="s">
        <v>54</v>
      </c>
      <c r="AI1359" t="s">
        <v>52</v>
      </c>
      <c r="AZ1359" t="s">
        <v>52</v>
      </c>
      <c r="BQ1359" t="s">
        <v>52</v>
      </c>
      <c r="BR1359">
        <v>2.74</v>
      </c>
      <c r="BS1359" t="s">
        <v>289</v>
      </c>
      <c r="BT1359">
        <v>0.93</v>
      </c>
      <c r="BU1359" t="s">
        <v>285</v>
      </c>
      <c r="BV1359">
        <v>0.81</v>
      </c>
      <c r="BW1359" t="s">
        <v>285</v>
      </c>
      <c r="BX1359">
        <v>1.1299999999999999</v>
      </c>
      <c r="BY1359" t="s">
        <v>285</v>
      </c>
      <c r="BZ1359">
        <v>0.62</v>
      </c>
      <c r="CA1359" t="s">
        <v>289</v>
      </c>
      <c r="CF1359">
        <v>0.96</v>
      </c>
      <c r="CG1359" t="s">
        <v>54</v>
      </c>
      <c r="CH1359" t="s">
        <v>52</v>
      </c>
    </row>
    <row r="1360" spans="1:86" x14ac:dyDescent="0.25">
      <c r="A1360" t="s">
        <v>47</v>
      </c>
      <c r="B1360">
        <v>8</v>
      </c>
      <c r="C1360" t="s">
        <v>208</v>
      </c>
      <c r="D1360">
        <v>121</v>
      </c>
      <c r="E1360" t="s">
        <v>83</v>
      </c>
      <c r="F1360">
        <v>158</v>
      </c>
      <c r="H1360" t="s">
        <v>50</v>
      </c>
      <c r="K1360" t="s">
        <v>51</v>
      </c>
      <c r="L1360">
        <v>1</v>
      </c>
      <c r="M1360" t="s">
        <v>53</v>
      </c>
      <c r="N1360">
        <v>158</v>
      </c>
      <c r="O1360">
        <v>2</v>
      </c>
      <c r="P1360" t="s">
        <v>52</v>
      </c>
      <c r="Q1360">
        <v>0.77</v>
      </c>
      <c r="R1360">
        <v>0.93</v>
      </c>
      <c r="S1360">
        <v>228</v>
      </c>
      <c r="T1360" t="s">
        <v>284</v>
      </c>
      <c r="U1360">
        <v>221</v>
      </c>
      <c r="V1360" t="s">
        <v>284</v>
      </c>
      <c r="W1360">
        <v>236</v>
      </c>
      <c r="X1360" t="s">
        <v>284</v>
      </c>
      <c r="Y1360">
        <v>244</v>
      </c>
      <c r="Z1360" t="s">
        <v>284</v>
      </c>
      <c r="AA1360">
        <v>252</v>
      </c>
      <c r="AB1360" t="s">
        <v>284</v>
      </c>
      <c r="AG1360">
        <v>236</v>
      </c>
      <c r="AH1360" t="s">
        <v>54</v>
      </c>
      <c r="AI1360" t="s">
        <v>52</v>
      </c>
      <c r="AX1360">
        <v>339</v>
      </c>
      <c r="AY1360" t="s">
        <v>285</v>
      </c>
      <c r="AZ1360" t="s">
        <v>287</v>
      </c>
      <c r="BQ1360" t="s">
        <v>52</v>
      </c>
      <c r="BR1360">
        <v>1.85</v>
      </c>
      <c r="BS1360" t="s">
        <v>284</v>
      </c>
      <c r="BT1360">
        <v>1.35</v>
      </c>
      <c r="BU1360" t="s">
        <v>284</v>
      </c>
      <c r="BV1360">
        <v>1.03</v>
      </c>
      <c r="BW1360" t="s">
        <v>288</v>
      </c>
      <c r="BX1360">
        <v>1.34</v>
      </c>
      <c r="BY1360" t="s">
        <v>289</v>
      </c>
      <c r="BZ1360">
        <v>1.22</v>
      </c>
      <c r="CA1360" t="s">
        <v>289</v>
      </c>
      <c r="CF1360">
        <v>1.3</v>
      </c>
      <c r="CG1360" t="s">
        <v>54</v>
      </c>
      <c r="CH1360" t="s">
        <v>52</v>
      </c>
    </row>
    <row r="1361" spans="1:86" x14ac:dyDescent="0.25">
      <c r="A1361" t="s">
        <v>47</v>
      </c>
      <c r="B1361">
        <v>8</v>
      </c>
      <c r="C1361" t="s">
        <v>208</v>
      </c>
      <c r="D1361">
        <v>121</v>
      </c>
      <c r="E1361" t="s">
        <v>83</v>
      </c>
      <c r="F1361">
        <v>158</v>
      </c>
      <c r="H1361" t="s">
        <v>50</v>
      </c>
      <c r="K1361" t="s">
        <v>52</v>
      </c>
      <c r="L1361">
        <v>1</v>
      </c>
      <c r="M1361" t="s">
        <v>53</v>
      </c>
      <c r="N1361">
        <v>158</v>
      </c>
      <c r="O1361">
        <v>2</v>
      </c>
      <c r="P1361" t="s">
        <v>52</v>
      </c>
      <c r="Q1361">
        <v>0.77</v>
      </c>
      <c r="R1361">
        <v>0.93</v>
      </c>
      <c r="S1361">
        <v>228</v>
      </c>
      <c r="T1361" t="s">
        <v>284</v>
      </c>
      <c r="U1361">
        <v>221</v>
      </c>
      <c r="V1361" t="s">
        <v>284</v>
      </c>
      <c r="W1361">
        <v>236</v>
      </c>
      <c r="X1361" t="s">
        <v>284</v>
      </c>
      <c r="Y1361">
        <v>244</v>
      </c>
      <c r="Z1361" t="s">
        <v>284</v>
      </c>
      <c r="AA1361">
        <v>252</v>
      </c>
      <c r="AB1361" t="s">
        <v>284</v>
      </c>
      <c r="AG1361">
        <v>236</v>
      </c>
      <c r="AH1361" t="s">
        <v>54</v>
      </c>
      <c r="AI1361" t="s">
        <v>52</v>
      </c>
      <c r="AX1361">
        <v>339</v>
      </c>
      <c r="AY1361" t="s">
        <v>285</v>
      </c>
      <c r="AZ1361" t="s">
        <v>287</v>
      </c>
      <c r="BQ1361" t="s">
        <v>52</v>
      </c>
      <c r="BR1361">
        <v>1.31</v>
      </c>
      <c r="BS1361" t="s">
        <v>285</v>
      </c>
      <c r="BT1361">
        <v>1.01</v>
      </c>
      <c r="BU1361" t="s">
        <v>284</v>
      </c>
      <c r="BV1361">
        <v>0.33</v>
      </c>
      <c r="BW1361" t="s">
        <v>288</v>
      </c>
      <c r="BX1361">
        <v>0.56999999999999995</v>
      </c>
      <c r="BY1361" t="s">
        <v>285</v>
      </c>
      <c r="BZ1361">
        <v>0.1</v>
      </c>
      <c r="CA1361" t="s">
        <v>289</v>
      </c>
      <c r="CF1361">
        <v>0.64</v>
      </c>
      <c r="CG1361" t="s">
        <v>54</v>
      </c>
      <c r="CH1361" t="s">
        <v>52</v>
      </c>
    </row>
    <row r="1362" spans="1:86" x14ac:dyDescent="0.25">
      <c r="A1362" t="s">
        <v>47</v>
      </c>
      <c r="B1362">
        <v>8</v>
      </c>
      <c r="C1362" t="s">
        <v>208</v>
      </c>
      <c r="D1362">
        <v>121</v>
      </c>
      <c r="E1362" t="s">
        <v>84</v>
      </c>
      <c r="F1362">
        <v>11</v>
      </c>
      <c r="G1362" t="s">
        <v>96</v>
      </c>
      <c r="H1362" t="s">
        <v>50</v>
      </c>
      <c r="K1362" t="s">
        <v>51</v>
      </c>
      <c r="L1362">
        <v>1</v>
      </c>
      <c r="M1362" t="s">
        <v>53</v>
      </c>
      <c r="N1362">
        <v>11</v>
      </c>
      <c r="O1362">
        <v>2</v>
      </c>
      <c r="P1362" t="s">
        <v>52</v>
      </c>
      <c r="Q1362">
        <v>0.5</v>
      </c>
      <c r="R1362">
        <v>0.75</v>
      </c>
      <c r="S1362">
        <v>124</v>
      </c>
      <c r="T1362" t="s">
        <v>284</v>
      </c>
      <c r="U1362">
        <v>110</v>
      </c>
      <c r="V1362" t="s">
        <v>284</v>
      </c>
      <c r="W1362">
        <v>118</v>
      </c>
      <c r="X1362" t="s">
        <v>284</v>
      </c>
      <c r="Y1362">
        <v>122</v>
      </c>
      <c r="Z1362" t="s">
        <v>284</v>
      </c>
      <c r="AA1362">
        <v>126</v>
      </c>
      <c r="AB1362" t="s">
        <v>284</v>
      </c>
      <c r="AG1362">
        <v>121.33329999999999</v>
      </c>
      <c r="AH1362" t="s">
        <v>54</v>
      </c>
      <c r="AI1362" t="s">
        <v>52</v>
      </c>
      <c r="AZ1362" t="s">
        <v>52</v>
      </c>
      <c r="BQ1362" t="s">
        <v>52</v>
      </c>
      <c r="BR1362">
        <v>1.32</v>
      </c>
      <c r="BS1362" t="s">
        <v>285</v>
      </c>
      <c r="BT1362">
        <v>1.1399999999999999</v>
      </c>
      <c r="BU1362" t="s">
        <v>284</v>
      </c>
      <c r="BV1362">
        <v>1.39</v>
      </c>
      <c r="BW1362" t="s">
        <v>284</v>
      </c>
      <c r="BX1362">
        <v>1.21</v>
      </c>
      <c r="BY1362" t="s">
        <v>284</v>
      </c>
      <c r="BZ1362">
        <v>1.04</v>
      </c>
      <c r="CA1362" t="s">
        <v>284</v>
      </c>
      <c r="CF1362">
        <v>1.22</v>
      </c>
      <c r="CG1362" t="s">
        <v>54</v>
      </c>
      <c r="CH1362" t="s">
        <v>52</v>
      </c>
    </row>
    <row r="1363" spans="1:86" x14ac:dyDescent="0.25">
      <c r="A1363" t="s">
        <v>47</v>
      </c>
      <c r="B1363">
        <v>8</v>
      </c>
      <c r="C1363" t="s">
        <v>208</v>
      </c>
      <c r="D1363">
        <v>121</v>
      </c>
      <c r="E1363" t="s">
        <v>84</v>
      </c>
      <c r="F1363">
        <v>11</v>
      </c>
      <c r="G1363" t="s">
        <v>96</v>
      </c>
      <c r="H1363" t="s">
        <v>50</v>
      </c>
      <c r="K1363" t="s">
        <v>52</v>
      </c>
      <c r="L1363">
        <v>1</v>
      </c>
      <c r="M1363" t="s">
        <v>53</v>
      </c>
      <c r="N1363">
        <v>11</v>
      </c>
      <c r="O1363">
        <v>2</v>
      </c>
      <c r="P1363" t="s">
        <v>52</v>
      </c>
      <c r="Q1363">
        <v>0.5</v>
      </c>
      <c r="R1363">
        <v>0.75</v>
      </c>
      <c r="S1363">
        <v>124</v>
      </c>
      <c r="T1363" t="s">
        <v>284</v>
      </c>
      <c r="U1363">
        <v>110</v>
      </c>
      <c r="V1363" t="s">
        <v>284</v>
      </c>
      <c r="W1363">
        <v>118</v>
      </c>
      <c r="X1363" t="s">
        <v>284</v>
      </c>
      <c r="Y1363">
        <v>122</v>
      </c>
      <c r="Z1363" t="s">
        <v>284</v>
      </c>
      <c r="AA1363">
        <v>126</v>
      </c>
      <c r="AB1363" t="s">
        <v>284</v>
      </c>
      <c r="AG1363">
        <v>121.33329999999999</v>
      </c>
      <c r="AH1363" t="s">
        <v>54</v>
      </c>
      <c r="AI1363" t="s">
        <v>52</v>
      </c>
      <c r="AZ1363" t="s">
        <v>52</v>
      </c>
      <c r="BQ1363" t="s">
        <v>52</v>
      </c>
      <c r="BR1363">
        <v>0.87</v>
      </c>
      <c r="BS1363" t="s">
        <v>285</v>
      </c>
      <c r="BT1363">
        <v>0.75</v>
      </c>
      <c r="BU1363" t="s">
        <v>284</v>
      </c>
      <c r="BV1363">
        <v>0.91</v>
      </c>
      <c r="BW1363" t="s">
        <v>284</v>
      </c>
      <c r="BX1363">
        <v>0.79</v>
      </c>
      <c r="BY1363" t="s">
        <v>284</v>
      </c>
      <c r="BZ1363">
        <v>0.7</v>
      </c>
      <c r="CA1363" t="s">
        <v>284</v>
      </c>
      <c r="CF1363">
        <v>0.8</v>
      </c>
      <c r="CG1363" t="s">
        <v>54</v>
      </c>
      <c r="CH1363" t="s">
        <v>52</v>
      </c>
    </row>
    <row r="1364" spans="1:86" x14ac:dyDescent="0.25">
      <c r="A1364" t="s">
        <v>47</v>
      </c>
      <c r="B1364">
        <v>8</v>
      </c>
      <c r="C1364" t="s">
        <v>210</v>
      </c>
      <c r="D1364">
        <v>123</v>
      </c>
      <c r="E1364" t="s">
        <v>49</v>
      </c>
      <c r="F1364">
        <v>27</v>
      </c>
      <c r="H1364" t="s">
        <v>50</v>
      </c>
      <c r="K1364" t="s">
        <v>51</v>
      </c>
      <c r="L1364">
        <v>1</v>
      </c>
      <c r="M1364" t="s">
        <v>53</v>
      </c>
      <c r="N1364">
        <v>27</v>
      </c>
      <c r="O1364">
        <v>1</v>
      </c>
      <c r="P1364" t="s">
        <v>52</v>
      </c>
      <c r="Q1364">
        <v>0</v>
      </c>
      <c r="R1364">
        <v>0.75</v>
      </c>
      <c r="S1364">
        <v>231</v>
      </c>
      <c r="T1364" t="s">
        <v>284</v>
      </c>
      <c r="U1364">
        <v>208</v>
      </c>
      <c r="V1364" t="s">
        <v>284</v>
      </c>
      <c r="W1364">
        <v>224</v>
      </c>
      <c r="X1364" t="s">
        <v>284</v>
      </c>
      <c r="Y1364">
        <v>225</v>
      </c>
      <c r="Z1364" t="s">
        <v>285</v>
      </c>
      <c r="AA1364">
        <v>247</v>
      </c>
      <c r="AB1364" t="s">
        <v>285</v>
      </c>
      <c r="AC1364">
        <v>241</v>
      </c>
      <c r="AD1364" t="s">
        <v>285</v>
      </c>
      <c r="AE1364">
        <v>219</v>
      </c>
      <c r="AF1364" t="s">
        <v>285</v>
      </c>
      <c r="AG1364">
        <v>219</v>
      </c>
      <c r="AH1364" t="s">
        <v>286</v>
      </c>
      <c r="AI1364" t="s">
        <v>287</v>
      </c>
      <c r="AX1364">
        <v>263</v>
      </c>
      <c r="AY1364" t="s">
        <v>286</v>
      </c>
      <c r="AZ1364" t="s">
        <v>287</v>
      </c>
      <c r="BQ1364" t="s">
        <v>52</v>
      </c>
      <c r="BR1364">
        <v>3.7</v>
      </c>
      <c r="BS1364" t="s">
        <v>284</v>
      </c>
      <c r="BT1364">
        <v>3.4</v>
      </c>
      <c r="BU1364" t="s">
        <v>284</v>
      </c>
      <c r="BV1364">
        <v>2.11</v>
      </c>
      <c r="BW1364" t="s">
        <v>284</v>
      </c>
      <c r="BX1364">
        <v>2.74</v>
      </c>
      <c r="BY1364" t="s">
        <v>284</v>
      </c>
      <c r="BZ1364">
        <v>4.2699999999999996</v>
      </c>
      <c r="CA1364" t="s">
        <v>288</v>
      </c>
      <c r="CF1364">
        <v>3.28</v>
      </c>
      <c r="CG1364" t="s">
        <v>54</v>
      </c>
      <c r="CH1364" t="s">
        <v>52</v>
      </c>
    </row>
    <row r="1365" spans="1:86" x14ac:dyDescent="0.25">
      <c r="A1365" t="s">
        <v>47</v>
      </c>
      <c r="B1365">
        <v>8</v>
      </c>
      <c r="C1365" t="s">
        <v>210</v>
      </c>
      <c r="D1365">
        <v>123</v>
      </c>
      <c r="E1365" t="s">
        <v>49</v>
      </c>
      <c r="F1365">
        <v>27</v>
      </c>
      <c r="H1365" t="s">
        <v>50</v>
      </c>
      <c r="K1365" t="s">
        <v>52</v>
      </c>
      <c r="L1365">
        <v>1</v>
      </c>
      <c r="M1365" t="s">
        <v>53</v>
      </c>
      <c r="N1365">
        <v>27</v>
      </c>
      <c r="O1365">
        <v>1</v>
      </c>
      <c r="P1365" t="s">
        <v>52</v>
      </c>
      <c r="Q1365">
        <v>0</v>
      </c>
      <c r="R1365">
        <v>0.75</v>
      </c>
      <c r="S1365">
        <v>231</v>
      </c>
      <c r="T1365" t="s">
        <v>284</v>
      </c>
      <c r="U1365">
        <v>208</v>
      </c>
      <c r="V1365" t="s">
        <v>284</v>
      </c>
      <c r="W1365">
        <v>224</v>
      </c>
      <c r="X1365" t="s">
        <v>284</v>
      </c>
      <c r="Y1365">
        <v>225</v>
      </c>
      <c r="Z1365" t="s">
        <v>285</v>
      </c>
      <c r="AA1365">
        <v>247</v>
      </c>
      <c r="AB1365" t="s">
        <v>285</v>
      </c>
      <c r="AC1365">
        <v>241</v>
      </c>
      <c r="AD1365" t="s">
        <v>285</v>
      </c>
      <c r="AE1365">
        <v>219</v>
      </c>
      <c r="AF1365" t="s">
        <v>285</v>
      </c>
      <c r="AG1365">
        <v>219</v>
      </c>
      <c r="AH1365" t="s">
        <v>286</v>
      </c>
      <c r="AI1365" t="s">
        <v>287</v>
      </c>
      <c r="AX1365">
        <v>263</v>
      </c>
      <c r="AY1365" t="s">
        <v>286</v>
      </c>
      <c r="AZ1365" t="s">
        <v>287</v>
      </c>
      <c r="BQ1365" t="s">
        <v>52</v>
      </c>
      <c r="BR1365">
        <v>1.3</v>
      </c>
      <c r="BS1365" t="s">
        <v>284</v>
      </c>
      <c r="BT1365">
        <v>1.2</v>
      </c>
      <c r="BU1365" t="s">
        <v>284</v>
      </c>
      <c r="BV1365">
        <v>0.75</v>
      </c>
      <c r="BW1365" t="s">
        <v>284</v>
      </c>
      <c r="BX1365">
        <v>2.2000000000000002</v>
      </c>
      <c r="BY1365" t="s">
        <v>284</v>
      </c>
      <c r="BZ1365">
        <v>2.12</v>
      </c>
      <c r="CA1365" t="s">
        <v>288</v>
      </c>
      <c r="CF1365">
        <v>1.54</v>
      </c>
      <c r="CG1365" t="s">
        <v>54</v>
      </c>
      <c r="CH1365" t="s">
        <v>52</v>
      </c>
    </row>
    <row r="1366" spans="1:86" x14ac:dyDescent="0.25">
      <c r="A1366" t="s">
        <v>47</v>
      </c>
      <c r="B1366">
        <v>8</v>
      </c>
      <c r="C1366" t="s">
        <v>210</v>
      </c>
      <c r="D1366">
        <v>123</v>
      </c>
      <c r="E1366" t="s">
        <v>58</v>
      </c>
      <c r="F1366">
        <v>102</v>
      </c>
      <c r="G1366" t="s">
        <v>61</v>
      </c>
      <c r="H1366" t="s">
        <v>50</v>
      </c>
      <c r="K1366" t="s">
        <v>51</v>
      </c>
      <c r="L1366">
        <v>1</v>
      </c>
      <c r="M1366" t="s">
        <v>53</v>
      </c>
      <c r="N1366">
        <v>102</v>
      </c>
      <c r="O1366">
        <v>1</v>
      </c>
      <c r="P1366" t="s">
        <v>52</v>
      </c>
      <c r="Q1366">
        <v>0</v>
      </c>
      <c r="R1366">
        <v>0.92</v>
      </c>
      <c r="S1366">
        <v>131.69999999999999</v>
      </c>
      <c r="T1366" t="s">
        <v>284</v>
      </c>
      <c r="U1366">
        <v>170</v>
      </c>
      <c r="V1366" t="s">
        <v>284</v>
      </c>
      <c r="W1366">
        <v>191</v>
      </c>
      <c r="X1366" t="s">
        <v>284</v>
      </c>
      <c r="Y1366">
        <v>207</v>
      </c>
      <c r="Z1366" t="s">
        <v>284</v>
      </c>
      <c r="AA1366">
        <v>315</v>
      </c>
      <c r="AB1366" t="s">
        <v>285</v>
      </c>
      <c r="AG1366">
        <v>189.33330000000001</v>
      </c>
      <c r="AH1366" t="s">
        <v>54</v>
      </c>
      <c r="AI1366" t="s">
        <v>52</v>
      </c>
      <c r="AZ1366" t="s">
        <v>52</v>
      </c>
      <c r="BQ1366" t="s">
        <v>52</v>
      </c>
      <c r="BR1366">
        <v>1.85</v>
      </c>
      <c r="BS1366" t="s">
        <v>284</v>
      </c>
      <c r="BT1366">
        <v>1.71</v>
      </c>
      <c r="BU1366" t="s">
        <v>284</v>
      </c>
      <c r="BV1366">
        <v>1.1100000000000001</v>
      </c>
      <c r="BW1366" t="s">
        <v>285</v>
      </c>
      <c r="CH1366" t="s">
        <v>52</v>
      </c>
    </row>
    <row r="1367" spans="1:86" x14ac:dyDescent="0.25">
      <c r="A1367" t="s">
        <v>47</v>
      </c>
      <c r="B1367">
        <v>8</v>
      </c>
      <c r="C1367" t="s">
        <v>210</v>
      </c>
      <c r="D1367">
        <v>123</v>
      </c>
      <c r="E1367" t="s">
        <v>58</v>
      </c>
      <c r="F1367">
        <v>102</v>
      </c>
      <c r="G1367" t="s">
        <v>61</v>
      </c>
      <c r="H1367" t="s">
        <v>50</v>
      </c>
      <c r="K1367" t="s">
        <v>52</v>
      </c>
      <c r="L1367">
        <v>1</v>
      </c>
      <c r="M1367" t="s">
        <v>53</v>
      </c>
      <c r="N1367">
        <v>102</v>
      </c>
      <c r="O1367">
        <v>1</v>
      </c>
      <c r="P1367" t="s">
        <v>52</v>
      </c>
      <c r="Q1367">
        <v>0</v>
      </c>
      <c r="R1367">
        <v>0.92</v>
      </c>
      <c r="S1367">
        <v>131.69999999999999</v>
      </c>
      <c r="T1367" t="s">
        <v>284</v>
      </c>
      <c r="U1367">
        <v>170</v>
      </c>
      <c r="V1367" t="s">
        <v>284</v>
      </c>
      <c r="W1367">
        <v>191</v>
      </c>
      <c r="X1367" t="s">
        <v>284</v>
      </c>
      <c r="Y1367">
        <v>207</v>
      </c>
      <c r="Z1367" t="s">
        <v>284</v>
      </c>
      <c r="AA1367">
        <v>315</v>
      </c>
      <c r="AB1367" t="s">
        <v>285</v>
      </c>
      <c r="AG1367">
        <v>189.33330000000001</v>
      </c>
      <c r="AH1367" t="s">
        <v>54</v>
      </c>
      <c r="AI1367" t="s">
        <v>52</v>
      </c>
      <c r="AZ1367" t="s">
        <v>52</v>
      </c>
      <c r="BQ1367" t="s">
        <v>52</v>
      </c>
      <c r="BR1367">
        <v>0.93</v>
      </c>
      <c r="BS1367" t="s">
        <v>285</v>
      </c>
      <c r="CH1367" t="s">
        <v>52</v>
      </c>
    </row>
    <row r="1368" spans="1:86" x14ac:dyDescent="0.25">
      <c r="A1368" t="s">
        <v>47</v>
      </c>
      <c r="B1368">
        <v>8</v>
      </c>
      <c r="C1368" t="s">
        <v>210</v>
      </c>
      <c r="D1368">
        <v>123</v>
      </c>
      <c r="E1368" t="s">
        <v>58</v>
      </c>
      <c r="F1368">
        <v>102</v>
      </c>
      <c r="G1368" t="s">
        <v>113</v>
      </c>
      <c r="H1368" t="s">
        <v>50</v>
      </c>
      <c r="K1368" t="s">
        <v>51</v>
      </c>
      <c r="L1368">
        <v>1</v>
      </c>
      <c r="M1368" t="s">
        <v>53</v>
      </c>
      <c r="N1368">
        <v>102</v>
      </c>
      <c r="O1368">
        <v>1</v>
      </c>
      <c r="P1368" t="s">
        <v>52</v>
      </c>
      <c r="Q1368">
        <v>0</v>
      </c>
      <c r="R1368">
        <v>0.92</v>
      </c>
      <c r="S1368">
        <v>131.69999999999999</v>
      </c>
      <c r="T1368" t="s">
        <v>284</v>
      </c>
      <c r="U1368">
        <v>170</v>
      </c>
      <c r="V1368" t="s">
        <v>284</v>
      </c>
      <c r="W1368">
        <v>191</v>
      </c>
      <c r="X1368" t="s">
        <v>284</v>
      </c>
      <c r="Y1368">
        <v>207</v>
      </c>
      <c r="Z1368" t="s">
        <v>284</v>
      </c>
      <c r="AA1368">
        <v>205</v>
      </c>
      <c r="AB1368" t="s">
        <v>285</v>
      </c>
      <c r="AG1368">
        <v>188.66669999999999</v>
      </c>
      <c r="AH1368" t="s">
        <v>54</v>
      </c>
      <c r="AI1368" t="s">
        <v>52</v>
      </c>
      <c r="AZ1368" t="s">
        <v>52</v>
      </c>
      <c r="BQ1368" t="s">
        <v>52</v>
      </c>
      <c r="BR1368">
        <v>1.85</v>
      </c>
      <c r="BS1368" t="s">
        <v>284</v>
      </c>
      <c r="CH1368" t="s">
        <v>52</v>
      </c>
    </row>
    <row r="1369" spans="1:86" x14ac:dyDescent="0.25">
      <c r="A1369" t="s">
        <v>47</v>
      </c>
      <c r="B1369">
        <v>8</v>
      </c>
      <c r="C1369" t="s">
        <v>210</v>
      </c>
      <c r="D1369">
        <v>123</v>
      </c>
      <c r="E1369" t="s">
        <v>58</v>
      </c>
      <c r="F1369">
        <v>102</v>
      </c>
      <c r="G1369" t="s">
        <v>148</v>
      </c>
      <c r="H1369" t="s">
        <v>50</v>
      </c>
      <c r="K1369" t="s">
        <v>52</v>
      </c>
      <c r="L1369">
        <v>1</v>
      </c>
      <c r="M1369" t="s">
        <v>53</v>
      </c>
      <c r="N1369">
        <v>102</v>
      </c>
      <c r="O1369">
        <v>1</v>
      </c>
      <c r="P1369" t="s">
        <v>52</v>
      </c>
      <c r="Q1369">
        <v>0</v>
      </c>
      <c r="R1369">
        <v>0.92</v>
      </c>
      <c r="S1369">
        <v>131.69999999999999</v>
      </c>
      <c r="T1369" t="s">
        <v>284</v>
      </c>
      <c r="U1369">
        <v>170</v>
      </c>
      <c r="V1369" t="s">
        <v>284</v>
      </c>
      <c r="AI1369" t="s">
        <v>52</v>
      </c>
      <c r="AZ1369" t="s">
        <v>52</v>
      </c>
      <c r="BQ1369" t="s">
        <v>52</v>
      </c>
      <c r="BR1369">
        <v>0.93</v>
      </c>
      <c r="BS1369" t="s">
        <v>285</v>
      </c>
      <c r="CH1369" t="s">
        <v>52</v>
      </c>
    </row>
    <row r="1370" spans="1:86" x14ac:dyDescent="0.25">
      <c r="A1370" t="s">
        <v>47</v>
      </c>
      <c r="B1370">
        <v>8</v>
      </c>
      <c r="C1370" t="s">
        <v>210</v>
      </c>
      <c r="D1370">
        <v>123</v>
      </c>
      <c r="E1370" t="s">
        <v>58</v>
      </c>
      <c r="F1370">
        <v>102</v>
      </c>
      <c r="G1370" t="s">
        <v>62</v>
      </c>
      <c r="H1370" t="s">
        <v>50</v>
      </c>
      <c r="K1370" t="s">
        <v>51</v>
      </c>
      <c r="L1370">
        <v>1</v>
      </c>
      <c r="M1370" t="s">
        <v>53</v>
      </c>
      <c r="N1370">
        <v>102</v>
      </c>
      <c r="O1370">
        <v>1</v>
      </c>
      <c r="P1370" t="s">
        <v>52</v>
      </c>
      <c r="Q1370">
        <v>0</v>
      </c>
      <c r="R1370">
        <v>0.92</v>
      </c>
      <c r="S1370">
        <v>131.69999999999999</v>
      </c>
      <c r="T1370" t="s">
        <v>284</v>
      </c>
      <c r="U1370">
        <v>170</v>
      </c>
      <c r="V1370" t="s">
        <v>284</v>
      </c>
      <c r="W1370">
        <v>191</v>
      </c>
      <c r="X1370" t="s">
        <v>284</v>
      </c>
      <c r="Y1370">
        <v>207</v>
      </c>
      <c r="Z1370" t="s">
        <v>284</v>
      </c>
      <c r="AA1370">
        <v>205</v>
      </c>
      <c r="AB1370" t="s">
        <v>285</v>
      </c>
      <c r="AG1370">
        <v>188.66669999999999</v>
      </c>
      <c r="AH1370" t="s">
        <v>54</v>
      </c>
      <c r="AI1370" t="s">
        <v>52</v>
      </c>
      <c r="AX1370">
        <v>271.60000000000002</v>
      </c>
      <c r="AY1370" t="s">
        <v>285</v>
      </c>
      <c r="AZ1370" t="s">
        <v>287</v>
      </c>
      <c r="BQ1370" t="s">
        <v>52</v>
      </c>
      <c r="BR1370">
        <v>1.85</v>
      </c>
      <c r="BS1370" t="s">
        <v>284</v>
      </c>
      <c r="BT1370">
        <v>1.97</v>
      </c>
      <c r="BU1370" t="s">
        <v>284</v>
      </c>
      <c r="BV1370">
        <v>0.59</v>
      </c>
      <c r="BW1370" t="s">
        <v>285</v>
      </c>
      <c r="BX1370">
        <v>0.73</v>
      </c>
      <c r="BY1370" t="s">
        <v>285</v>
      </c>
      <c r="BZ1370">
        <v>0.63</v>
      </c>
      <c r="CA1370" t="s">
        <v>284</v>
      </c>
      <c r="CF1370">
        <v>1.07</v>
      </c>
      <c r="CG1370" t="s">
        <v>54</v>
      </c>
      <c r="CH1370" t="s">
        <v>52</v>
      </c>
    </row>
    <row r="1371" spans="1:86" x14ac:dyDescent="0.25">
      <c r="A1371" t="s">
        <v>47</v>
      </c>
      <c r="B1371">
        <v>8</v>
      </c>
      <c r="C1371" t="s">
        <v>210</v>
      </c>
      <c r="D1371">
        <v>123</v>
      </c>
      <c r="E1371" t="s">
        <v>58</v>
      </c>
      <c r="F1371">
        <v>102</v>
      </c>
      <c r="G1371" t="s">
        <v>62</v>
      </c>
      <c r="H1371" t="s">
        <v>50</v>
      </c>
      <c r="K1371" t="s">
        <v>52</v>
      </c>
      <c r="L1371">
        <v>1</v>
      </c>
      <c r="M1371" t="s">
        <v>53</v>
      </c>
      <c r="N1371">
        <v>102</v>
      </c>
      <c r="O1371">
        <v>1</v>
      </c>
      <c r="P1371" t="s">
        <v>52</v>
      </c>
      <c r="Q1371">
        <v>0</v>
      </c>
      <c r="R1371">
        <v>0.92</v>
      </c>
      <c r="S1371">
        <v>131.69999999999999</v>
      </c>
      <c r="T1371" t="s">
        <v>284</v>
      </c>
      <c r="U1371">
        <v>170</v>
      </c>
      <c r="V1371" t="s">
        <v>284</v>
      </c>
      <c r="W1371">
        <v>191</v>
      </c>
      <c r="X1371" t="s">
        <v>284</v>
      </c>
      <c r="Y1371">
        <v>207</v>
      </c>
      <c r="Z1371" t="s">
        <v>284</v>
      </c>
      <c r="AA1371">
        <v>205</v>
      </c>
      <c r="AB1371" t="s">
        <v>285</v>
      </c>
      <c r="AG1371">
        <v>188.66669999999999</v>
      </c>
      <c r="AH1371" t="s">
        <v>54</v>
      </c>
      <c r="AI1371" t="s">
        <v>52</v>
      </c>
      <c r="AX1371">
        <v>271.60000000000002</v>
      </c>
      <c r="AY1371" t="s">
        <v>285</v>
      </c>
      <c r="AZ1371" t="s">
        <v>287</v>
      </c>
      <c r="BQ1371" t="s">
        <v>52</v>
      </c>
      <c r="BR1371">
        <v>0.83</v>
      </c>
      <c r="BS1371" t="s">
        <v>285</v>
      </c>
      <c r="BT1371">
        <v>1.05</v>
      </c>
      <c r="BU1371" t="s">
        <v>284</v>
      </c>
      <c r="BV1371">
        <v>0.31</v>
      </c>
      <c r="BW1371" t="s">
        <v>285</v>
      </c>
      <c r="BX1371">
        <v>0.56000000000000005</v>
      </c>
      <c r="BY1371" t="s">
        <v>285</v>
      </c>
      <c r="BZ1371">
        <v>0.48</v>
      </c>
      <c r="CA1371" t="s">
        <v>284</v>
      </c>
      <c r="CF1371">
        <v>0.62</v>
      </c>
      <c r="CG1371" t="s">
        <v>54</v>
      </c>
      <c r="CH1371" t="s">
        <v>52</v>
      </c>
    </row>
    <row r="1372" spans="1:86" x14ac:dyDescent="0.25">
      <c r="A1372" t="s">
        <v>47</v>
      </c>
      <c r="B1372">
        <v>8</v>
      </c>
      <c r="C1372" t="s">
        <v>210</v>
      </c>
      <c r="D1372">
        <v>123</v>
      </c>
      <c r="E1372" t="s">
        <v>58</v>
      </c>
      <c r="F1372">
        <v>102</v>
      </c>
      <c r="G1372" t="s">
        <v>63</v>
      </c>
      <c r="H1372" t="s">
        <v>50</v>
      </c>
      <c r="K1372" t="s">
        <v>51</v>
      </c>
      <c r="L1372">
        <v>1</v>
      </c>
      <c r="M1372" t="s">
        <v>53</v>
      </c>
      <c r="N1372">
        <v>102</v>
      </c>
      <c r="O1372">
        <v>1</v>
      </c>
      <c r="P1372" t="s">
        <v>52</v>
      </c>
      <c r="Q1372">
        <v>0</v>
      </c>
      <c r="R1372">
        <v>0.92</v>
      </c>
      <c r="S1372">
        <v>131.69999999999999</v>
      </c>
      <c r="T1372" t="s">
        <v>284</v>
      </c>
      <c r="U1372">
        <v>170</v>
      </c>
      <c r="V1372" t="s">
        <v>284</v>
      </c>
      <c r="W1372">
        <v>191</v>
      </c>
      <c r="X1372" t="s">
        <v>285</v>
      </c>
      <c r="Y1372">
        <v>207</v>
      </c>
      <c r="Z1372" t="s">
        <v>285</v>
      </c>
      <c r="AA1372">
        <v>265</v>
      </c>
      <c r="AB1372" t="s">
        <v>285</v>
      </c>
      <c r="AG1372">
        <v>189.33330000000001</v>
      </c>
      <c r="AH1372" t="s">
        <v>54</v>
      </c>
      <c r="AI1372" t="s">
        <v>52</v>
      </c>
      <c r="AZ1372" t="s">
        <v>52</v>
      </c>
      <c r="BQ1372" t="s">
        <v>52</v>
      </c>
      <c r="BR1372">
        <v>2.1</v>
      </c>
      <c r="BS1372" t="s">
        <v>285</v>
      </c>
      <c r="CH1372" t="s">
        <v>52</v>
      </c>
    </row>
    <row r="1373" spans="1:86" x14ac:dyDescent="0.25">
      <c r="A1373" t="s">
        <v>47</v>
      </c>
      <c r="B1373">
        <v>8</v>
      </c>
      <c r="C1373" t="s">
        <v>210</v>
      </c>
      <c r="D1373">
        <v>123</v>
      </c>
      <c r="E1373" t="s">
        <v>58</v>
      </c>
      <c r="F1373">
        <v>102</v>
      </c>
      <c r="G1373" t="s">
        <v>63</v>
      </c>
      <c r="H1373" t="s">
        <v>50</v>
      </c>
      <c r="K1373" t="s">
        <v>52</v>
      </c>
      <c r="L1373">
        <v>1</v>
      </c>
      <c r="M1373" t="s">
        <v>53</v>
      </c>
      <c r="N1373">
        <v>102</v>
      </c>
      <c r="O1373">
        <v>1</v>
      </c>
      <c r="P1373" t="s">
        <v>52</v>
      </c>
      <c r="Q1373">
        <v>0</v>
      </c>
      <c r="R1373">
        <v>0.92</v>
      </c>
      <c r="S1373">
        <v>131.69999999999999</v>
      </c>
      <c r="T1373" t="s">
        <v>284</v>
      </c>
      <c r="U1373">
        <v>170</v>
      </c>
      <c r="V1373" t="s">
        <v>284</v>
      </c>
      <c r="W1373">
        <v>191</v>
      </c>
      <c r="X1373" t="s">
        <v>285</v>
      </c>
      <c r="Y1373">
        <v>207</v>
      </c>
      <c r="Z1373" t="s">
        <v>285</v>
      </c>
      <c r="AA1373">
        <v>265</v>
      </c>
      <c r="AB1373" t="s">
        <v>285</v>
      </c>
      <c r="AG1373">
        <v>189.33330000000001</v>
      </c>
      <c r="AH1373" t="s">
        <v>54</v>
      </c>
      <c r="AI1373" t="s">
        <v>52</v>
      </c>
      <c r="AZ1373" t="s">
        <v>52</v>
      </c>
      <c r="BQ1373" t="s">
        <v>52</v>
      </c>
      <c r="BR1373">
        <v>0.93</v>
      </c>
      <c r="BS1373" t="s">
        <v>285</v>
      </c>
      <c r="CH1373" t="s">
        <v>52</v>
      </c>
    </row>
    <row r="1374" spans="1:86" x14ac:dyDescent="0.25">
      <c r="A1374" t="s">
        <v>47</v>
      </c>
      <c r="B1374">
        <v>8</v>
      </c>
      <c r="C1374" t="s">
        <v>210</v>
      </c>
      <c r="D1374">
        <v>123</v>
      </c>
      <c r="E1374" t="s">
        <v>58</v>
      </c>
      <c r="F1374">
        <v>102</v>
      </c>
      <c r="G1374" t="s">
        <v>64</v>
      </c>
      <c r="H1374" t="s">
        <v>50</v>
      </c>
      <c r="K1374" t="s">
        <v>51</v>
      </c>
      <c r="L1374">
        <v>1</v>
      </c>
      <c r="M1374" t="s">
        <v>53</v>
      </c>
      <c r="N1374">
        <v>102</v>
      </c>
      <c r="O1374">
        <v>1</v>
      </c>
      <c r="P1374" t="s">
        <v>52</v>
      </c>
      <c r="Q1374">
        <v>0</v>
      </c>
      <c r="R1374">
        <v>0.92</v>
      </c>
      <c r="S1374">
        <v>131.69999999999999</v>
      </c>
      <c r="T1374" t="s">
        <v>284</v>
      </c>
      <c r="U1374">
        <v>170</v>
      </c>
      <c r="V1374" t="s">
        <v>284</v>
      </c>
      <c r="W1374">
        <v>191</v>
      </c>
      <c r="X1374" t="s">
        <v>284</v>
      </c>
      <c r="Y1374">
        <v>207</v>
      </c>
      <c r="Z1374" t="s">
        <v>284</v>
      </c>
      <c r="AA1374">
        <v>205</v>
      </c>
      <c r="AB1374" t="s">
        <v>285</v>
      </c>
      <c r="AG1374">
        <v>188.66669999999999</v>
      </c>
      <c r="AH1374" t="s">
        <v>54</v>
      </c>
      <c r="AI1374" t="s">
        <v>52</v>
      </c>
      <c r="AZ1374" t="s">
        <v>52</v>
      </c>
      <c r="BQ1374" t="s">
        <v>52</v>
      </c>
      <c r="BR1374">
        <v>1.85</v>
      </c>
      <c r="BS1374" t="s">
        <v>284</v>
      </c>
      <c r="CH1374" t="s">
        <v>52</v>
      </c>
    </row>
    <row r="1375" spans="1:86" x14ac:dyDescent="0.25">
      <c r="A1375" t="s">
        <v>47</v>
      </c>
      <c r="B1375">
        <v>8</v>
      </c>
      <c r="C1375" t="s">
        <v>210</v>
      </c>
      <c r="D1375">
        <v>123</v>
      </c>
      <c r="E1375" t="s">
        <v>58</v>
      </c>
      <c r="F1375">
        <v>102</v>
      </c>
      <c r="G1375" t="s">
        <v>66</v>
      </c>
      <c r="H1375" t="s">
        <v>50</v>
      </c>
      <c r="K1375" t="s">
        <v>51</v>
      </c>
      <c r="L1375">
        <v>1</v>
      </c>
      <c r="M1375" t="s">
        <v>53</v>
      </c>
      <c r="N1375">
        <v>102</v>
      </c>
      <c r="O1375">
        <v>1</v>
      </c>
      <c r="P1375" t="s">
        <v>52</v>
      </c>
      <c r="Q1375">
        <v>0</v>
      </c>
      <c r="R1375">
        <v>0.92</v>
      </c>
      <c r="S1375">
        <v>131.69999999999999</v>
      </c>
      <c r="T1375" t="s">
        <v>284</v>
      </c>
      <c r="U1375">
        <v>170</v>
      </c>
      <c r="V1375" t="s">
        <v>284</v>
      </c>
      <c r="W1375">
        <v>191</v>
      </c>
      <c r="X1375" t="s">
        <v>284</v>
      </c>
      <c r="Y1375">
        <v>207</v>
      </c>
      <c r="Z1375" t="s">
        <v>284</v>
      </c>
      <c r="AA1375">
        <v>205</v>
      </c>
      <c r="AB1375" t="s">
        <v>285</v>
      </c>
      <c r="AG1375">
        <v>188.66669999999999</v>
      </c>
      <c r="AH1375" t="s">
        <v>54</v>
      </c>
      <c r="AI1375" t="s">
        <v>52</v>
      </c>
      <c r="AZ1375" t="s">
        <v>52</v>
      </c>
      <c r="BQ1375" t="s">
        <v>52</v>
      </c>
      <c r="BR1375">
        <v>1.32</v>
      </c>
      <c r="BS1375" t="s">
        <v>285</v>
      </c>
      <c r="BT1375">
        <v>1.35</v>
      </c>
      <c r="BU1375" t="s">
        <v>285</v>
      </c>
      <c r="BV1375">
        <v>0.9</v>
      </c>
      <c r="BW1375" t="s">
        <v>285</v>
      </c>
      <c r="BX1375">
        <v>0.93</v>
      </c>
      <c r="BY1375" t="s">
        <v>288</v>
      </c>
      <c r="BZ1375">
        <v>1.48</v>
      </c>
      <c r="CA1375" t="s">
        <v>288</v>
      </c>
      <c r="CF1375">
        <v>1.2</v>
      </c>
      <c r="CG1375" t="s">
        <v>54</v>
      </c>
      <c r="CH1375" t="s">
        <v>52</v>
      </c>
    </row>
    <row r="1376" spans="1:86" x14ac:dyDescent="0.25">
      <c r="A1376" t="s">
        <v>47</v>
      </c>
      <c r="B1376">
        <v>8</v>
      </c>
      <c r="C1376" t="s">
        <v>210</v>
      </c>
      <c r="D1376">
        <v>123</v>
      </c>
      <c r="E1376" t="s">
        <v>58</v>
      </c>
      <c r="F1376">
        <v>102</v>
      </c>
      <c r="G1376" t="s">
        <v>66</v>
      </c>
      <c r="H1376" t="s">
        <v>50</v>
      </c>
      <c r="K1376" t="s">
        <v>52</v>
      </c>
      <c r="L1376">
        <v>1</v>
      </c>
      <c r="M1376" t="s">
        <v>53</v>
      </c>
      <c r="N1376">
        <v>102</v>
      </c>
      <c r="O1376">
        <v>1</v>
      </c>
      <c r="P1376" t="s">
        <v>52</v>
      </c>
      <c r="Q1376">
        <v>0</v>
      </c>
      <c r="R1376">
        <v>0.92</v>
      </c>
      <c r="S1376">
        <v>131.69999999999999</v>
      </c>
      <c r="T1376" t="s">
        <v>284</v>
      </c>
      <c r="U1376">
        <v>170</v>
      </c>
      <c r="V1376" t="s">
        <v>284</v>
      </c>
      <c r="W1376">
        <v>191</v>
      </c>
      <c r="X1376" t="s">
        <v>284</v>
      </c>
      <c r="Y1376">
        <v>207</v>
      </c>
      <c r="Z1376" t="s">
        <v>284</v>
      </c>
      <c r="AA1376">
        <v>205</v>
      </c>
      <c r="AB1376" t="s">
        <v>285</v>
      </c>
      <c r="AG1376">
        <v>188.66669999999999</v>
      </c>
      <c r="AH1376" t="s">
        <v>54</v>
      </c>
      <c r="AI1376" t="s">
        <v>52</v>
      </c>
      <c r="AZ1376" t="s">
        <v>52</v>
      </c>
      <c r="BQ1376" t="s">
        <v>52</v>
      </c>
      <c r="BR1376">
        <v>0.93</v>
      </c>
      <c r="BS1376" t="s">
        <v>285</v>
      </c>
      <c r="BT1376">
        <v>1.03</v>
      </c>
      <c r="BU1376" t="s">
        <v>284</v>
      </c>
      <c r="BV1376">
        <v>0.8</v>
      </c>
      <c r="BW1376" t="s">
        <v>285</v>
      </c>
      <c r="BX1376">
        <v>0.55000000000000004</v>
      </c>
      <c r="BY1376" t="s">
        <v>285</v>
      </c>
      <c r="BZ1376">
        <v>0.47</v>
      </c>
      <c r="CA1376" t="s">
        <v>284</v>
      </c>
      <c r="CF1376">
        <v>0.76</v>
      </c>
      <c r="CG1376" t="s">
        <v>54</v>
      </c>
      <c r="CH1376" t="s">
        <v>52</v>
      </c>
    </row>
    <row r="1377" spans="1:86" x14ac:dyDescent="0.25">
      <c r="A1377" t="s">
        <v>47</v>
      </c>
      <c r="B1377">
        <v>8</v>
      </c>
      <c r="C1377" t="s">
        <v>210</v>
      </c>
      <c r="D1377">
        <v>123</v>
      </c>
      <c r="E1377" t="s">
        <v>58</v>
      </c>
      <c r="F1377">
        <v>102</v>
      </c>
      <c r="G1377" t="s">
        <v>118</v>
      </c>
      <c r="H1377" t="s">
        <v>50</v>
      </c>
      <c r="K1377" t="s">
        <v>52</v>
      </c>
      <c r="L1377">
        <v>1</v>
      </c>
      <c r="M1377" t="s">
        <v>53</v>
      </c>
      <c r="N1377">
        <v>102</v>
      </c>
      <c r="O1377">
        <v>1</v>
      </c>
      <c r="P1377" t="s">
        <v>52</v>
      </c>
      <c r="Q1377">
        <v>0</v>
      </c>
      <c r="R1377">
        <v>0.92</v>
      </c>
      <c r="S1377">
        <v>131.69999999999999</v>
      </c>
      <c r="T1377" t="s">
        <v>284</v>
      </c>
      <c r="U1377">
        <v>170</v>
      </c>
      <c r="V1377" t="s">
        <v>284</v>
      </c>
      <c r="W1377">
        <v>191</v>
      </c>
      <c r="X1377" t="s">
        <v>284</v>
      </c>
      <c r="Y1377">
        <v>207</v>
      </c>
      <c r="Z1377" t="s">
        <v>284</v>
      </c>
      <c r="AA1377">
        <v>205</v>
      </c>
      <c r="AB1377" t="s">
        <v>285</v>
      </c>
      <c r="AG1377">
        <v>188.66669999999999</v>
      </c>
      <c r="AH1377" t="s">
        <v>54</v>
      </c>
      <c r="AI1377" t="s">
        <v>52</v>
      </c>
      <c r="AZ1377" t="s">
        <v>52</v>
      </c>
      <c r="BQ1377" t="s">
        <v>52</v>
      </c>
      <c r="BR1377">
        <v>0.93</v>
      </c>
      <c r="BS1377" t="s">
        <v>285</v>
      </c>
      <c r="BT1377">
        <v>1.03</v>
      </c>
      <c r="BU1377" t="s">
        <v>284</v>
      </c>
      <c r="BV1377">
        <v>0.8</v>
      </c>
      <c r="BW1377" t="s">
        <v>285</v>
      </c>
      <c r="BX1377">
        <v>0.55000000000000004</v>
      </c>
      <c r="BY1377" t="s">
        <v>285</v>
      </c>
      <c r="BZ1377">
        <v>0.47</v>
      </c>
      <c r="CA1377" t="s">
        <v>284</v>
      </c>
      <c r="CF1377">
        <v>0.76</v>
      </c>
      <c r="CG1377" t="s">
        <v>54</v>
      </c>
      <c r="CH1377" t="s">
        <v>52</v>
      </c>
    </row>
    <row r="1378" spans="1:86" x14ac:dyDescent="0.25">
      <c r="A1378" t="s">
        <v>47</v>
      </c>
      <c r="B1378">
        <v>8</v>
      </c>
      <c r="C1378" t="s">
        <v>210</v>
      </c>
      <c r="D1378">
        <v>123</v>
      </c>
      <c r="E1378" t="s">
        <v>58</v>
      </c>
      <c r="F1378">
        <v>102</v>
      </c>
      <c r="G1378" t="s">
        <v>67</v>
      </c>
      <c r="H1378" t="s">
        <v>50</v>
      </c>
      <c r="K1378" t="s">
        <v>51</v>
      </c>
      <c r="L1378">
        <v>1</v>
      </c>
      <c r="M1378" t="s">
        <v>53</v>
      </c>
      <c r="N1378">
        <v>102</v>
      </c>
      <c r="O1378">
        <v>1</v>
      </c>
      <c r="P1378" t="s">
        <v>52</v>
      </c>
      <c r="Q1378">
        <v>0</v>
      </c>
      <c r="R1378">
        <v>0.92</v>
      </c>
      <c r="S1378">
        <v>131.69999999999999</v>
      </c>
      <c r="T1378" t="s">
        <v>284</v>
      </c>
      <c r="U1378">
        <v>170</v>
      </c>
      <c r="V1378" t="s">
        <v>284</v>
      </c>
      <c r="W1378">
        <v>191</v>
      </c>
      <c r="X1378" t="s">
        <v>284</v>
      </c>
      <c r="Y1378">
        <v>207</v>
      </c>
      <c r="Z1378" t="s">
        <v>285</v>
      </c>
      <c r="AA1378">
        <v>205</v>
      </c>
      <c r="AB1378" t="s">
        <v>285</v>
      </c>
      <c r="AG1378">
        <v>188.66669999999999</v>
      </c>
      <c r="AH1378" t="s">
        <v>54</v>
      </c>
      <c r="AI1378" t="s">
        <v>52</v>
      </c>
      <c r="AZ1378" t="s">
        <v>52</v>
      </c>
      <c r="BQ1378" t="s">
        <v>52</v>
      </c>
      <c r="BR1378">
        <v>1.85</v>
      </c>
      <c r="BS1378" t="s">
        <v>284</v>
      </c>
      <c r="BT1378">
        <v>1.97</v>
      </c>
      <c r="BU1378" t="s">
        <v>284</v>
      </c>
      <c r="CH1378" t="s">
        <v>52</v>
      </c>
    </row>
    <row r="1379" spans="1:86" x14ac:dyDescent="0.25">
      <c r="A1379" t="s">
        <v>47</v>
      </c>
      <c r="B1379">
        <v>8</v>
      </c>
      <c r="C1379" t="s">
        <v>210</v>
      </c>
      <c r="D1379">
        <v>123</v>
      </c>
      <c r="E1379" t="s">
        <v>58</v>
      </c>
      <c r="F1379">
        <v>102</v>
      </c>
      <c r="G1379" t="s">
        <v>67</v>
      </c>
      <c r="H1379" t="s">
        <v>50</v>
      </c>
      <c r="K1379" t="s">
        <v>52</v>
      </c>
      <c r="L1379">
        <v>1</v>
      </c>
      <c r="M1379" t="s">
        <v>53</v>
      </c>
      <c r="N1379">
        <v>102</v>
      </c>
      <c r="O1379">
        <v>1</v>
      </c>
      <c r="P1379" t="s">
        <v>52</v>
      </c>
      <c r="Q1379">
        <v>0</v>
      </c>
      <c r="R1379">
        <v>0.92</v>
      </c>
      <c r="S1379">
        <v>131.69999999999999</v>
      </c>
      <c r="T1379" t="s">
        <v>284</v>
      </c>
      <c r="U1379">
        <v>170</v>
      </c>
      <c r="V1379" t="s">
        <v>284</v>
      </c>
      <c r="W1379">
        <v>191</v>
      </c>
      <c r="X1379" t="s">
        <v>284</v>
      </c>
      <c r="Y1379">
        <v>207</v>
      </c>
      <c r="Z1379" t="s">
        <v>285</v>
      </c>
      <c r="AA1379">
        <v>205</v>
      </c>
      <c r="AB1379" t="s">
        <v>285</v>
      </c>
      <c r="AG1379">
        <v>188.66669999999999</v>
      </c>
      <c r="AH1379" t="s">
        <v>54</v>
      </c>
      <c r="AI1379" t="s">
        <v>52</v>
      </c>
      <c r="AZ1379" t="s">
        <v>52</v>
      </c>
      <c r="BQ1379" t="s">
        <v>52</v>
      </c>
      <c r="BR1379">
        <v>0.67</v>
      </c>
      <c r="BS1379" t="s">
        <v>285</v>
      </c>
      <c r="BT1379">
        <v>1.03</v>
      </c>
      <c r="BU1379" t="s">
        <v>284</v>
      </c>
      <c r="BV1379">
        <v>1.53</v>
      </c>
      <c r="BW1379" t="s">
        <v>285</v>
      </c>
      <c r="BX1379">
        <v>0.55000000000000004</v>
      </c>
      <c r="BY1379" t="s">
        <v>285</v>
      </c>
      <c r="BZ1379">
        <v>0.47</v>
      </c>
      <c r="CA1379" t="s">
        <v>284</v>
      </c>
      <c r="CF1379">
        <v>0.75</v>
      </c>
      <c r="CG1379" t="s">
        <v>54</v>
      </c>
      <c r="CH1379" t="s">
        <v>52</v>
      </c>
    </row>
    <row r="1380" spans="1:86" x14ac:dyDescent="0.25">
      <c r="A1380" t="s">
        <v>47</v>
      </c>
      <c r="B1380">
        <v>8</v>
      </c>
      <c r="C1380" t="s">
        <v>210</v>
      </c>
      <c r="D1380">
        <v>123</v>
      </c>
      <c r="E1380" t="s">
        <v>68</v>
      </c>
      <c r="F1380">
        <v>80</v>
      </c>
      <c r="G1380" t="s">
        <v>69</v>
      </c>
      <c r="H1380" t="s">
        <v>50</v>
      </c>
      <c r="K1380" t="s">
        <v>51</v>
      </c>
      <c r="L1380">
        <v>1</v>
      </c>
      <c r="M1380" t="s">
        <v>53</v>
      </c>
      <c r="N1380">
        <v>80</v>
      </c>
      <c r="O1380">
        <v>1</v>
      </c>
      <c r="P1380" t="s">
        <v>52</v>
      </c>
      <c r="Q1380">
        <v>0.5</v>
      </c>
      <c r="R1380">
        <v>0.75</v>
      </c>
      <c r="S1380">
        <v>202.92</v>
      </c>
      <c r="T1380" t="s">
        <v>284</v>
      </c>
      <c r="U1380">
        <v>198.9</v>
      </c>
      <c r="V1380" t="s">
        <v>284</v>
      </c>
      <c r="W1380">
        <v>212.4</v>
      </c>
      <c r="X1380" t="s">
        <v>284</v>
      </c>
      <c r="Y1380">
        <v>219.6</v>
      </c>
      <c r="Z1380" t="s">
        <v>284</v>
      </c>
      <c r="AA1380">
        <v>178</v>
      </c>
      <c r="AB1380" t="s">
        <v>284</v>
      </c>
      <c r="AG1380">
        <v>204.74</v>
      </c>
      <c r="AH1380" t="s">
        <v>54</v>
      </c>
      <c r="AI1380" t="s">
        <v>52</v>
      </c>
      <c r="AZ1380" t="s">
        <v>52</v>
      </c>
      <c r="BQ1380" t="s">
        <v>52</v>
      </c>
      <c r="BR1380">
        <v>1.85</v>
      </c>
      <c r="BS1380" t="s">
        <v>284</v>
      </c>
      <c r="BT1380">
        <v>1.97</v>
      </c>
      <c r="BU1380" t="s">
        <v>284</v>
      </c>
      <c r="BV1380">
        <v>2.15</v>
      </c>
      <c r="BW1380" t="s">
        <v>284</v>
      </c>
      <c r="BX1380">
        <v>2.7</v>
      </c>
      <c r="BY1380" t="s">
        <v>284</v>
      </c>
      <c r="BZ1380">
        <v>2.35</v>
      </c>
      <c r="CA1380" t="s">
        <v>285</v>
      </c>
      <c r="CF1380">
        <v>2.16</v>
      </c>
      <c r="CG1380" t="s">
        <v>54</v>
      </c>
      <c r="CH1380" t="s">
        <v>52</v>
      </c>
    </row>
    <row r="1381" spans="1:86" x14ac:dyDescent="0.25">
      <c r="A1381" t="s">
        <v>47</v>
      </c>
      <c r="B1381">
        <v>8</v>
      </c>
      <c r="C1381" t="s">
        <v>210</v>
      </c>
      <c r="D1381">
        <v>123</v>
      </c>
      <c r="E1381" t="s">
        <v>68</v>
      </c>
      <c r="F1381">
        <v>80</v>
      </c>
      <c r="G1381" t="s">
        <v>69</v>
      </c>
      <c r="H1381" t="s">
        <v>50</v>
      </c>
      <c r="K1381" t="s">
        <v>52</v>
      </c>
      <c r="L1381">
        <v>1</v>
      </c>
      <c r="M1381" t="s">
        <v>53</v>
      </c>
      <c r="N1381">
        <v>80</v>
      </c>
      <c r="O1381">
        <v>1</v>
      </c>
      <c r="P1381" t="s">
        <v>52</v>
      </c>
      <c r="Q1381">
        <v>0.5</v>
      </c>
      <c r="R1381">
        <v>0.75</v>
      </c>
      <c r="S1381">
        <v>202.92</v>
      </c>
      <c r="T1381" t="s">
        <v>284</v>
      </c>
      <c r="U1381">
        <v>198.9</v>
      </c>
      <c r="V1381" t="s">
        <v>284</v>
      </c>
      <c r="W1381">
        <v>212.4</v>
      </c>
      <c r="X1381" t="s">
        <v>284</v>
      </c>
      <c r="Y1381">
        <v>219.6</v>
      </c>
      <c r="Z1381" t="s">
        <v>284</v>
      </c>
      <c r="AA1381">
        <v>178</v>
      </c>
      <c r="AB1381" t="s">
        <v>284</v>
      </c>
      <c r="AG1381">
        <v>204.74</v>
      </c>
      <c r="AH1381" t="s">
        <v>54</v>
      </c>
      <c r="AI1381" t="s">
        <v>52</v>
      </c>
      <c r="AZ1381" t="s">
        <v>52</v>
      </c>
      <c r="BQ1381" t="s">
        <v>52</v>
      </c>
      <c r="BR1381">
        <v>0.65</v>
      </c>
      <c r="BS1381" t="s">
        <v>285</v>
      </c>
      <c r="BT1381">
        <v>0.91</v>
      </c>
      <c r="BU1381" t="s">
        <v>284</v>
      </c>
      <c r="BV1381">
        <v>0.74</v>
      </c>
      <c r="BW1381" t="s">
        <v>284</v>
      </c>
      <c r="BX1381">
        <v>1.23</v>
      </c>
      <c r="BY1381" t="s">
        <v>284</v>
      </c>
      <c r="BZ1381">
        <v>0.56999999999999995</v>
      </c>
      <c r="CA1381" t="s">
        <v>288</v>
      </c>
      <c r="CF1381">
        <v>0.77</v>
      </c>
      <c r="CG1381" t="s">
        <v>54</v>
      </c>
      <c r="CH1381" t="s">
        <v>52</v>
      </c>
    </row>
    <row r="1382" spans="1:86" x14ac:dyDescent="0.25">
      <c r="A1382" t="s">
        <v>47</v>
      </c>
      <c r="B1382">
        <v>8</v>
      </c>
      <c r="C1382" t="s">
        <v>210</v>
      </c>
      <c r="D1382">
        <v>123</v>
      </c>
      <c r="E1382" t="s">
        <v>70</v>
      </c>
      <c r="F1382">
        <v>296</v>
      </c>
      <c r="G1382" t="s">
        <v>71</v>
      </c>
      <c r="H1382" t="s">
        <v>50</v>
      </c>
      <c r="K1382" t="s">
        <v>51</v>
      </c>
      <c r="L1382">
        <v>1</v>
      </c>
      <c r="M1382" t="s">
        <v>53</v>
      </c>
      <c r="N1382">
        <v>296</v>
      </c>
      <c r="O1382">
        <v>1</v>
      </c>
      <c r="P1382" t="s">
        <v>52</v>
      </c>
      <c r="Q1382">
        <v>0</v>
      </c>
      <c r="R1382">
        <v>0.75</v>
      </c>
      <c r="S1382">
        <v>228</v>
      </c>
      <c r="T1382" t="s">
        <v>284</v>
      </c>
      <c r="U1382">
        <v>190</v>
      </c>
      <c r="V1382" t="s">
        <v>285</v>
      </c>
      <c r="W1382">
        <v>194</v>
      </c>
      <c r="X1382" t="s">
        <v>285</v>
      </c>
      <c r="Y1382">
        <v>225</v>
      </c>
      <c r="Z1382" t="s">
        <v>285</v>
      </c>
      <c r="AA1382">
        <v>247</v>
      </c>
      <c r="AB1382" t="s">
        <v>285</v>
      </c>
      <c r="AC1382">
        <v>241</v>
      </c>
      <c r="AD1382" t="s">
        <v>285</v>
      </c>
      <c r="AE1382">
        <v>219</v>
      </c>
      <c r="AF1382" t="s">
        <v>285</v>
      </c>
      <c r="AG1382">
        <v>219</v>
      </c>
      <c r="AH1382" t="s">
        <v>286</v>
      </c>
      <c r="AI1382" t="s">
        <v>287</v>
      </c>
      <c r="AX1382">
        <v>263</v>
      </c>
      <c r="AY1382" t="s">
        <v>286</v>
      </c>
      <c r="AZ1382" t="s">
        <v>287</v>
      </c>
      <c r="BQ1382" t="s">
        <v>52</v>
      </c>
      <c r="BR1382">
        <v>1.85</v>
      </c>
      <c r="BS1382" t="s">
        <v>284</v>
      </c>
      <c r="BT1382">
        <v>3.15</v>
      </c>
      <c r="BU1382" t="s">
        <v>285</v>
      </c>
      <c r="BV1382">
        <v>1.88</v>
      </c>
      <c r="BW1382" t="s">
        <v>285</v>
      </c>
      <c r="BX1382">
        <v>4.32</v>
      </c>
      <c r="BY1382" t="s">
        <v>288</v>
      </c>
      <c r="BZ1382">
        <v>3.36</v>
      </c>
      <c r="CA1382" t="s">
        <v>288</v>
      </c>
      <c r="CF1382">
        <v>2.8</v>
      </c>
      <c r="CG1382" t="s">
        <v>54</v>
      </c>
      <c r="CH1382" t="s">
        <v>52</v>
      </c>
    </row>
    <row r="1383" spans="1:86" x14ac:dyDescent="0.25">
      <c r="A1383" t="s">
        <v>47</v>
      </c>
      <c r="B1383">
        <v>8</v>
      </c>
      <c r="C1383" t="s">
        <v>210</v>
      </c>
      <c r="D1383">
        <v>123</v>
      </c>
      <c r="E1383" t="s">
        <v>70</v>
      </c>
      <c r="F1383">
        <v>296</v>
      </c>
      <c r="G1383" t="s">
        <v>71</v>
      </c>
      <c r="H1383" t="s">
        <v>50</v>
      </c>
      <c r="K1383" t="s">
        <v>52</v>
      </c>
      <c r="L1383">
        <v>1</v>
      </c>
      <c r="M1383" t="s">
        <v>53</v>
      </c>
      <c r="N1383">
        <v>296</v>
      </c>
      <c r="O1383">
        <v>1</v>
      </c>
      <c r="P1383" t="s">
        <v>52</v>
      </c>
      <c r="Q1383">
        <v>0</v>
      </c>
      <c r="R1383">
        <v>0.75</v>
      </c>
      <c r="S1383">
        <v>228</v>
      </c>
      <c r="T1383" t="s">
        <v>284</v>
      </c>
      <c r="U1383">
        <v>190</v>
      </c>
      <c r="V1383" t="s">
        <v>285</v>
      </c>
      <c r="W1383">
        <v>194</v>
      </c>
      <c r="X1383" t="s">
        <v>285</v>
      </c>
      <c r="Y1383">
        <v>225</v>
      </c>
      <c r="Z1383" t="s">
        <v>285</v>
      </c>
      <c r="AA1383">
        <v>247</v>
      </c>
      <c r="AB1383" t="s">
        <v>285</v>
      </c>
      <c r="AC1383">
        <v>241</v>
      </c>
      <c r="AD1383" t="s">
        <v>285</v>
      </c>
      <c r="AE1383">
        <v>219</v>
      </c>
      <c r="AF1383" t="s">
        <v>285</v>
      </c>
      <c r="AG1383">
        <v>219</v>
      </c>
      <c r="AH1383" t="s">
        <v>286</v>
      </c>
      <c r="AI1383" t="s">
        <v>287</v>
      </c>
      <c r="AX1383">
        <v>263</v>
      </c>
      <c r="AY1383" t="s">
        <v>286</v>
      </c>
      <c r="AZ1383" t="s">
        <v>287</v>
      </c>
      <c r="BQ1383" t="s">
        <v>52</v>
      </c>
      <c r="BR1383">
        <v>0.65</v>
      </c>
      <c r="BS1383" t="s">
        <v>284</v>
      </c>
      <c r="BT1383">
        <v>1.57</v>
      </c>
      <c r="BU1383" t="s">
        <v>285</v>
      </c>
      <c r="BV1383">
        <v>0.48</v>
      </c>
      <c r="BW1383" t="s">
        <v>285</v>
      </c>
      <c r="BX1383">
        <v>0.22</v>
      </c>
      <c r="BY1383" t="s">
        <v>284</v>
      </c>
      <c r="BZ1383">
        <v>1.74</v>
      </c>
      <c r="CA1383" t="s">
        <v>288</v>
      </c>
      <c r="CF1383">
        <v>0.9</v>
      </c>
      <c r="CG1383" t="s">
        <v>54</v>
      </c>
      <c r="CH1383" t="s">
        <v>52</v>
      </c>
    </row>
    <row r="1384" spans="1:86" x14ac:dyDescent="0.25">
      <c r="A1384" t="s">
        <v>47</v>
      </c>
      <c r="B1384">
        <v>8</v>
      </c>
      <c r="C1384" t="s">
        <v>210</v>
      </c>
      <c r="D1384">
        <v>123</v>
      </c>
      <c r="E1384" t="s">
        <v>70</v>
      </c>
      <c r="F1384">
        <v>296</v>
      </c>
      <c r="G1384" t="s">
        <v>72</v>
      </c>
      <c r="H1384" t="s">
        <v>50</v>
      </c>
      <c r="K1384" t="s">
        <v>51</v>
      </c>
      <c r="L1384">
        <v>1</v>
      </c>
      <c r="M1384" t="s">
        <v>53</v>
      </c>
      <c r="N1384">
        <v>296</v>
      </c>
      <c r="O1384">
        <v>1</v>
      </c>
      <c r="P1384" t="s">
        <v>52</v>
      </c>
      <c r="Q1384">
        <v>0.5</v>
      </c>
      <c r="R1384">
        <v>0.75</v>
      </c>
      <c r="S1384">
        <v>228</v>
      </c>
      <c r="T1384" t="s">
        <v>284</v>
      </c>
      <c r="U1384">
        <v>221</v>
      </c>
      <c r="V1384" t="s">
        <v>284</v>
      </c>
      <c r="W1384">
        <v>236</v>
      </c>
      <c r="X1384" t="s">
        <v>284</v>
      </c>
      <c r="Y1384">
        <v>244</v>
      </c>
      <c r="Z1384" t="s">
        <v>284</v>
      </c>
      <c r="AA1384">
        <v>215</v>
      </c>
      <c r="AB1384" t="s">
        <v>285</v>
      </c>
      <c r="AG1384">
        <v>228.33330000000001</v>
      </c>
      <c r="AH1384" t="s">
        <v>54</v>
      </c>
      <c r="AI1384" t="s">
        <v>52</v>
      </c>
      <c r="AZ1384" t="s">
        <v>52</v>
      </c>
      <c r="BQ1384" t="s">
        <v>52</v>
      </c>
      <c r="CH1384" t="s">
        <v>52</v>
      </c>
    </row>
    <row r="1385" spans="1:86" x14ac:dyDescent="0.25">
      <c r="A1385" t="s">
        <v>47</v>
      </c>
      <c r="B1385">
        <v>8</v>
      </c>
      <c r="C1385" t="s">
        <v>210</v>
      </c>
      <c r="D1385">
        <v>123</v>
      </c>
      <c r="E1385" t="s">
        <v>70</v>
      </c>
      <c r="F1385">
        <v>296</v>
      </c>
      <c r="G1385" t="s">
        <v>72</v>
      </c>
      <c r="H1385" t="s">
        <v>50</v>
      </c>
      <c r="K1385" t="s">
        <v>52</v>
      </c>
      <c r="L1385">
        <v>1</v>
      </c>
      <c r="M1385" t="s">
        <v>53</v>
      </c>
      <c r="N1385">
        <v>296</v>
      </c>
      <c r="O1385">
        <v>1</v>
      </c>
      <c r="P1385" t="s">
        <v>52</v>
      </c>
      <c r="Q1385">
        <v>0.5</v>
      </c>
      <c r="R1385">
        <v>0.75</v>
      </c>
      <c r="S1385">
        <v>228</v>
      </c>
      <c r="T1385" t="s">
        <v>284</v>
      </c>
      <c r="U1385">
        <v>221</v>
      </c>
      <c r="V1385" t="s">
        <v>284</v>
      </c>
      <c r="W1385">
        <v>236</v>
      </c>
      <c r="X1385" t="s">
        <v>284</v>
      </c>
      <c r="Y1385">
        <v>244</v>
      </c>
      <c r="Z1385" t="s">
        <v>284</v>
      </c>
      <c r="AA1385">
        <v>215</v>
      </c>
      <c r="AB1385" t="s">
        <v>285</v>
      </c>
      <c r="AG1385">
        <v>228.33330000000001</v>
      </c>
      <c r="AH1385" t="s">
        <v>54</v>
      </c>
      <c r="AI1385" t="s">
        <v>52</v>
      </c>
      <c r="AZ1385" t="s">
        <v>52</v>
      </c>
      <c r="BQ1385" t="s">
        <v>52</v>
      </c>
      <c r="BR1385">
        <v>0.65</v>
      </c>
      <c r="BS1385" t="s">
        <v>284</v>
      </c>
      <c r="BT1385">
        <v>0.76</v>
      </c>
      <c r="BU1385" t="s">
        <v>284</v>
      </c>
      <c r="BV1385">
        <v>0.23</v>
      </c>
      <c r="BW1385" t="s">
        <v>284</v>
      </c>
      <c r="BX1385">
        <v>0.25</v>
      </c>
      <c r="BY1385" t="s">
        <v>285</v>
      </c>
      <c r="BZ1385">
        <v>0.25</v>
      </c>
      <c r="CA1385" t="s">
        <v>284</v>
      </c>
      <c r="CF1385">
        <v>0.38</v>
      </c>
      <c r="CG1385" t="s">
        <v>54</v>
      </c>
      <c r="CH1385" t="s">
        <v>52</v>
      </c>
    </row>
    <row r="1386" spans="1:86" x14ac:dyDescent="0.25">
      <c r="A1386" t="s">
        <v>47</v>
      </c>
      <c r="B1386">
        <v>8</v>
      </c>
      <c r="C1386" t="s">
        <v>210</v>
      </c>
      <c r="D1386">
        <v>123</v>
      </c>
      <c r="E1386" t="s">
        <v>70</v>
      </c>
      <c r="F1386">
        <v>296</v>
      </c>
      <c r="G1386" t="s">
        <v>73</v>
      </c>
      <c r="H1386" t="s">
        <v>50</v>
      </c>
      <c r="K1386" t="s">
        <v>51</v>
      </c>
      <c r="L1386">
        <v>1</v>
      </c>
      <c r="M1386" t="s">
        <v>53</v>
      </c>
      <c r="N1386">
        <v>296</v>
      </c>
      <c r="O1386">
        <v>1</v>
      </c>
      <c r="P1386" t="s">
        <v>52</v>
      </c>
      <c r="Q1386">
        <v>0</v>
      </c>
      <c r="R1386">
        <v>0.75</v>
      </c>
      <c r="S1386">
        <v>228</v>
      </c>
      <c r="T1386" t="s">
        <v>284</v>
      </c>
      <c r="U1386">
        <v>221</v>
      </c>
      <c r="V1386" t="s">
        <v>284</v>
      </c>
      <c r="W1386">
        <v>236</v>
      </c>
      <c r="X1386" t="s">
        <v>284</v>
      </c>
      <c r="Y1386">
        <v>244</v>
      </c>
      <c r="Z1386" t="s">
        <v>284</v>
      </c>
      <c r="AA1386">
        <v>225</v>
      </c>
      <c r="AB1386" t="s">
        <v>285</v>
      </c>
      <c r="AG1386">
        <v>229.66669999999999</v>
      </c>
      <c r="AH1386" t="s">
        <v>54</v>
      </c>
      <c r="AI1386" t="s">
        <v>52</v>
      </c>
      <c r="AZ1386" t="s">
        <v>52</v>
      </c>
      <c r="BQ1386" t="s">
        <v>52</v>
      </c>
      <c r="BR1386">
        <v>1.85</v>
      </c>
      <c r="BS1386" t="s">
        <v>284</v>
      </c>
      <c r="BT1386">
        <v>1.97</v>
      </c>
      <c r="BU1386" t="s">
        <v>284</v>
      </c>
      <c r="BV1386">
        <v>1.18</v>
      </c>
      <c r="BW1386" t="s">
        <v>284</v>
      </c>
      <c r="BX1386">
        <v>1.66</v>
      </c>
      <c r="BY1386" t="s">
        <v>284</v>
      </c>
      <c r="BZ1386">
        <v>1.66</v>
      </c>
      <c r="CA1386" t="s">
        <v>284</v>
      </c>
      <c r="CF1386">
        <v>1.72</v>
      </c>
      <c r="CG1386" t="s">
        <v>54</v>
      </c>
      <c r="CH1386" t="s">
        <v>52</v>
      </c>
    </row>
    <row r="1387" spans="1:86" x14ac:dyDescent="0.25">
      <c r="A1387" t="s">
        <v>47</v>
      </c>
      <c r="B1387">
        <v>8</v>
      </c>
      <c r="C1387" t="s">
        <v>210</v>
      </c>
      <c r="D1387">
        <v>123</v>
      </c>
      <c r="E1387" t="s">
        <v>70</v>
      </c>
      <c r="F1387">
        <v>296</v>
      </c>
      <c r="G1387" t="s">
        <v>73</v>
      </c>
      <c r="H1387" t="s">
        <v>50</v>
      </c>
      <c r="K1387" t="s">
        <v>52</v>
      </c>
      <c r="L1387">
        <v>1</v>
      </c>
      <c r="M1387" t="s">
        <v>53</v>
      </c>
      <c r="N1387">
        <v>296</v>
      </c>
      <c r="O1387">
        <v>1</v>
      </c>
      <c r="P1387" t="s">
        <v>52</v>
      </c>
      <c r="Q1387">
        <v>0</v>
      </c>
      <c r="R1387">
        <v>0.75</v>
      </c>
      <c r="S1387">
        <v>228</v>
      </c>
      <c r="T1387" t="s">
        <v>284</v>
      </c>
      <c r="U1387">
        <v>221</v>
      </c>
      <c r="V1387" t="s">
        <v>284</v>
      </c>
      <c r="W1387">
        <v>236</v>
      </c>
      <c r="X1387" t="s">
        <v>284</v>
      </c>
      <c r="Y1387">
        <v>244</v>
      </c>
      <c r="Z1387" t="s">
        <v>284</v>
      </c>
      <c r="AA1387">
        <v>225</v>
      </c>
      <c r="AB1387" t="s">
        <v>285</v>
      </c>
      <c r="AG1387">
        <v>229.66669999999999</v>
      </c>
      <c r="AH1387" t="s">
        <v>54</v>
      </c>
      <c r="AI1387" t="s">
        <v>52</v>
      </c>
      <c r="AZ1387" t="s">
        <v>52</v>
      </c>
      <c r="BQ1387" t="s">
        <v>52</v>
      </c>
      <c r="BR1387">
        <v>0.65</v>
      </c>
      <c r="BS1387" t="s">
        <v>284</v>
      </c>
      <c r="BT1387">
        <v>1.02</v>
      </c>
      <c r="BU1387" t="s">
        <v>284</v>
      </c>
      <c r="BV1387">
        <v>0.31</v>
      </c>
      <c r="BW1387" t="s">
        <v>284</v>
      </c>
      <c r="BX1387">
        <v>0.51</v>
      </c>
      <c r="BY1387" t="s">
        <v>288</v>
      </c>
      <c r="BZ1387">
        <v>0.51</v>
      </c>
      <c r="CA1387" t="s">
        <v>284</v>
      </c>
      <c r="CF1387">
        <v>0.56000000000000005</v>
      </c>
      <c r="CG1387" t="s">
        <v>54</v>
      </c>
      <c r="CH1387" t="s">
        <v>52</v>
      </c>
    </row>
    <row r="1388" spans="1:86" x14ac:dyDescent="0.25">
      <c r="A1388" t="s">
        <v>47</v>
      </c>
      <c r="B1388">
        <v>8</v>
      </c>
      <c r="C1388" t="s">
        <v>210</v>
      </c>
      <c r="D1388">
        <v>123</v>
      </c>
      <c r="E1388" t="s">
        <v>70</v>
      </c>
      <c r="F1388">
        <v>296</v>
      </c>
      <c r="G1388" t="s">
        <v>74</v>
      </c>
      <c r="H1388" t="s">
        <v>50</v>
      </c>
      <c r="K1388" t="s">
        <v>51</v>
      </c>
      <c r="L1388">
        <v>1</v>
      </c>
      <c r="M1388" t="s">
        <v>53</v>
      </c>
      <c r="N1388">
        <v>102</v>
      </c>
      <c r="O1388">
        <v>1</v>
      </c>
      <c r="P1388" t="s">
        <v>52</v>
      </c>
      <c r="Q1388">
        <v>0</v>
      </c>
      <c r="R1388">
        <v>0.75</v>
      </c>
      <c r="S1388">
        <v>135</v>
      </c>
      <c r="T1388" t="s">
        <v>284</v>
      </c>
      <c r="U1388">
        <v>132</v>
      </c>
      <c r="V1388" t="s">
        <v>284</v>
      </c>
      <c r="W1388">
        <v>147</v>
      </c>
      <c r="X1388" t="s">
        <v>284</v>
      </c>
      <c r="Y1388">
        <v>170</v>
      </c>
      <c r="Z1388" t="s">
        <v>284</v>
      </c>
      <c r="AA1388">
        <v>205</v>
      </c>
      <c r="AB1388" t="s">
        <v>285</v>
      </c>
      <c r="AG1388">
        <v>150.66669999999999</v>
      </c>
      <c r="AH1388" t="s">
        <v>54</v>
      </c>
      <c r="AI1388" t="s">
        <v>52</v>
      </c>
      <c r="AZ1388" t="s">
        <v>52</v>
      </c>
      <c r="BQ1388" t="s">
        <v>52</v>
      </c>
      <c r="BR1388">
        <v>1.85</v>
      </c>
      <c r="BS1388" t="s">
        <v>284</v>
      </c>
      <c r="BT1388">
        <v>1.97</v>
      </c>
      <c r="BU1388" t="s">
        <v>284</v>
      </c>
      <c r="BV1388">
        <v>1.3</v>
      </c>
      <c r="BW1388" t="s">
        <v>285</v>
      </c>
      <c r="BX1388">
        <v>1.3</v>
      </c>
      <c r="BY1388" t="s">
        <v>285</v>
      </c>
      <c r="BZ1388">
        <v>1.24</v>
      </c>
      <c r="CA1388" t="s">
        <v>289</v>
      </c>
      <c r="CF1388">
        <v>1.48</v>
      </c>
      <c r="CG1388" t="s">
        <v>54</v>
      </c>
      <c r="CH1388" t="s">
        <v>52</v>
      </c>
    </row>
    <row r="1389" spans="1:86" x14ac:dyDescent="0.25">
      <c r="A1389" t="s">
        <v>47</v>
      </c>
      <c r="B1389">
        <v>8</v>
      </c>
      <c r="C1389" t="s">
        <v>210</v>
      </c>
      <c r="D1389">
        <v>123</v>
      </c>
      <c r="E1389" t="s">
        <v>70</v>
      </c>
      <c r="F1389">
        <v>296</v>
      </c>
      <c r="G1389" t="s">
        <v>74</v>
      </c>
      <c r="H1389" t="s">
        <v>50</v>
      </c>
      <c r="K1389" t="s">
        <v>52</v>
      </c>
      <c r="L1389">
        <v>1</v>
      </c>
      <c r="M1389" t="s">
        <v>53</v>
      </c>
      <c r="N1389">
        <v>102</v>
      </c>
      <c r="O1389">
        <v>1</v>
      </c>
      <c r="P1389" t="s">
        <v>52</v>
      </c>
      <c r="Q1389">
        <v>0</v>
      </c>
      <c r="R1389">
        <v>0.75</v>
      </c>
      <c r="S1389">
        <v>135</v>
      </c>
      <c r="T1389" t="s">
        <v>284</v>
      </c>
      <c r="U1389">
        <v>132</v>
      </c>
      <c r="V1389" t="s">
        <v>284</v>
      </c>
      <c r="W1389">
        <v>147</v>
      </c>
      <c r="X1389" t="s">
        <v>284</v>
      </c>
      <c r="Y1389">
        <v>170</v>
      </c>
      <c r="Z1389" t="s">
        <v>284</v>
      </c>
      <c r="AA1389">
        <v>205</v>
      </c>
      <c r="AB1389" t="s">
        <v>285</v>
      </c>
      <c r="AG1389">
        <v>150.66669999999999</v>
      </c>
      <c r="AH1389" t="s">
        <v>54</v>
      </c>
      <c r="AI1389" t="s">
        <v>52</v>
      </c>
      <c r="AZ1389" t="s">
        <v>52</v>
      </c>
      <c r="BQ1389" t="s">
        <v>52</v>
      </c>
      <c r="BR1389">
        <v>0.65</v>
      </c>
      <c r="BS1389" t="s">
        <v>284</v>
      </c>
      <c r="BT1389">
        <v>0.52</v>
      </c>
      <c r="BU1389" t="s">
        <v>284</v>
      </c>
      <c r="BV1389">
        <v>0.11</v>
      </c>
      <c r="BW1389" t="s">
        <v>284</v>
      </c>
      <c r="BX1389">
        <v>0.25</v>
      </c>
      <c r="BY1389" t="s">
        <v>285</v>
      </c>
      <c r="BZ1389">
        <v>0.22</v>
      </c>
      <c r="CA1389" t="s">
        <v>289</v>
      </c>
      <c r="CF1389">
        <v>0.33</v>
      </c>
      <c r="CG1389" t="s">
        <v>54</v>
      </c>
      <c r="CH1389" t="s">
        <v>52</v>
      </c>
    </row>
    <row r="1390" spans="1:86" x14ac:dyDescent="0.25">
      <c r="A1390" t="s">
        <v>47</v>
      </c>
      <c r="B1390">
        <v>8</v>
      </c>
      <c r="C1390" t="s">
        <v>210</v>
      </c>
      <c r="D1390">
        <v>123</v>
      </c>
      <c r="E1390" t="s">
        <v>70</v>
      </c>
      <c r="F1390">
        <v>296</v>
      </c>
      <c r="G1390" t="s">
        <v>91</v>
      </c>
      <c r="H1390" t="s">
        <v>50</v>
      </c>
      <c r="K1390" t="s">
        <v>51</v>
      </c>
      <c r="L1390">
        <v>1</v>
      </c>
      <c r="M1390" t="s">
        <v>53</v>
      </c>
      <c r="N1390">
        <v>102</v>
      </c>
      <c r="O1390">
        <v>1</v>
      </c>
      <c r="P1390" t="s">
        <v>52</v>
      </c>
      <c r="Q1390">
        <v>0.5</v>
      </c>
      <c r="R1390">
        <v>0.75</v>
      </c>
      <c r="S1390">
        <v>228</v>
      </c>
      <c r="T1390" t="s">
        <v>284</v>
      </c>
      <c r="U1390">
        <v>190</v>
      </c>
      <c r="V1390" t="s">
        <v>285</v>
      </c>
      <c r="W1390">
        <v>236</v>
      </c>
      <c r="X1390" t="s">
        <v>284</v>
      </c>
      <c r="Y1390">
        <v>244</v>
      </c>
      <c r="Z1390" t="s">
        <v>284</v>
      </c>
      <c r="AA1390">
        <v>215</v>
      </c>
      <c r="AB1390" t="s">
        <v>285</v>
      </c>
      <c r="AG1390">
        <v>226.33330000000001</v>
      </c>
      <c r="AH1390" t="s">
        <v>54</v>
      </c>
      <c r="AI1390" t="s">
        <v>52</v>
      </c>
      <c r="AZ1390" t="s">
        <v>52</v>
      </c>
      <c r="BQ1390" t="s">
        <v>52</v>
      </c>
      <c r="CH1390" t="s">
        <v>52</v>
      </c>
    </row>
    <row r="1391" spans="1:86" x14ac:dyDescent="0.25">
      <c r="A1391" t="s">
        <v>47</v>
      </c>
      <c r="B1391">
        <v>8</v>
      </c>
      <c r="C1391" t="s">
        <v>210</v>
      </c>
      <c r="D1391">
        <v>123</v>
      </c>
      <c r="E1391" t="s">
        <v>70</v>
      </c>
      <c r="F1391">
        <v>296</v>
      </c>
      <c r="G1391" t="s">
        <v>91</v>
      </c>
      <c r="H1391" t="s">
        <v>50</v>
      </c>
      <c r="K1391" t="s">
        <v>52</v>
      </c>
      <c r="L1391">
        <v>1</v>
      </c>
      <c r="M1391" t="s">
        <v>53</v>
      </c>
      <c r="N1391">
        <v>102</v>
      </c>
      <c r="O1391">
        <v>1</v>
      </c>
      <c r="P1391" t="s">
        <v>52</v>
      </c>
      <c r="Q1391">
        <v>0.5</v>
      </c>
      <c r="R1391">
        <v>0.75</v>
      </c>
      <c r="S1391">
        <v>228</v>
      </c>
      <c r="T1391" t="s">
        <v>284</v>
      </c>
      <c r="U1391">
        <v>190</v>
      </c>
      <c r="V1391" t="s">
        <v>285</v>
      </c>
      <c r="W1391">
        <v>236</v>
      </c>
      <c r="X1391" t="s">
        <v>284</v>
      </c>
      <c r="Y1391">
        <v>244</v>
      </c>
      <c r="Z1391" t="s">
        <v>284</v>
      </c>
      <c r="AA1391">
        <v>215</v>
      </c>
      <c r="AB1391" t="s">
        <v>285</v>
      </c>
      <c r="AG1391">
        <v>226.33330000000001</v>
      </c>
      <c r="AH1391" t="s">
        <v>54</v>
      </c>
      <c r="AI1391" t="s">
        <v>52</v>
      </c>
      <c r="AZ1391" t="s">
        <v>52</v>
      </c>
      <c r="BQ1391" t="s">
        <v>52</v>
      </c>
      <c r="BR1391">
        <v>0.65</v>
      </c>
      <c r="BS1391" t="s">
        <v>284</v>
      </c>
      <c r="BT1391">
        <v>0.77</v>
      </c>
      <c r="BU1391" t="s">
        <v>285</v>
      </c>
      <c r="BV1391">
        <v>0.24</v>
      </c>
      <c r="BW1391" t="s">
        <v>285</v>
      </c>
      <c r="BX1391">
        <v>0.25</v>
      </c>
      <c r="BY1391" t="s">
        <v>285</v>
      </c>
      <c r="BZ1391">
        <v>0.25</v>
      </c>
      <c r="CA1391" t="s">
        <v>284</v>
      </c>
      <c r="CF1391">
        <v>0.38</v>
      </c>
      <c r="CG1391" t="s">
        <v>54</v>
      </c>
      <c r="CH1391" t="s">
        <v>52</v>
      </c>
    </row>
    <row r="1392" spans="1:86" x14ac:dyDescent="0.25">
      <c r="A1392" t="s">
        <v>47</v>
      </c>
      <c r="B1392">
        <v>8</v>
      </c>
      <c r="C1392" t="s">
        <v>210</v>
      </c>
      <c r="D1392">
        <v>123</v>
      </c>
      <c r="E1392" t="s">
        <v>70</v>
      </c>
      <c r="F1392">
        <v>296</v>
      </c>
      <c r="G1392" t="s">
        <v>92</v>
      </c>
      <c r="H1392" t="s">
        <v>50</v>
      </c>
      <c r="K1392" t="s">
        <v>51</v>
      </c>
      <c r="L1392">
        <v>1</v>
      </c>
      <c r="M1392" t="s">
        <v>53</v>
      </c>
      <c r="N1392">
        <v>102</v>
      </c>
      <c r="O1392">
        <v>1</v>
      </c>
      <c r="P1392" t="s">
        <v>52</v>
      </c>
      <c r="Q1392">
        <v>0.5</v>
      </c>
      <c r="R1392">
        <v>0.75</v>
      </c>
      <c r="S1392">
        <v>228</v>
      </c>
      <c r="T1392" t="s">
        <v>284</v>
      </c>
      <c r="U1392">
        <v>189</v>
      </c>
      <c r="V1392" t="s">
        <v>285</v>
      </c>
      <c r="W1392">
        <v>199</v>
      </c>
      <c r="X1392" t="s">
        <v>285</v>
      </c>
      <c r="Y1392">
        <v>206</v>
      </c>
      <c r="Z1392" t="s">
        <v>285</v>
      </c>
      <c r="AA1392">
        <v>128</v>
      </c>
      <c r="AB1392" t="s">
        <v>285</v>
      </c>
      <c r="AG1392">
        <v>198</v>
      </c>
      <c r="AH1392" t="s">
        <v>54</v>
      </c>
      <c r="AI1392" t="s">
        <v>52</v>
      </c>
      <c r="AZ1392" t="s">
        <v>52</v>
      </c>
      <c r="BQ1392" t="s">
        <v>52</v>
      </c>
      <c r="BR1392">
        <v>1.85</v>
      </c>
      <c r="BS1392" t="s">
        <v>284</v>
      </c>
      <c r="BT1392">
        <v>1.97</v>
      </c>
      <c r="BU1392" t="s">
        <v>284</v>
      </c>
      <c r="BV1392">
        <v>1.97</v>
      </c>
      <c r="BW1392" t="s">
        <v>284</v>
      </c>
      <c r="BX1392">
        <v>1.97</v>
      </c>
      <c r="BY1392" t="s">
        <v>284</v>
      </c>
      <c r="BZ1392">
        <v>1.97</v>
      </c>
      <c r="CA1392" t="s">
        <v>285</v>
      </c>
      <c r="CF1392">
        <v>1.97</v>
      </c>
      <c r="CG1392" t="s">
        <v>54</v>
      </c>
      <c r="CH1392" t="s">
        <v>52</v>
      </c>
    </row>
    <row r="1393" spans="1:86" x14ac:dyDescent="0.25">
      <c r="A1393" t="s">
        <v>47</v>
      </c>
      <c r="B1393">
        <v>8</v>
      </c>
      <c r="C1393" t="s">
        <v>210</v>
      </c>
      <c r="D1393">
        <v>123</v>
      </c>
      <c r="E1393" t="s">
        <v>70</v>
      </c>
      <c r="F1393">
        <v>296</v>
      </c>
      <c r="G1393" t="s">
        <v>92</v>
      </c>
      <c r="H1393" t="s">
        <v>50</v>
      </c>
      <c r="K1393" t="s">
        <v>52</v>
      </c>
      <c r="L1393">
        <v>1</v>
      </c>
      <c r="M1393" t="s">
        <v>53</v>
      </c>
      <c r="N1393">
        <v>102</v>
      </c>
      <c r="O1393">
        <v>1</v>
      </c>
      <c r="P1393" t="s">
        <v>52</v>
      </c>
      <c r="Q1393">
        <v>0.5</v>
      </c>
      <c r="R1393">
        <v>0.75</v>
      </c>
      <c r="S1393">
        <v>228</v>
      </c>
      <c r="T1393" t="s">
        <v>284</v>
      </c>
      <c r="U1393">
        <v>189</v>
      </c>
      <c r="V1393" t="s">
        <v>285</v>
      </c>
      <c r="W1393">
        <v>199</v>
      </c>
      <c r="X1393" t="s">
        <v>285</v>
      </c>
      <c r="Y1393">
        <v>206</v>
      </c>
      <c r="Z1393" t="s">
        <v>285</v>
      </c>
      <c r="AA1393">
        <v>128</v>
      </c>
      <c r="AB1393" t="s">
        <v>285</v>
      </c>
      <c r="AG1393">
        <v>198</v>
      </c>
      <c r="AH1393" t="s">
        <v>54</v>
      </c>
      <c r="AI1393" t="s">
        <v>52</v>
      </c>
      <c r="AZ1393" t="s">
        <v>52</v>
      </c>
      <c r="BQ1393" t="s">
        <v>52</v>
      </c>
      <c r="BR1393">
        <v>1.85</v>
      </c>
      <c r="BS1393" t="s">
        <v>284</v>
      </c>
      <c r="BT1393">
        <v>1.02</v>
      </c>
      <c r="BU1393" t="s">
        <v>284</v>
      </c>
      <c r="BV1393">
        <v>0.32</v>
      </c>
      <c r="BW1393" t="s">
        <v>284</v>
      </c>
      <c r="BX1393">
        <v>0.44</v>
      </c>
      <c r="BY1393" t="s">
        <v>284</v>
      </c>
      <c r="BZ1393">
        <v>0.44</v>
      </c>
      <c r="CA1393" t="s">
        <v>285</v>
      </c>
      <c r="CF1393">
        <v>0.63</v>
      </c>
      <c r="CG1393" t="s">
        <v>54</v>
      </c>
      <c r="CH1393" t="s">
        <v>52</v>
      </c>
    </row>
    <row r="1394" spans="1:86" x14ac:dyDescent="0.25">
      <c r="A1394" t="s">
        <v>47</v>
      </c>
      <c r="B1394">
        <v>8</v>
      </c>
      <c r="C1394" t="s">
        <v>210</v>
      </c>
      <c r="D1394">
        <v>123</v>
      </c>
      <c r="E1394" t="s">
        <v>75</v>
      </c>
      <c r="F1394">
        <v>16</v>
      </c>
      <c r="G1394" t="s">
        <v>76</v>
      </c>
      <c r="H1394" t="s">
        <v>50</v>
      </c>
      <c r="K1394" t="s">
        <v>51</v>
      </c>
      <c r="L1394">
        <v>1</v>
      </c>
      <c r="M1394" t="s">
        <v>53</v>
      </c>
      <c r="N1394">
        <v>16</v>
      </c>
      <c r="O1394">
        <v>2</v>
      </c>
      <c r="P1394" t="s">
        <v>52</v>
      </c>
      <c r="Q1394">
        <v>0.5</v>
      </c>
      <c r="R1394">
        <v>0.75</v>
      </c>
      <c r="S1394">
        <v>83.35</v>
      </c>
      <c r="T1394" t="s">
        <v>285</v>
      </c>
      <c r="U1394">
        <v>96.14</v>
      </c>
      <c r="V1394" t="s">
        <v>284</v>
      </c>
      <c r="W1394">
        <v>103.37</v>
      </c>
      <c r="X1394" t="s">
        <v>284</v>
      </c>
      <c r="Y1394">
        <v>106.14</v>
      </c>
      <c r="Z1394" t="s">
        <v>284</v>
      </c>
      <c r="AA1394">
        <v>128</v>
      </c>
      <c r="AB1394" t="s">
        <v>285</v>
      </c>
      <c r="AG1394">
        <v>101.88330000000001</v>
      </c>
      <c r="AH1394" t="s">
        <v>54</v>
      </c>
      <c r="AI1394" t="s">
        <v>52</v>
      </c>
      <c r="AX1394">
        <v>146.69999999999999</v>
      </c>
      <c r="AY1394" t="s">
        <v>285</v>
      </c>
      <c r="AZ1394" t="s">
        <v>287</v>
      </c>
      <c r="BQ1394" t="s">
        <v>52</v>
      </c>
      <c r="BR1394">
        <v>1.85</v>
      </c>
      <c r="BS1394" t="s">
        <v>284</v>
      </c>
      <c r="BT1394">
        <v>1.97</v>
      </c>
      <c r="BU1394" t="s">
        <v>284</v>
      </c>
      <c r="BV1394">
        <v>1.66</v>
      </c>
      <c r="BW1394" t="s">
        <v>284</v>
      </c>
      <c r="BX1394">
        <v>2.7</v>
      </c>
      <c r="BY1394" t="s">
        <v>284</v>
      </c>
      <c r="BZ1394">
        <v>3.16</v>
      </c>
      <c r="CA1394" t="s">
        <v>289</v>
      </c>
      <c r="CF1394">
        <v>2.17</v>
      </c>
      <c r="CG1394" t="s">
        <v>54</v>
      </c>
      <c r="CH1394" t="s">
        <v>52</v>
      </c>
    </row>
    <row r="1395" spans="1:86" x14ac:dyDescent="0.25">
      <c r="A1395" t="s">
        <v>47</v>
      </c>
      <c r="B1395">
        <v>8</v>
      </c>
      <c r="C1395" t="s">
        <v>210</v>
      </c>
      <c r="D1395">
        <v>123</v>
      </c>
      <c r="E1395" t="s">
        <v>75</v>
      </c>
      <c r="F1395">
        <v>16</v>
      </c>
      <c r="G1395" t="s">
        <v>76</v>
      </c>
      <c r="H1395" t="s">
        <v>50</v>
      </c>
      <c r="K1395" t="s">
        <v>52</v>
      </c>
      <c r="L1395">
        <v>1</v>
      </c>
      <c r="M1395" t="s">
        <v>53</v>
      </c>
      <c r="N1395">
        <v>16</v>
      </c>
      <c r="O1395">
        <v>2</v>
      </c>
      <c r="P1395" t="s">
        <v>52</v>
      </c>
      <c r="Q1395">
        <v>0.5</v>
      </c>
      <c r="R1395">
        <v>0.75</v>
      </c>
      <c r="S1395">
        <v>83.35</v>
      </c>
      <c r="T1395" t="s">
        <v>285</v>
      </c>
      <c r="U1395">
        <v>96.14</v>
      </c>
      <c r="V1395" t="s">
        <v>284</v>
      </c>
      <c r="W1395">
        <v>103.37</v>
      </c>
      <c r="X1395" t="s">
        <v>284</v>
      </c>
      <c r="Y1395">
        <v>106.14</v>
      </c>
      <c r="Z1395" t="s">
        <v>284</v>
      </c>
      <c r="AA1395">
        <v>128</v>
      </c>
      <c r="AB1395" t="s">
        <v>285</v>
      </c>
      <c r="AG1395">
        <v>101.88330000000001</v>
      </c>
      <c r="AH1395" t="s">
        <v>54</v>
      </c>
      <c r="AI1395" t="s">
        <v>52</v>
      </c>
      <c r="AX1395">
        <v>146.69999999999999</v>
      </c>
      <c r="AY1395" t="s">
        <v>285</v>
      </c>
      <c r="AZ1395" t="s">
        <v>287</v>
      </c>
      <c r="BQ1395" t="s">
        <v>52</v>
      </c>
      <c r="BR1395">
        <v>0.65</v>
      </c>
      <c r="BS1395" t="s">
        <v>284</v>
      </c>
      <c r="BT1395">
        <v>1.03</v>
      </c>
      <c r="BU1395" t="s">
        <v>284</v>
      </c>
      <c r="BV1395">
        <v>1.85</v>
      </c>
      <c r="BW1395" t="s">
        <v>284</v>
      </c>
      <c r="BX1395">
        <v>1.9</v>
      </c>
      <c r="BY1395" t="s">
        <v>284</v>
      </c>
      <c r="BZ1395">
        <v>0.21</v>
      </c>
      <c r="CA1395" t="s">
        <v>289</v>
      </c>
      <c r="CF1395">
        <v>1.18</v>
      </c>
      <c r="CG1395" t="s">
        <v>54</v>
      </c>
      <c r="CH1395" t="s">
        <v>52</v>
      </c>
    </row>
    <row r="1396" spans="1:86" x14ac:dyDescent="0.25">
      <c r="A1396" t="s">
        <v>47</v>
      </c>
      <c r="B1396">
        <v>8</v>
      </c>
      <c r="C1396" t="s">
        <v>210</v>
      </c>
      <c r="D1396">
        <v>123</v>
      </c>
      <c r="E1396" t="s">
        <v>125</v>
      </c>
      <c r="F1396">
        <v>67</v>
      </c>
      <c r="G1396" t="s">
        <v>164</v>
      </c>
      <c r="H1396" t="s">
        <v>50</v>
      </c>
      <c r="K1396" t="s">
        <v>51</v>
      </c>
      <c r="L1396">
        <v>1</v>
      </c>
      <c r="M1396" t="s">
        <v>53</v>
      </c>
      <c r="N1396">
        <v>67</v>
      </c>
      <c r="O1396">
        <v>1</v>
      </c>
      <c r="P1396" t="s">
        <v>52</v>
      </c>
      <c r="Q1396">
        <v>0.5</v>
      </c>
      <c r="R1396">
        <v>0.87</v>
      </c>
      <c r="S1396">
        <v>228</v>
      </c>
      <c r="T1396" t="s">
        <v>284</v>
      </c>
      <c r="AI1396" t="s">
        <v>52</v>
      </c>
      <c r="AZ1396" t="s">
        <v>52</v>
      </c>
      <c r="BQ1396" t="s">
        <v>52</v>
      </c>
      <c r="BR1396">
        <v>1.85</v>
      </c>
      <c r="BS1396" t="s">
        <v>284</v>
      </c>
      <c r="CH1396" t="s">
        <v>52</v>
      </c>
    </row>
    <row r="1397" spans="1:86" x14ac:dyDescent="0.25">
      <c r="A1397" t="s">
        <v>47</v>
      </c>
      <c r="B1397">
        <v>8</v>
      </c>
      <c r="C1397" t="s">
        <v>210</v>
      </c>
      <c r="D1397">
        <v>123</v>
      </c>
      <c r="E1397" t="s">
        <v>125</v>
      </c>
      <c r="F1397">
        <v>67</v>
      </c>
      <c r="G1397" t="s">
        <v>164</v>
      </c>
      <c r="H1397" t="s">
        <v>50</v>
      </c>
      <c r="K1397" t="s">
        <v>52</v>
      </c>
      <c r="L1397">
        <v>1</v>
      </c>
      <c r="M1397" t="s">
        <v>53</v>
      </c>
      <c r="N1397">
        <v>67</v>
      </c>
      <c r="O1397">
        <v>1</v>
      </c>
      <c r="P1397" t="s">
        <v>52</v>
      </c>
      <c r="Q1397">
        <v>0.5</v>
      </c>
      <c r="R1397">
        <v>0.87</v>
      </c>
      <c r="S1397">
        <v>228</v>
      </c>
      <c r="T1397" t="s">
        <v>284</v>
      </c>
      <c r="AI1397" t="s">
        <v>52</v>
      </c>
      <c r="AZ1397" t="s">
        <v>52</v>
      </c>
      <c r="BQ1397" t="s">
        <v>52</v>
      </c>
      <c r="CH1397" t="s">
        <v>52</v>
      </c>
    </row>
    <row r="1398" spans="1:86" x14ac:dyDescent="0.25">
      <c r="A1398" t="s">
        <v>47</v>
      </c>
      <c r="B1398">
        <v>8</v>
      </c>
      <c r="C1398" t="s">
        <v>210</v>
      </c>
      <c r="D1398">
        <v>123</v>
      </c>
      <c r="E1398" t="s">
        <v>125</v>
      </c>
      <c r="F1398">
        <v>67</v>
      </c>
      <c r="G1398" t="s">
        <v>111</v>
      </c>
      <c r="H1398" t="s">
        <v>50</v>
      </c>
      <c r="K1398" t="s">
        <v>51</v>
      </c>
      <c r="L1398">
        <v>1</v>
      </c>
      <c r="M1398" t="s">
        <v>53</v>
      </c>
      <c r="N1398">
        <v>67</v>
      </c>
      <c r="O1398">
        <v>1</v>
      </c>
      <c r="P1398" t="s">
        <v>52</v>
      </c>
      <c r="Q1398">
        <v>0.5</v>
      </c>
      <c r="R1398">
        <v>0.87</v>
      </c>
      <c r="S1398">
        <v>228</v>
      </c>
      <c r="T1398" t="s">
        <v>284</v>
      </c>
      <c r="AI1398" t="s">
        <v>52</v>
      </c>
      <c r="AZ1398" t="s">
        <v>52</v>
      </c>
      <c r="BQ1398" t="s">
        <v>52</v>
      </c>
      <c r="BR1398">
        <v>1.85</v>
      </c>
      <c r="BS1398" t="s">
        <v>284</v>
      </c>
      <c r="CH1398" t="s">
        <v>52</v>
      </c>
    </row>
    <row r="1399" spans="1:86" x14ac:dyDescent="0.25">
      <c r="A1399" t="s">
        <v>47</v>
      </c>
      <c r="B1399">
        <v>8</v>
      </c>
      <c r="C1399" t="s">
        <v>210</v>
      </c>
      <c r="D1399">
        <v>123</v>
      </c>
      <c r="E1399" t="s">
        <v>125</v>
      </c>
      <c r="F1399">
        <v>67</v>
      </c>
      <c r="G1399" t="s">
        <v>111</v>
      </c>
      <c r="H1399" t="s">
        <v>50</v>
      </c>
      <c r="K1399" t="s">
        <v>52</v>
      </c>
      <c r="L1399">
        <v>1</v>
      </c>
      <c r="M1399" t="s">
        <v>53</v>
      </c>
      <c r="N1399">
        <v>67</v>
      </c>
      <c r="O1399">
        <v>1</v>
      </c>
      <c r="P1399" t="s">
        <v>52</v>
      </c>
      <c r="Q1399">
        <v>0.5</v>
      </c>
      <c r="R1399">
        <v>0.87</v>
      </c>
      <c r="S1399">
        <v>228</v>
      </c>
      <c r="T1399" t="s">
        <v>284</v>
      </c>
      <c r="AI1399" t="s">
        <v>52</v>
      </c>
      <c r="AZ1399" t="s">
        <v>52</v>
      </c>
      <c r="BQ1399" t="s">
        <v>52</v>
      </c>
      <c r="BR1399">
        <v>0.93</v>
      </c>
      <c r="BS1399" t="s">
        <v>285</v>
      </c>
      <c r="CH1399" t="s">
        <v>52</v>
      </c>
    </row>
    <row r="1400" spans="1:86" x14ac:dyDescent="0.25">
      <c r="A1400" t="s">
        <v>47</v>
      </c>
      <c r="B1400">
        <v>8</v>
      </c>
      <c r="C1400" t="s">
        <v>210</v>
      </c>
      <c r="D1400">
        <v>123</v>
      </c>
      <c r="E1400" t="s">
        <v>93</v>
      </c>
      <c r="F1400">
        <v>94</v>
      </c>
      <c r="H1400" t="s">
        <v>50</v>
      </c>
      <c r="K1400" t="s">
        <v>51</v>
      </c>
      <c r="L1400">
        <v>1</v>
      </c>
      <c r="M1400" t="s">
        <v>53</v>
      </c>
      <c r="N1400">
        <v>94</v>
      </c>
      <c r="O1400">
        <v>2</v>
      </c>
      <c r="P1400" t="s">
        <v>52</v>
      </c>
      <c r="Q1400">
        <v>0.77</v>
      </c>
      <c r="R1400">
        <v>0.93</v>
      </c>
      <c r="S1400">
        <v>205</v>
      </c>
      <c r="T1400" t="s">
        <v>284</v>
      </c>
      <c r="U1400">
        <v>175</v>
      </c>
      <c r="V1400" t="s">
        <v>284</v>
      </c>
      <c r="W1400">
        <v>188</v>
      </c>
      <c r="X1400" t="s">
        <v>284</v>
      </c>
      <c r="Y1400">
        <v>202.32</v>
      </c>
      <c r="Z1400" t="s">
        <v>284</v>
      </c>
      <c r="AA1400">
        <v>209.16</v>
      </c>
      <c r="AB1400" t="s">
        <v>284</v>
      </c>
      <c r="AG1400">
        <v>198.44</v>
      </c>
      <c r="AH1400" t="s">
        <v>54</v>
      </c>
      <c r="AI1400" t="s">
        <v>52</v>
      </c>
      <c r="AZ1400" t="s">
        <v>52</v>
      </c>
      <c r="BQ1400" t="s">
        <v>52</v>
      </c>
      <c r="BR1400">
        <v>1.86</v>
      </c>
      <c r="BS1400" t="s">
        <v>285</v>
      </c>
      <c r="BT1400">
        <v>1.04</v>
      </c>
      <c r="BU1400" t="s">
        <v>284</v>
      </c>
      <c r="BV1400">
        <v>1.87</v>
      </c>
      <c r="BW1400" t="s">
        <v>284</v>
      </c>
      <c r="BX1400">
        <v>1.77</v>
      </c>
      <c r="BY1400" t="s">
        <v>284</v>
      </c>
      <c r="BZ1400">
        <v>1.53</v>
      </c>
      <c r="CA1400" t="s">
        <v>284</v>
      </c>
      <c r="CF1400">
        <v>1.72</v>
      </c>
      <c r="CG1400" t="s">
        <v>54</v>
      </c>
      <c r="CH1400" t="s">
        <v>52</v>
      </c>
    </row>
    <row r="1401" spans="1:86" x14ac:dyDescent="0.25">
      <c r="A1401" t="s">
        <v>47</v>
      </c>
      <c r="B1401">
        <v>8</v>
      </c>
      <c r="C1401" t="s">
        <v>210</v>
      </c>
      <c r="D1401">
        <v>123</v>
      </c>
      <c r="E1401" t="s">
        <v>93</v>
      </c>
      <c r="F1401">
        <v>94</v>
      </c>
      <c r="H1401" t="s">
        <v>50</v>
      </c>
      <c r="K1401" t="s">
        <v>52</v>
      </c>
      <c r="L1401">
        <v>1</v>
      </c>
      <c r="M1401" t="s">
        <v>53</v>
      </c>
      <c r="N1401">
        <v>94</v>
      </c>
      <c r="O1401">
        <v>2</v>
      </c>
      <c r="P1401" t="s">
        <v>52</v>
      </c>
      <c r="Q1401">
        <v>0.77</v>
      </c>
      <c r="R1401">
        <v>0.93</v>
      </c>
      <c r="S1401">
        <v>205</v>
      </c>
      <c r="T1401" t="s">
        <v>284</v>
      </c>
      <c r="U1401">
        <v>175</v>
      </c>
      <c r="V1401" t="s">
        <v>284</v>
      </c>
      <c r="W1401">
        <v>188</v>
      </c>
      <c r="X1401" t="s">
        <v>284</v>
      </c>
      <c r="Y1401">
        <v>202.32</v>
      </c>
      <c r="Z1401" t="s">
        <v>284</v>
      </c>
      <c r="AA1401">
        <v>209.16</v>
      </c>
      <c r="AB1401" t="s">
        <v>284</v>
      </c>
      <c r="AG1401">
        <v>198.44</v>
      </c>
      <c r="AH1401" t="s">
        <v>54</v>
      </c>
      <c r="AI1401" t="s">
        <v>52</v>
      </c>
      <c r="AZ1401" t="s">
        <v>52</v>
      </c>
      <c r="BQ1401" t="s">
        <v>52</v>
      </c>
      <c r="BR1401">
        <v>0.72</v>
      </c>
      <c r="BS1401" t="s">
        <v>285</v>
      </c>
      <c r="BT1401">
        <v>0.46</v>
      </c>
      <c r="BU1401" t="s">
        <v>284</v>
      </c>
      <c r="BV1401">
        <v>0.79</v>
      </c>
      <c r="BW1401" t="s">
        <v>284</v>
      </c>
      <c r="BX1401">
        <v>0.76</v>
      </c>
      <c r="BY1401" t="s">
        <v>284</v>
      </c>
      <c r="BZ1401">
        <v>0.66</v>
      </c>
      <c r="CA1401" t="s">
        <v>284</v>
      </c>
      <c r="CF1401">
        <v>0.71</v>
      </c>
      <c r="CG1401" t="s">
        <v>54</v>
      </c>
      <c r="CH1401" t="s">
        <v>52</v>
      </c>
    </row>
    <row r="1402" spans="1:86" x14ac:dyDescent="0.25">
      <c r="A1402" t="s">
        <v>47</v>
      </c>
      <c r="B1402">
        <v>8</v>
      </c>
      <c r="C1402" t="s">
        <v>210</v>
      </c>
      <c r="D1402">
        <v>123</v>
      </c>
      <c r="E1402" t="s">
        <v>77</v>
      </c>
      <c r="F1402">
        <v>51</v>
      </c>
      <c r="G1402" t="s">
        <v>78</v>
      </c>
      <c r="H1402" t="s">
        <v>50</v>
      </c>
      <c r="K1402" t="s">
        <v>51</v>
      </c>
      <c r="L1402">
        <v>1</v>
      </c>
      <c r="M1402" t="s">
        <v>53</v>
      </c>
      <c r="N1402">
        <v>51</v>
      </c>
      <c r="O1402">
        <v>2</v>
      </c>
      <c r="P1402" t="s">
        <v>52</v>
      </c>
      <c r="Q1402">
        <v>0.5</v>
      </c>
      <c r="R1402">
        <v>0.73</v>
      </c>
      <c r="S1402">
        <v>228</v>
      </c>
      <c r="T1402" t="s">
        <v>284</v>
      </c>
      <c r="U1402">
        <v>218</v>
      </c>
      <c r="V1402" t="s">
        <v>284</v>
      </c>
      <c r="W1402">
        <v>147</v>
      </c>
      <c r="X1402" t="s">
        <v>284</v>
      </c>
      <c r="Y1402">
        <v>170</v>
      </c>
      <c r="Z1402" t="s">
        <v>284</v>
      </c>
      <c r="AA1402">
        <v>109</v>
      </c>
      <c r="AB1402" t="s">
        <v>285</v>
      </c>
      <c r="AG1402">
        <v>178.33330000000001</v>
      </c>
      <c r="AH1402" t="s">
        <v>54</v>
      </c>
      <c r="AI1402" t="s">
        <v>52</v>
      </c>
      <c r="AZ1402" t="s">
        <v>52</v>
      </c>
      <c r="BQ1402" t="s">
        <v>52</v>
      </c>
      <c r="CH1402" t="s">
        <v>52</v>
      </c>
    </row>
    <row r="1403" spans="1:86" x14ac:dyDescent="0.25">
      <c r="A1403" t="s">
        <v>47</v>
      </c>
      <c r="B1403">
        <v>8</v>
      </c>
      <c r="C1403" t="s">
        <v>210</v>
      </c>
      <c r="D1403">
        <v>123</v>
      </c>
      <c r="E1403" t="s">
        <v>77</v>
      </c>
      <c r="F1403">
        <v>51</v>
      </c>
      <c r="G1403" t="s">
        <v>78</v>
      </c>
      <c r="H1403" t="s">
        <v>50</v>
      </c>
      <c r="K1403" t="s">
        <v>52</v>
      </c>
      <c r="L1403">
        <v>1</v>
      </c>
      <c r="M1403" t="s">
        <v>53</v>
      </c>
      <c r="N1403">
        <v>51</v>
      </c>
      <c r="O1403">
        <v>2</v>
      </c>
      <c r="P1403" t="s">
        <v>52</v>
      </c>
      <c r="Q1403">
        <v>0.5</v>
      </c>
      <c r="R1403">
        <v>0.73</v>
      </c>
      <c r="S1403">
        <v>228</v>
      </c>
      <c r="T1403" t="s">
        <v>284</v>
      </c>
      <c r="U1403">
        <v>218</v>
      </c>
      <c r="V1403" t="s">
        <v>284</v>
      </c>
      <c r="W1403">
        <v>147</v>
      </c>
      <c r="X1403" t="s">
        <v>284</v>
      </c>
      <c r="Y1403">
        <v>170</v>
      </c>
      <c r="Z1403" t="s">
        <v>284</v>
      </c>
      <c r="AA1403">
        <v>109</v>
      </c>
      <c r="AB1403" t="s">
        <v>285</v>
      </c>
      <c r="AG1403">
        <v>178.33330000000001</v>
      </c>
      <c r="AH1403" t="s">
        <v>54</v>
      </c>
      <c r="AI1403" t="s">
        <v>52</v>
      </c>
      <c r="AZ1403" t="s">
        <v>52</v>
      </c>
      <c r="BQ1403" t="s">
        <v>52</v>
      </c>
      <c r="CH1403" t="s">
        <v>52</v>
      </c>
    </row>
    <row r="1404" spans="1:86" x14ac:dyDescent="0.25">
      <c r="A1404" t="s">
        <v>47</v>
      </c>
      <c r="B1404">
        <v>8</v>
      </c>
      <c r="C1404" t="s">
        <v>210</v>
      </c>
      <c r="D1404">
        <v>123</v>
      </c>
      <c r="E1404" t="s">
        <v>79</v>
      </c>
      <c r="F1404">
        <v>50</v>
      </c>
      <c r="G1404" t="s">
        <v>80</v>
      </c>
      <c r="H1404" t="s">
        <v>50</v>
      </c>
      <c r="K1404" t="s">
        <v>51</v>
      </c>
      <c r="L1404">
        <v>1</v>
      </c>
      <c r="M1404" t="s">
        <v>53</v>
      </c>
      <c r="N1404">
        <v>50</v>
      </c>
      <c r="O1404">
        <v>1</v>
      </c>
      <c r="P1404" t="s">
        <v>52</v>
      </c>
      <c r="Q1404">
        <v>0.5</v>
      </c>
      <c r="R1404">
        <v>0.75</v>
      </c>
      <c r="S1404">
        <v>85</v>
      </c>
      <c r="T1404" t="s">
        <v>285</v>
      </c>
      <c r="U1404">
        <v>93</v>
      </c>
      <c r="V1404" t="s">
        <v>284</v>
      </c>
      <c r="W1404">
        <v>89.7</v>
      </c>
      <c r="X1404" t="s">
        <v>284</v>
      </c>
      <c r="Y1404">
        <v>92.72</v>
      </c>
      <c r="Z1404" t="s">
        <v>284</v>
      </c>
      <c r="AA1404">
        <v>109</v>
      </c>
      <c r="AB1404" t="s">
        <v>285</v>
      </c>
      <c r="AG1404">
        <v>91.806700000000006</v>
      </c>
      <c r="AH1404" t="s">
        <v>54</v>
      </c>
      <c r="AI1404" t="s">
        <v>52</v>
      </c>
      <c r="AZ1404" t="s">
        <v>52</v>
      </c>
      <c r="BQ1404" t="s">
        <v>52</v>
      </c>
      <c r="BR1404">
        <v>4.4800000000000004</v>
      </c>
      <c r="BS1404" t="s">
        <v>289</v>
      </c>
      <c r="BT1404">
        <v>2.2599999999999998</v>
      </c>
      <c r="BU1404" t="s">
        <v>284</v>
      </c>
      <c r="BV1404">
        <v>3.27</v>
      </c>
      <c r="BW1404" t="s">
        <v>284</v>
      </c>
      <c r="BX1404">
        <v>3.1</v>
      </c>
      <c r="BY1404" t="s">
        <v>284</v>
      </c>
      <c r="BZ1404">
        <v>4.0599999999999996</v>
      </c>
      <c r="CA1404" t="s">
        <v>289</v>
      </c>
      <c r="CF1404">
        <v>3.48</v>
      </c>
      <c r="CG1404" t="s">
        <v>54</v>
      </c>
      <c r="CH1404" t="s">
        <v>52</v>
      </c>
    </row>
    <row r="1405" spans="1:86" x14ac:dyDescent="0.25">
      <c r="A1405" t="s">
        <v>47</v>
      </c>
      <c r="B1405">
        <v>8</v>
      </c>
      <c r="C1405" t="s">
        <v>210</v>
      </c>
      <c r="D1405">
        <v>123</v>
      </c>
      <c r="E1405" t="s">
        <v>79</v>
      </c>
      <c r="F1405">
        <v>50</v>
      </c>
      <c r="G1405" t="s">
        <v>80</v>
      </c>
      <c r="H1405" t="s">
        <v>50</v>
      </c>
      <c r="K1405" t="s">
        <v>52</v>
      </c>
      <c r="L1405">
        <v>1</v>
      </c>
      <c r="M1405" t="s">
        <v>53</v>
      </c>
      <c r="N1405">
        <v>50</v>
      </c>
      <c r="O1405">
        <v>1</v>
      </c>
      <c r="P1405" t="s">
        <v>52</v>
      </c>
      <c r="Q1405">
        <v>0.5</v>
      </c>
      <c r="R1405">
        <v>0.75</v>
      </c>
      <c r="S1405">
        <v>85</v>
      </c>
      <c r="T1405" t="s">
        <v>285</v>
      </c>
      <c r="U1405">
        <v>93</v>
      </c>
      <c r="V1405" t="s">
        <v>284</v>
      </c>
      <c r="W1405">
        <v>89.7</v>
      </c>
      <c r="X1405" t="s">
        <v>284</v>
      </c>
      <c r="Y1405">
        <v>92.72</v>
      </c>
      <c r="Z1405" t="s">
        <v>284</v>
      </c>
      <c r="AA1405">
        <v>109</v>
      </c>
      <c r="AB1405" t="s">
        <v>285</v>
      </c>
      <c r="AG1405">
        <v>91.806700000000006</v>
      </c>
      <c r="AH1405" t="s">
        <v>54</v>
      </c>
      <c r="AI1405" t="s">
        <v>52</v>
      </c>
      <c r="AZ1405" t="s">
        <v>52</v>
      </c>
      <c r="BQ1405" t="s">
        <v>52</v>
      </c>
      <c r="BR1405">
        <v>0.75</v>
      </c>
      <c r="BS1405" t="s">
        <v>289</v>
      </c>
      <c r="BT1405">
        <v>0.82</v>
      </c>
      <c r="BU1405" t="s">
        <v>284</v>
      </c>
      <c r="BV1405">
        <v>1.38</v>
      </c>
      <c r="BW1405" t="s">
        <v>284</v>
      </c>
      <c r="BX1405">
        <v>1.28</v>
      </c>
      <c r="BY1405" t="s">
        <v>284</v>
      </c>
      <c r="BZ1405">
        <v>0.77</v>
      </c>
      <c r="CA1405" t="s">
        <v>288</v>
      </c>
      <c r="CF1405">
        <v>0.96</v>
      </c>
      <c r="CG1405" t="s">
        <v>54</v>
      </c>
      <c r="CH1405" t="s">
        <v>52</v>
      </c>
    </row>
    <row r="1406" spans="1:86" x14ac:dyDescent="0.25">
      <c r="A1406" t="s">
        <v>47</v>
      </c>
      <c r="B1406">
        <v>8</v>
      </c>
      <c r="C1406" t="s">
        <v>210</v>
      </c>
      <c r="D1406">
        <v>123</v>
      </c>
      <c r="E1406" t="s">
        <v>79</v>
      </c>
      <c r="F1406">
        <v>50</v>
      </c>
      <c r="G1406" t="s">
        <v>65</v>
      </c>
      <c r="H1406" t="s">
        <v>50</v>
      </c>
      <c r="K1406" t="s">
        <v>51</v>
      </c>
      <c r="L1406">
        <v>1</v>
      </c>
      <c r="M1406" t="s">
        <v>53</v>
      </c>
      <c r="N1406">
        <v>50</v>
      </c>
      <c r="O1406">
        <v>1</v>
      </c>
      <c r="P1406" t="s">
        <v>52</v>
      </c>
      <c r="Q1406">
        <v>0.5</v>
      </c>
      <c r="R1406">
        <v>0.75</v>
      </c>
      <c r="S1406">
        <v>85</v>
      </c>
      <c r="T1406" t="s">
        <v>285</v>
      </c>
      <c r="U1406">
        <v>93</v>
      </c>
      <c r="V1406" t="s">
        <v>284</v>
      </c>
      <c r="W1406">
        <v>89.7</v>
      </c>
      <c r="X1406" t="s">
        <v>284</v>
      </c>
      <c r="Y1406">
        <v>92.72</v>
      </c>
      <c r="Z1406" t="s">
        <v>284</v>
      </c>
      <c r="AA1406">
        <v>109</v>
      </c>
      <c r="AB1406" t="s">
        <v>285</v>
      </c>
      <c r="AG1406">
        <v>91.806700000000006</v>
      </c>
      <c r="AH1406" t="s">
        <v>54</v>
      </c>
      <c r="AI1406" t="s">
        <v>52</v>
      </c>
      <c r="AZ1406" t="s">
        <v>52</v>
      </c>
      <c r="BQ1406" t="s">
        <v>52</v>
      </c>
      <c r="BR1406">
        <v>3.57</v>
      </c>
      <c r="BS1406" t="s">
        <v>289</v>
      </c>
      <c r="BT1406">
        <v>2.0699999999999998</v>
      </c>
      <c r="BU1406" t="s">
        <v>284</v>
      </c>
      <c r="BV1406">
        <v>2.98</v>
      </c>
      <c r="BW1406" t="s">
        <v>284</v>
      </c>
      <c r="BX1406">
        <v>2.83</v>
      </c>
      <c r="BY1406" t="s">
        <v>284</v>
      </c>
      <c r="BZ1406">
        <v>3.71</v>
      </c>
      <c r="CA1406" t="s">
        <v>289</v>
      </c>
      <c r="CF1406">
        <v>3.13</v>
      </c>
      <c r="CG1406" t="s">
        <v>54</v>
      </c>
      <c r="CH1406" t="s">
        <v>52</v>
      </c>
    </row>
    <row r="1407" spans="1:86" x14ac:dyDescent="0.25">
      <c r="A1407" t="s">
        <v>47</v>
      </c>
      <c r="B1407">
        <v>8</v>
      </c>
      <c r="C1407" t="s">
        <v>210</v>
      </c>
      <c r="D1407">
        <v>123</v>
      </c>
      <c r="E1407" t="s">
        <v>79</v>
      </c>
      <c r="F1407">
        <v>50</v>
      </c>
      <c r="G1407" t="s">
        <v>65</v>
      </c>
      <c r="H1407" t="s">
        <v>50</v>
      </c>
      <c r="K1407" t="s">
        <v>52</v>
      </c>
      <c r="L1407">
        <v>1</v>
      </c>
      <c r="M1407" t="s">
        <v>53</v>
      </c>
      <c r="N1407">
        <v>50</v>
      </c>
      <c r="O1407">
        <v>1</v>
      </c>
      <c r="P1407" t="s">
        <v>52</v>
      </c>
      <c r="Q1407">
        <v>0.5</v>
      </c>
      <c r="R1407">
        <v>0.75</v>
      </c>
      <c r="S1407">
        <v>85</v>
      </c>
      <c r="T1407" t="s">
        <v>285</v>
      </c>
      <c r="U1407">
        <v>93</v>
      </c>
      <c r="V1407" t="s">
        <v>284</v>
      </c>
      <c r="W1407">
        <v>89.7</v>
      </c>
      <c r="X1407" t="s">
        <v>284</v>
      </c>
      <c r="Y1407">
        <v>92.72</v>
      </c>
      <c r="Z1407" t="s">
        <v>284</v>
      </c>
      <c r="AA1407">
        <v>109</v>
      </c>
      <c r="AB1407" t="s">
        <v>285</v>
      </c>
      <c r="AG1407">
        <v>91.806700000000006</v>
      </c>
      <c r="AH1407" t="s">
        <v>54</v>
      </c>
      <c r="AI1407" t="s">
        <v>52</v>
      </c>
      <c r="AZ1407" t="s">
        <v>52</v>
      </c>
      <c r="BQ1407" t="s">
        <v>52</v>
      </c>
      <c r="BR1407">
        <v>0.63</v>
      </c>
      <c r="BS1407" t="s">
        <v>288</v>
      </c>
      <c r="BT1407">
        <v>0.82</v>
      </c>
      <c r="BU1407" t="s">
        <v>285</v>
      </c>
      <c r="BV1407">
        <v>0.71</v>
      </c>
      <c r="BW1407" t="s">
        <v>285</v>
      </c>
      <c r="BX1407">
        <v>1.1599999999999999</v>
      </c>
      <c r="BY1407" t="s">
        <v>285</v>
      </c>
      <c r="BZ1407">
        <v>0.77</v>
      </c>
      <c r="CA1407" t="s">
        <v>289</v>
      </c>
      <c r="CF1407">
        <v>0.77</v>
      </c>
      <c r="CG1407" t="s">
        <v>54</v>
      </c>
      <c r="CH1407" t="s">
        <v>52</v>
      </c>
    </row>
    <row r="1408" spans="1:86" x14ac:dyDescent="0.25">
      <c r="A1408" t="s">
        <v>47</v>
      </c>
      <c r="B1408">
        <v>8</v>
      </c>
      <c r="C1408" t="s">
        <v>210</v>
      </c>
      <c r="D1408">
        <v>123</v>
      </c>
      <c r="E1408" t="s">
        <v>79</v>
      </c>
      <c r="F1408">
        <v>50</v>
      </c>
      <c r="G1408" t="s">
        <v>81</v>
      </c>
      <c r="H1408" t="s">
        <v>50</v>
      </c>
      <c r="K1408" t="s">
        <v>51</v>
      </c>
      <c r="L1408">
        <v>1</v>
      </c>
      <c r="M1408" t="s">
        <v>53</v>
      </c>
      <c r="N1408">
        <v>50</v>
      </c>
      <c r="O1408">
        <v>1</v>
      </c>
      <c r="P1408" t="s">
        <v>52</v>
      </c>
      <c r="Q1408">
        <v>0.5</v>
      </c>
      <c r="R1408">
        <v>0.75</v>
      </c>
      <c r="S1408">
        <v>85</v>
      </c>
      <c r="T1408" t="s">
        <v>285</v>
      </c>
      <c r="U1408">
        <v>93</v>
      </c>
      <c r="V1408" t="s">
        <v>284</v>
      </c>
      <c r="W1408">
        <v>89.7</v>
      </c>
      <c r="X1408" t="s">
        <v>284</v>
      </c>
      <c r="Y1408">
        <v>92.72</v>
      </c>
      <c r="Z1408" t="s">
        <v>284</v>
      </c>
      <c r="AA1408">
        <v>109</v>
      </c>
      <c r="AB1408" t="s">
        <v>285</v>
      </c>
      <c r="AG1408">
        <v>91.806700000000006</v>
      </c>
      <c r="AH1408" t="s">
        <v>54</v>
      </c>
      <c r="AI1408" t="s">
        <v>52</v>
      </c>
      <c r="AZ1408" t="s">
        <v>52</v>
      </c>
      <c r="BQ1408" t="s">
        <v>52</v>
      </c>
      <c r="BR1408">
        <v>2.74</v>
      </c>
      <c r="BS1408" t="s">
        <v>289</v>
      </c>
      <c r="BT1408">
        <v>1.91</v>
      </c>
      <c r="BU1408" t="s">
        <v>284</v>
      </c>
      <c r="BV1408">
        <v>2.76</v>
      </c>
      <c r="BW1408" t="s">
        <v>284</v>
      </c>
      <c r="BX1408">
        <v>2.62</v>
      </c>
      <c r="BY1408" t="s">
        <v>284</v>
      </c>
      <c r="BZ1408">
        <v>3.43</v>
      </c>
      <c r="CA1408" t="s">
        <v>289</v>
      </c>
      <c r="CF1408">
        <v>2.71</v>
      </c>
      <c r="CG1408" t="s">
        <v>54</v>
      </c>
      <c r="CH1408" t="s">
        <v>52</v>
      </c>
    </row>
    <row r="1409" spans="1:86" x14ac:dyDescent="0.25">
      <c r="A1409" t="s">
        <v>47</v>
      </c>
      <c r="B1409">
        <v>8</v>
      </c>
      <c r="C1409" t="s">
        <v>210</v>
      </c>
      <c r="D1409">
        <v>123</v>
      </c>
      <c r="E1409" t="s">
        <v>79</v>
      </c>
      <c r="F1409">
        <v>50</v>
      </c>
      <c r="G1409" t="s">
        <v>81</v>
      </c>
      <c r="H1409" t="s">
        <v>50</v>
      </c>
      <c r="K1409" t="s">
        <v>52</v>
      </c>
      <c r="L1409">
        <v>1</v>
      </c>
      <c r="M1409" t="s">
        <v>53</v>
      </c>
      <c r="N1409">
        <v>50</v>
      </c>
      <c r="O1409">
        <v>1</v>
      </c>
      <c r="P1409" t="s">
        <v>52</v>
      </c>
      <c r="Q1409">
        <v>0.5</v>
      </c>
      <c r="R1409">
        <v>0.75</v>
      </c>
      <c r="S1409">
        <v>85</v>
      </c>
      <c r="T1409" t="s">
        <v>285</v>
      </c>
      <c r="U1409">
        <v>93</v>
      </c>
      <c r="V1409" t="s">
        <v>284</v>
      </c>
      <c r="W1409">
        <v>89.7</v>
      </c>
      <c r="X1409" t="s">
        <v>284</v>
      </c>
      <c r="Y1409">
        <v>92.72</v>
      </c>
      <c r="Z1409" t="s">
        <v>284</v>
      </c>
      <c r="AA1409">
        <v>109</v>
      </c>
      <c r="AB1409" t="s">
        <v>285</v>
      </c>
      <c r="AG1409">
        <v>91.806700000000006</v>
      </c>
      <c r="AH1409" t="s">
        <v>54</v>
      </c>
      <c r="AI1409" t="s">
        <v>52</v>
      </c>
      <c r="AZ1409" t="s">
        <v>52</v>
      </c>
      <c r="BQ1409" t="s">
        <v>52</v>
      </c>
      <c r="BR1409">
        <v>2.74</v>
      </c>
      <c r="BS1409" t="s">
        <v>289</v>
      </c>
      <c r="BT1409">
        <v>0.79</v>
      </c>
      <c r="BU1409" t="s">
        <v>285</v>
      </c>
      <c r="BV1409">
        <v>1.23</v>
      </c>
      <c r="BW1409" t="s">
        <v>285</v>
      </c>
      <c r="BX1409">
        <v>1.1499999999999999</v>
      </c>
      <c r="BY1409" t="s">
        <v>285</v>
      </c>
      <c r="BZ1409">
        <v>0.63</v>
      </c>
      <c r="CA1409" t="s">
        <v>289</v>
      </c>
      <c r="CF1409">
        <v>1.06</v>
      </c>
      <c r="CG1409" t="s">
        <v>54</v>
      </c>
      <c r="CH1409" t="s">
        <v>52</v>
      </c>
    </row>
    <row r="1410" spans="1:86" x14ac:dyDescent="0.25">
      <c r="A1410" t="s">
        <v>47</v>
      </c>
      <c r="B1410">
        <v>8</v>
      </c>
      <c r="C1410" t="s">
        <v>210</v>
      </c>
      <c r="D1410">
        <v>123</v>
      </c>
      <c r="E1410" t="s">
        <v>83</v>
      </c>
      <c r="F1410">
        <v>158</v>
      </c>
      <c r="H1410" t="s">
        <v>50</v>
      </c>
      <c r="K1410" t="s">
        <v>51</v>
      </c>
      <c r="L1410">
        <v>1</v>
      </c>
      <c r="M1410" t="s">
        <v>53</v>
      </c>
      <c r="N1410">
        <v>158</v>
      </c>
      <c r="O1410">
        <v>2</v>
      </c>
      <c r="P1410" t="s">
        <v>52</v>
      </c>
      <c r="Q1410">
        <v>0.77</v>
      </c>
      <c r="R1410">
        <v>0.93</v>
      </c>
      <c r="S1410">
        <v>228</v>
      </c>
      <c r="T1410" t="s">
        <v>284</v>
      </c>
      <c r="U1410">
        <v>221</v>
      </c>
      <c r="V1410" t="s">
        <v>284</v>
      </c>
      <c r="W1410">
        <v>236</v>
      </c>
      <c r="X1410" t="s">
        <v>284</v>
      </c>
      <c r="Y1410">
        <v>244</v>
      </c>
      <c r="Z1410" t="s">
        <v>284</v>
      </c>
      <c r="AA1410">
        <v>252</v>
      </c>
      <c r="AB1410" t="s">
        <v>284</v>
      </c>
      <c r="AG1410">
        <v>236</v>
      </c>
      <c r="AH1410" t="s">
        <v>54</v>
      </c>
      <c r="AI1410" t="s">
        <v>52</v>
      </c>
      <c r="AX1410">
        <v>339</v>
      </c>
      <c r="AY1410" t="s">
        <v>285</v>
      </c>
      <c r="AZ1410" t="s">
        <v>287</v>
      </c>
      <c r="BQ1410" t="s">
        <v>52</v>
      </c>
      <c r="BR1410">
        <v>1.85</v>
      </c>
      <c r="BS1410" t="s">
        <v>284</v>
      </c>
      <c r="BT1410">
        <v>1.35</v>
      </c>
      <c r="BU1410" t="s">
        <v>284</v>
      </c>
      <c r="BV1410">
        <v>1.03</v>
      </c>
      <c r="BW1410" t="s">
        <v>288</v>
      </c>
      <c r="BX1410">
        <v>1.34</v>
      </c>
      <c r="BY1410" t="s">
        <v>289</v>
      </c>
      <c r="BZ1410">
        <v>1.22</v>
      </c>
      <c r="CA1410" t="s">
        <v>289</v>
      </c>
      <c r="CF1410">
        <v>1.3</v>
      </c>
      <c r="CG1410" t="s">
        <v>54</v>
      </c>
      <c r="CH1410" t="s">
        <v>52</v>
      </c>
    </row>
    <row r="1411" spans="1:86" x14ac:dyDescent="0.25">
      <c r="A1411" t="s">
        <v>47</v>
      </c>
      <c r="B1411">
        <v>8</v>
      </c>
      <c r="C1411" t="s">
        <v>210</v>
      </c>
      <c r="D1411">
        <v>123</v>
      </c>
      <c r="E1411" t="s">
        <v>83</v>
      </c>
      <c r="F1411">
        <v>158</v>
      </c>
      <c r="H1411" t="s">
        <v>50</v>
      </c>
      <c r="K1411" t="s">
        <v>52</v>
      </c>
      <c r="L1411">
        <v>1</v>
      </c>
      <c r="M1411" t="s">
        <v>53</v>
      </c>
      <c r="N1411">
        <v>158</v>
      </c>
      <c r="O1411">
        <v>2</v>
      </c>
      <c r="P1411" t="s">
        <v>52</v>
      </c>
      <c r="Q1411">
        <v>0.77</v>
      </c>
      <c r="R1411">
        <v>0.93</v>
      </c>
      <c r="S1411">
        <v>228</v>
      </c>
      <c r="T1411" t="s">
        <v>284</v>
      </c>
      <c r="U1411">
        <v>221</v>
      </c>
      <c r="V1411" t="s">
        <v>284</v>
      </c>
      <c r="W1411">
        <v>236</v>
      </c>
      <c r="X1411" t="s">
        <v>284</v>
      </c>
      <c r="Y1411">
        <v>244</v>
      </c>
      <c r="Z1411" t="s">
        <v>284</v>
      </c>
      <c r="AA1411">
        <v>252</v>
      </c>
      <c r="AB1411" t="s">
        <v>284</v>
      </c>
      <c r="AG1411">
        <v>236</v>
      </c>
      <c r="AH1411" t="s">
        <v>54</v>
      </c>
      <c r="AI1411" t="s">
        <v>52</v>
      </c>
      <c r="AX1411">
        <v>339</v>
      </c>
      <c r="AY1411" t="s">
        <v>285</v>
      </c>
      <c r="AZ1411" t="s">
        <v>287</v>
      </c>
      <c r="BQ1411" t="s">
        <v>52</v>
      </c>
      <c r="BR1411">
        <v>1.31</v>
      </c>
      <c r="BS1411" t="s">
        <v>285</v>
      </c>
      <c r="BT1411">
        <v>1.01</v>
      </c>
      <c r="BU1411" t="s">
        <v>284</v>
      </c>
      <c r="BV1411">
        <v>0.73</v>
      </c>
      <c r="BW1411" t="s">
        <v>288</v>
      </c>
      <c r="BX1411">
        <v>0.43</v>
      </c>
      <c r="BY1411" t="s">
        <v>288</v>
      </c>
      <c r="BZ1411">
        <v>0.17</v>
      </c>
      <c r="CA1411" t="s">
        <v>288</v>
      </c>
      <c r="CF1411">
        <v>0.72</v>
      </c>
      <c r="CG1411" t="s">
        <v>54</v>
      </c>
      <c r="CH1411" t="s">
        <v>52</v>
      </c>
    </row>
    <row r="1412" spans="1:86" x14ac:dyDescent="0.25">
      <c r="A1412" t="s">
        <v>47</v>
      </c>
      <c r="B1412">
        <v>8</v>
      </c>
      <c r="C1412" t="s">
        <v>210</v>
      </c>
      <c r="D1412">
        <v>123</v>
      </c>
      <c r="E1412" t="s">
        <v>84</v>
      </c>
      <c r="F1412">
        <v>11</v>
      </c>
      <c r="G1412" t="s">
        <v>85</v>
      </c>
      <c r="H1412" t="s">
        <v>50</v>
      </c>
      <c r="K1412" t="s">
        <v>51</v>
      </c>
      <c r="L1412">
        <v>1</v>
      </c>
      <c r="M1412" t="s">
        <v>53</v>
      </c>
      <c r="N1412">
        <v>11</v>
      </c>
      <c r="O1412">
        <v>2</v>
      </c>
      <c r="P1412" t="s">
        <v>52</v>
      </c>
      <c r="Q1412">
        <v>0.5</v>
      </c>
      <c r="R1412">
        <v>0.75</v>
      </c>
      <c r="S1412">
        <v>155</v>
      </c>
      <c r="T1412" t="s">
        <v>284</v>
      </c>
      <c r="U1412">
        <v>110</v>
      </c>
      <c r="V1412" t="s">
        <v>284</v>
      </c>
      <c r="W1412">
        <v>118</v>
      </c>
      <c r="X1412" t="s">
        <v>284</v>
      </c>
      <c r="Y1412">
        <v>122</v>
      </c>
      <c r="Z1412" t="s">
        <v>284</v>
      </c>
      <c r="AA1412">
        <v>126</v>
      </c>
      <c r="AB1412" t="s">
        <v>284</v>
      </c>
      <c r="AG1412">
        <v>122</v>
      </c>
      <c r="AH1412" t="s">
        <v>54</v>
      </c>
      <c r="AI1412" t="s">
        <v>52</v>
      </c>
      <c r="AZ1412" t="s">
        <v>52</v>
      </c>
      <c r="BQ1412" t="s">
        <v>52</v>
      </c>
      <c r="CH1412" t="s">
        <v>52</v>
      </c>
    </row>
    <row r="1413" spans="1:86" x14ac:dyDescent="0.25">
      <c r="A1413" t="s">
        <v>47</v>
      </c>
      <c r="B1413">
        <v>8</v>
      </c>
      <c r="C1413" t="s">
        <v>210</v>
      </c>
      <c r="D1413">
        <v>123</v>
      </c>
      <c r="E1413" t="s">
        <v>84</v>
      </c>
      <c r="F1413">
        <v>11</v>
      </c>
      <c r="G1413" t="s">
        <v>85</v>
      </c>
      <c r="H1413" t="s">
        <v>50</v>
      </c>
      <c r="K1413" t="s">
        <v>52</v>
      </c>
      <c r="L1413">
        <v>1</v>
      </c>
      <c r="M1413" t="s">
        <v>53</v>
      </c>
      <c r="N1413">
        <v>11</v>
      </c>
      <c r="O1413">
        <v>2</v>
      </c>
      <c r="P1413" t="s">
        <v>52</v>
      </c>
      <c r="Q1413">
        <v>0.5</v>
      </c>
      <c r="R1413">
        <v>0.75</v>
      </c>
      <c r="S1413">
        <v>155</v>
      </c>
      <c r="T1413" t="s">
        <v>284</v>
      </c>
      <c r="U1413">
        <v>110</v>
      </c>
      <c r="V1413" t="s">
        <v>284</v>
      </c>
      <c r="W1413">
        <v>118</v>
      </c>
      <c r="X1413" t="s">
        <v>284</v>
      </c>
      <c r="Y1413">
        <v>122</v>
      </c>
      <c r="Z1413" t="s">
        <v>284</v>
      </c>
      <c r="AA1413">
        <v>126</v>
      </c>
      <c r="AB1413" t="s">
        <v>284</v>
      </c>
      <c r="AG1413">
        <v>122</v>
      </c>
      <c r="AH1413" t="s">
        <v>54</v>
      </c>
      <c r="AI1413" t="s">
        <v>52</v>
      </c>
      <c r="AZ1413" t="s">
        <v>52</v>
      </c>
      <c r="BQ1413" t="s">
        <v>52</v>
      </c>
      <c r="CH1413" t="s">
        <v>52</v>
      </c>
    </row>
    <row r="1414" spans="1:86" x14ac:dyDescent="0.25">
      <c r="A1414" t="s">
        <v>47</v>
      </c>
      <c r="B1414">
        <v>8</v>
      </c>
      <c r="C1414" t="s">
        <v>210</v>
      </c>
      <c r="D1414">
        <v>123</v>
      </c>
      <c r="E1414" t="s">
        <v>84</v>
      </c>
      <c r="F1414">
        <v>11</v>
      </c>
      <c r="G1414" t="s">
        <v>96</v>
      </c>
      <c r="H1414" t="s">
        <v>50</v>
      </c>
      <c r="K1414" t="s">
        <v>51</v>
      </c>
      <c r="L1414">
        <v>1</v>
      </c>
      <c r="M1414" t="s">
        <v>53</v>
      </c>
      <c r="N1414">
        <v>11</v>
      </c>
      <c r="O1414">
        <v>2</v>
      </c>
      <c r="P1414" t="s">
        <v>52</v>
      </c>
      <c r="Q1414">
        <v>0.5</v>
      </c>
      <c r="R1414">
        <v>0.75</v>
      </c>
      <c r="S1414">
        <v>124</v>
      </c>
      <c r="T1414" t="s">
        <v>284</v>
      </c>
      <c r="U1414">
        <v>110</v>
      </c>
      <c r="V1414" t="s">
        <v>284</v>
      </c>
      <c r="W1414">
        <v>118</v>
      </c>
      <c r="X1414" t="s">
        <v>284</v>
      </c>
      <c r="Y1414">
        <v>122</v>
      </c>
      <c r="Z1414" t="s">
        <v>284</v>
      </c>
      <c r="AA1414">
        <v>126</v>
      </c>
      <c r="AB1414" t="s">
        <v>284</v>
      </c>
      <c r="AG1414">
        <v>121.33329999999999</v>
      </c>
      <c r="AH1414" t="s">
        <v>54</v>
      </c>
      <c r="AI1414" t="s">
        <v>52</v>
      </c>
      <c r="AZ1414" t="s">
        <v>52</v>
      </c>
      <c r="BQ1414" t="s">
        <v>52</v>
      </c>
      <c r="CH1414" t="s">
        <v>52</v>
      </c>
    </row>
    <row r="1415" spans="1:86" x14ac:dyDescent="0.25">
      <c r="A1415" t="s">
        <v>47</v>
      </c>
      <c r="B1415">
        <v>8</v>
      </c>
      <c r="C1415" t="s">
        <v>210</v>
      </c>
      <c r="D1415">
        <v>123</v>
      </c>
      <c r="E1415" t="s">
        <v>84</v>
      </c>
      <c r="F1415">
        <v>11</v>
      </c>
      <c r="G1415" t="s">
        <v>96</v>
      </c>
      <c r="H1415" t="s">
        <v>50</v>
      </c>
      <c r="K1415" t="s">
        <v>52</v>
      </c>
      <c r="L1415">
        <v>1</v>
      </c>
      <c r="M1415" t="s">
        <v>53</v>
      </c>
      <c r="N1415">
        <v>11</v>
      </c>
      <c r="O1415">
        <v>2</v>
      </c>
      <c r="P1415" t="s">
        <v>52</v>
      </c>
      <c r="Q1415">
        <v>0.5</v>
      </c>
      <c r="R1415">
        <v>0.75</v>
      </c>
      <c r="S1415">
        <v>124</v>
      </c>
      <c r="T1415" t="s">
        <v>284</v>
      </c>
      <c r="U1415">
        <v>110</v>
      </c>
      <c r="V1415" t="s">
        <v>284</v>
      </c>
      <c r="W1415">
        <v>118</v>
      </c>
      <c r="X1415" t="s">
        <v>284</v>
      </c>
      <c r="Y1415">
        <v>122</v>
      </c>
      <c r="Z1415" t="s">
        <v>284</v>
      </c>
      <c r="AA1415">
        <v>126</v>
      </c>
      <c r="AB1415" t="s">
        <v>284</v>
      </c>
      <c r="AG1415">
        <v>121.33329999999999</v>
      </c>
      <c r="AH1415" t="s">
        <v>54</v>
      </c>
      <c r="AI1415" t="s">
        <v>52</v>
      </c>
      <c r="AZ1415" t="s">
        <v>52</v>
      </c>
      <c r="BQ1415" t="s">
        <v>52</v>
      </c>
      <c r="CH1415" t="s">
        <v>52</v>
      </c>
    </row>
    <row r="1416" spans="1:86" x14ac:dyDescent="0.25">
      <c r="A1416" t="s">
        <v>47</v>
      </c>
      <c r="B1416">
        <v>8</v>
      </c>
      <c r="C1416" t="s">
        <v>213</v>
      </c>
      <c r="D1416">
        <v>125</v>
      </c>
      <c r="E1416" t="s">
        <v>49</v>
      </c>
      <c r="F1416">
        <v>27</v>
      </c>
      <c r="H1416" t="s">
        <v>50</v>
      </c>
      <c r="K1416" t="s">
        <v>51</v>
      </c>
      <c r="L1416">
        <v>1</v>
      </c>
      <c r="M1416" t="s">
        <v>53</v>
      </c>
      <c r="N1416">
        <v>27</v>
      </c>
      <c r="O1416">
        <v>1</v>
      </c>
      <c r="P1416" t="s">
        <v>52</v>
      </c>
      <c r="Q1416">
        <v>0</v>
      </c>
      <c r="R1416">
        <v>0.75</v>
      </c>
      <c r="S1416">
        <v>231</v>
      </c>
      <c r="T1416" t="s">
        <v>284</v>
      </c>
      <c r="U1416">
        <v>208</v>
      </c>
      <c r="V1416" t="s">
        <v>284</v>
      </c>
      <c r="W1416">
        <v>224</v>
      </c>
      <c r="X1416" t="s">
        <v>284</v>
      </c>
      <c r="Y1416">
        <v>225</v>
      </c>
      <c r="Z1416" t="s">
        <v>285</v>
      </c>
      <c r="AA1416">
        <v>247</v>
      </c>
      <c r="AB1416" t="s">
        <v>285</v>
      </c>
      <c r="AC1416">
        <v>241</v>
      </c>
      <c r="AD1416" t="s">
        <v>285</v>
      </c>
      <c r="AE1416">
        <v>219</v>
      </c>
      <c r="AF1416" t="s">
        <v>285</v>
      </c>
      <c r="AG1416">
        <v>219</v>
      </c>
      <c r="AH1416" t="s">
        <v>286</v>
      </c>
      <c r="AI1416" t="s">
        <v>287</v>
      </c>
      <c r="AX1416">
        <v>263</v>
      </c>
      <c r="AY1416" t="s">
        <v>286</v>
      </c>
      <c r="AZ1416" t="s">
        <v>287</v>
      </c>
      <c r="BQ1416" t="s">
        <v>52</v>
      </c>
      <c r="BR1416">
        <v>3.7</v>
      </c>
      <c r="BS1416" t="s">
        <v>284</v>
      </c>
      <c r="BT1416">
        <v>3.4</v>
      </c>
      <c r="BU1416" t="s">
        <v>284</v>
      </c>
      <c r="BV1416">
        <v>2.11</v>
      </c>
      <c r="BW1416" t="s">
        <v>284</v>
      </c>
      <c r="BX1416">
        <v>2.74</v>
      </c>
      <c r="BY1416" t="s">
        <v>284</v>
      </c>
      <c r="BZ1416">
        <v>2.2999999999999998</v>
      </c>
      <c r="CA1416" t="s">
        <v>289</v>
      </c>
      <c r="CF1416">
        <v>2.81</v>
      </c>
      <c r="CG1416" t="s">
        <v>54</v>
      </c>
      <c r="CH1416" t="s">
        <v>52</v>
      </c>
    </row>
    <row r="1417" spans="1:86" x14ac:dyDescent="0.25">
      <c r="A1417" t="s">
        <v>47</v>
      </c>
      <c r="B1417">
        <v>8</v>
      </c>
      <c r="C1417" t="s">
        <v>213</v>
      </c>
      <c r="D1417">
        <v>125</v>
      </c>
      <c r="E1417" t="s">
        <v>49</v>
      </c>
      <c r="F1417">
        <v>27</v>
      </c>
      <c r="H1417" t="s">
        <v>50</v>
      </c>
      <c r="K1417" t="s">
        <v>52</v>
      </c>
      <c r="L1417">
        <v>1</v>
      </c>
      <c r="M1417" t="s">
        <v>53</v>
      </c>
      <c r="N1417">
        <v>27</v>
      </c>
      <c r="O1417">
        <v>1</v>
      </c>
      <c r="P1417" t="s">
        <v>52</v>
      </c>
      <c r="Q1417">
        <v>0</v>
      </c>
      <c r="R1417">
        <v>0.75</v>
      </c>
      <c r="S1417">
        <v>231</v>
      </c>
      <c r="T1417" t="s">
        <v>284</v>
      </c>
      <c r="U1417">
        <v>208</v>
      </c>
      <c r="V1417" t="s">
        <v>284</v>
      </c>
      <c r="W1417">
        <v>224</v>
      </c>
      <c r="X1417" t="s">
        <v>284</v>
      </c>
      <c r="Y1417">
        <v>225</v>
      </c>
      <c r="Z1417" t="s">
        <v>285</v>
      </c>
      <c r="AA1417">
        <v>247</v>
      </c>
      <c r="AB1417" t="s">
        <v>285</v>
      </c>
      <c r="AC1417">
        <v>241</v>
      </c>
      <c r="AD1417" t="s">
        <v>285</v>
      </c>
      <c r="AE1417">
        <v>219</v>
      </c>
      <c r="AF1417" t="s">
        <v>285</v>
      </c>
      <c r="AG1417">
        <v>219</v>
      </c>
      <c r="AH1417" t="s">
        <v>286</v>
      </c>
      <c r="AI1417" t="s">
        <v>287</v>
      </c>
      <c r="AX1417">
        <v>263</v>
      </c>
      <c r="AY1417" t="s">
        <v>286</v>
      </c>
      <c r="AZ1417" t="s">
        <v>287</v>
      </c>
      <c r="BQ1417" t="s">
        <v>52</v>
      </c>
      <c r="BR1417">
        <v>1.3</v>
      </c>
      <c r="BS1417" t="s">
        <v>284</v>
      </c>
      <c r="BT1417">
        <v>1.2</v>
      </c>
      <c r="BU1417" t="s">
        <v>284</v>
      </c>
      <c r="BV1417">
        <v>0.75</v>
      </c>
      <c r="BW1417" t="s">
        <v>284</v>
      </c>
      <c r="BX1417">
        <v>0.9</v>
      </c>
      <c r="BY1417" t="s">
        <v>284</v>
      </c>
      <c r="BZ1417">
        <v>1.05</v>
      </c>
      <c r="CA1417" t="s">
        <v>289</v>
      </c>
      <c r="CF1417">
        <v>1.05</v>
      </c>
      <c r="CG1417" t="s">
        <v>54</v>
      </c>
      <c r="CH1417" t="s">
        <v>52</v>
      </c>
    </row>
    <row r="1418" spans="1:86" x14ac:dyDescent="0.25">
      <c r="A1418" t="s">
        <v>47</v>
      </c>
      <c r="B1418">
        <v>8</v>
      </c>
      <c r="C1418" t="s">
        <v>213</v>
      </c>
      <c r="D1418">
        <v>125</v>
      </c>
      <c r="E1418" t="s">
        <v>87</v>
      </c>
      <c r="F1418">
        <v>91</v>
      </c>
      <c r="G1418" t="s">
        <v>76</v>
      </c>
      <c r="H1418" t="s">
        <v>50</v>
      </c>
      <c r="K1418" t="s">
        <v>51</v>
      </c>
      <c r="L1418">
        <v>1</v>
      </c>
      <c r="M1418" t="s">
        <v>53</v>
      </c>
      <c r="N1418">
        <v>91</v>
      </c>
      <c r="O1418">
        <v>2</v>
      </c>
      <c r="P1418" t="s">
        <v>52</v>
      </c>
      <c r="Q1418">
        <v>0.77</v>
      </c>
      <c r="R1418">
        <v>0.93</v>
      </c>
      <c r="S1418">
        <v>135</v>
      </c>
      <c r="T1418" t="s">
        <v>284</v>
      </c>
      <c r="U1418">
        <v>133</v>
      </c>
      <c r="V1418" t="s">
        <v>284</v>
      </c>
      <c r="W1418">
        <v>147</v>
      </c>
      <c r="X1418" t="s">
        <v>284</v>
      </c>
      <c r="Y1418">
        <v>170</v>
      </c>
      <c r="Z1418" t="s">
        <v>284</v>
      </c>
      <c r="AA1418">
        <v>167</v>
      </c>
      <c r="AB1418" t="s">
        <v>284</v>
      </c>
      <c r="AG1418">
        <v>149.66669999999999</v>
      </c>
      <c r="AH1418" t="s">
        <v>54</v>
      </c>
      <c r="AI1418" t="s">
        <v>52</v>
      </c>
      <c r="AZ1418" t="s">
        <v>52</v>
      </c>
      <c r="BQ1418" t="s">
        <v>52</v>
      </c>
      <c r="BR1418">
        <v>1.42</v>
      </c>
      <c r="BS1418" t="s">
        <v>285</v>
      </c>
      <c r="BT1418">
        <v>1.35</v>
      </c>
      <c r="BU1418" t="s">
        <v>284</v>
      </c>
      <c r="BV1418">
        <v>0.83</v>
      </c>
      <c r="BW1418" t="s">
        <v>288</v>
      </c>
      <c r="BX1418">
        <v>1.85</v>
      </c>
      <c r="BY1418" t="s">
        <v>284</v>
      </c>
      <c r="BZ1418">
        <v>1.01</v>
      </c>
      <c r="CA1418" t="s">
        <v>285</v>
      </c>
      <c r="CF1418">
        <v>1.26</v>
      </c>
      <c r="CG1418" t="s">
        <v>54</v>
      </c>
      <c r="CH1418" t="s">
        <v>52</v>
      </c>
    </row>
    <row r="1419" spans="1:86" x14ac:dyDescent="0.25">
      <c r="A1419" t="s">
        <v>47</v>
      </c>
      <c r="B1419">
        <v>8</v>
      </c>
      <c r="C1419" t="s">
        <v>213</v>
      </c>
      <c r="D1419">
        <v>125</v>
      </c>
      <c r="E1419" t="s">
        <v>87</v>
      </c>
      <c r="F1419">
        <v>91</v>
      </c>
      <c r="G1419" t="s">
        <v>76</v>
      </c>
      <c r="H1419" t="s">
        <v>50</v>
      </c>
      <c r="K1419" t="s">
        <v>52</v>
      </c>
      <c r="L1419">
        <v>1</v>
      </c>
      <c r="M1419" t="s">
        <v>53</v>
      </c>
      <c r="N1419">
        <v>91</v>
      </c>
      <c r="O1419">
        <v>2</v>
      </c>
      <c r="P1419" t="s">
        <v>52</v>
      </c>
      <c r="Q1419">
        <v>0.77</v>
      </c>
      <c r="R1419">
        <v>0.93</v>
      </c>
      <c r="S1419">
        <v>135</v>
      </c>
      <c r="T1419" t="s">
        <v>284</v>
      </c>
      <c r="U1419">
        <v>133</v>
      </c>
      <c r="V1419" t="s">
        <v>284</v>
      </c>
      <c r="W1419">
        <v>147</v>
      </c>
      <c r="X1419" t="s">
        <v>284</v>
      </c>
      <c r="Y1419">
        <v>170</v>
      </c>
      <c r="Z1419" t="s">
        <v>284</v>
      </c>
      <c r="AA1419">
        <v>167</v>
      </c>
      <c r="AB1419" t="s">
        <v>284</v>
      </c>
      <c r="AG1419">
        <v>149.66669999999999</v>
      </c>
      <c r="AH1419" t="s">
        <v>54</v>
      </c>
      <c r="AI1419" t="s">
        <v>52</v>
      </c>
      <c r="AZ1419" t="s">
        <v>52</v>
      </c>
      <c r="BQ1419" t="s">
        <v>52</v>
      </c>
      <c r="BR1419">
        <v>0.57999999999999996</v>
      </c>
      <c r="BS1419" t="s">
        <v>285</v>
      </c>
      <c r="BT1419">
        <v>0.38</v>
      </c>
      <c r="BU1419" t="s">
        <v>284</v>
      </c>
      <c r="BV1419">
        <v>0.54</v>
      </c>
      <c r="BW1419" t="s">
        <v>284</v>
      </c>
      <c r="BX1419">
        <v>0.52</v>
      </c>
      <c r="BY1419" t="s">
        <v>284</v>
      </c>
      <c r="BZ1419">
        <v>0.45</v>
      </c>
      <c r="CA1419" t="s">
        <v>284</v>
      </c>
      <c r="CF1419">
        <v>0.5</v>
      </c>
      <c r="CG1419" t="s">
        <v>54</v>
      </c>
      <c r="CH1419" t="s">
        <v>52</v>
      </c>
    </row>
    <row r="1420" spans="1:86" x14ac:dyDescent="0.25">
      <c r="A1420" t="s">
        <v>47</v>
      </c>
      <c r="B1420">
        <v>8</v>
      </c>
      <c r="C1420" t="s">
        <v>213</v>
      </c>
      <c r="D1420">
        <v>125</v>
      </c>
      <c r="E1420" t="s">
        <v>110</v>
      </c>
      <c r="F1420">
        <v>265</v>
      </c>
      <c r="G1420" t="s">
        <v>214</v>
      </c>
      <c r="H1420" t="s">
        <v>50</v>
      </c>
      <c r="K1420" t="s">
        <v>51</v>
      </c>
      <c r="L1420">
        <v>1</v>
      </c>
      <c r="M1420" t="s">
        <v>53</v>
      </c>
      <c r="N1420">
        <v>102</v>
      </c>
      <c r="O1420">
        <v>1</v>
      </c>
      <c r="P1420" t="s">
        <v>52</v>
      </c>
      <c r="Q1420">
        <v>0</v>
      </c>
      <c r="R1420">
        <v>0.87</v>
      </c>
      <c r="AI1420" t="s">
        <v>52</v>
      </c>
      <c r="AZ1420" t="s">
        <v>52</v>
      </c>
      <c r="BQ1420" t="s">
        <v>52</v>
      </c>
      <c r="CH1420" t="s">
        <v>52</v>
      </c>
    </row>
    <row r="1421" spans="1:86" x14ac:dyDescent="0.25">
      <c r="A1421" t="s">
        <v>47</v>
      </c>
      <c r="B1421">
        <v>8</v>
      </c>
      <c r="C1421" t="s">
        <v>213</v>
      </c>
      <c r="D1421">
        <v>125</v>
      </c>
      <c r="E1421" t="s">
        <v>110</v>
      </c>
      <c r="F1421">
        <v>265</v>
      </c>
      <c r="G1421" t="s">
        <v>214</v>
      </c>
      <c r="H1421" t="s">
        <v>50</v>
      </c>
      <c r="K1421" t="s">
        <v>52</v>
      </c>
      <c r="L1421">
        <v>1</v>
      </c>
      <c r="M1421" t="s">
        <v>53</v>
      </c>
      <c r="N1421">
        <v>102</v>
      </c>
      <c r="O1421">
        <v>1</v>
      </c>
      <c r="P1421" t="s">
        <v>52</v>
      </c>
      <c r="Q1421">
        <v>0</v>
      </c>
      <c r="R1421">
        <v>0.87</v>
      </c>
      <c r="AI1421" t="s">
        <v>52</v>
      </c>
      <c r="AZ1421" t="s">
        <v>52</v>
      </c>
      <c r="BQ1421" t="s">
        <v>52</v>
      </c>
      <c r="CH1421" t="s">
        <v>52</v>
      </c>
    </row>
    <row r="1422" spans="1:86" x14ac:dyDescent="0.25">
      <c r="A1422" t="s">
        <v>47</v>
      </c>
      <c r="B1422">
        <v>8</v>
      </c>
      <c r="C1422" t="s">
        <v>213</v>
      </c>
      <c r="D1422">
        <v>125</v>
      </c>
      <c r="E1422" t="s">
        <v>58</v>
      </c>
      <c r="F1422">
        <v>102</v>
      </c>
      <c r="G1422" t="s">
        <v>62</v>
      </c>
      <c r="H1422" t="s">
        <v>50</v>
      </c>
      <c r="K1422" t="s">
        <v>51</v>
      </c>
      <c r="L1422">
        <v>1</v>
      </c>
      <c r="M1422" t="s">
        <v>53</v>
      </c>
      <c r="N1422">
        <v>102</v>
      </c>
      <c r="O1422">
        <v>1</v>
      </c>
      <c r="P1422" t="s">
        <v>52</v>
      </c>
      <c r="Q1422">
        <v>0</v>
      </c>
      <c r="R1422">
        <v>0.92</v>
      </c>
      <c r="S1422">
        <v>131.69999999999999</v>
      </c>
      <c r="T1422" t="s">
        <v>284</v>
      </c>
      <c r="U1422">
        <v>170</v>
      </c>
      <c r="V1422" t="s">
        <v>284</v>
      </c>
      <c r="W1422">
        <v>191</v>
      </c>
      <c r="X1422" t="s">
        <v>284</v>
      </c>
      <c r="Y1422">
        <v>207</v>
      </c>
      <c r="Z1422" t="s">
        <v>284</v>
      </c>
      <c r="AA1422">
        <v>205</v>
      </c>
      <c r="AB1422" t="s">
        <v>285</v>
      </c>
      <c r="AG1422">
        <v>188.66669999999999</v>
      </c>
      <c r="AH1422" t="s">
        <v>54</v>
      </c>
      <c r="AI1422" t="s">
        <v>52</v>
      </c>
      <c r="AX1422">
        <v>271.60000000000002</v>
      </c>
      <c r="AY1422" t="s">
        <v>285</v>
      </c>
      <c r="AZ1422" t="s">
        <v>287</v>
      </c>
      <c r="BQ1422" t="s">
        <v>52</v>
      </c>
      <c r="BR1422">
        <v>1.85</v>
      </c>
      <c r="BS1422" t="s">
        <v>284</v>
      </c>
      <c r="BT1422">
        <v>1.67</v>
      </c>
      <c r="BU1422" t="s">
        <v>284</v>
      </c>
      <c r="BV1422">
        <v>0.53</v>
      </c>
      <c r="BW1422" t="s">
        <v>285</v>
      </c>
      <c r="BX1422">
        <v>0.64</v>
      </c>
      <c r="BY1422" t="s">
        <v>285</v>
      </c>
      <c r="BZ1422">
        <v>0.55000000000000004</v>
      </c>
      <c r="CA1422" t="s">
        <v>284</v>
      </c>
      <c r="CF1422">
        <v>0.95</v>
      </c>
      <c r="CG1422" t="s">
        <v>54</v>
      </c>
      <c r="CH1422" t="s">
        <v>52</v>
      </c>
    </row>
    <row r="1423" spans="1:86" x14ac:dyDescent="0.25">
      <c r="A1423" t="s">
        <v>47</v>
      </c>
      <c r="B1423">
        <v>8</v>
      </c>
      <c r="C1423" t="s">
        <v>213</v>
      </c>
      <c r="D1423">
        <v>125</v>
      </c>
      <c r="E1423" t="s">
        <v>58</v>
      </c>
      <c r="F1423">
        <v>102</v>
      </c>
      <c r="G1423" t="s">
        <v>62</v>
      </c>
      <c r="H1423" t="s">
        <v>50</v>
      </c>
      <c r="K1423" t="s">
        <v>52</v>
      </c>
      <c r="L1423">
        <v>1</v>
      </c>
      <c r="M1423" t="s">
        <v>53</v>
      </c>
      <c r="N1423">
        <v>102</v>
      </c>
      <c r="O1423">
        <v>1</v>
      </c>
      <c r="P1423" t="s">
        <v>52</v>
      </c>
      <c r="Q1423">
        <v>0</v>
      </c>
      <c r="R1423">
        <v>0.92</v>
      </c>
      <c r="S1423">
        <v>131.69999999999999</v>
      </c>
      <c r="T1423" t="s">
        <v>284</v>
      </c>
      <c r="U1423">
        <v>170</v>
      </c>
      <c r="V1423" t="s">
        <v>284</v>
      </c>
      <c r="W1423">
        <v>191</v>
      </c>
      <c r="X1423" t="s">
        <v>284</v>
      </c>
      <c r="Y1423">
        <v>207</v>
      </c>
      <c r="Z1423" t="s">
        <v>284</v>
      </c>
      <c r="AA1423">
        <v>205</v>
      </c>
      <c r="AB1423" t="s">
        <v>285</v>
      </c>
      <c r="AG1423">
        <v>188.66669999999999</v>
      </c>
      <c r="AH1423" t="s">
        <v>54</v>
      </c>
      <c r="AI1423" t="s">
        <v>52</v>
      </c>
      <c r="AX1423">
        <v>271.60000000000002</v>
      </c>
      <c r="AY1423" t="s">
        <v>285</v>
      </c>
      <c r="AZ1423" t="s">
        <v>287</v>
      </c>
      <c r="BQ1423" t="s">
        <v>52</v>
      </c>
      <c r="BR1423">
        <v>0.83</v>
      </c>
      <c r="BS1423" t="s">
        <v>285</v>
      </c>
      <c r="BT1423">
        <v>0.94</v>
      </c>
      <c r="BU1423" t="s">
        <v>284</v>
      </c>
      <c r="BV1423">
        <v>0.28000000000000003</v>
      </c>
      <c r="BW1423" t="s">
        <v>285</v>
      </c>
      <c r="BX1423">
        <v>0.5</v>
      </c>
      <c r="BY1423" t="s">
        <v>285</v>
      </c>
      <c r="BZ1423">
        <v>0.43</v>
      </c>
      <c r="CA1423" t="s">
        <v>284</v>
      </c>
      <c r="CF1423">
        <v>0.59</v>
      </c>
      <c r="CG1423" t="s">
        <v>54</v>
      </c>
      <c r="CH1423" t="s">
        <v>52</v>
      </c>
    </row>
    <row r="1424" spans="1:86" x14ac:dyDescent="0.25">
      <c r="A1424" t="s">
        <v>47</v>
      </c>
      <c r="B1424">
        <v>8</v>
      </c>
      <c r="C1424" t="s">
        <v>213</v>
      </c>
      <c r="D1424">
        <v>125</v>
      </c>
      <c r="E1424" t="s">
        <v>68</v>
      </c>
      <c r="F1424">
        <v>80</v>
      </c>
      <c r="G1424" t="s">
        <v>69</v>
      </c>
      <c r="H1424" t="s">
        <v>50</v>
      </c>
      <c r="K1424" t="s">
        <v>51</v>
      </c>
      <c r="L1424">
        <v>1</v>
      </c>
      <c r="M1424" t="s">
        <v>53</v>
      </c>
      <c r="N1424">
        <v>80</v>
      </c>
      <c r="O1424">
        <v>1</v>
      </c>
      <c r="P1424" t="s">
        <v>52</v>
      </c>
      <c r="Q1424">
        <v>0.5</v>
      </c>
      <c r="R1424">
        <v>0.75</v>
      </c>
      <c r="S1424">
        <v>202.92</v>
      </c>
      <c r="T1424" t="s">
        <v>284</v>
      </c>
      <c r="U1424">
        <v>198.9</v>
      </c>
      <c r="V1424" t="s">
        <v>284</v>
      </c>
      <c r="W1424">
        <v>212.4</v>
      </c>
      <c r="X1424" t="s">
        <v>284</v>
      </c>
      <c r="Y1424">
        <v>219.6</v>
      </c>
      <c r="Z1424" t="s">
        <v>284</v>
      </c>
      <c r="AA1424">
        <v>178</v>
      </c>
      <c r="AB1424" t="s">
        <v>284</v>
      </c>
      <c r="AG1424">
        <v>204.74</v>
      </c>
      <c r="AH1424" t="s">
        <v>54</v>
      </c>
      <c r="AI1424" t="s">
        <v>52</v>
      </c>
      <c r="AZ1424" t="s">
        <v>52</v>
      </c>
      <c r="BQ1424" t="s">
        <v>52</v>
      </c>
      <c r="BR1424">
        <v>1.85</v>
      </c>
      <c r="BS1424" t="s">
        <v>284</v>
      </c>
      <c r="BT1424">
        <v>1.67</v>
      </c>
      <c r="BU1424" t="s">
        <v>284</v>
      </c>
      <c r="BV1424">
        <v>1.83</v>
      </c>
      <c r="BW1424" t="s">
        <v>284</v>
      </c>
      <c r="BX1424">
        <v>2.29</v>
      </c>
      <c r="BY1424" t="s">
        <v>284</v>
      </c>
      <c r="BZ1424">
        <v>4.0599999999999996</v>
      </c>
      <c r="CA1424" t="s">
        <v>288</v>
      </c>
      <c r="CF1424">
        <v>1.99</v>
      </c>
      <c r="CG1424" t="s">
        <v>54</v>
      </c>
      <c r="CH1424" t="s">
        <v>52</v>
      </c>
    </row>
    <row r="1425" spans="1:86" x14ac:dyDescent="0.25">
      <c r="A1425" t="s">
        <v>47</v>
      </c>
      <c r="B1425">
        <v>8</v>
      </c>
      <c r="C1425" t="s">
        <v>213</v>
      </c>
      <c r="D1425">
        <v>125</v>
      </c>
      <c r="E1425" t="s">
        <v>68</v>
      </c>
      <c r="F1425">
        <v>80</v>
      </c>
      <c r="G1425" t="s">
        <v>69</v>
      </c>
      <c r="H1425" t="s">
        <v>50</v>
      </c>
      <c r="K1425" t="s">
        <v>52</v>
      </c>
      <c r="L1425">
        <v>1</v>
      </c>
      <c r="M1425" t="s">
        <v>53</v>
      </c>
      <c r="N1425">
        <v>80</v>
      </c>
      <c r="O1425">
        <v>1</v>
      </c>
      <c r="P1425" t="s">
        <v>52</v>
      </c>
      <c r="Q1425">
        <v>0.5</v>
      </c>
      <c r="R1425">
        <v>0.75</v>
      </c>
      <c r="S1425">
        <v>202.92</v>
      </c>
      <c r="T1425" t="s">
        <v>284</v>
      </c>
      <c r="U1425">
        <v>198.9</v>
      </c>
      <c r="V1425" t="s">
        <v>284</v>
      </c>
      <c r="W1425">
        <v>212.4</v>
      </c>
      <c r="X1425" t="s">
        <v>284</v>
      </c>
      <c r="Y1425">
        <v>219.6</v>
      </c>
      <c r="Z1425" t="s">
        <v>284</v>
      </c>
      <c r="AA1425">
        <v>178</v>
      </c>
      <c r="AB1425" t="s">
        <v>284</v>
      </c>
      <c r="AG1425">
        <v>204.74</v>
      </c>
      <c r="AH1425" t="s">
        <v>54</v>
      </c>
      <c r="AI1425" t="s">
        <v>52</v>
      </c>
      <c r="AZ1425" t="s">
        <v>52</v>
      </c>
      <c r="BQ1425" t="s">
        <v>52</v>
      </c>
      <c r="BR1425">
        <v>0.65</v>
      </c>
      <c r="BS1425" t="s">
        <v>285</v>
      </c>
      <c r="BT1425">
        <v>0.87</v>
      </c>
      <c r="BU1425" t="s">
        <v>284</v>
      </c>
      <c r="BV1425">
        <v>1.26</v>
      </c>
      <c r="BW1425" t="s">
        <v>284</v>
      </c>
      <c r="BX1425">
        <v>1.64</v>
      </c>
      <c r="BY1425" t="s">
        <v>284</v>
      </c>
      <c r="BZ1425">
        <v>1.1100000000000001</v>
      </c>
      <c r="CA1425" t="s">
        <v>288</v>
      </c>
      <c r="CF1425">
        <v>1.08</v>
      </c>
      <c r="CG1425" t="s">
        <v>54</v>
      </c>
      <c r="CH1425" t="s">
        <v>52</v>
      </c>
    </row>
    <row r="1426" spans="1:86" x14ac:dyDescent="0.25">
      <c r="A1426" t="s">
        <v>47</v>
      </c>
      <c r="B1426">
        <v>8</v>
      </c>
      <c r="C1426" t="s">
        <v>213</v>
      </c>
      <c r="D1426">
        <v>125</v>
      </c>
      <c r="E1426" t="s">
        <v>70</v>
      </c>
      <c r="F1426">
        <v>296</v>
      </c>
      <c r="G1426" t="s">
        <v>71</v>
      </c>
      <c r="H1426" t="s">
        <v>50</v>
      </c>
      <c r="K1426" t="s">
        <v>51</v>
      </c>
      <c r="L1426">
        <v>1</v>
      </c>
      <c r="M1426" t="s">
        <v>53</v>
      </c>
      <c r="N1426">
        <v>296</v>
      </c>
      <c r="O1426">
        <v>1</v>
      </c>
      <c r="P1426" t="s">
        <v>52</v>
      </c>
      <c r="Q1426">
        <v>0</v>
      </c>
      <c r="R1426">
        <v>0.75</v>
      </c>
      <c r="S1426">
        <v>228</v>
      </c>
      <c r="T1426" t="s">
        <v>284</v>
      </c>
      <c r="U1426">
        <v>190</v>
      </c>
      <c r="V1426" t="s">
        <v>285</v>
      </c>
      <c r="W1426">
        <v>194</v>
      </c>
      <c r="X1426" t="s">
        <v>285</v>
      </c>
      <c r="Y1426">
        <v>225</v>
      </c>
      <c r="Z1426" t="s">
        <v>285</v>
      </c>
      <c r="AA1426">
        <v>247</v>
      </c>
      <c r="AB1426" t="s">
        <v>285</v>
      </c>
      <c r="AC1426">
        <v>241</v>
      </c>
      <c r="AD1426" t="s">
        <v>285</v>
      </c>
      <c r="AE1426">
        <v>219</v>
      </c>
      <c r="AF1426" t="s">
        <v>285</v>
      </c>
      <c r="AG1426">
        <v>219</v>
      </c>
      <c r="AH1426" t="s">
        <v>286</v>
      </c>
      <c r="AI1426" t="s">
        <v>287</v>
      </c>
      <c r="AX1426">
        <v>263</v>
      </c>
      <c r="AY1426" t="s">
        <v>286</v>
      </c>
      <c r="AZ1426" t="s">
        <v>287</v>
      </c>
      <c r="BQ1426" t="s">
        <v>52</v>
      </c>
      <c r="BR1426">
        <v>1.85</v>
      </c>
      <c r="BS1426" t="s">
        <v>284</v>
      </c>
      <c r="BT1426">
        <v>1.67</v>
      </c>
      <c r="BU1426" t="s">
        <v>284</v>
      </c>
      <c r="BV1426">
        <v>1</v>
      </c>
      <c r="BW1426" t="s">
        <v>285</v>
      </c>
      <c r="BX1426">
        <v>1</v>
      </c>
      <c r="BY1426" t="s">
        <v>285</v>
      </c>
      <c r="BZ1426">
        <v>1</v>
      </c>
      <c r="CA1426" t="s">
        <v>284</v>
      </c>
      <c r="CF1426">
        <v>1.22</v>
      </c>
      <c r="CG1426" t="s">
        <v>54</v>
      </c>
      <c r="CH1426" t="s">
        <v>52</v>
      </c>
    </row>
    <row r="1427" spans="1:86" x14ac:dyDescent="0.25">
      <c r="A1427" t="s">
        <v>47</v>
      </c>
      <c r="B1427">
        <v>8</v>
      </c>
      <c r="C1427" t="s">
        <v>213</v>
      </c>
      <c r="D1427">
        <v>125</v>
      </c>
      <c r="E1427" t="s">
        <v>70</v>
      </c>
      <c r="F1427">
        <v>296</v>
      </c>
      <c r="G1427" t="s">
        <v>72</v>
      </c>
      <c r="H1427" t="s">
        <v>50</v>
      </c>
      <c r="K1427" t="s">
        <v>51</v>
      </c>
      <c r="L1427">
        <v>1</v>
      </c>
      <c r="M1427" t="s">
        <v>53</v>
      </c>
      <c r="N1427">
        <v>296</v>
      </c>
      <c r="O1427">
        <v>1</v>
      </c>
      <c r="P1427" t="s">
        <v>52</v>
      </c>
      <c r="Q1427">
        <v>0.5</v>
      </c>
      <c r="R1427">
        <v>0.75</v>
      </c>
      <c r="S1427">
        <v>228</v>
      </c>
      <c r="T1427" t="s">
        <v>284</v>
      </c>
      <c r="U1427">
        <v>221</v>
      </c>
      <c r="V1427" t="s">
        <v>284</v>
      </c>
      <c r="W1427">
        <v>236</v>
      </c>
      <c r="X1427" t="s">
        <v>284</v>
      </c>
      <c r="Y1427">
        <v>244</v>
      </c>
      <c r="Z1427" t="s">
        <v>284</v>
      </c>
      <c r="AA1427">
        <v>215</v>
      </c>
      <c r="AB1427" t="s">
        <v>285</v>
      </c>
      <c r="AG1427">
        <v>228.33330000000001</v>
      </c>
      <c r="AH1427" t="s">
        <v>54</v>
      </c>
      <c r="AI1427" t="s">
        <v>52</v>
      </c>
      <c r="AZ1427" t="s">
        <v>52</v>
      </c>
      <c r="BQ1427" t="s">
        <v>52</v>
      </c>
      <c r="BR1427">
        <v>1.85</v>
      </c>
      <c r="BS1427" t="s">
        <v>284</v>
      </c>
      <c r="BT1427">
        <v>1.67</v>
      </c>
      <c r="BU1427" t="s">
        <v>284</v>
      </c>
      <c r="BV1427">
        <v>1.58</v>
      </c>
      <c r="BW1427" t="s">
        <v>284</v>
      </c>
      <c r="BX1427">
        <v>1.28</v>
      </c>
      <c r="BY1427" t="s">
        <v>284</v>
      </c>
      <c r="BZ1427">
        <v>1.28</v>
      </c>
      <c r="CA1427" t="s">
        <v>284</v>
      </c>
      <c r="CF1427">
        <v>1.51</v>
      </c>
      <c r="CG1427" t="s">
        <v>54</v>
      </c>
      <c r="CH1427" t="s">
        <v>52</v>
      </c>
    </row>
    <row r="1428" spans="1:86" x14ac:dyDescent="0.25">
      <c r="A1428" t="s">
        <v>47</v>
      </c>
      <c r="B1428">
        <v>8</v>
      </c>
      <c r="C1428" t="s">
        <v>213</v>
      </c>
      <c r="D1428">
        <v>125</v>
      </c>
      <c r="E1428" t="s">
        <v>70</v>
      </c>
      <c r="F1428">
        <v>296</v>
      </c>
      <c r="G1428" t="s">
        <v>74</v>
      </c>
      <c r="H1428" t="s">
        <v>50</v>
      </c>
      <c r="K1428" t="s">
        <v>52</v>
      </c>
      <c r="L1428">
        <v>1</v>
      </c>
      <c r="M1428" t="s">
        <v>53</v>
      </c>
      <c r="N1428">
        <v>102</v>
      </c>
      <c r="O1428">
        <v>1</v>
      </c>
      <c r="P1428" t="s">
        <v>52</v>
      </c>
      <c r="Q1428">
        <v>0</v>
      </c>
      <c r="R1428">
        <v>0.75</v>
      </c>
      <c r="S1428">
        <v>135</v>
      </c>
      <c r="T1428" t="s">
        <v>284</v>
      </c>
      <c r="U1428">
        <v>132</v>
      </c>
      <c r="V1428" t="s">
        <v>284</v>
      </c>
      <c r="W1428">
        <v>147</v>
      </c>
      <c r="X1428" t="s">
        <v>284</v>
      </c>
      <c r="Y1428">
        <v>170</v>
      </c>
      <c r="Z1428" t="s">
        <v>284</v>
      </c>
      <c r="AA1428">
        <v>205</v>
      </c>
      <c r="AB1428" t="s">
        <v>285</v>
      </c>
      <c r="AG1428">
        <v>150.66669999999999</v>
      </c>
      <c r="AH1428" t="s">
        <v>54</v>
      </c>
      <c r="AI1428" t="s">
        <v>52</v>
      </c>
      <c r="AZ1428" t="s">
        <v>52</v>
      </c>
      <c r="BQ1428" t="s">
        <v>52</v>
      </c>
      <c r="BR1428">
        <v>0.65</v>
      </c>
      <c r="BS1428" t="s">
        <v>284</v>
      </c>
      <c r="BT1428">
        <v>0.52</v>
      </c>
      <c r="BU1428" t="s">
        <v>285</v>
      </c>
      <c r="BV1428">
        <v>0.11</v>
      </c>
      <c r="BW1428" t="s">
        <v>284</v>
      </c>
      <c r="BX1428">
        <v>0.25</v>
      </c>
      <c r="BY1428" t="s">
        <v>285</v>
      </c>
      <c r="BZ1428">
        <v>0.22</v>
      </c>
      <c r="CA1428" t="s">
        <v>289</v>
      </c>
      <c r="CF1428">
        <v>0.33</v>
      </c>
      <c r="CG1428" t="s">
        <v>54</v>
      </c>
      <c r="CH1428" t="s">
        <v>52</v>
      </c>
    </row>
    <row r="1429" spans="1:86" x14ac:dyDescent="0.25">
      <c r="A1429" t="s">
        <v>47</v>
      </c>
      <c r="B1429">
        <v>8</v>
      </c>
      <c r="C1429" t="s">
        <v>213</v>
      </c>
      <c r="D1429">
        <v>125</v>
      </c>
      <c r="E1429" t="s">
        <v>70</v>
      </c>
      <c r="F1429">
        <v>296</v>
      </c>
      <c r="G1429" t="s">
        <v>90</v>
      </c>
      <c r="H1429" t="s">
        <v>50</v>
      </c>
      <c r="K1429" t="s">
        <v>51</v>
      </c>
      <c r="L1429">
        <v>1</v>
      </c>
      <c r="M1429" t="s">
        <v>53</v>
      </c>
      <c r="N1429">
        <v>102</v>
      </c>
      <c r="O1429">
        <v>1</v>
      </c>
      <c r="P1429" t="s">
        <v>52</v>
      </c>
      <c r="Q1429">
        <v>0.5</v>
      </c>
      <c r="R1429">
        <v>0.75</v>
      </c>
      <c r="S1429">
        <v>228</v>
      </c>
      <c r="T1429" t="s">
        <v>284</v>
      </c>
      <c r="U1429">
        <v>190</v>
      </c>
      <c r="V1429" t="s">
        <v>285</v>
      </c>
      <c r="W1429">
        <v>236</v>
      </c>
      <c r="X1429" t="s">
        <v>284</v>
      </c>
      <c r="Y1429">
        <v>244</v>
      </c>
      <c r="Z1429" t="s">
        <v>284</v>
      </c>
      <c r="AA1429">
        <v>215</v>
      </c>
      <c r="AB1429" t="s">
        <v>285</v>
      </c>
      <c r="AG1429">
        <v>226.33330000000001</v>
      </c>
      <c r="AH1429" t="s">
        <v>54</v>
      </c>
      <c r="AI1429" t="s">
        <v>52</v>
      </c>
      <c r="AZ1429" t="s">
        <v>52</v>
      </c>
      <c r="BQ1429" t="s">
        <v>52</v>
      </c>
      <c r="BR1429">
        <v>0.65</v>
      </c>
      <c r="BS1429" t="s">
        <v>284</v>
      </c>
      <c r="BT1429">
        <v>1.67</v>
      </c>
      <c r="BU1429" t="s">
        <v>285</v>
      </c>
      <c r="BV1429">
        <v>1.58</v>
      </c>
      <c r="BW1429" t="s">
        <v>284</v>
      </c>
      <c r="BX1429">
        <v>1.27</v>
      </c>
      <c r="BY1429" t="s">
        <v>284</v>
      </c>
      <c r="BZ1429">
        <v>1.27</v>
      </c>
      <c r="CA1429" t="s">
        <v>284</v>
      </c>
      <c r="CF1429">
        <v>1.37</v>
      </c>
      <c r="CG1429" t="s">
        <v>54</v>
      </c>
      <c r="CH1429" t="s">
        <v>52</v>
      </c>
    </row>
    <row r="1430" spans="1:86" x14ac:dyDescent="0.25">
      <c r="A1430" t="s">
        <v>47</v>
      </c>
      <c r="B1430">
        <v>8</v>
      </c>
      <c r="C1430" t="s">
        <v>213</v>
      </c>
      <c r="D1430">
        <v>125</v>
      </c>
      <c r="E1430" t="s">
        <v>75</v>
      </c>
      <c r="F1430">
        <v>16</v>
      </c>
      <c r="G1430" t="s">
        <v>76</v>
      </c>
      <c r="H1430" t="s">
        <v>50</v>
      </c>
      <c r="K1430" t="s">
        <v>51</v>
      </c>
      <c r="L1430">
        <v>1</v>
      </c>
      <c r="M1430" t="s">
        <v>53</v>
      </c>
      <c r="N1430">
        <v>16</v>
      </c>
      <c r="O1430">
        <v>2</v>
      </c>
      <c r="P1430" t="s">
        <v>52</v>
      </c>
      <c r="Q1430">
        <v>0.5</v>
      </c>
      <c r="R1430">
        <v>0.75</v>
      </c>
      <c r="S1430">
        <v>83.35</v>
      </c>
      <c r="T1430" t="s">
        <v>285</v>
      </c>
      <c r="U1430">
        <v>96.14</v>
      </c>
      <c r="V1430" t="s">
        <v>284</v>
      </c>
      <c r="W1430">
        <v>103.37</v>
      </c>
      <c r="X1430" t="s">
        <v>284</v>
      </c>
      <c r="Y1430">
        <v>106.14</v>
      </c>
      <c r="Z1430" t="s">
        <v>284</v>
      </c>
      <c r="AA1430">
        <v>128</v>
      </c>
      <c r="AB1430" t="s">
        <v>285</v>
      </c>
      <c r="AG1430">
        <v>101.88330000000001</v>
      </c>
      <c r="AH1430" t="s">
        <v>54</v>
      </c>
      <c r="AI1430" t="s">
        <v>52</v>
      </c>
      <c r="AX1430">
        <v>146.69999999999999</v>
      </c>
      <c r="AY1430" t="s">
        <v>285</v>
      </c>
      <c r="AZ1430" t="s">
        <v>287</v>
      </c>
      <c r="BQ1430" t="s">
        <v>52</v>
      </c>
      <c r="BR1430">
        <v>1.85</v>
      </c>
      <c r="BS1430" t="s">
        <v>284</v>
      </c>
      <c r="BT1430">
        <v>1.67</v>
      </c>
      <c r="BU1430" t="s">
        <v>284</v>
      </c>
      <c r="BV1430">
        <v>1.41</v>
      </c>
      <c r="BW1430" t="s">
        <v>284</v>
      </c>
      <c r="BX1430">
        <v>2.29</v>
      </c>
      <c r="BY1430" t="s">
        <v>284</v>
      </c>
      <c r="BZ1430">
        <v>2.68</v>
      </c>
      <c r="CA1430" t="s">
        <v>289</v>
      </c>
      <c r="CF1430">
        <v>1.94</v>
      </c>
      <c r="CG1430" t="s">
        <v>54</v>
      </c>
      <c r="CH1430" t="s">
        <v>52</v>
      </c>
    </row>
    <row r="1431" spans="1:86" x14ac:dyDescent="0.25">
      <c r="A1431" t="s">
        <v>47</v>
      </c>
      <c r="B1431">
        <v>8</v>
      </c>
      <c r="C1431" t="s">
        <v>213</v>
      </c>
      <c r="D1431">
        <v>125</v>
      </c>
      <c r="E1431" t="s">
        <v>75</v>
      </c>
      <c r="F1431">
        <v>16</v>
      </c>
      <c r="G1431" t="s">
        <v>76</v>
      </c>
      <c r="H1431" t="s">
        <v>50</v>
      </c>
      <c r="K1431" t="s">
        <v>52</v>
      </c>
      <c r="L1431">
        <v>1</v>
      </c>
      <c r="M1431" t="s">
        <v>53</v>
      </c>
      <c r="N1431">
        <v>16</v>
      </c>
      <c r="O1431">
        <v>2</v>
      </c>
      <c r="P1431" t="s">
        <v>52</v>
      </c>
      <c r="Q1431">
        <v>0.5</v>
      </c>
      <c r="R1431">
        <v>0.75</v>
      </c>
      <c r="S1431">
        <v>83.35</v>
      </c>
      <c r="T1431" t="s">
        <v>285</v>
      </c>
      <c r="U1431">
        <v>96.14</v>
      </c>
      <c r="V1431" t="s">
        <v>284</v>
      </c>
      <c r="W1431">
        <v>103.37</v>
      </c>
      <c r="X1431" t="s">
        <v>284</v>
      </c>
      <c r="Y1431">
        <v>106.14</v>
      </c>
      <c r="Z1431" t="s">
        <v>284</v>
      </c>
      <c r="AA1431">
        <v>128</v>
      </c>
      <c r="AB1431" t="s">
        <v>285</v>
      </c>
      <c r="AG1431">
        <v>101.88330000000001</v>
      </c>
      <c r="AH1431" t="s">
        <v>54</v>
      </c>
      <c r="AI1431" t="s">
        <v>52</v>
      </c>
      <c r="AX1431">
        <v>146.69999999999999</v>
      </c>
      <c r="AY1431" t="s">
        <v>285</v>
      </c>
      <c r="AZ1431" t="s">
        <v>287</v>
      </c>
      <c r="BQ1431" t="s">
        <v>52</v>
      </c>
      <c r="BR1431">
        <v>0.65</v>
      </c>
      <c r="BS1431" t="s">
        <v>284</v>
      </c>
      <c r="BT1431">
        <v>0.87</v>
      </c>
      <c r="BU1431" t="s">
        <v>284</v>
      </c>
      <c r="BV1431">
        <v>1.57</v>
      </c>
      <c r="BW1431" t="s">
        <v>284</v>
      </c>
      <c r="BX1431">
        <v>1.62</v>
      </c>
      <c r="BY1431" t="s">
        <v>284</v>
      </c>
      <c r="BZ1431">
        <v>0.38</v>
      </c>
      <c r="CA1431" t="s">
        <v>289</v>
      </c>
      <c r="CF1431">
        <v>1.03</v>
      </c>
      <c r="CG1431" t="s">
        <v>54</v>
      </c>
      <c r="CH1431" t="s">
        <v>52</v>
      </c>
    </row>
    <row r="1432" spans="1:86" x14ac:dyDescent="0.25">
      <c r="A1432" t="s">
        <v>47</v>
      </c>
      <c r="B1432">
        <v>8</v>
      </c>
      <c r="C1432" t="s">
        <v>213</v>
      </c>
      <c r="D1432">
        <v>125</v>
      </c>
      <c r="E1432" t="s">
        <v>93</v>
      </c>
      <c r="F1432">
        <v>94</v>
      </c>
      <c r="H1432" t="s">
        <v>50</v>
      </c>
      <c r="K1432" t="s">
        <v>51</v>
      </c>
      <c r="L1432">
        <v>1</v>
      </c>
      <c r="M1432" t="s">
        <v>53</v>
      </c>
      <c r="N1432">
        <v>94</v>
      </c>
      <c r="O1432">
        <v>2</v>
      </c>
      <c r="P1432" t="s">
        <v>52</v>
      </c>
      <c r="Q1432">
        <v>0.77</v>
      </c>
      <c r="R1432">
        <v>0.93</v>
      </c>
      <c r="S1432">
        <v>205</v>
      </c>
      <c r="T1432" t="s">
        <v>284</v>
      </c>
      <c r="U1432">
        <v>175</v>
      </c>
      <c r="V1432" t="s">
        <v>284</v>
      </c>
      <c r="W1432">
        <v>188</v>
      </c>
      <c r="X1432" t="s">
        <v>284</v>
      </c>
      <c r="Y1432">
        <v>202.32</v>
      </c>
      <c r="Z1432" t="s">
        <v>284</v>
      </c>
      <c r="AA1432">
        <v>209.16</v>
      </c>
      <c r="AB1432" t="s">
        <v>284</v>
      </c>
      <c r="AG1432">
        <v>198.44</v>
      </c>
      <c r="AH1432" t="s">
        <v>54</v>
      </c>
      <c r="AI1432" t="s">
        <v>52</v>
      </c>
      <c r="AZ1432" t="s">
        <v>52</v>
      </c>
      <c r="BQ1432" t="s">
        <v>52</v>
      </c>
      <c r="BR1432">
        <v>2.16</v>
      </c>
      <c r="BS1432" t="s">
        <v>285</v>
      </c>
      <c r="BT1432">
        <v>1.04</v>
      </c>
      <c r="BU1432" t="s">
        <v>284</v>
      </c>
      <c r="BV1432">
        <v>2.11</v>
      </c>
      <c r="BW1432" t="s">
        <v>284</v>
      </c>
      <c r="BX1432">
        <v>2</v>
      </c>
      <c r="BY1432" t="s">
        <v>284</v>
      </c>
      <c r="BZ1432">
        <v>1.73</v>
      </c>
      <c r="CA1432" t="s">
        <v>284</v>
      </c>
      <c r="CF1432">
        <v>1.95</v>
      </c>
      <c r="CG1432" t="s">
        <v>54</v>
      </c>
      <c r="CH1432" t="s">
        <v>52</v>
      </c>
    </row>
    <row r="1433" spans="1:86" x14ac:dyDescent="0.25">
      <c r="A1433" t="s">
        <v>47</v>
      </c>
      <c r="B1433">
        <v>8</v>
      </c>
      <c r="C1433" t="s">
        <v>213</v>
      </c>
      <c r="D1433">
        <v>125</v>
      </c>
      <c r="E1433" t="s">
        <v>93</v>
      </c>
      <c r="F1433">
        <v>94</v>
      </c>
      <c r="H1433" t="s">
        <v>50</v>
      </c>
      <c r="K1433" t="s">
        <v>52</v>
      </c>
      <c r="L1433">
        <v>1</v>
      </c>
      <c r="M1433" t="s">
        <v>53</v>
      </c>
      <c r="N1433">
        <v>94</v>
      </c>
      <c r="O1433">
        <v>2</v>
      </c>
      <c r="P1433" t="s">
        <v>52</v>
      </c>
      <c r="Q1433">
        <v>0.77</v>
      </c>
      <c r="R1433">
        <v>0.93</v>
      </c>
      <c r="S1433">
        <v>205</v>
      </c>
      <c r="T1433" t="s">
        <v>284</v>
      </c>
      <c r="U1433">
        <v>175</v>
      </c>
      <c r="V1433" t="s">
        <v>284</v>
      </c>
      <c r="W1433">
        <v>188</v>
      </c>
      <c r="X1433" t="s">
        <v>284</v>
      </c>
      <c r="Y1433">
        <v>202.32</v>
      </c>
      <c r="Z1433" t="s">
        <v>284</v>
      </c>
      <c r="AA1433">
        <v>209.16</v>
      </c>
      <c r="AB1433" t="s">
        <v>284</v>
      </c>
      <c r="AG1433">
        <v>198.44</v>
      </c>
      <c r="AH1433" t="s">
        <v>54</v>
      </c>
      <c r="AI1433" t="s">
        <v>52</v>
      </c>
      <c r="AZ1433" t="s">
        <v>52</v>
      </c>
      <c r="BQ1433" t="s">
        <v>52</v>
      </c>
      <c r="BR1433">
        <v>1.17</v>
      </c>
      <c r="BS1433" t="s">
        <v>285</v>
      </c>
      <c r="BT1433">
        <v>0.46</v>
      </c>
      <c r="BU1433" t="s">
        <v>284</v>
      </c>
      <c r="BV1433">
        <v>1.25</v>
      </c>
      <c r="BW1433" t="s">
        <v>284</v>
      </c>
      <c r="BX1433">
        <v>0.76</v>
      </c>
      <c r="BY1433" t="s">
        <v>284</v>
      </c>
      <c r="BZ1433">
        <v>1.02</v>
      </c>
      <c r="CA1433" t="s">
        <v>284</v>
      </c>
      <c r="CF1433">
        <v>0.98</v>
      </c>
      <c r="CG1433" t="s">
        <v>54</v>
      </c>
      <c r="CH1433" t="s">
        <v>52</v>
      </c>
    </row>
    <row r="1434" spans="1:86" x14ac:dyDescent="0.25">
      <c r="A1434" t="s">
        <v>47</v>
      </c>
      <c r="B1434">
        <v>8</v>
      </c>
      <c r="C1434" t="s">
        <v>213</v>
      </c>
      <c r="D1434">
        <v>125</v>
      </c>
      <c r="E1434" t="s">
        <v>79</v>
      </c>
      <c r="F1434">
        <v>50</v>
      </c>
      <c r="G1434" t="s">
        <v>80</v>
      </c>
      <c r="H1434" t="s">
        <v>50</v>
      </c>
      <c r="K1434" t="s">
        <v>51</v>
      </c>
      <c r="L1434">
        <v>1</v>
      </c>
      <c r="M1434" t="s">
        <v>53</v>
      </c>
      <c r="N1434">
        <v>50</v>
      </c>
      <c r="O1434">
        <v>1</v>
      </c>
      <c r="P1434" t="s">
        <v>52</v>
      </c>
      <c r="Q1434">
        <v>0.5</v>
      </c>
      <c r="R1434">
        <v>0.75</v>
      </c>
      <c r="S1434">
        <v>85</v>
      </c>
      <c r="T1434" t="s">
        <v>285</v>
      </c>
      <c r="U1434">
        <v>93</v>
      </c>
      <c r="V1434" t="s">
        <v>284</v>
      </c>
      <c r="W1434">
        <v>89.7</v>
      </c>
      <c r="X1434" t="s">
        <v>284</v>
      </c>
      <c r="Y1434">
        <v>92.72</v>
      </c>
      <c r="Z1434" t="s">
        <v>284</v>
      </c>
      <c r="AA1434">
        <v>109</v>
      </c>
      <c r="AB1434" t="s">
        <v>285</v>
      </c>
      <c r="AG1434">
        <v>91.806700000000006</v>
      </c>
      <c r="AH1434" t="s">
        <v>54</v>
      </c>
      <c r="AI1434" t="s">
        <v>52</v>
      </c>
      <c r="AZ1434" t="s">
        <v>52</v>
      </c>
      <c r="BQ1434" t="s">
        <v>52</v>
      </c>
      <c r="BR1434">
        <v>4.4800000000000004</v>
      </c>
      <c r="BS1434" t="s">
        <v>289</v>
      </c>
      <c r="BT1434">
        <v>2.0299999999999998</v>
      </c>
      <c r="BU1434" t="s">
        <v>284</v>
      </c>
      <c r="BV1434">
        <v>2.93</v>
      </c>
      <c r="BW1434" t="s">
        <v>284</v>
      </c>
      <c r="BX1434">
        <v>2.78</v>
      </c>
      <c r="BY1434" t="s">
        <v>284</v>
      </c>
      <c r="BZ1434">
        <v>3.64</v>
      </c>
      <c r="CA1434" t="s">
        <v>289</v>
      </c>
      <c r="CF1434">
        <v>3.12</v>
      </c>
      <c r="CG1434" t="s">
        <v>54</v>
      </c>
      <c r="CH1434" t="s">
        <v>52</v>
      </c>
    </row>
    <row r="1435" spans="1:86" x14ac:dyDescent="0.25">
      <c r="A1435" t="s">
        <v>47</v>
      </c>
      <c r="B1435">
        <v>8</v>
      </c>
      <c r="C1435" t="s">
        <v>213</v>
      </c>
      <c r="D1435">
        <v>125</v>
      </c>
      <c r="E1435" t="s">
        <v>79</v>
      </c>
      <c r="F1435">
        <v>50</v>
      </c>
      <c r="G1435" t="s">
        <v>80</v>
      </c>
      <c r="H1435" t="s">
        <v>50</v>
      </c>
      <c r="K1435" t="s">
        <v>52</v>
      </c>
      <c r="L1435">
        <v>1</v>
      </c>
      <c r="M1435" t="s">
        <v>53</v>
      </c>
      <c r="N1435">
        <v>50</v>
      </c>
      <c r="O1435">
        <v>1</v>
      </c>
      <c r="P1435" t="s">
        <v>52</v>
      </c>
      <c r="Q1435">
        <v>0.5</v>
      </c>
      <c r="R1435">
        <v>0.75</v>
      </c>
      <c r="S1435">
        <v>85</v>
      </c>
      <c r="T1435" t="s">
        <v>285</v>
      </c>
      <c r="U1435">
        <v>93</v>
      </c>
      <c r="V1435" t="s">
        <v>284</v>
      </c>
      <c r="W1435">
        <v>89.7</v>
      </c>
      <c r="X1435" t="s">
        <v>284</v>
      </c>
      <c r="Y1435">
        <v>92.72</v>
      </c>
      <c r="Z1435" t="s">
        <v>284</v>
      </c>
      <c r="AA1435">
        <v>109</v>
      </c>
      <c r="AB1435" t="s">
        <v>285</v>
      </c>
      <c r="AG1435">
        <v>91.806700000000006</v>
      </c>
      <c r="AH1435" t="s">
        <v>54</v>
      </c>
      <c r="AI1435" t="s">
        <v>52</v>
      </c>
      <c r="AZ1435" t="s">
        <v>52</v>
      </c>
      <c r="BQ1435" t="s">
        <v>52</v>
      </c>
      <c r="BR1435">
        <v>0.75</v>
      </c>
      <c r="BS1435" t="s">
        <v>289</v>
      </c>
      <c r="BT1435">
        <v>1.05</v>
      </c>
      <c r="BU1435" t="s">
        <v>284</v>
      </c>
      <c r="BV1435">
        <v>1.21</v>
      </c>
      <c r="BW1435" t="s">
        <v>284</v>
      </c>
      <c r="BX1435">
        <v>1.21</v>
      </c>
      <c r="BY1435" t="s">
        <v>284</v>
      </c>
      <c r="BZ1435">
        <v>0.67</v>
      </c>
      <c r="CA1435" t="s">
        <v>289</v>
      </c>
      <c r="CF1435">
        <v>1</v>
      </c>
      <c r="CG1435" t="s">
        <v>54</v>
      </c>
      <c r="CH1435" t="s">
        <v>52</v>
      </c>
    </row>
    <row r="1436" spans="1:86" x14ac:dyDescent="0.25">
      <c r="A1436" t="s">
        <v>47</v>
      </c>
      <c r="B1436">
        <v>8</v>
      </c>
      <c r="C1436" t="s">
        <v>213</v>
      </c>
      <c r="D1436">
        <v>125</v>
      </c>
      <c r="E1436" t="s">
        <v>79</v>
      </c>
      <c r="F1436">
        <v>50</v>
      </c>
      <c r="G1436" t="s">
        <v>65</v>
      </c>
      <c r="H1436" t="s">
        <v>50</v>
      </c>
      <c r="K1436" t="s">
        <v>51</v>
      </c>
      <c r="L1436">
        <v>1</v>
      </c>
      <c r="M1436" t="s">
        <v>53</v>
      </c>
      <c r="N1436">
        <v>50</v>
      </c>
      <c r="O1436">
        <v>1</v>
      </c>
      <c r="P1436" t="s">
        <v>52</v>
      </c>
      <c r="Q1436">
        <v>0.5</v>
      </c>
      <c r="R1436">
        <v>0.75</v>
      </c>
      <c r="S1436">
        <v>85</v>
      </c>
      <c r="T1436" t="s">
        <v>285</v>
      </c>
      <c r="U1436">
        <v>93</v>
      </c>
      <c r="V1436" t="s">
        <v>284</v>
      </c>
      <c r="W1436">
        <v>89.7</v>
      </c>
      <c r="X1436" t="s">
        <v>284</v>
      </c>
      <c r="Y1436">
        <v>92.72</v>
      </c>
      <c r="Z1436" t="s">
        <v>284</v>
      </c>
      <c r="AA1436">
        <v>109</v>
      </c>
      <c r="AB1436" t="s">
        <v>285</v>
      </c>
      <c r="AG1436">
        <v>91.806700000000006</v>
      </c>
      <c r="AH1436" t="s">
        <v>54</v>
      </c>
      <c r="AI1436" t="s">
        <v>52</v>
      </c>
      <c r="AZ1436" t="s">
        <v>52</v>
      </c>
      <c r="BQ1436" t="s">
        <v>52</v>
      </c>
      <c r="BR1436">
        <v>3.57</v>
      </c>
      <c r="BS1436" t="s">
        <v>289</v>
      </c>
      <c r="BT1436">
        <v>1.74</v>
      </c>
      <c r="BU1436" t="s">
        <v>284</v>
      </c>
      <c r="BV1436">
        <v>2.5099999999999998</v>
      </c>
      <c r="BW1436" t="s">
        <v>284</v>
      </c>
      <c r="BX1436">
        <v>2.38</v>
      </c>
      <c r="BY1436" t="s">
        <v>284</v>
      </c>
      <c r="BZ1436">
        <v>3.12</v>
      </c>
      <c r="CA1436" t="s">
        <v>289</v>
      </c>
      <c r="CF1436">
        <v>2.67</v>
      </c>
      <c r="CG1436" t="s">
        <v>54</v>
      </c>
      <c r="CH1436" t="s">
        <v>52</v>
      </c>
    </row>
    <row r="1437" spans="1:86" x14ac:dyDescent="0.25">
      <c r="A1437" t="s">
        <v>47</v>
      </c>
      <c r="B1437">
        <v>8</v>
      </c>
      <c r="C1437" t="s">
        <v>213</v>
      </c>
      <c r="D1437">
        <v>125</v>
      </c>
      <c r="E1437" t="s">
        <v>79</v>
      </c>
      <c r="F1437">
        <v>50</v>
      </c>
      <c r="G1437" t="s">
        <v>65</v>
      </c>
      <c r="H1437" t="s">
        <v>50</v>
      </c>
      <c r="K1437" t="s">
        <v>52</v>
      </c>
      <c r="L1437">
        <v>1</v>
      </c>
      <c r="M1437" t="s">
        <v>53</v>
      </c>
      <c r="N1437">
        <v>50</v>
      </c>
      <c r="O1437">
        <v>1</v>
      </c>
      <c r="P1437" t="s">
        <v>52</v>
      </c>
      <c r="Q1437">
        <v>0.5</v>
      </c>
      <c r="R1437">
        <v>0.75</v>
      </c>
      <c r="S1437">
        <v>85</v>
      </c>
      <c r="T1437" t="s">
        <v>285</v>
      </c>
      <c r="U1437">
        <v>93</v>
      </c>
      <c r="V1437" t="s">
        <v>284</v>
      </c>
      <c r="W1437">
        <v>89.7</v>
      </c>
      <c r="X1437" t="s">
        <v>284</v>
      </c>
      <c r="Y1437">
        <v>92.72</v>
      </c>
      <c r="Z1437" t="s">
        <v>284</v>
      </c>
      <c r="AA1437">
        <v>109</v>
      </c>
      <c r="AB1437" t="s">
        <v>285</v>
      </c>
      <c r="AG1437">
        <v>91.806700000000006</v>
      </c>
      <c r="AH1437" t="s">
        <v>54</v>
      </c>
      <c r="AI1437" t="s">
        <v>52</v>
      </c>
      <c r="AZ1437" t="s">
        <v>52</v>
      </c>
      <c r="BQ1437" t="s">
        <v>52</v>
      </c>
      <c r="BR1437">
        <v>0.43</v>
      </c>
      <c r="BS1437" t="s">
        <v>289</v>
      </c>
      <c r="BT1437">
        <v>0.86</v>
      </c>
      <c r="BU1437" t="s">
        <v>285</v>
      </c>
      <c r="BV1437">
        <v>0.93</v>
      </c>
      <c r="BW1437" t="s">
        <v>284</v>
      </c>
      <c r="BX1437">
        <v>1.34</v>
      </c>
      <c r="BY1437" t="s">
        <v>284</v>
      </c>
      <c r="BZ1437">
        <v>0.74</v>
      </c>
      <c r="CA1437" t="s">
        <v>289</v>
      </c>
      <c r="CF1437">
        <v>0.84</v>
      </c>
      <c r="CG1437" t="s">
        <v>54</v>
      </c>
      <c r="CH1437" t="s">
        <v>52</v>
      </c>
    </row>
    <row r="1438" spans="1:86" x14ac:dyDescent="0.25">
      <c r="A1438" t="s">
        <v>47</v>
      </c>
      <c r="B1438">
        <v>8</v>
      </c>
      <c r="C1438" t="s">
        <v>213</v>
      </c>
      <c r="D1438">
        <v>125</v>
      </c>
      <c r="E1438" t="s">
        <v>79</v>
      </c>
      <c r="F1438">
        <v>50</v>
      </c>
      <c r="G1438" t="s">
        <v>81</v>
      </c>
      <c r="H1438" t="s">
        <v>50</v>
      </c>
      <c r="K1438" t="s">
        <v>51</v>
      </c>
      <c r="L1438">
        <v>1</v>
      </c>
      <c r="M1438" t="s">
        <v>53</v>
      </c>
      <c r="N1438">
        <v>50</v>
      </c>
      <c r="O1438">
        <v>1</v>
      </c>
      <c r="P1438" t="s">
        <v>52</v>
      </c>
      <c r="Q1438">
        <v>0.5</v>
      </c>
      <c r="R1438">
        <v>0.75</v>
      </c>
      <c r="S1438">
        <v>85</v>
      </c>
      <c r="T1438" t="s">
        <v>285</v>
      </c>
      <c r="U1438">
        <v>93</v>
      </c>
      <c r="V1438" t="s">
        <v>284</v>
      </c>
      <c r="W1438">
        <v>89.7</v>
      </c>
      <c r="X1438" t="s">
        <v>284</v>
      </c>
      <c r="Y1438">
        <v>92.72</v>
      </c>
      <c r="Z1438" t="s">
        <v>284</v>
      </c>
      <c r="AA1438">
        <v>109</v>
      </c>
      <c r="AB1438" t="s">
        <v>285</v>
      </c>
      <c r="AG1438">
        <v>91.806700000000006</v>
      </c>
      <c r="AH1438" t="s">
        <v>54</v>
      </c>
      <c r="AI1438" t="s">
        <v>52</v>
      </c>
      <c r="AZ1438" t="s">
        <v>52</v>
      </c>
      <c r="BQ1438" t="s">
        <v>52</v>
      </c>
      <c r="BR1438">
        <v>2.74</v>
      </c>
      <c r="BS1438" t="s">
        <v>289</v>
      </c>
      <c r="BT1438">
        <v>1.59</v>
      </c>
      <c r="BU1438" t="s">
        <v>284</v>
      </c>
      <c r="BV1438">
        <v>2.29</v>
      </c>
      <c r="BW1438" t="s">
        <v>284</v>
      </c>
      <c r="BX1438">
        <v>2.17</v>
      </c>
      <c r="BY1438" t="s">
        <v>284</v>
      </c>
      <c r="BZ1438">
        <v>2.84</v>
      </c>
      <c r="CA1438" t="s">
        <v>289</v>
      </c>
      <c r="CF1438">
        <v>2.4</v>
      </c>
      <c r="CG1438" t="s">
        <v>54</v>
      </c>
      <c r="CH1438" t="s">
        <v>52</v>
      </c>
    </row>
    <row r="1439" spans="1:86" x14ac:dyDescent="0.25">
      <c r="A1439" t="s">
        <v>47</v>
      </c>
      <c r="B1439">
        <v>8</v>
      </c>
      <c r="C1439" t="s">
        <v>213</v>
      </c>
      <c r="D1439">
        <v>125</v>
      </c>
      <c r="E1439" t="s">
        <v>79</v>
      </c>
      <c r="F1439">
        <v>50</v>
      </c>
      <c r="G1439" t="s">
        <v>81</v>
      </c>
      <c r="H1439" t="s">
        <v>50</v>
      </c>
      <c r="K1439" t="s">
        <v>52</v>
      </c>
      <c r="L1439">
        <v>1</v>
      </c>
      <c r="M1439" t="s">
        <v>53</v>
      </c>
      <c r="N1439">
        <v>50</v>
      </c>
      <c r="O1439">
        <v>1</v>
      </c>
      <c r="P1439" t="s">
        <v>52</v>
      </c>
      <c r="Q1439">
        <v>0.5</v>
      </c>
      <c r="R1439">
        <v>0.75</v>
      </c>
      <c r="S1439">
        <v>85</v>
      </c>
      <c r="T1439" t="s">
        <v>285</v>
      </c>
      <c r="U1439">
        <v>93</v>
      </c>
      <c r="V1439" t="s">
        <v>284</v>
      </c>
      <c r="W1439">
        <v>89.7</v>
      </c>
      <c r="X1439" t="s">
        <v>284</v>
      </c>
      <c r="Y1439">
        <v>92.72</v>
      </c>
      <c r="Z1439" t="s">
        <v>284</v>
      </c>
      <c r="AA1439">
        <v>109</v>
      </c>
      <c r="AB1439" t="s">
        <v>285</v>
      </c>
      <c r="AG1439">
        <v>91.806700000000006</v>
      </c>
      <c r="AH1439" t="s">
        <v>54</v>
      </c>
      <c r="AI1439" t="s">
        <v>52</v>
      </c>
      <c r="AZ1439" t="s">
        <v>52</v>
      </c>
      <c r="BQ1439" t="s">
        <v>52</v>
      </c>
      <c r="BR1439">
        <v>2.74</v>
      </c>
      <c r="BS1439" t="s">
        <v>289</v>
      </c>
      <c r="BT1439">
        <v>0.9</v>
      </c>
      <c r="BU1439" t="s">
        <v>285</v>
      </c>
      <c r="BV1439">
        <v>1.06</v>
      </c>
      <c r="BW1439" t="s">
        <v>284</v>
      </c>
      <c r="BX1439">
        <v>1.01</v>
      </c>
      <c r="BY1439" t="s">
        <v>284</v>
      </c>
      <c r="BZ1439">
        <v>0.56000000000000005</v>
      </c>
      <c r="CA1439" t="s">
        <v>289</v>
      </c>
      <c r="CF1439">
        <v>0.99</v>
      </c>
      <c r="CG1439" t="s">
        <v>54</v>
      </c>
      <c r="CH1439" t="s">
        <v>52</v>
      </c>
    </row>
    <row r="1440" spans="1:86" x14ac:dyDescent="0.25">
      <c r="A1440" t="s">
        <v>47</v>
      </c>
      <c r="B1440">
        <v>8</v>
      </c>
      <c r="C1440" t="s">
        <v>213</v>
      </c>
      <c r="D1440">
        <v>125</v>
      </c>
      <c r="E1440" t="s">
        <v>83</v>
      </c>
      <c r="F1440">
        <v>158</v>
      </c>
      <c r="H1440" t="s">
        <v>50</v>
      </c>
      <c r="K1440" t="s">
        <v>51</v>
      </c>
      <c r="L1440">
        <v>1</v>
      </c>
      <c r="M1440" t="s">
        <v>53</v>
      </c>
      <c r="N1440">
        <v>158</v>
      </c>
      <c r="O1440">
        <v>2</v>
      </c>
      <c r="P1440" t="s">
        <v>52</v>
      </c>
      <c r="Q1440">
        <v>0.77</v>
      </c>
      <c r="R1440">
        <v>0.93</v>
      </c>
      <c r="S1440">
        <v>228</v>
      </c>
      <c r="T1440" t="s">
        <v>284</v>
      </c>
      <c r="U1440">
        <v>221</v>
      </c>
      <c r="V1440" t="s">
        <v>284</v>
      </c>
      <c r="W1440">
        <v>236</v>
      </c>
      <c r="X1440" t="s">
        <v>284</v>
      </c>
      <c r="Y1440">
        <v>244</v>
      </c>
      <c r="Z1440" t="s">
        <v>284</v>
      </c>
      <c r="AA1440">
        <v>252</v>
      </c>
      <c r="AB1440" t="s">
        <v>284</v>
      </c>
      <c r="AG1440">
        <v>236</v>
      </c>
      <c r="AH1440" t="s">
        <v>54</v>
      </c>
      <c r="AI1440" t="s">
        <v>52</v>
      </c>
      <c r="AX1440">
        <v>339</v>
      </c>
      <c r="AY1440" t="s">
        <v>285</v>
      </c>
      <c r="AZ1440" t="s">
        <v>287</v>
      </c>
      <c r="BQ1440" t="s">
        <v>52</v>
      </c>
      <c r="BR1440">
        <v>1.85</v>
      </c>
      <c r="BS1440" t="s">
        <v>284</v>
      </c>
      <c r="BT1440">
        <v>1.35</v>
      </c>
      <c r="BU1440" t="s">
        <v>284</v>
      </c>
      <c r="BV1440">
        <v>1.03</v>
      </c>
      <c r="BW1440" t="s">
        <v>288</v>
      </c>
      <c r="BX1440">
        <v>1.34</v>
      </c>
      <c r="BY1440" t="s">
        <v>289</v>
      </c>
      <c r="BZ1440">
        <v>1.22</v>
      </c>
      <c r="CA1440" t="s">
        <v>289</v>
      </c>
      <c r="CF1440">
        <v>1.3</v>
      </c>
      <c r="CG1440" t="s">
        <v>54</v>
      </c>
      <c r="CH1440" t="s">
        <v>52</v>
      </c>
    </row>
    <row r="1441" spans="1:86" x14ac:dyDescent="0.25">
      <c r="A1441" t="s">
        <v>47</v>
      </c>
      <c r="B1441">
        <v>8</v>
      </c>
      <c r="C1441" t="s">
        <v>213</v>
      </c>
      <c r="D1441">
        <v>125</v>
      </c>
      <c r="E1441" t="s">
        <v>83</v>
      </c>
      <c r="F1441">
        <v>158</v>
      </c>
      <c r="H1441" t="s">
        <v>50</v>
      </c>
      <c r="K1441" t="s">
        <v>52</v>
      </c>
      <c r="L1441">
        <v>1</v>
      </c>
      <c r="M1441" t="s">
        <v>53</v>
      </c>
      <c r="N1441">
        <v>158</v>
      </c>
      <c r="O1441">
        <v>2</v>
      </c>
      <c r="P1441" t="s">
        <v>52</v>
      </c>
      <c r="Q1441">
        <v>0.77</v>
      </c>
      <c r="R1441">
        <v>0.93</v>
      </c>
      <c r="S1441">
        <v>228</v>
      </c>
      <c r="T1441" t="s">
        <v>284</v>
      </c>
      <c r="U1441">
        <v>221</v>
      </c>
      <c r="V1441" t="s">
        <v>284</v>
      </c>
      <c r="W1441">
        <v>236</v>
      </c>
      <c r="X1441" t="s">
        <v>284</v>
      </c>
      <c r="Y1441">
        <v>244</v>
      </c>
      <c r="Z1441" t="s">
        <v>284</v>
      </c>
      <c r="AA1441">
        <v>252</v>
      </c>
      <c r="AB1441" t="s">
        <v>284</v>
      </c>
      <c r="AG1441">
        <v>236</v>
      </c>
      <c r="AH1441" t="s">
        <v>54</v>
      </c>
      <c r="AI1441" t="s">
        <v>52</v>
      </c>
      <c r="AX1441">
        <v>339</v>
      </c>
      <c r="AY1441" t="s">
        <v>285</v>
      </c>
      <c r="AZ1441" t="s">
        <v>287</v>
      </c>
      <c r="BQ1441" t="s">
        <v>52</v>
      </c>
      <c r="BR1441">
        <v>1.31</v>
      </c>
      <c r="BS1441" t="s">
        <v>285</v>
      </c>
      <c r="BT1441">
        <v>1.01</v>
      </c>
      <c r="BU1441" t="s">
        <v>284</v>
      </c>
      <c r="BV1441">
        <v>0.33</v>
      </c>
      <c r="BW1441" t="s">
        <v>288</v>
      </c>
      <c r="BX1441">
        <v>0.56999999999999995</v>
      </c>
      <c r="BY1441" t="s">
        <v>285</v>
      </c>
      <c r="BZ1441">
        <v>0.1</v>
      </c>
      <c r="CA1441" t="s">
        <v>289</v>
      </c>
      <c r="CF1441">
        <v>0.64</v>
      </c>
      <c r="CG1441" t="s">
        <v>54</v>
      </c>
      <c r="CH1441" t="s">
        <v>52</v>
      </c>
    </row>
    <row r="1442" spans="1:86" x14ac:dyDescent="0.25">
      <c r="A1442" t="s">
        <v>47</v>
      </c>
      <c r="B1442">
        <v>8</v>
      </c>
      <c r="C1442" t="s">
        <v>213</v>
      </c>
      <c r="D1442">
        <v>125</v>
      </c>
      <c r="E1442" t="s">
        <v>84</v>
      </c>
      <c r="F1442">
        <v>11</v>
      </c>
      <c r="G1442" t="s">
        <v>96</v>
      </c>
      <c r="H1442" t="s">
        <v>50</v>
      </c>
      <c r="K1442" t="s">
        <v>51</v>
      </c>
      <c r="L1442">
        <v>1</v>
      </c>
      <c r="M1442" t="s">
        <v>53</v>
      </c>
      <c r="N1442">
        <v>11</v>
      </c>
      <c r="O1442">
        <v>2</v>
      </c>
      <c r="P1442" t="s">
        <v>52</v>
      </c>
      <c r="Q1442">
        <v>0.5</v>
      </c>
      <c r="R1442">
        <v>0.75</v>
      </c>
      <c r="S1442">
        <v>124</v>
      </c>
      <c r="T1442" t="s">
        <v>284</v>
      </c>
      <c r="U1442">
        <v>110</v>
      </c>
      <c r="V1442" t="s">
        <v>284</v>
      </c>
      <c r="W1442">
        <v>118</v>
      </c>
      <c r="X1442" t="s">
        <v>284</v>
      </c>
      <c r="Y1442">
        <v>122</v>
      </c>
      <c r="Z1442" t="s">
        <v>284</v>
      </c>
      <c r="AA1442">
        <v>126</v>
      </c>
      <c r="AB1442" t="s">
        <v>284</v>
      </c>
      <c r="AG1442">
        <v>121.33329999999999</v>
      </c>
      <c r="AH1442" t="s">
        <v>54</v>
      </c>
      <c r="AI1442" t="s">
        <v>52</v>
      </c>
      <c r="AZ1442" t="s">
        <v>52</v>
      </c>
      <c r="BQ1442" t="s">
        <v>52</v>
      </c>
      <c r="BR1442">
        <v>1.32</v>
      </c>
      <c r="BS1442" t="s">
        <v>284</v>
      </c>
      <c r="BT1442">
        <v>1.1399999999999999</v>
      </c>
      <c r="BU1442" t="s">
        <v>284</v>
      </c>
      <c r="BV1442">
        <v>1.39</v>
      </c>
      <c r="BW1442" t="s">
        <v>284</v>
      </c>
      <c r="BX1442">
        <v>1.21</v>
      </c>
      <c r="BY1442" t="s">
        <v>284</v>
      </c>
      <c r="BZ1442">
        <v>1.04</v>
      </c>
      <c r="CA1442" t="s">
        <v>284</v>
      </c>
      <c r="CF1442">
        <v>1.22</v>
      </c>
      <c r="CG1442" t="s">
        <v>54</v>
      </c>
      <c r="CH1442" t="s">
        <v>52</v>
      </c>
    </row>
    <row r="1443" spans="1:86" x14ac:dyDescent="0.25">
      <c r="A1443" t="s">
        <v>47</v>
      </c>
      <c r="B1443">
        <v>8</v>
      </c>
      <c r="C1443" t="s">
        <v>213</v>
      </c>
      <c r="D1443">
        <v>125</v>
      </c>
      <c r="E1443" t="s">
        <v>84</v>
      </c>
      <c r="F1443">
        <v>11</v>
      </c>
      <c r="G1443" t="s">
        <v>96</v>
      </c>
      <c r="H1443" t="s">
        <v>50</v>
      </c>
      <c r="K1443" t="s">
        <v>52</v>
      </c>
      <c r="L1443">
        <v>1</v>
      </c>
      <c r="M1443" t="s">
        <v>53</v>
      </c>
      <c r="N1443">
        <v>11</v>
      </c>
      <c r="O1443">
        <v>2</v>
      </c>
      <c r="P1443" t="s">
        <v>52</v>
      </c>
      <c r="Q1443">
        <v>0.5</v>
      </c>
      <c r="R1443">
        <v>0.75</v>
      </c>
      <c r="S1443">
        <v>124</v>
      </c>
      <c r="T1443" t="s">
        <v>284</v>
      </c>
      <c r="U1443">
        <v>110</v>
      </c>
      <c r="V1443" t="s">
        <v>284</v>
      </c>
      <c r="W1443">
        <v>118</v>
      </c>
      <c r="X1443" t="s">
        <v>284</v>
      </c>
      <c r="Y1443">
        <v>122</v>
      </c>
      <c r="Z1443" t="s">
        <v>284</v>
      </c>
      <c r="AA1443">
        <v>126</v>
      </c>
      <c r="AB1443" t="s">
        <v>284</v>
      </c>
      <c r="AG1443">
        <v>121.33329999999999</v>
      </c>
      <c r="AH1443" t="s">
        <v>54</v>
      </c>
      <c r="AI1443" t="s">
        <v>52</v>
      </c>
      <c r="AZ1443" t="s">
        <v>52</v>
      </c>
      <c r="BQ1443" t="s">
        <v>52</v>
      </c>
      <c r="BR1443">
        <v>0.87</v>
      </c>
      <c r="BS1443" t="s">
        <v>284</v>
      </c>
      <c r="BT1443">
        <v>0.87</v>
      </c>
      <c r="BU1443" t="s">
        <v>284</v>
      </c>
      <c r="BV1443">
        <v>0.75</v>
      </c>
      <c r="BW1443" t="s">
        <v>284</v>
      </c>
      <c r="BX1443">
        <v>0.65</v>
      </c>
      <c r="BY1443" t="s">
        <v>284</v>
      </c>
      <c r="BZ1443">
        <v>0.56999999999999995</v>
      </c>
      <c r="CA1443" t="s">
        <v>284</v>
      </c>
      <c r="CF1443">
        <v>0.76</v>
      </c>
      <c r="CG1443" t="s">
        <v>54</v>
      </c>
      <c r="CH144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97DF-4857-45A5-B37C-EF49DE6B2D13}">
  <sheetPr filterMode="1"/>
  <dimension ref="A1:CP82"/>
  <sheetViews>
    <sheetView tabSelected="1" zoomScale="93" zoomScaleNormal="93" workbookViewId="0">
      <pane xSplit="3630" ySplit="2040" topLeftCell="AE1" activePane="bottomRight"/>
      <selection sqref="A1:XFD1048576"/>
      <selection pane="topRight" activeCell="AE11" sqref="AE11"/>
      <selection pane="bottomLeft" activeCell="A78" sqref="A78:A82"/>
      <selection pane="bottomRight" activeCell="AG4" sqref="AG4"/>
    </sheetView>
  </sheetViews>
  <sheetFormatPr defaultRowHeight="15.75" x14ac:dyDescent="0.25"/>
  <cols>
    <col min="1" max="1" width="24" style="3" customWidth="1"/>
    <col min="2" max="2" width="0" hidden="1" customWidth="1"/>
    <col min="3" max="3" width="9.140625" style="3"/>
    <col min="4" max="8" width="0" hidden="1" customWidth="1"/>
    <col min="9" max="11" width="9.140625" style="3"/>
    <col min="12" max="14" width="0" hidden="1" customWidth="1"/>
    <col min="15" max="15" width="9.140625" hidden="1" customWidth="1"/>
    <col min="16" max="16" width="9.140625" style="3" customWidth="1"/>
    <col min="17" max="32" width="9.140625" style="3"/>
    <col min="33" max="35" width="14.42578125" style="3" customWidth="1"/>
    <col min="36" max="43" width="9.140625" style="3" hidden="1" customWidth="1"/>
    <col min="44" max="94" width="9.140625" hidden="1" customWidth="1"/>
    <col min="95" max="16384" width="9.140625" style="3"/>
  </cols>
  <sheetData>
    <row r="1" spans="1:94" s="4" customFormat="1" ht="94.5" x14ac:dyDescent="0.25">
      <c r="A1" s="6" t="s">
        <v>6</v>
      </c>
      <c r="B1" s="2" t="s">
        <v>7</v>
      </c>
      <c r="C1" s="6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6" t="s">
        <v>307</v>
      </c>
      <c r="J1" s="6" t="s">
        <v>30</v>
      </c>
      <c r="K1" s="6" t="s">
        <v>31</v>
      </c>
      <c r="L1" s="2" t="s">
        <v>14</v>
      </c>
      <c r="M1" s="2" t="s">
        <v>19</v>
      </c>
      <c r="N1" s="2" t="s">
        <v>20</v>
      </c>
      <c r="O1" s="2"/>
      <c r="P1" s="6" t="s">
        <v>219</v>
      </c>
      <c r="Q1" s="6" t="s">
        <v>295</v>
      </c>
      <c r="R1" s="6" t="s">
        <v>301</v>
      </c>
      <c r="S1" s="6" t="s">
        <v>221</v>
      </c>
      <c r="T1" s="6" t="s">
        <v>296</v>
      </c>
      <c r="U1" s="6" t="s">
        <v>302</v>
      </c>
      <c r="V1" s="6" t="s">
        <v>223</v>
      </c>
      <c r="W1" s="6" t="s">
        <v>297</v>
      </c>
      <c r="X1" s="6" t="s">
        <v>303</v>
      </c>
      <c r="Y1" s="6" t="s">
        <v>225</v>
      </c>
      <c r="Z1" s="6" t="s">
        <v>298</v>
      </c>
      <c r="AA1" s="6" t="s">
        <v>304</v>
      </c>
      <c r="AB1" s="6" t="s">
        <v>227</v>
      </c>
      <c r="AC1" s="6" t="s">
        <v>299</v>
      </c>
      <c r="AD1" s="6" t="s">
        <v>305</v>
      </c>
      <c r="AE1" s="6" t="s">
        <v>300</v>
      </c>
      <c r="AF1" s="6"/>
      <c r="AG1" s="8" t="s">
        <v>294</v>
      </c>
      <c r="AH1" s="5" t="s">
        <v>306</v>
      </c>
      <c r="AI1" s="5">
        <v>165</v>
      </c>
      <c r="AK1" s="4" t="s">
        <v>229</v>
      </c>
      <c r="AL1" s="4" t="s">
        <v>293</v>
      </c>
      <c r="AM1" s="4" t="s">
        <v>231</v>
      </c>
      <c r="AN1" s="4" t="s">
        <v>232</v>
      </c>
      <c r="AO1" s="4" t="s">
        <v>215</v>
      </c>
      <c r="AP1" s="4" t="s">
        <v>26</v>
      </c>
      <c r="AQ1" s="4" t="s">
        <v>27</v>
      </c>
      <c r="AR1" s="2" t="s">
        <v>233</v>
      </c>
      <c r="AS1" s="2" t="s">
        <v>234</v>
      </c>
      <c r="AT1" s="2" t="s">
        <v>235</v>
      </c>
      <c r="AU1" s="2" t="s">
        <v>236</v>
      </c>
      <c r="AV1" s="2" t="s">
        <v>237</v>
      </c>
      <c r="AW1" s="2" t="s">
        <v>238</v>
      </c>
      <c r="AX1" s="2" t="s">
        <v>239</v>
      </c>
      <c r="AY1" s="2" t="s">
        <v>240</v>
      </c>
      <c r="AZ1" s="2" t="s">
        <v>241</v>
      </c>
      <c r="BA1" s="2" t="s">
        <v>242</v>
      </c>
      <c r="BB1" s="2" t="s">
        <v>243</v>
      </c>
      <c r="BC1" s="2" t="s">
        <v>244</v>
      </c>
      <c r="BD1" s="2" t="s">
        <v>245</v>
      </c>
      <c r="BE1" s="2" t="s">
        <v>246</v>
      </c>
      <c r="BF1" s="2" t="s">
        <v>247</v>
      </c>
      <c r="BG1" s="2" t="s">
        <v>248</v>
      </c>
      <c r="BH1" s="2" t="s">
        <v>249</v>
      </c>
      <c r="BI1" s="2" t="s">
        <v>250</v>
      </c>
      <c r="BJ1" s="2" t="s">
        <v>251</v>
      </c>
      <c r="BK1" s="2" t="s">
        <v>252</v>
      </c>
      <c r="BL1" s="2" t="s">
        <v>253</v>
      </c>
      <c r="BM1" s="2" t="s">
        <v>254</v>
      </c>
      <c r="BN1" s="2" t="s">
        <v>255</v>
      </c>
      <c r="BO1" s="2" t="s">
        <v>256</v>
      </c>
      <c r="BP1" s="2" t="s">
        <v>257</v>
      </c>
      <c r="BQ1" s="2" t="s">
        <v>258</v>
      </c>
      <c r="BR1" s="2" t="s">
        <v>259</v>
      </c>
      <c r="BS1" s="2" t="s">
        <v>260</v>
      </c>
      <c r="BT1" s="2" t="s">
        <v>261</v>
      </c>
      <c r="BU1" s="2" t="s">
        <v>262</v>
      </c>
      <c r="BV1" s="2" t="s">
        <v>263</v>
      </c>
      <c r="BW1" s="2" t="s">
        <v>264</v>
      </c>
      <c r="BX1" s="2" t="s">
        <v>265</v>
      </c>
      <c r="BY1" s="2" t="s">
        <v>266</v>
      </c>
      <c r="BZ1" s="2" t="s">
        <v>267</v>
      </c>
      <c r="CA1" s="2" t="s">
        <v>268</v>
      </c>
      <c r="CB1" s="2" t="s">
        <v>269</v>
      </c>
      <c r="CC1" s="2" t="s">
        <v>270</v>
      </c>
      <c r="CD1" s="2" t="s">
        <v>271</v>
      </c>
      <c r="CE1" s="2" t="s">
        <v>272</v>
      </c>
      <c r="CF1" s="2" t="s">
        <v>273</v>
      </c>
      <c r="CG1" s="2" t="s">
        <v>274</v>
      </c>
      <c r="CH1" s="2" t="s">
        <v>275</v>
      </c>
      <c r="CI1" s="2" t="s">
        <v>276</v>
      </c>
      <c r="CJ1" s="2" t="s">
        <v>277</v>
      </c>
      <c r="CK1" s="2" t="s">
        <v>278</v>
      </c>
      <c r="CL1" s="2" t="s">
        <v>279</v>
      </c>
      <c r="CM1" s="2" t="s">
        <v>280</v>
      </c>
      <c r="CN1" s="2" t="s">
        <v>281</v>
      </c>
      <c r="CO1" s="2" t="s">
        <v>282</v>
      </c>
      <c r="CP1" s="2" t="s">
        <v>283</v>
      </c>
    </row>
    <row r="2" spans="1:94" x14ac:dyDescent="0.25">
      <c r="A2" s="7" t="s">
        <v>83</v>
      </c>
      <c r="B2">
        <v>158</v>
      </c>
      <c r="C2" s="7"/>
      <c r="D2" t="s">
        <v>50</v>
      </c>
      <c r="G2" t="s">
        <v>52</v>
      </c>
      <c r="H2">
        <v>1</v>
      </c>
      <c r="I2" s="7" t="s">
        <v>53</v>
      </c>
      <c r="J2" s="7">
        <v>158</v>
      </c>
      <c r="K2" s="7">
        <v>2</v>
      </c>
      <c r="L2" t="s">
        <v>52</v>
      </c>
      <c r="M2">
        <v>0.77</v>
      </c>
      <c r="N2">
        <v>0.93</v>
      </c>
      <c r="P2" s="7">
        <v>228</v>
      </c>
      <c r="Q2" s="7">
        <v>228</v>
      </c>
      <c r="R2" s="7">
        <f t="shared" ref="R2:R33" si="0">P2/Q2</f>
        <v>1</v>
      </c>
      <c r="S2" s="7">
        <v>221</v>
      </c>
      <c r="T2" s="7">
        <v>221</v>
      </c>
      <c r="U2" s="7">
        <f>S2/T2</f>
        <v>1</v>
      </c>
      <c r="V2" s="7">
        <v>236</v>
      </c>
      <c r="W2" s="7">
        <v>236</v>
      </c>
      <c r="X2" s="7">
        <f>V2/W2</f>
        <v>1</v>
      </c>
      <c r="Y2" s="7">
        <v>244</v>
      </c>
      <c r="Z2" s="7">
        <v>244</v>
      </c>
      <c r="AA2" s="7">
        <f>Y2/Z2</f>
        <v>1</v>
      </c>
      <c r="AB2" s="7">
        <v>252</v>
      </c>
      <c r="AC2" s="7">
        <v>252</v>
      </c>
      <c r="AD2" s="7">
        <f>AB2/AC2</f>
        <v>1</v>
      </c>
      <c r="AE2" s="7">
        <f>AVERAGE(R2,U2,X2,AA2,AD2)</f>
        <v>1</v>
      </c>
      <c r="AF2" s="7"/>
      <c r="AG2" s="9">
        <f>AE2*$AI$1</f>
        <v>165</v>
      </c>
      <c r="AO2" s="3">
        <v>236</v>
      </c>
      <c r="AP2" s="3" t="s">
        <v>54</v>
      </c>
      <c r="AQ2" s="3" t="s">
        <v>52</v>
      </c>
      <c r="BF2">
        <v>339</v>
      </c>
      <c r="BG2" t="s">
        <v>285</v>
      </c>
      <c r="BH2" t="s">
        <v>287</v>
      </c>
      <c r="BY2" t="s">
        <v>52</v>
      </c>
      <c r="BZ2">
        <v>1.31</v>
      </c>
      <c r="CA2" t="s">
        <v>285</v>
      </c>
      <c r="CB2">
        <v>1.01</v>
      </c>
      <c r="CC2" t="s">
        <v>284</v>
      </c>
      <c r="CD2">
        <v>0.33</v>
      </c>
      <c r="CE2" t="s">
        <v>288</v>
      </c>
      <c r="CF2">
        <v>0.56999999999999995</v>
      </c>
      <c r="CG2" t="s">
        <v>285</v>
      </c>
      <c r="CH2">
        <v>0.1</v>
      </c>
      <c r="CI2" t="s">
        <v>289</v>
      </c>
      <c r="CN2">
        <v>0.64</v>
      </c>
      <c r="CO2" t="s">
        <v>54</v>
      </c>
      <c r="CP2" t="s">
        <v>52</v>
      </c>
    </row>
    <row r="3" spans="1:94" x14ac:dyDescent="0.25">
      <c r="A3" s="7" t="s">
        <v>70</v>
      </c>
      <c r="B3">
        <v>296</v>
      </c>
      <c r="C3" s="7" t="s">
        <v>73</v>
      </c>
      <c r="D3" t="s">
        <v>50</v>
      </c>
      <c r="G3" t="s">
        <v>51</v>
      </c>
      <c r="H3">
        <v>1</v>
      </c>
      <c r="I3" s="7" t="s">
        <v>53</v>
      </c>
      <c r="J3" s="7">
        <v>296</v>
      </c>
      <c r="K3" s="7">
        <v>1</v>
      </c>
      <c r="L3" t="s">
        <v>52</v>
      </c>
      <c r="M3">
        <v>0</v>
      </c>
      <c r="N3">
        <v>0.75</v>
      </c>
      <c r="P3" s="7">
        <v>228</v>
      </c>
      <c r="Q3" s="7">
        <v>228</v>
      </c>
      <c r="R3" s="7">
        <f t="shared" si="0"/>
        <v>1</v>
      </c>
      <c r="S3" s="7">
        <v>221</v>
      </c>
      <c r="T3" s="7">
        <v>221</v>
      </c>
      <c r="U3" s="7">
        <f>S3/T3</f>
        <v>1</v>
      </c>
      <c r="V3" s="7">
        <v>236</v>
      </c>
      <c r="W3" s="7">
        <v>236</v>
      </c>
      <c r="X3" s="7">
        <f>V3/W3</f>
        <v>1</v>
      </c>
      <c r="Y3" s="7">
        <v>244</v>
      </c>
      <c r="Z3" s="7">
        <v>244</v>
      </c>
      <c r="AA3" s="7">
        <f>Y3/Z3</f>
        <v>1</v>
      </c>
      <c r="AB3" s="7">
        <v>225</v>
      </c>
      <c r="AC3" s="7">
        <v>252</v>
      </c>
      <c r="AD3" s="7">
        <f>AB3/AC3</f>
        <v>0.8928571428571429</v>
      </c>
      <c r="AE3" s="7">
        <f>AVERAGE(R3,U3,X3,AA3,AD3)</f>
        <v>0.97857142857142865</v>
      </c>
      <c r="AF3" s="7"/>
      <c r="AG3" s="9">
        <f>AE3*$AI$1</f>
        <v>161.46428571428572</v>
      </c>
      <c r="AO3" s="3">
        <v>229.66669999999999</v>
      </c>
      <c r="AP3" s="3" t="s">
        <v>54</v>
      </c>
      <c r="AQ3" s="3" t="s">
        <v>52</v>
      </c>
      <c r="BH3" t="s">
        <v>52</v>
      </c>
      <c r="BY3" t="s">
        <v>52</v>
      </c>
      <c r="CP3" t="s">
        <v>52</v>
      </c>
    </row>
    <row r="4" spans="1:94" x14ac:dyDescent="0.25">
      <c r="A4" s="7" t="s">
        <v>70</v>
      </c>
      <c r="B4">
        <v>296</v>
      </c>
      <c r="C4" s="7" t="s">
        <v>72</v>
      </c>
      <c r="D4" t="s">
        <v>50</v>
      </c>
      <c r="G4" t="s">
        <v>51</v>
      </c>
      <c r="H4">
        <v>1</v>
      </c>
      <c r="I4" s="7" t="s">
        <v>53</v>
      </c>
      <c r="J4" s="7">
        <v>296</v>
      </c>
      <c r="K4" s="7">
        <v>1</v>
      </c>
      <c r="L4" t="s">
        <v>52</v>
      </c>
      <c r="M4">
        <v>0.5</v>
      </c>
      <c r="N4">
        <v>0.75</v>
      </c>
      <c r="P4" s="7">
        <v>228</v>
      </c>
      <c r="Q4" s="7">
        <v>228</v>
      </c>
      <c r="R4" s="7">
        <f t="shared" si="0"/>
        <v>1</v>
      </c>
      <c r="S4" s="7">
        <v>221</v>
      </c>
      <c r="T4" s="7">
        <v>221</v>
      </c>
      <c r="U4" s="7">
        <f>S4/T4</f>
        <v>1</v>
      </c>
      <c r="V4" s="7">
        <v>236</v>
      </c>
      <c r="W4" s="7">
        <v>236</v>
      </c>
      <c r="X4" s="7">
        <f>V4/W4</f>
        <v>1</v>
      </c>
      <c r="Y4" s="7">
        <v>244</v>
      </c>
      <c r="Z4" s="7">
        <v>244</v>
      </c>
      <c r="AA4" s="7">
        <f>Y4/Z4</f>
        <v>1</v>
      </c>
      <c r="AB4" s="7">
        <v>215</v>
      </c>
      <c r="AC4" s="7">
        <v>252</v>
      </c>
      <c r="AD4" s="7">
        <f>AB4/AC4</f>
        <v>0.85317460317460314</v>
      </c>
      <c r="AE4" s="7">
        <f>AVERAGE(R4,U4,X4,AA4,AD4)</f>
        <v>0.97063492063492052</v>
      </c>
      <c r="AF4" s="7"/>
      <c r="AG4" s="9">
        <f>AE4*$AI$1</f>
        <v>160.1547619047619</v>
      </c>
      <c r="AO4" s="3">
        <v>228.33330000000001</v>
      </c>
      <c r="AP4" s="3" t="s">
        <v>54</v>
      </c>
      <c r="AQ4" s="3" t="s">
        <v>52</v>
      </c>
      <c r="BH4" t="s">
        <v>52</v>
      </c>
      <c r="BY4" t="s">
        <v>52</v>
      </c>
      <c r="CP4" t="s">
        <v>52</v>
      </c>
    </row>
    <row r="5" spans="1:94" customFormat="1" ht="15" hidden="1" x14ac:dyDescent="0.25">
      <c r="A5" t="s">
        <v>132</v>
      </c>
      <c r="B5">
        <v>47</v>
      </c>
      <c r="C5" t="s">
        <v>133</v>
      </c>
      <c r="D5" t="s">
        <v>50</v>
      </c>
      <c r="G5" t="s">
        <v>51</v>
      </c>
      <c r="H5">
        <v>1</v>
      </c>
      <c r="I5" t="s">
        <v>53</v>
      </c>
      <c r="J5">
        <v>47</v>
      </c>
      <c r="K5">
        <v>1</v>
      </c>
      <c r="L5" t="s">
        <v>52</v>
      </c>
      <c r="M5">
        <v>0.63</v>
      </c>
      <c r="N5">
        <v>0.8</v>
      </c>
      <c r="P5">
        <v>228</v>
      </c>
      <c r="Q5">
        <v>228</v>
      </c>
      <c r="R5">
        <f t="shared" si="0"/>
        <v>1</v>
      </c>
      <c r="S5">
        <v>218</v>
      </c>
      <c r="T5">
        <v>221</v>
      </c>
      <c r="U5">
        <f>S5/T5</f>
        <v>0.98642533936651589</v>
      </c>
      <c r="W5">
        <v>236</v>
      </c>
      <c r="X5">
        <f>V5/W5</f>
        <v>0</v>
      </c>
      <c r="Z5">
        <v>244</v>
      </c>
      <c r="AA5">
        <f>Y5/Z5</f>
        <v>0</v>
      </c>
      <c r="AC5">
        <v>252</v>
      </c>
      <c r="AD5">
        <f>AB5/AC5</f>
        <v>0</v>
      </c>
      <c r="AQ5" t="s">
        <v>52</v>
      </c>
      <c r="BH5" t="s">
        <v>52</v>
      </c>
      <c r="BY5" t="s">
        <v>52</v>
      </c>
      <c r="BZ5">
        <v>1.85</v>
      </c>
      <c r="CA5" t="s">
        <v>284</v>
      </c>
      <c r="CB5">
        <v>1.35</v>
      </c>
      <c r="CC5" t="s">
        <v>284</v>
      </c>
      <c r="CP5" t="s">
        <v>52</v>
      </c>
    </row>
    <row r="6" spans="1:94" customFormat="1" ht="15" hidden="1" x14ac:dyDescent="0.25">
      <c r="A6" t="s">
        <v>110</v>
      </c>
      <c r="B6">
        <v>265</v>
      </c>
      <c r="C6" t="s">
        <v>214</v>
      </c>
      <c r="D6" t="s">
        <v>50</v>
      </c>
      <c r="G6" t="s">
        <v>51</v>
      </c>
      <c r="H6">
        <v>1</v>
      </c>
      <c r="I6" t="s">
        <v>53</v>
      </c>
      <c r="J6">
        <v>102</v>
      </c>
      <c r="K6">
        <v>1</v>
      </c>
      <c r="L6" t="s">
        <v>52</v>
      </c>
      <c r="M6">
        <v>0</v>
      </c>
      <c r="N6">
        <v>0.87</v>
      </c>
      <c r="Q6">
        <v>228</v>
      </c>
      <c r="R6">
        <f t="shared" si="0"/>
        <v>0</v>
      </c>
      <c r="AQ6" t="s">
        <v>52</v>
      </c>
      <c r="BH6" t="s">
        <v>52</v>
      </c>
      <c r="BY6" t="s">
        <v>52</v>
      </c>
      <c r="CP6" t="s">
        <v>52</v>
      </c>
    </row>
    <row r="7" spans="1:94" customFormat="1" ht="15" hidden="1" x14ac:dyDescent="0.25">
      <c r="A7" t="s">
        <v>110</v>
      </c>
      <c r="B7">
        <v>265</v>
      </c>
      <c r="C7" t="s">
        <v>111</v>
      </c>
      <c r="D7" t="s">
        <v>50</v>
      </c>
      <c r="G7" t="s">
        <v>51</v>
      </c>
      <c r="H7">
        <v>1</v>
      </c>
      <c r="I7" t="s">
        <v>53</v>
      </c>
      <c r="J7">
        <v>102</v>
      </c>
      <c r="K7">
        <v>1</v>
      </c>
      <c r="L7" t="s">
        <v>52</v>
      </c>
      <c r="M7">
        <v>0</v>
      </c>
      <c r="N7">
        <v>0.87</v>
      </c>
      <c r="Q7">
        <v>228</v>
      </c>
      <c r="R7">
        <f t="shared" si="0"/>
        <v>0</v>
      </c>
      <c r="AQ7" t="s">
        <v>52</v>
      </c>
      <c r="BH7" t="s">
        <v>52</v>
      </c>
      <c r="BY7" t="s">
        <v>52</v>
      </c>
      <c r="CP7" t="s">
        <v>52</v>
      </c>
    </row>
    <row r="8" spans="1:94" customFormat="1" ht="15" hidden="1" x14ac:dyDescent="0.25">
      <c r="A8" t="s">
        <v>58</v>
      </c>
      <c r="B8">
        <v>102</v>
      </c>
      <c r="C8" t="s">
        <v>173</v>
      </c>
      <c r="D8" t="s">
        <v>50</v>
      </c>
      <c r="G8" t="s">
        <v>52</v>
      </c>
      <c r="H8">
        <v>1</v>
      </c>
      <c r="I8" t="s">
        <v>53</v>
      </c>
      <c r="J8">
        <v>102</v>
      </c>
      <c r="K8">
        <v>1</v>
      </c>
      <c r="L8" t="s">
        <v>52</v>
      </c>
      <c r="M8">
        <v>0</v>
      </c>
      <c r="N8">
        <v>0.92</v>
      </c>
      <c r="P8">
        <v>52.32</v>
      </c>
      <c r="Q8">
        <v>228</v>
      </c>
      <c r="R8">
        <f t="shared" si="0"/>
        <v>0.22947368421052633</v>
      </c>
      <c r="S8">
        <v>68</v>
      </c>
      <c r="T8">
        <v>221</v>
      </c>
      <c r="U8">
        <f t="shared" ref="U8:U39" si="1">S8/T8</f>
        <v>0.30769230769230771</v>
      </c>
      <c r="W8">
        <v>236</v>
      </c>
      <c r="X8">
        <f t="shared" ref="X8:X39" si="2">V8/W8</f>
        <v>0</v>
      </c>
      <c r="Z8">
        <v>244</v>
      </c>
      <c r="AA8">
        <f t="shared" ref="AA8:AA39" si="3">Y8/Z8</f>
        <v>0</v>
      </c>
      <c r="AC8">
        <v>252</v>
      </c>
      <c r="AD8">
        <f t="shared" ref="AD8:AD39" si="4">AB8/AC8</f>
        <v>0</v>
      </c>
      <c r="AQ8" t="s">
        <v>52</v>
      </c>
      <c r="BH8" t="s">
        <v>52</v>
      </c>
      <c r="BY8" t="s">
        <v>52</v>
      </c>
      <c r="BZ8">
        <v>0.93</v>
      </c>
      <c r="CA8" t="s">
        <v>285</v>
      </c>
      <c r="CB8">
        <v>1.17</v>
      </c>
      <c r="CC8" t="s">
        <v>285</v>
      </c>
      <c r="CP8" t="s">
        <v>52</v>
      </c>
    </row>
    <row r="9" spans="1:94" x14ac:dyDescent="0.25">
      <c r="A9" s="7" t="s">
        <v>49</v>
      </c>
      <c r="B9">
        <v>27</v>
      </c>
      <c r="C9" s="7"/>
      <c r="D9" t="s">
        <v>50</v>
      </c>
      <c r="G9" t="s">
        <v>51</v>
      </c>
      <c r="H9">
        <v>1</v>
      </c>
      <c r="I9" s="7" t="s">
        <v>53</v>
      </c>
      <c r="J9" s="7">
        <v>27</v>
      </c>
      <c r="K9" s="7">
        <v>1</v>
      </c>
      <c r="L9" t="s">
        <v>52</v>
      </c>
      <c r="M9">
        <v>0</v>
      </c>
      <c r="N9">
        <v>0.75</v>
      </c>
      <c r="P9" s="7">
        <v>231</v>
      </c>
      <c r="Q9" s="7">
        <v>228</v>
      </c>
      <c r="R9" s="7">
        <f t="shared" si="0"/>
        <v>1.013157894736842</v>
      </c>
      <c r="S9" s="7">
        <v>208</v>
      </c>
      <c r="T9" s="7">
        <v>221</v>
      </c>
      <c r="U9" s="7">
        <f t="shared" si="1"/>
        <v>0.94117647058823528</v>
      </c>
      <c r="V9" s="7">
        <v>224</v>
      </c>
      <c r="W9" s="7">
        <v>236</v>
      </c>
      <c r="X9" s="7">
        <f t="shared" si="2"/>
        <v>0.94915254237288138</v>
      </c>
      <c r="Y9" s="7">
        <v>225</v>
      </c>
      <c r="Z9" s="7">
        <v>244</v>
      </c>
      <c r="AA9" s="7">
        <f t="shared" si="3"/>
        <v>0.92213114754098358</v>
      </c>
      <c r="AB9" s="7">
        <v>247</v>
      </c>
      <c r="AC9" s="7">
        <v>252</v>
      </c>
      <c r="AD9" s="7">
        <f t="shared" si="4"/>
        <v>0.98015873015873012</v>
      </c>
      <c r="AE9" s="7">
        <f>AVERAGE(R9,U9,X9,AA9,AD9)</f>
        <v>0.96115535707953437</v>
      </c>
      <c r="AF9" s="7" t="s">
        <v>308</v>
      </c>
      <c r="AG9" s="9">
        <f>AE9*$AI$1</f>
        <v>158.59063391812316</v>
      </c>
      <c r="AK9" s="3">
        <v>241</v>
      </c>
      <c r="AL9" s="3" t="s">
        <v>285</v>
      </c>
      <c r="AM9" s="3">
        <v>219</v>
      </c>
      <c r="AN9" s="3" t="s">
        <v>285</v>
      </c>
      <c r="AO9" s="3">
        <v>219</v>
      </c>
      <c r="AP9" s="3" t="s">
        <v>286</v>
      </c>
      <c r="AQ9" s="3" t="s">
        <v>287</v>
      </c>
      <c r="BF9">
        <v>263</v>
      </c>
      <c r="BG9" t="s">
        <v>286</v>
      </c>
      <c r="BH9" t="s">
        <v>287</v>
      </c>
      <c r="BY9" t="s">
        <v>52</v>
      </c>
      <c r="BZ9">
        <v>3.7</v>
      </c>
      <c r="CA9" t="s">
        <v>284</v>
      </c>
      <c r="CB9">
        <v>3.4</v>
      </c>
      <c r="CC9" t="s">
        <v>284</v>
      </c>
      <c r="CP9" t="s">
        <v>52</v>
      </c>
    </row>
    <row r="10" spans="1:94" customFormat="1" ht="15" hidden="1" x14ac:dyDescent="0.25">
      <c r="A10" t="s">
        <v>58</v>
      </c>
      <c r="B10">
        <v>102</v>
      </c>
      <c r="C10" t="s">
        <v>191</v>
      </c>
      <c r="D10" t="s">
        <v>50</v>
      </c>
      <c r="G10" t="s">
        <v>51</v>
      </c>
      <c r="H10">
        <v>1</v>
      </c>
      <c r="I10" t="s">
        <v>53</v>
      </c>
      <c r="J10">
        <v>102</v>
      </c>
      <c r="K10">
        <v>1</v>
      </c>
      <c r="L10" t="s">
        <v>52</v>
      </c>
      <c r="M10">
        <v>0</v>
      </c>
      <c r="N10">
        <v>0.92</v>
      </c>
      <c r="P10">
        <v>52.32</v>
      </c>
      <c r="Q10">
        <v>228</v>
      </c>
      <c r="R10">
        <f t="shared" si="0"/>
        <v>0.22947368421052633</v>
      </c>
      <c r="S10">
        <v>68</v>
      </c>
      <c r="T10">
        <v>221</v>
      </c>
      <c r="U10">
        <f t="shared" si="1"/>
        <v>0.30769230769230771</v>
      </c>
      <c r="V10">
        <v>68</v>
      </c>
      <c r="W10">
        <v>236</v>
      </c>
      <c r="X10">
        <f t="shared" si="2"/>
        <v>0.28813559322033899</v>
      </c>
      <c r="Z10">
        <v>244</v>
      </c>
      <c r="AA10">
        <f t="shared" si="3"/>
        <v>0</v>
      </c>
      <c r="AC10">
        <v>252</v>
      </c>
      <c r="AD10">
        <f t="shared" si="4"/>
        <v>0</v>
      </c>
      <c r="AQ10" t="s">
        <v>52</v>
      </c>
      <c r="BH10" t="s">
        <v>52</v>
      </c>
      <c r="BY10" t="s">
        <v>52</v>
      </c>
      <c r="BZ10">
        <v>1.85</v>
      </c>
      <c r="CA10" t="s">
        <v>284</v>
      </c>
      <c r="CB10">
        <v>1.26</v>
      </c>
      <c r="CC10" t="s">
        <v>284</v>
      </c>
      <c r="CD10">
        <v>0.98</v>
      </c>
      <c r="CE10" t="s">
        <v>284</v>
      </c>
      <c r="CP10" t="s">
        <v>52</v>
      </c>
    </row>
    <row r="11" spans="1:94" x14ac:dyDescent="0.25">
      <c r="A11" s="7" t="s">
        <v>70</v>
      </c>
      <c r="B11">
        <v>296</v>
      </c>
      <c r="C11" s="7" t="s">
        <v>90</v>
      </c>
      <c r="D11" t="s">
        <v>50</v>
      </c>
      <c r="G11" t="s">
        <v>51</v>
      </c>
      <c r="H11">
        <v>1</v>
      </c>
      <c r="I11" s="7" t="s">
        <v>53</v>
      </c>
      <c r="J11" s="7">
        <v>102</v>
      </c>
      <c r="K11" s="7">
        <v>1</v>
      </c>
      <c r="L11" t="s">
        <v>52</v>
      </c>
      <c r="M11">
        <v>0.5</v>
      </c>
      <c r="N11">
        <v>0.75</v>
      </c>
      <c r="P11" s="7">
        <v>228</v>
      </c>
      <c r="Q11" s="7">
        <v>228</v>
      </c>
      <c r="R11" s="7">
        <f t="shared" si="0"/>
        <v>1</v>
      </c>
      <c r="S11" s="7">
        <v>190</v>
      </c>
      <c r="T11" s="7">
        <v>221</v>
      </c>
      <c r="U11" s="7">
        <f t="shared" si="1"/>
        <v>0.85972850678733037</v>
      </c>
      <c r="V11" s="7">
        <v>236</v>
      </c>
      <c r="W11" s="7">
        <v>236</v>
      </c>
      <c r="X11" s="7">
        <f t="shared" si="2"/>
        <v>1</v>
      </c>
      <c r="Y11" s="7">
        <v>244</v>
      </c>
      <c r="Z11" s="7">
        <v>244</v>
      </c>
      <c r="AA11" s="7">
        <f t="shared" si="3"/>
        <v>1</v>
      </c>
      <c r="AB11" s="7">
        <v>215</v>
      </c>
      <c r="AC11" s="7">
        <v>252</v>
      </c>
      <c r="AD11" s="7">
        <f t="shared" si="4"/>
        <v>0.85317460317460314</v>
      </c>
      <c r="AE11" s="7">
        <f>AVERAGE(R11,U11,X11,AA11,AD11)</f>
        <v>0.94258062199238668</v>
      </c>
      <c r="AF11" s="7"/>
      <c r="AG11" s="9">
        <f>AE11*$AI$1</f>
        <v>155.5258026287438</v>
      </c>
      <c r="AO11" s="3">
        <v>226.33330000000001</v>
      </c>
      <c r="AP11" s="3" t="s">
        <v>54</v>
      </c>
      <c r="AQ11" s="3" t="s">
        <v>52</v>
      </c>
      <c r="BH11" t="s">
        <v>52</v>
      </c>
      <c r="BY11" t="s">
        <v>52</v>
      </c>
      <c r="BZ11">
        <v>1.85</v>
      </c>
      <c r="CA11" t="s">
        <v>284</v>
      </c>
      <c r="CB11">
        <v>2.0699999999999998</v>
      </c>
      <c r="CC11" t="s">
        <v>284</v>
      </c>
      <c r="CD11">
        <v>1.96</v>
      </c>
      <c r="CE11" t="s">
        <v>284</v>
      </c>
      <c r="CF11">
        <v>1.57</v>
      </c>
      <c r="CG11" t="s">
        <v>284</v>
      </c>
      <c r="CH11">
        <v>1.57</v>
      </c>
      <c r="CI11" t="s">
        <v>284</v>
      </c>
      <c r="CN11">
        <v>1.79</v>
      </c>
      <c r="CO11" t="s">
        <v>54</v>
      </c>
      <c r="CP11" t="s">
        <v>52</v>
      </c>
    </row>
    <row r="12" spans="1:94" customFormat="1" ht="15" hidden="1" x14ac:dyDescent="0.25">
      <c r="A12" t="s">
        <v>58</v>
      </c>
      <c r="B12">
        <v>102</v>
      </c>
      <c r="C12" t="s">
        <v>147</v>
      </c>
      <c r="D12" t="s">
        <v>50</v>
      </c>
      <c r="G12" t="s">
        <v>52</v>
      </c>
      <c r="H12">
        <v>1</v>
      </c>
      <c r="I12" t="s">
        <v>53</v>
      </c>
      <c r="J12">
        <v>102</v>
      </c>
      <c r="K12">
        <v>1</v>
      </c>
      <c r="L12" t="s">
        <v>52</v>
      </c>
      <c r="M12">
        <v>0</v>
      </c>
      <c r="N12">
        <v>0.92</v>
      </c>
      <c r="P12">
        <v>131.69999999999999</v>
      </c>
      <c r="Q12">
        <v>228</v>
      </c>
      <c r="R12">
        <f t="shared" si="0"/>
        <v>0.57763157894736838</v>
      </c>
      <c r="S12">
        <v>170</v>
      </c>
      <c r="T12">
        <v>221</v>
      </c>
      <c r="U12">
        <f t="shared" si="1"/>
        <v>0.76923076923076927</v>
      </c>
      <c r="W12">
        <v>236</v>
      </c>
      <c r="X12">
        <f t="shared" si="2"/>
        <v>0</v>
      </c>
      <c r="Z12">
        <v>244</v>
      </c>
      <c r="AA12">
        <f t="shared" si="3"/>
        <v>0</v>
      </c>
      <c r="AC12">
        <v>252</v>
      </c>
      <c r="AD12">
        <f t="shared" si="4"/>
        <v>0</v>
      </c>
      <c r="AQ12" t="s">
        <v>52</v>
      </c>
      <c r="BH12" t="s">
        <v>52</v>
      </c>
      <c r="BY12" t="s">
        <v>52</v>
      </c>
      <c r="CP12" t="s">
        <v>52</v>
      </c>
    </row>
    <row r="13" spans="1:94" x14ac:dyDescent="0.25">
      <c r="A13" s="7" t="s">
        <v>70</v>
      </c>
      <c r="B13">
        <v>296</v>
      </c>
      <c r="C13" s="7" t="s">
        <v>91</v>
      </c>
      <c r="D13" t="s">
        <v>50</v>
      </c>
      <c r="G13" t="s">
        <v>51</v>
      </c>
      <c r="H13">
        <v>1</v>
      </c>
      <c r="I13" s="7" t="s">
        <v>53</v>
      </c>
      <c r="J13" s="7">
        <v>102</v>
      </c>
      <c r="K13" s="7">
        <v>1</v>
      </c>
      <c r="L13" t="s">
        <v>52</v>
      </c>
      <c r="M13">
        <v>0.5</v>
      </c>
      <c r="N13">
        <v>0.75</v>
      </c>
      <c r="P13" s="7">
        <v>228</v>
      </c>
      <c r="Q13" s="7">
        <v>228</v>
      </c>
      <c r="R13" s="7">
        <f t="shared" si="0"/>
        <v>1</v>
      </c>
      <c r="S13" s="7">
        <v>190</v>
      </c>
      <c r="T13" s="7">
        <v>221</v>
      </c>
      <c r="U13" s="7">
        <f t="shared" si="1"/>
        <v>0.85972850678733037</v>
      </c>
      <c r="V13" s="7">
        <v>236</v>
      </c>
      <c r="W13" s="7">
        <v>236</v>
      </c>
      <c r="X13" s="7">
        <f t="shared" si="2"/>
        <v>1</v>
      </c>
      <c r="Y13" s="7">
        <v>244</v>
      </c>
      <c r="Z13" s="7">
        <v>244</v>
      </c>
      <c r="AA13" s="7">
        <f t="shared" si="3"/>
        <v>1</v>
      </c>
      <c r="AB13" s="7">
        <v>215</v>
      </c>
      <c r="AC13" s="7">
        <v>252</v>
      </c>
      <c r="AD13" s="7">
        <f t="shared" si="4"/>
        <v>0.85317460317460314</v>
      </c>
      <c r="AE13" s="7">
        <f>AVERAGE(R13,U13,X13,AA13,AD13)</f>
        <v>0.94258062199238668</v>
      </c>
      <c r="AF13" s="7"/>
      <c r="AG13" s="9">
        <f>AE13*$AI$1</f>
        <v>155.5258026287438</v>
      </c>
      <c r="AO13" s="3">
        <v>226.33330000000001</v>
      </c>
      <c r="AP13" s="3" t="s">
        <v>54</v>
      </c>
      <c r="AQ13" s="3" t="s">
        <v>52</v>
      </c>
      <c r="BH13" t="s">
        <v>52</v>
      </c>
      <c r="BY13" t="s">
        <v>52</v>
      </c>
      <c r="BZ13">
        <v>1.85</v>
      </c>
      <c r="CA13" t="s">
        <v>284</v>
      </c>
      <c r="CB13">
        <v>2.0699999999999998</v>
      </c>
      <c r="CC13" t="s">
        <v>284</v>
      </c>
      <c r="CD13">
        <v>1.96</v>
      </c>
      <c r="CE13" t="s">
        <v>284</v>
      </c>
      <c r="CF13">
        <v>1.57</v>
      </c>
      <c r="CG13" t="s">
        <v>284</v>
      </c>
      <c r="CH13">
        <v>1.57</v>
      </c>
      <c r="CI13" t="s">
        <v>284</v>
      </c>
      <c r="CN13">
        <v>1.79</v>
      </c>
      <c r="CO13" t="s">
        <v>54</v>
      </c>
      <c r="CP13" t="s">
        <v>52</v>
      </c>
    </row>
    <row r="14" spans="1:94" x14ac:dyDescent="0.25">
      <c r="A14" s="7" t="s">
        <v>70</v>
      </c>
      <c r="B14">
        <v>296</v>
      </c>
      <c r="C14" s="7" t="s">
        <v>116</v>
      </c>
      <c r="D14" t="s">
        <v>50</v>
      </c>
      <c r="G14" t="s">
        <v>51</v>
      </c>
      <c r="H14">
        <v>1</v>
      </c>
      <c r="I14" s="7" t="s">
        <v>53</v>
      </c>
      <c r="J14" s="7">
        <v>102</v>
      </c>
      <c r="K14" s="7">
        <v>1</v>
      </c>
      <c r="L14" t="s">
        <v>52</v>
      </c>
      <c r="M14">
        <v>0.5</v>
      </c>
      <c r="N14">
        <v>0.75</v>
      </c>
      <c r="P14" s="7">
        <v>228</v>
      </c>
      <c r="Q14" s="7">
        <v>228</v>
      </c>
      <c r="R14" s="7">
        <f t="shared" si="0"/>
        <v>1</v>
      </c>
      <c r="S14" s="7">
        <v>190</v>
      </c>
      <c r="T14" s="7">
        <v>221</v>
      </c>
      <c r="U14" s="7">
        <f t="shared" si="1"/>
        <v>0.85972850678733037</v>
      </c>
      <c r="V14" s="7">
        <v>236</v>
      </c>
      <c r="W14" s="7">
        <v>236</v>
      </c>
      <c r="X14" s="7">
        <f t="shared" si="2"/>
        <v>1</v>
      </c>
      <c r="Y14" s="7">
        <v>244</v>
      </c>
      <c r="Z14" s="7">
        <v>244</v>
      </c>
      <c r="AA14" s="7">
        <f t="shared" si="3"/>
        <v>1</v>
      </c>
      <c r="AB14" s="7">
        <v>215</v>
      </c>
      <c r="AC14" s="7">
        <v>252</v>
      </c>
      <c r="AD14" s="7">
        <f t="shared" si="4"/>
        <v>0.85317460317460314</v>
      </c>
      <c r="AE14" s="7">
        <f>AVERAGE(R14,U14,X14,AA14,AD14)</f>
        <v>0.94258062199238668</v>
      </c>
      <c r="AF14" s="7"/>
      <c r="AG14" s="9">
        <f>AE14*$AI$1</f>
        <v>155.5258026287438</v>
      </c>
      <c r="AO14" s="3">
        <v>226.33330000000001</v>
      </c>
      <c r="AP14" s="3" t="s">
        <v>54</v>
      </c>
      <c r="AQ14" s="3" t="s">
        <v>52</v>
      </c>
      <c r="BH14" t="s">
        <v>52</v>
      </c>
      <c r="BY14" t="s">
        <v>52</v>
      </c>
      <c r="BZ14">
        <v>1.85</v>
      </c>
      <c r="CA14" t="s">
        <v>285</v>
      </c>
      <c r="CB14">
        <v>1.86</v>
      </c>
      <c r="CC14" t="s">
        <v>284</v>
      </c>
      <c r="CD14">
        <v>1.76</v>
      </c>
      <c r="CE14" t="s">
        <v>284</v>
      </c>
      <c r="CF14">
        <v>1.99</v>
      </c>
      <c r="CG14" t="s">
        <v>284</v>
      </c>
      <c r="CH14">
        <v>1.99</v>
      </c>
      <c r="CI14" t="s">
        <v>284</v>
      </c>
      <c r="CN14">
        <v>1.9</v>
      </c>
      <c r="CO14" t="s">
        <v>54</v>
      </c>
      <c r="CP14" t="s">
        <v>52</v>
      </c>
    </row>
    <row r="15" spans="1:94" customFormat="1" ht="15" hidden="1" x14ac:dyDescent="0.25">
      <c r="A15" t="s">
        <v>58</v>
      </c>
      <c r="B15">
        <v>102</v>
      </c>
      <c r="C15" t="s">
        <v>178</v>
      </c>
      <c r="D15" t="s">
        <v>50</v>
      </c>
      <c r="G15" t="s">
        <v>51</v>
      </c>
      <c r="H15">
        <v>1</v>
      </c>
      <c r="I15" t="s">
        <v>53</v>
      </c>
      <c r="J15">
        <v>102</v>
      </c>
      <c r="K15">
        <v>1</v>
      </c>
      <c r="L15" t="s">
        <v>52</v>
      </c>
      <c r="M15">
        <v>0</v>
      </c>
      <c r="N15">
        <v>0.92</v>
      </c>
      <c r="P15">
        <v>131.69999999999999</v>
      </c>
      <c r="Q15">
        <v>228</v>
      </c>
      <c r="R15">
        <f t="shared" si="0"/>
        <v>0.57763157894736838</v>
      </c>
      <c r="S15">
        <v>170</v>
      </c>
      <c r="T15">
        <v>221</v>
      </c>
      <c r="U15">
        <f t="shared" si="1"/>
        <v>0.76923076923076927</v>
      </c>
      <c r="W15">
        <v>236</v>
      </c>
      <c r="X15">
        <f t="shared" si="2"/>
        <v>0</v>
      </c>
      <c r="Z15">
        <v>244</v>
      </c>
      <c r="AA15">
        <f t="shared" si="3"/>
        <v>0</v>
      </c>
      <c r="AC15">
        <v>252</v>
      </c>
      <c r="AD15">
        <f t="shared" si="4"/>
        <v>0</v>
      </c>
      <c r="AQ15" t="s">
        <v>52</v>
      </c>
      <c r="BH15" t="s">
        <v>52</v>
      </c>
      <c r="BY15" t="s">
        <v>52</v>
      </c>
      <c r="CP15" t="s">
        <v>52</v>
      </c>
    </row>
    <row r="16" spans="1:94" x14ac:dyDescent="0.25">
      <c r="A16" s="7" t="s">
        <v>70</v>
      </c>
      <c r="B16">
        <v>296</v>
      </c>
      <c r="C16" s="7" t="s">
        <v>71</v>
      </c>
      <c r="D16" t="s">
        <v>50</v>
      </c>
      <c r="G16" t="s">
        <v>51</v>
      </c>
      <c r="H16">
        <v>1</v>
      </c>
      <c r="I16" s="7" t="s">
        <v>53</v>
      </c>
      <c r="J16" s="7">
        <v>296</v>
      </c>
      <c r="K16" s="7">
        <v>1</v>
      </c>
      <c r="L16" t="s">
        <v>52</v>
      </c>
      <c r="M16">
        <v>0</v>
      </c>
      <c r="N16">
        <v>0.75</v>
      </c>
      <c r="P16" s="7">
        <v>228</v>
      </c>
      <c r="Q16" s="7">
        <v>228</v>
      </c>
      <c r="R16" s="7">
        <f t="shared" si="0"/>
        <v>1</v>
      </c>
      <c r="S16" s="7">
        <v>190</v>
      </c>
      <c r="T16" s="7">
        <v>221</v>
      </c>
      <c r="U16" s="7">
        <f t="shared" si="1"/>
        <v>0.85972850678733037</v>
      </c>
      <c r="V16" s="7">
        <v>194</v>
      </c>
      <c r="W16" s="7">
        <v>236</v>
      </c>
      <c r="X16" s="7">
        <f t="shared" si="2"/>
        <v>0.82203389830508478</v>
      </c>
      <c r="Y16" s="7">
        <v>225</v>
      </c>
      <c r="Z16" s="7">
        <v>244</v>
      </c>
      <c r="AA16" s="7">
        <f t="shared" si="3"/>
        <v>0.92213114754098358</v>
      </c>
      <c r="AB16" s="7">
        <v>247</v>
      </c>
      <c r="AC16" s="7">
        <v>252</v>
      </c>
      <c r="AD16" s="7">
        <f t="shared" si="4"/>
        <v>0.98015873015873012</v>
      </c>
      <c r="AE16" s="7">
        <f>AVERAGE(R16,U16,X16,AA16,AD16)</f>
        <v>0.91681045655842586</v>
      </c>
      <c r="AF16" s="7" t="s">
        <v>308</v>
      </c>
      <c r="AG16" s="9">
        <f>AE16*$AI$1</f>
        <v>151.27372533214026</v>
      </c>
      <c r="AK16" s="3">
        <v>241</v>
      </c>
      <c r="AL16" s="3" t="s">
        <v>285</v>
      </c>
      <c r="AM16" s="3">
        <v>219</v>
      </c>
      <c r="AN16" s="3" t="s">
        <v>285</v>
      </c>
      <c r="AO16" s="3">
        <v>219</v>
      </c>
      <c r="AP16" s="3" t="s">
        <v>286</v>
      </c>
      <c r="AQ16" s="3" t="s">
        <v>287</v>
      </c>
      <c r="BF16">
        <v>263</v>
      </c>
      <c r="BG16" t="s">
        <v>286</v>
      </c>
      <c r="BH16" t="s">
        <v>287</v>
      </c>
      <c r="BY16" t="s">
        <v>52</v>
      </c>
      <c r="CP16" t="s">
        <v>52</v>
      </c>
    </row>
    <row r="17" spans="1:94" customFormat="1" ht="15" hidden="1" x14ac:dyDescent="0.25">
      <c r="A17" t="s">
        <v>58</v>
      </c>
      <c r="B17">
        <v>102</v>
      </c>
      <c r="C17" t="s">
        <v>148</v>
      </c>
      <c r="D17" t="s">
        <v>50</v>
      </c>
      <c r="G17" t="s">
        <v>52</v>
      </c>
      <c r="H17">
        <v>1</v>
      </c>
      <c r="I17" t="s">
        <v>53</v>
      </c>
      <c r="J17">
        <v>102</v>
      </c>
      <c r="K17">
        <v>1</v>
      </c>
      <c r="L17" t="s">
        <v>52</v>
      </c>
      <c r="M17">
        <v>0</v>
      </c>
      <c r="N17">
        <v>0.92</v>
      </c>
      <c r="P17">
        <v>131.69999999999999</v>
      </c>
      <c r="Q17">
        <v>228</v>
      </c>
      <c r="R17">
        <f t="shared" si="0"/>
        <v>0.57763157894736838</v>
      </c>
      <c r="S17">
        <v>170</v>
      </c>
      <c r="T17">
        <v>221</v>
      </c>
      <c r="U17">
        <f t="shared" si="1"/>
        <v>0.76923076923076927</v>
      </c>
      <c r="W17">
        <v>236</v>
      </c>
      <c r="X17">
        <f t="shared" si="2"/>
        <v>0</v>
      </c>
      <c r="Z17">
        <v>244</v>
      </c>
      <c r="AA17">
        <f t="shared" si="3"/>
        <v>0</v>
      </c>
      <c r="AC17">
        <v>252</v>
      </c>
      <c r="AD17">
        <f t="shared" si="4"/>
        <v>0</v>
      </c>
      <c r="AQ17" t="s">
        <v>52</v>
      </c>
      <c r="BH17" t="s">
        <v>52</v>
      </c>
      <c r="BY17" t="s">
        <v>52</v>
      </c>
      <c r="CP17" t="s">
        <v>52</v>
      </c>
    </row>
    <row r="18" spans="1:94" customFormat="1" ht="15" hidden="1" x14ac:dyDescent="0.25">
      <c r="A18" t="s">
        <v>58</v>
      </c>
      <c r="B18">
        <v>102</v>
      </c>
      <c r="C18" t="s">
        <v>200</v>
      </c>
      <c r="D18" t="s">
        <v>50</v>
      </c>
      <c r="G18" t="s">
        <v>51</v>
      </c>
      <c r="H18">
        <v>1</v>
      </c>
      <c r="I18" t="s">
        <v>53</v>
      </c>
      <c r="J18">
        <v>102</v>
      </c>
      <c r="K18">
        <v>1</v>
      </c>
      <c r="L18" t="s">
        <v>52</v>
      </c>
      <c r="M18">
        <v>0</v>
      </c>
      <c r="N18">
        <v>0.92</v>
      </c>
      <c r="P18">
        <v>131.69999999999999</v>
      </c>
      <c r="Q18">
        <v>228</v>
      </c>
      <c r="R18">
        <f t="shared" si="0"/>
        <v>0.57763157894736838</v>
      </c>
      <c r="S18">
        <v>170</v>
      </c>
      <c r="T18">
        <v>221</v>
      </c>
      <c r="U18">
        <f t="shared" si="1"/>
        <v>0.76923076923076927</v>
      </c>
      <c r="V18">
        <v>191</v>
      </c>
      <c r="W18">
        <v>236</v>
      </c>
      <c r="X18">
        <f t="shared" si="2"/>
        <v>0.80932203389830504</v>
      </c>
      <c r="Z18">
        <v>244</v>
      </c>
      <c r="AA18">
        <f t="shared" si="3"/>
        <v>0</v>
      </c>
      <c r="AC18">
        <v>252</v>
      </c>
      <c r="AD18">
        <f t="shared" si="4"/>
        <v>0</v>
      </c>
      <c r="AQ18" t="s">
        <v>52</v>
      </c>
      <c r="BH18" t="s">
        <v>52</v>
      </c>
      <c r="BY18" t="s">
        <v>52</v>
      </c>
      <c r="BZ18">
        <v>1.85</v>
      </c>
      <c r="CA18" t="s">
        <v>284</v>
      </c>
      <c r="CB18">
        <v>1.54</v>
      </c>
      <c r="CC18" t="s">
        <v>284</v>
      </c>
      <c r="CD18">
        <v>1.19</v>
      </c>
      <c r="CE18" t="s">
        <v>285</v>
      </c>
      <c r="CP18" t="s">
        <v>52</v>
      </c>
    </row>
    <row r="19" spans="1:94" customFormat="1" ht="15" hidden="1" x14ac:dyDescent="0.25">
      <c r="A19" t="s">
        <v>58</v>
      </c>
      <c r="B19">
        <v>102</v>
      </c>
      <c r="C19" t="s">
        <v>151</v>
      </c>
      <c r="D19" t="s">
        <v>50</v>
      </c>
      <c r="G19" t="s">
        <v>51</v>
      </c>
      <c r="H19">
        <v>1</v>
      </c>
      <c r="I19" t="s">
        <v>53</v>
      </c>
      <c r="J19">
        <v>102</v>
      </c>
      <c r="K19">
        <v>1</v>
      </c>
      <c r="L19" t="s">
        <v>52</v>
      </c>
      <c r="M19">
        <v>0</v>
      </c>
      <c r="N19">
        <v>0.92</v>
      </c>
      <c r="P19">
        <v>131.69999999999999</v>
      </c>
      <c r="Q19">
        <v>228</v>
      </c>
      <c r="R19">
        <f t="shared" si="0"/>
        <v>0.57763157894736838</v>
      </c>
      <c r="S19">
        <v>170</v>
      </c>
      <c r="T19">
        <v>221</v>
      </c>
      <c r="U19">
        <f t="shared" si="1"/>
        <v>0.76923076923076927</v>
      </c>
      <c r="V19">
        <v>191</v>
      </c>
      <c r="W19">
        <v>236</v>
      </c>
      <c r="X19">
        <f t="shared" si="2"/>
        <v>0.80932203389830504</v>
      </c>
      <c r="Z19">
        <v>244</v>
      </c>
      <c r="AA19">
        <f t="shared" si="3"/>
        <v>0</v>
      </c>
      <c r="AC19">
        <v>252</v>
      </c>
      <c r="AD19">
        <f t="shared" si="4"/>
        <v>0</v>
      </c>
      <c r="AQ19" t="s">
        <v>52</v>
      </c>
      <c r="BH19" t="s">
        <v>52</v>
      </c>
      <c r="BY19" t="s">
        <v>52</v>
      </c>
      <c r="BZ19">
        <v>1.85</v>
      </c>
      <c r="CA19" t="s">
        <v>284</v>
      </c>
      <c r="CB19">
        <v>1.6</v>
      </c>
      <c r="CC19" t="s">
        <v>284</v>
      </c>
      <c r="CD19">
        <v>1.24</v>
      </c>
      <c r="CE19" t="s">
        <v>284</v>
      </c>
      <c r="CP19" t="s">
        <v>52</v>
      </c>
    </row>
    <row r="20" spans="1:94" x14ac:dyDescent="0.25">
      <c r="A20" s="7" t="s">
        <v>68</v>
      </c>
      <c r="B20">
        <v>80</v>
      </c>
      <c r="C20" s="7" t="s">
        <v>105</v>
      </c>
      <c r="D20" t="s">
        <v>50</v>
      </c>
      <c r="G20" t="s">
        <v>51</v>
      </c>
      <c r="H20">
        <v>1</v>
      </c>
      <c r="I20" s="7" t="s">
        <v>53</v>
      </c>
      <c r="J20" s="7">
        <v>80</v>
      </c>
      <c r="K20" s="7">
        <v>1</v>
      </c>
      <c r="L20" t="s">
        <v>52</v>
      </c>
      <c r="M20">
        <v>0.5</v>
      </c>
      <c r="N20">
        <v>0.75</v>
      </c>
      <c r="P20" s="7">
        <v>228</v>
      </c>
      <c r="Q20" s="7">
        <v>228</v>
      </c>
      <c r="R20" s="7">
        <f t="shared" si="0"/>
        <v>1</v>
      </c>
      <c r="S20" s="7">
        <v>221</v>
      </c>
      <c r="T20" s="7">
        <v>221</v>
      </c>
      <c r="U20" s="7">
        <f t="shared" si="1"/>
        <v>1</v>
      </c>
      <c r="V20" s="7">
        <v>212.4</v>
      </c>
      <c r="W20" s="7">
        <v>236</v>
      </c>
      <c r="X20" s="7">
        <f t="shared" si="2"/>
        <v>0.9</v>
      </c>
      <c r="Y20" s="7">
        <v>219.6</v>
      </c>
      <c r="Z20" s="7">
        <v>244</v>
      </c>
      <c r="AA20" s="7">
        <f t="shared" si="3"/>
        <v>0.9</v>
      </c>
      <c r="AB20" s="7">
        <v>178</v>
      </c>
      <c r="AC20" s="7">
        <v>252</v>
      </c>
      <c r="AD20" s="7">
        <f t="shared" si="4"/>
        <v>0.70634920634920639</v>
      </c>
      <c r="AE20" s="7">
        <f>AVERAGE(R20,U20,X20,AA20,AD20)</f>
        <v>0.90126984126984122</v>
      </c>
      <c r="AF20" s="7"/>
      <c r="AG20" s="9">
        <f>AE20*$AI$1</f>
        <v>148.7095238095238</v>
      </c>
      <c r="AO20" s="3">
        <v>217.66669999999999</v>
      </c>
      <c r="AP20" s="3" t="s">
        <v>54</v>
      </c>
      <c r="AQ20" s="3" t="s">
        <v>52</v>
      </c>
      <c r="BH20" t="s">
        <v>52</v>
      </c>
      <c r="BY20" t="s">
        <v>52</v>
      </c>
      <c r="BZ20">
        <v>1.85</v>
      </c>
      <c r="CA20" t="s">
        <v>285</v>
      </c>
      <c r="CB20">
        <v>1.82</v>
      </c>
      <c r="CC20" t="s">
        <v>285</v>
      </c>
      <c r="CD20">
        <v>1.99</v>
      </c>
      <c r="CE20" t="s">
        <v>284</v>
      </c>
      <c r="CF20">
        <v>2.5</v>
      </c>
      <c r="CG20" t="s">
        <v>284</v>
      </c>
      <c r="CH20">
        <v>2.1800000000000002</v>
      </c>
      <c r="CI20" t="s">
        <v>285</v>
      </c>
      <c r="CN20">
        <v>2.0099999999999998</v>
      </c>
      <c r="CO20" t="s">
        <v>54</v>
      </c>
      <c r="CP20" t="s">
        <v>52</v>
      </c>
    </row>
    <row r="21" spans="1:94" customFormat="1" ht="15" hidden="1" x14ac:dyDescent="0.25">
      <c r="A21" t="s">
        <v>58</v>
      </c>
      <c r="B21">
        <v>102</v>
      </c>
      <c r="C21" t="s">
        <v>156</v>
      </c>
      <c r="D21" t="s">
        <v>50</v>
      </c>
      <c r="G21" t="s">
        <v>52</v>
      </c>
      <c r="H21">
        <v>1</v>
      </c>
      <c r="I21" t="s">
        <v>53</v>
      </c>
      <c r="J21">
        <v>102</v>
      </c>
      <c r="K21">
        <v>1</v>
      </c>
      <c r="L21" t="s">
        <v>52</v>
      </c>
      <c r="M21">
        <v>0</v>
      </c>
      <c r="N21">
        <v>0.92</v>
      </c>
      <c r="P21">
        <v>131.69999999999999</v>
      </c>
      <c r="Q21">
        <v>228</v>
      </c>
      <c r="R21">
        <f t="shared" si="0"/>
        <v>0.57763157894736838</v>
      </c>
      <c r="S21">
        <v>170</v>
      </c>
      <c r="T21">
        <v>221</v>
      </c>
      <c r="U21">
        <f t="shared" si="1"/>
        <v>0.76923076923076927</v>
      </c>
      <c r="W21">
        <v>236</v>
      </c>
      <c r="X21">
        <f t="shared" si="2"/>
        <v>0</v>
      </c>
      <c r="Z21">
        <v>244</v>
      </c>
      <c r="AA21">
        <f t="shared" si="3"/>
        <v>0</v>
      </c>
      <c r="AC21">
        <v>252</v>
      </c>
      <c r="AD21">
        <f t="shared" si="4"/>
        <v>0</v>
      </c>
      <c r="AQ21" t="s">
        <v>52</v>
      </c>
      <c r="BH21" t="s">
        <v>52</v>
      </c>
      <c r="BY21" t="s">
        <v>52</v>
      </c>
      <c r="CP21" t="s">
        <v>52</v>
      </c>
    </row>
    <row r="22" spans="1:94" x14ac:dyDescent="0.25">
      <c r="A22" s="7" t="s">
        <v>70</v>
      </c>
      <c r="B22">
        <v>296</v>
      </c>
      <c r="C22" s="7" t="s">
        <v>129</v>
      </c>
      <c r="D22" t="s">
        <v>50</v>
      </c>
      <c r="G22" t="s">
        <v>51</v>
      </c>
      <c r="H22">
        <v>1</v>
      </c>
      <c r="I22" s="7" t="s">
        <v>53</v>
      </c>
      <c r="J22" s="7">
        <v>102</v>
      </c>
      <c r="K22" s="7">
        <v>1</v>
      </c>
      <c r="L22" t="s">
        <v>52</v>
      </c>
      <c r="M22">
        <v>0</v>
      </c>
      <c r="N22">
        <v>0.75</v>
      </c>
      <c r="P22" s="7">
        <v>228</v>
      </c>
      <c r="Q22" s="7">
        <v>228</v>
      </c>
      <c r="R22" s="7">
        <f t="shared" si="0"/>
        <v>1</v>
      </c>
      <c r="S22" s="7">
        <v>190</v>
      </c>
      <c r="T22" s="7">
        <v>221</v>
      </c>
      <c r="U22" s="7">
        <f t="shared" si="1"/>
        <v>0.85972850678733037</v>
      </c>
      <c r="V22" s="7">
        <v>194</v>
      </c>
      <c r="W22" s="7">
        <v>236</v>
      </c>
      <c r="X22" s="7">
        <f t="shared" si="2"/>
        <v>0.82203389830508478</v>
      </c>
      <c r="Y22" s="7">
        <v>213</v>
      </c>
      <c r="Z22" s="7">
        <v>244</v>
      </c>
      <c r="AA22" s="7">
        <f t="shared" si="3"/>
        <v>0.87295081967213117</v>
      </c>
      <c r="AB22" s="7">
        <v>225</v>
      </c>
      <c r="AC22" s="7">
        <v>252</v>
      </c>
      <c r="AD22" s="7">
        <f t="shared" si="4"/>
        <v>0.8928571428571429</v>
      </c>
      <c r="AE22" s="7">
        <f>AVERAGE(R22,U22,X22,AA22,AD22)</f>
        <v>0.88951407352433787</v>
      </c>
      <c r="AF22" s="7"/>
      <c r="AG22" s="9">
        <f>AE22*$AI$1</f>
        <v>146.76982213151575</v>
      </c>
      <c r="AO22" s="3">
        <v>210.66669999999999</v>
      </c>
      <c r="AP22" s="3" t="s">
        <v>54</v>
      </c>
      <c r="AQ22" s="3" t="s">
        <v>52</v>
      </c>
      <c r="BH22" t="s">
        <v>52</v>
      </c>
      <c r="BY22" t="s">
        <v>52</v>
      </c>
      <c r="BZ22">
        <v>1.85</v>
      </c>
      <c r="CA22" t="s">
        <v>284</v>
      </c>
      <c r="CB22">
        <v>1.62</v>
      </c>
      <c r="CC22" t="s">
        <v>284</v>
      </c>
      <c r="CD22">
        <v>0.9</v>
      </c>
      <c r="CE22" t="s">
        <v>285</v>
      </c>
      <c r="CF22">
        <v>1.21</v>
      </c>
      <c r="CG22" t="s">
        <v>285</v>
      </c>
      <c r="CH22">
        <v>1.76</v>
      </c>
      <c r="CI22" t="s">
        <v>289</v>
      </c>
      <c r="CN22">
        <v>1.53</v>
      </c>
      <c r="CO22" t="s">
        <v>54</v>
      </c>
      <c r="CP22" t="s">
        <v>52</v>
      </c>
    </row>
    <row r="23" spans="1:94" customFormat="1" ht="15" hidden="1" x14ac:dyDescent="0.25">
      <c r="A23" t="s">
        <v>58</v>
      </c>
      <c r="B23">
        <v>102</v>
      </c>
      <c r="C23" t="s">
        <v>149</v>
      </c>
      <c r="D23" t="s">
        <v>50</v>
      </c>
      <c r="G23" t="s">
        <v>52</v>
      </c>
      <c r="H23">
        <v>1</v>
      </c>
      <c r="I23" t="s">
        <v>53</v>
      </c>
      <c r="J23">
        <v>102</v>
      </c>
      <c r="K23">
        <v>1</v>
      </c>
      <c r="L23" t="s">
        <v>52</v>
      </c>
      <c r="M23">
        <v>0</v>
      </c>
      <c r="N23">
        <v>0.92</v>
      </c>
      <c r="P23">
        <v>131.69999999999999</v>
      </c>
      <c r="Q23">
        <v>228</v>
      </c>
      <c r="R23">
        <f t="shared" si="0"/>
        <v>0.57763157894736838</v>
      </c>
      <c r="S23">
        <v>170</v>
      </c>
      <c r="T23">
        <v>221</v>
      </c>
      <c r="U23">
        <f t="shared" si="1"/>
        <v>0.76923076923076927</v>
      </c>
      <c r="W23">
        <v>236</v>
      </c>
      <c r="X23">
        <f t="shared" si="2"/>
        <v>0</v>
      </c>
      <c r="Z23">
        <v>244</v>
      </c>
      <c r="AA23">
        <f t="shared" si="3"/>
        <v>0</v>
      </c>
      <c r="AC23">
        <v>252</v>
      </c>
      <c r="AD23">
        <f t="shared" si="4"/>
        <v>0</v>
      </c>
      <c r="AQ23" t="s">
        <v>52</v>
      </c>
      <c r="BH23" t="s">
        <v>52</v>
      </c>
      <c r="BY23" t="s">
        <v>52</v>
      </c>
      <c r="CP23" t="s">
        <v>52</v>
      </c>
    </row>
    <row r="24" spans="1:94" x14ac:dyDescent="0.25">
      <c r="A24" s="7" t="s">
        <v>70</v>
      </c>
      <c r="B24">
        <v>296</v>
      </c>
      <c r="C24" s="7" t="s">
        <v>122</v>
      </c>
      <c r="D24" t="s">
        <v>50</v>
      </c>
      <c r="G24" t="s">
        <v>51</v>
      </c>
      <c r="H24">
        <v>1</v>
      </c>
      <c r="I24" s="7" t="s">
        <v>53</v>
      </c>
      <c r="J24" s="7">
        <v>102</v>
      </c>
      <c r="K24" s="7">
        <v>1</v>
      </c>
      <c r="L24" t="s">
        <v>52</v>
      </c>
      <c r="M24">
        <v>0</v>
      </c>
      <c r="N24">
        <v>0.75</v>
      </c>
      <c r="P24" s="7">
        <v>228</v>
      </c>
      <c r="Q24" s="7">
        <v>228</v>
      </c>
      <c r="R24" s="7">
        <f t="shared" si="0"/>
        <v>1</v>
      </c>
      <c r="S24" s="7">
        <v>190</v>
      </c>
      <c r="T24" s="7">
        <v>221</v>
      </c>
      <c r="U24" s="7">
        <f t="shared" si="1"/>
        <v>0.85972850678733037</v>
      </c>
      <c r="V24" s="7">
        <v>194</v>
      </c>
      <c r="W24" s="7">
        <v>236</v>
      </c>
      <c r="X24" s="7">
        <f t="shared" si="2"/>
        <v>0.82203389830508478</v>
      </c>
      <c r="Y24" s="7">
        <v>213</v>
      </c>
      <c r="Z24" s="7">
        <v>244</v>
      </c>
      <c r="AA24" s="7">
        <f t="shared" si="3"/>
        <v>0.87295081967213117</v>
      </c>
      <c r="AB24" s="7">
        <v>225</v>
      </c>
      <c r="AC24" s="7">
        <v>252</v>
      </c>
      <c r="AD24" s="7">
        <f t="shared" si="4"/>
        <v>0.8928571428571429</v>
      </c>
      <c r="AE24" s="7">
        <f>AVERAGE(R24,U24,X24,AA24,AD24)</f>
        <v>0.88951407352433787</v>
      </c>
      <c r="AF24" s="7"/>
      <c r="AG24" s="9">
        <f>AE24*$AI$1</f>
        <v>146.76982213151575</v>
      </c>
      <c r="AO24" s="3">
        <v>210.66669999999999</v>
      </c>
      <c r="AP24" s="3" t="s">
        <v>54</v>
      </c>
      <c r="AQ24" s="3" t="s">
        <v>52</v>
      </c>
      <c r="BH24" t="s">
        <v>52</v>
      </c>
      <c r="BY24" t="s">
        <v>52</v>
      </c>
      <c r="BZ24">
        <v>1.85</v>
      </c>
      <c r="CA24" t="s">
        <v>284</v>
      </c>
      <c r="CB24">
        <v>2.44</v>
      </c>
      <c r="CC24" t="s">
        <v>285</v>
      </c>
      <c r="CD24">
        <v>2.76</v>
      </c>
      <c r="CE24" t="s">
        <v>285</v>
      </c>
      <c r="CF24">
        <v>2.59</v>
      </c>
      <c r="CG24" t="s">
        <v>285</v>
      </c>
      <c r="CH24">
        <v>2.21</v>
      </c>
      <c r="CI24" t="s">
        <v>288</v>
      </c>
      <c r="CN24">
        <v>2.41</v>
      </c>
      <c r="CO24" t="s">
        <v>54</v>
      </c>
      <c r="CP24" t="s">
        <v>52</v>
      </c>
    </row>
    <row r="25" spans="1:94" customFormat="1" ht="15" hidden="1" x14ac:dyDescent="0.25">
      <c r="A25" t="s">
        <v>58</v>
      </c>
      <c r="B25">
        <v>102</v>
      </c>
      <c r="C25" t="s">
        <v>195</v>
      </c>
      <c r="D25" t="s">
        <v>50</v>
      </c>
      <c r="G25" t="s">
        <v>51</v>
      </c>
      <c r="H25">
        <v>1</v>
      </c>
      <c r="I25" t="s">
        <v>53</v>
      </c>
      <c r="J25">
        <v>102</v>
      </c>
      <c r="K25">
        <v>1</v>
      </c>
      <c r="L25" t="s">
        <v>52</v>
      </c>
      <c r="M25">
        <v>0</v>
      </c>
      <c r="N25">
        <v>0.92</v>
      </c>
      <c r="P25">
        <v>131.69999999999999</v>
      </c>
      <c r="Q25">
        <v>228</v>
      </c>
      <c r="R25">
        <f t="shared" si="0"/>
        <v>0.57763157894736838</v>
      </c>
      <c r="S25">
        <v>170</v>
      </c>
      <c r="T25">
        <v>221</v>
      </c>
      <c r="U25">
        <f t="shared" si="1"/>
        <v>0.76923076923076927</v>
      </c>
      <c r="W25">
        <v>236</v>
      </c>
      <c r="X25">
        <f t="shared" si="2"/>
        <v>0</v>
      </c>
      <c r="Z25">
        <v>244</v>
      </c>
      <c r="AA25">
        <f t="shared" si="3"/>
        <v>0</v>
      </c>
      <c r="AC25">
        <v>252</v>
      </c>
      <c r="AD25">
        <f t="shared" si="4"/>
        <v>0</v>
      </c>
      <c r="AQ25" t="s">
        <v>52</v>
      </c>
      <c r="BH25" t="s">
        <v>52</v>
      </c>
      <c r="BY25" t="s">
        <v>52</v>
      </c>
      <c r="CP25" t="s">
        <v>52</v>
      </c>
    </row>
    <row r="26" spans="1:94" customFormat="1" ht="15" hidden="1" x14ac:dyDescent="0.25">
      <c r="A26" t="s">
        <v>58</v>
      </c>
      <c r="B26">
        <v>102</v>
      </c>
      <c r="C26" t="s">
        <v>184</v>
      </c>
      <c r="D26" t="s">
        <v>50</v>
      </c>
      <c r="G26" t="s">
        <v>52</v>
      </c>
      <c r="H26">
        <v>1</v>
      </c>
      <c r="I26" t="s">
        <v>53</v>
      </c>
      <c r="J26">
        <v>102</v>
      </c>
      <c r="K26">
        <v>1</v>
      </c>
      <c r="L26" t="s">
        <v>52</v>
      </c>
      <c r="M26">
        <v>0</v>
      </c>
      <c r="N26">
        <v>0.92</v>
      </c>
      <c r="P26">
        <v>131.69999999999999</v>
      </c>
      <c r="Q26">
        <v>228</v>
      </c>
      <c r="R26">
        <f t="shared" si="0"/>
        <v>0.57763157894736838</v>
      </c>
      <c r="S26">
        <v>170</v>
      </c>
      <c r="T26">
        <v>221</v>
      </c>
      <c r="U26">
        <f t="shared" si="1"/>
        <v>0.76923076923076927</v>
      </c>
      <c r="W26">
        <v>236</v>
      </c>
      <c r="X26">
        <f t="shared" si="2"/>
        <v>0</v>
      </c>
      <c r="Z26">
        <v>244</v>
      </c>
      <c r="AA26">
        <f t="shared" si="3"/>
        <v>0</v>
      </c>
      <c r="AC26">
        <v>252</v>
      </c>
      <c r="AD26">
        <f t="shared" si="4"/>
        <v>0</v>
      </c>
      <c r="AQ26" t="s">
        <v>52</v>
      </c>
      <c r="BH26" t="s">
        <v>52</v>
      </c>
      <c r="BY26" t="s">
        <v>52</v>
      </c>
      <c r="CP26" t="s">
        <v>52</v>
      </c>
    </row>
    <row r="27" spans="1:94" x14ac:dyDescent="0.25">
      <c r="A27" s="7" t="s">
        <v>70</v>
      </c>
      <c r="B27">
        <v>296</v>
      </c>
      <c r="C27" s="7" t="s">
        <v>89</v>
      </c>
      <c r="D27" t="s">
        <v>50</v>
      </c>
      <c r="G27" t="s">
        <v>51</v>
      </c>
      <c r="H27">
        <v>1</v>
      </c>
      <c r="I27" s="7" t="s">
        <v>53</v>
      </c>
      <c r="J27" s="7">
        <v>102</v>
      </c>
      <c r="K27" s="7">
        <v>1</v>
      </c>
      <c r="L27" t="s">
        <v>52</v>
      </c>
      <c r="M27">
        <v>0.25</v>
      </c>
      <c r="N27">
        <v>0.75</v>
      </c>
      <c r="P27" s="7">
        <v>228</v>
      </c>
      <c r="Q27" s="7">
        <v>228</v>
      </c>
      <c r="R27" s="7">
        <f t="shared" si="0"/>
        <v>1</v>
      </c>
      <c r="S27" s="7">
        <v>168</v>
      </c>
      <c r="T27" s="7">
        <v>221</v>
      </c>
      <c r="U27" s="7">
        <f t="shared" si="1"/>
        <v>0.76018099547511309</v>
      </c>
      <c r="V27" s="7">
        <v>202</v>
      </c>
      <c r="W27" s="7">
        <v>236</v>
      </c>
      <c r="X27" s="7">
        <f t="shared" si="2"/>
        <v>0.85593220338983056</v>
      </c>
      <c r="Y27" s="7">
        <v>206</v>
      </c>
      <c r="Z27" s="7">
        <v>244</v>
      </c>
      <c r="AA27" s="7">
        <f t="shared" si="3"/>
        <v>0.84426229508196726</v>
      </c>
      <c r="AB27" s="7">
        <v>215</v>
      </c>
      <c r="AC27" s="7">
        <v>252</v>
      </c>
      <c r="AD27" s="7">
        <f t="shared" si="4"/>
        <v>0.85317460317460314</v>
      </c>
      <c r="AE27" s="7">
        <f>AVERAGE(R27,U27,X27,AA27,AD27)</f>
        <v>0.8627100194243027</v>
      </c>
      <c r="AF27" s="7"/>
      <c r="AG27" s="9">
        <f>AE27*$AI$1</f>
        <v>142.34715320500993</v>
      </c>
      <c r="AO27" s="3">
        <v>207.66669999999999</v>
      </c>
      <c r="AP27" s="3" t="s">
        <v>54</v>
      </c>
      <c r="AQ27" s="3" t="s">
        <v>52</v>
      </c>
      <c r="BH27" t="s">
        <v>52</v>
      </c>
      <c r="BY27" t="s">
        <v>52</v>
      </c>
      <c r="BZ27">
        <v>1.85</v>
      </c>
      <c r="CA27" t="s">
        <v>284</v>
      </c>
      <c r="CB27">
        <v>1.65</v>
      </c>
      <c r="CC27" t="s">
        <v>284</v>
      </c>
      <c r="CD27">
        <v>0.99</v>
      </c>
      <c r="CE27" t="s">
        <v>284</v>
      </c>
      <c r="CF27">
        <v>1.28</v>
      </c>
      <c r="CG27" t="s">
        <v>284</v>
      </c>
      <c r="CH27">
        <v>1.28</v>
      </c>
      <c r="CI27" t="s">
        <v>284</v>
      </c>
      <c r="CN27">
        <v>1.4</v>
      </c>
      <c r="CO27" t="s">
        <v>54</v>
      </c>
      <c r="CP27" t="s">
        <v>52</v>
      </c>
    </row>
    <row r="28" spans="1:94" x14ac:dyDescent="0.25">
      <c r="A28" s="7" t="s">
        <v>68</v>
      </c>
      <c r="B28">
        <v>80</v>
      </c>
      <c r="C28" s="7" t="s">
        <v>69</v>
      </c>
      <c r="D28" t="s">
        <v>50</v>
      </c>
      <c r="G28" t="s">
        <v>51</v>
      </c>
      <c r="H28">
        <v>1</v>
      </c>
      <c r="I28" s="7" t="s">
        <v>53</v>
      </c>
      <c r="J28" s="7">
        <v>80</v>
      </c>
      <c r="K28" s="7">
        <v>1</v>
      </c>
      <c r="L28" t="s">
        <v>52</v>
      </c>
      <c r="M28">
        <v>0.5</v>
      </c>
      <c r="N28">
        <v>0.75</v>
      </c>
      <c r="P28" s="7">
        <v>202.92</v>
      </c>
      <c r="Q28" s="7">
        <v>228</v>
      </c>
      <c r="R28" s="7">
        <f t="shared" si="0"/>
        <v>0.8899999999999999</v>
      </c>
      <c r="S28" s="7">
        <v>198.9</v>
      </c>
      <c r="T28" s="7">
        <v>221</v>
      </c>
      <c r="U28" s="7">
        <f t="shared" si="1"/>
        <v>0.9</v>
      </c>
      <c r="V28" s="7">
        <v>212.4</v>
      </c>
      <c r="W28" s="7">
        <v>236</v>
      </c>
      <c r="X28" s="7">
        <f t="shared" si="2"/>
        <v>0.9</v>
      </c>
      <c r="Y28" s="7">
        <v>219.6</v>
      </c>
      <c r="Z28" s="7">
        <v>244</v>
      </c>
      <c r="AA28" s="7">
        <f t="shared" si="3"/>
        <v>0.9</v>
      </c>
      <c r="AB28" s="7">
        <v>178</v>
      </c>
      <c r="AC28" s="7">
        <v>252</v>
      </c>
      <c r="AD28" s="7">
        <f t="shared" si="4"/>
        <v>0.70634920634920639</v>
      </c>
      <c r="AE28" s="7">
        <f>AVERAGE(R28,U28,X28,AA28,AD28)</f>
        <v>0.85926984126984129</v>
      </c>
      <c r="AF28" s="7"/>
      <c r="AG28" s="9">
        <f>AE28*$AI$1</f>
        <v>141.77952380952382</v>
      </c>
      <c r="AO28" s="3">
        <v>204.74</v>
      </c>
      <c r="AP28" s="3" t="s">
        <v>54</v>
      </c>
      <c r="AQ28" s="3" t="s">
        <v>52</v>
      </c>
      <c r="BH28" t="s">
        <v>52</v>
      </c>
      <c r="BY28" t="s">
        <v>52</v>
      </c>
      <c r="BZ28">
        <v>1.85</v>
      </c>
      <c r="CA28" t="s">
        <v>284</v>
      </c>
      <c r="CB28">
        <v>1.1399999999999999</v>
      </c>
      <c r="CC28" t="s">
        <v>284</v>
      </c>
      <c r="CD28">
        <v>1.24</v>
      </c>
      <c r="CE28" t="s">
        <v>284</v>
      </c>
      <c r="CF28">
        <v>1.55</v>
      </c>
      <c r="CG28" t="s">
        <v>284</v>
      </c>
      <c r="CH28">
        <v>1.35</v>
      </c>
      <c r="CI28" t="s">
        <v>285</v>
      </c>
      <c r="CN28">
        <v>1.38</v>
      </c>
      <c r="CO28" t="s">
        <v>54</v>
      </c>
      <c r="CP28" t="s">
        <v>52</v>
      </c>
    </row>
    <row r="29" spans="1:94" customFormat="1" ht="15" hidden="1" x14ac:dyDescent="0.25">
      <c r="A29" t="s">
        <v>58</v>
      </c>
      <c r="B29">
        <v>102</v>
      </c>
      <c r="C29" t="s">
        <v>167</v>
      </c>
      <c r="D29" t="s">
        <v>50</v>
      </c>
      <c r="G29" t="s">
        <v>51</v>
      </c>
      <c r="H29">
        <v>1</v>
      </c>
      <c r="I29" t="s">
        <v>53</v>
      </c>
      <c r="J29">
        <v>102</v>
      </c>
      <c r="K29">
        <v>1</v>
      </c>
      <c r="L29" t="s">
        <v>52</v>
      </c>
      <c r="M29">
        <v>0</v>
      </c>
      <c r="N29">
        <v>0.92</v>
      </c>
      <c r="P29">
        <v>131.69999999999999</v>
      </c>
      <c r="Q29">
        <v>228</v>
      </c>
      <c r="R29">
        <f t="shared" si="0"/>
        <v>0.57763157894736838</v>
      </c>
      <c r="S29">
        <v>170</v>
      </c>
      <c r="T29">
        <v>221</v>
      </c>
      <c r="U29">
        <f t="shared" si="1"/>
        <v>0.76923076923076927</v>
      </c>
      <c r="W29">
        <v>236</v>
      </c>
      <c r="X29">
        <f t="shared" si="2"/>
        <v>0</v>
      </c>
      <c r="Z29">
        <v>244</v>
      </c>
      <c r="AA29">
        <f t="shared" si="3"/>
        <v>0</v>
      </c>
      <c r="AC29">
        <v>252</v>
      </c>
      <c r="AD29">
        <f t="shared" si="4"/>
        <v>0</v>
      </c>
      <c r="AQ29" t="s">
        <v>52</v>
      </c>
      <c r="BH29" t="s">
        <v>52</v>
      </c>
      <c r="BY29" t="s">
        <v>52</v>
      </c>
      <c r="CP29" t="s">
        <v>52</v>
      </c>
    </row>
    <row r="30" spans="1:94" x14ac:dyDescent="0.25">
      <c r="A30" s="7" t="s">
        <v>68</v>
      </c>
      <c r="B30">
        <v>80</v>
      </c>
      <c r="C30" s="7" t="s">
        <v>163</v>
      </c>
      <c r="D30" t="s">
        <v>50</v>
      </c>
      <c r="G30" t="s">
        <v>51</v>
      </c>
      <c r="H30">
        <v>1</v>
      </c>
      <c r="I30" s="7" t="s">
        <v>53</v>
      </c>
      <c r="J30" s="7">
        <v>80</v>
      </c>
      <c r="K30" s="7">
        <v>1</v>
      </c>
      <c r="L30" t="s">
        <v>52</v>
      </c>
      <c r="M30">
        <v>0.5</v>
      </c>
      <c r="N30">
        <v>0.75</v>
      </c>
      <c r="P30" s="7">
        <v>202.92</v>
      </c>
      <c r="Q30" s="7">
        <v>228</v>
      </c>
      <c r="R30" s="7">
        <f t="shared" si="0"/>
        <v>0.8899999999999999</v>
      </c>
      <c r="S30" s="7">
        <v>198.9</v>
      </c>
      <c r="T30" s="7">
        <v>221</v>
      </c>
      <c r="U30" s="7">
        <f t="shared" si="1"/>
        <v>0.9</v>
      </c>
      <c r="V30" s="7">
        <v>212.4</v>
      </c>
      <c r="W30" s="7">
        <v>236</v>
      </c>
      <c r="X30" s="7">
        <f t="shared" si="2"/>
        <v>0.9</v>
      </c>
      <c r="Y30" s="7">
        <v>219.6</v>
      </c>
      <c r="Z30" s="7">
        <v>244</v>
      </c>
      <c r="AA30" s="7">
        <f t="shared" si="3"/>
        <v>0.9</v>
      </c>
      <c r="AB30" s="7">
        <v>178</v>
      </c>
      <c r="AC30" s="7">
        <v>252</v>
      </c>
      <c r="AD30" s="7">
        <f t="shared" si="4"/>
        <v>0.70634920634920639</v>
      </c>
      <c r="AE30" s="7">
        <f>AVERAGE(R30,U30,X30,AA30,AD30)</f>
        <v>0.85926984126984129</v>
      </c>
      <c r="AF30" s="7"/>
      <c r="AG30" s="9">
        <f>AE30*$AI$1</f>
        <v>141.77952380952382</v>
      </c>
      <c r="AO30" s="3">
        <v>204.74</v>
      </c>
      <c r="AP30" s="3" t="s">
        <v>54</v>
      </c>
      <c r="AQ30" s="3" t="s">
        <v>52</v>
      </c>
      <c r="BH30" t="s">
        <v>52</v>
      </c>
      <c r="BY30" t="s">
        <v>52</v>
      </c>
      <c r="BZ30">
        <v>1.85</v>
      </c>
      <c r="CA30" t="s">
        <v>285</v>
      </c>
      <c r="CB30">
        <v>1.67</v>
      </c>
      <c r="CC30" t="s">
        <v>284</v>
      </c>
      <c r="CD30">
        <v>1.83</v>
      </c>
      <c r="CE30" t="s">
        <v>284</v>
      </c>
      <c r="CF30">
        <v>3</v>
      </c>
      <c r="CG30" t="s">
        <v>284</v>
      </c>
      <c r="CH30">
        <v>2.61</v>
      </c>
      <c r="CI30" t="s">
        <v>285</v>
      </c>
      <c r="CN30">
        <v>2.1</v>
      </c>
      <c r="CO30" t="s">
        <v>54</v>
      </c>
      <c r="CP30" t="s">
        <v>52</v>
      </c>
    </row>
    <row r="31" spans="1:94" x14ac:dyDescent="0.25">
      <c r="A31" s="7" t="s">
        <v>58</v>
      </c>
      <c r="B31">
        <v>102</v>
      </c>
      <c r="C31" s="7" t="s">
        <v>61</v>
      </c>
      <c r="D31" t="s">
        <v>50</v>
      </c>
      <c r="G31" t="s">
        <v>51</v>
      </c>
      <c r="H31">
        <v>1</v>
      </c>
      <c r="I31" s="7" t="s">
        <v>53</v>
      </c>
      <c r="J31" s="7">
        <v>102</v>
      </c>
      <c r="K31" s="7">
        <v>1</v>
      </c>
      <c r="L31" t="s">
        <v>52</v>
      </c>
      <c r="M31">
        <v>0</v>
      </c>
      <c r="N31">
        <v>0.92</v>
      </c>
      <c r="P31" s="7">
        <v>131.69999999999999</v>
      </c>
      <c r="Q31" s="7">
        <v>228</v>
      </c>
      <c r="R31" s="7">
        <f t="shared" si="0"/>
        <v>0.57763157894736838</v>
      </c>
      <c r="S31" s="7">
        <v>170</v>
      </c>
      <c r="T31" s="7">
        <v>221</v>
      </c>
      <c r="U31" s="7">
        <f t="shared" si="1"/>
        <v>0.76923076923076927</v>
      </c>
      <c r="V31" s="7">
        <v>191</v>
      </c>
      <c r="W31" s="7">
        <v>236</v>
      </c>
      <c r="X31" s="7">
        <f t="shared" si="2"/>
        <v>0.80932203389830504</v>
      </c>
      <c r="Y31" s="7">
        <v>207</v>
      </c>
      <c r="Z31" s="7">
        <v>244</v>
      </c>
      <c r="AA31" s="7">
        <f t="shared" si="3"/>
        <v>0.84836065573770492</v>
      </c>
      <c r="AB31" s="7">
        <v>315</v>
      </c>
      <c r="AC31" s="7">
        <v>252</v>
      </c>
      <c r="AD31" s="7">
        <f t="shared" si="4"/>
        <v>1.25</v>
      </c>
      <c r="AE31" s="7">
        <f>AVERAGE(R31,U31,X31,AA31,AD31)</f>
        <v>0.8509090075628295</v>
      </c>
      <c r="AF31" s="7"/>
      <c r="AG31" s="9">
        <f>AE31*$AI$1</f>
        <v>140.39998624786688</v>
      </c>
      <c r="AO31" s="3">
        <v>189.33330000000001</v>
      </c>
      <c r="AP31" s="3" t="s">
        <v>54</v>
      </c>
      <c r="AQ31" s="3" t="s">
        <v>52</v>
      </c>
      <c r="BH31" t="s">
        <v>52</v>
      </c>
      <c r="BY31" t="s">
        <v>52</v>
      </c>
      <c r="BZ31">
        <v>1.85</v>
      </c>
      <c r="CA31" t="s">
        <v>284</v>
      </c>
      <c r="CB31">
        <v>1.1299999999999999</v>
      </c>
      <c r="CC31" t="s">
        <v>284</v>
      </c>
      <c r="CD31">
        <v>0.88</v>
      </c>
      <c r="CE31" t="s">
        <v>285</v>
      </c>
      <c r="CF31">
        <v>0.62</v>
      </c>
      <c r="CG31" t="s">
        <v>285</v>
      </c>
      <c r="CH31">
        <v>0.53</v>
      </c>
      <c r="CI31" t="s">
        <v>284</v>
      </c>
      <c r="CN31">
        <v>0.88</v>
      </c>
      <c r="CO31" t="s">
        <v>54</v>
      </c>
      <c r="CP31" t="s">
        <v>52</v>
      </c>
    </row>
    <row r="32" spans="1:94" x14ac:dyDescent="0.25">
      <c r="A32" s="7" t="s">
        <v>58</v>
      </c>
      <c r="B32">
        <v>102</v>
      </c>
      <c r="C32" s="7" t="s">
        <v>128</v>
      </c>
      <c r="D32" t="s">
        <v>50</v>
      </c>
      <c r="G32" t="s">
        <v>51</v>
      </c>
      <c r="H32">
        <v>1</v>
      </c>
      <c r="I32" s="7" t="s">
        <v>53</v>
      </c>
      <c r="J32" s="7">
        <v>102</v>
      </c>
      <c r="K32" s="7">
        <v>1</v>
      </c>
      <c r="L32" t="s">
        <v>52</v>
      </c>
      <c r="M32">
        <v>0</v>
      </c>
      <c r="N32">
        <v>0.92</v>
      </c>
      <c r="P32" s="7">
        <v>131.69999999999999</v>
      </c>
      <c r="Q32" s="7">
        <v>228</v>
      </c>
      <c r="R32" s="7">
        <f t="shared" si="0"/>
        <v>0.57763157894736838</v>
      </c>
      <c r="S32" s="7">
        <v>170</v>
      </c>
      <c r="T32" s="7">
        <v>221</v>
      </c>
      <c r="U32" s="7">
        <f t="shared" si="1"/>
        <v>0.76923076923076927</v>
      </c>
      <c r="V32" s="7">
        <v>191</v>
      </c>
      <c r="W32" s="7">
        <v>236</v>
      </c>
      <c r="X32" s="7">
        <f t="shared" si="2"/>
        <v>0.80932203389830504</v>
      </c>
      <c r="Y32" s="7">
        <v>207</v>
      </c>
      <c r="Z32" s="7">
        <v>244</v>
      </c>
      <c r="AA32" s="7">
        <f t="shared" si="3"/>
        <v>0.84836065573770492</v>
      </c>
      <c r="AB32" s="7">
        <v>315</v>
      </c>
      <c r="AC32" s="7">
        <v>252</v>
      </c>
      <c r="AD32" s="7">
        <f t="shared" si="4"/>
        <v>1.25</v>
      </c>
      <c r="AE32" s="7">
        <f>AVERAGE(R32,U32,X32,AA32,AD32)</f>
        <v>0.8509090075628295</v>
      </c>
      <c r="AF32" s="7"/>
      <c r="AG32" s="9">
        <f>AE32*$AI$1</f>
        <v>140.39998624786688</v>
      </c>
      <c r="AO32" s="3">
        <v>189.33330000000001</v>
      </c>
      <c r="AP32" s="3" t="s">
        <v>54</v>
      </c>
      <c r="AQ32" s="3" t="s">
        <v>52</v>
      </c>
      <c r="BH32" t="s">
        <v>52</v>
      </c>
      <c r="BY32" t="s">
        <v>52</v>
      </c>
      <c r="BZ32">
        <v>1.3</v>
      </c>
      <c r="CA32" t="s">
        <v>285</v>
      </c>
      <c r="CB32">
        <v>1.08</v>
      </c>
      <c r="CC32" t="s">
        <v>285</v>
      </c>
      <c r="CD32">
        <v>0.43</v>
      </c>
      <c r="CE32" t="s">
        <v>285</v>
      </c>
      <c r="CF32">
        <v>0.87</v>
      </c>
      <c r="CG32" t="s">
        <v>285</v>
      </c>
      <c r="CH32">
        <v>0.51</v>
      </c>
      <c r="CI32" t="s">
        <v>288</v>
      </c>
      <c r="CN32">
        <v>0.82</v>
      </c>
      <c r="CO32" t="s">
        <v>54</v>
      </c>
      <c r="CP32" t="s">
        <v>52</v>
      </c>
    </row>
    <row r="33" spans="1:94" customFormat="1" ht="15" hidden="1" x14ac:dyDescent="0.25">
      <c r="A33" t="s">
        <v>58</v>
      </c>
      <c r="B33">
        <v>102</v>
      </c>
      <c r="C33" t="s">
        <v>201</v>
      </c>
      <c r="D33" t="s">
        <v>50</v>
      </c>
      <c r="G33" t="s">
        <v>51</v>
      </c>
      <c r="H33">
        <v>1</v>
      </c>
      <c r="I33" t="s">
        <v>53</v>
      </c>
      <c r="J33">
        <v>102</v>
      </c>
      <c r="K33">
        <v>1</v>
      </c>
      <c r="L33" t="s">
        <v>52</v>
      </c>
      <c r="M33">
        <v>0</v>
      </c>
      <c r="N33">
        <v>0.92</v>
      </c>
      <c r="P33">
        <v>131.69999999999999</v>
      </c>
      <c r="Q33">
        <v>228</v>
      </c>
      <c r="R33">
        <f t="shared" si="0"/>
        <v>0.57763157894736838</v>
      </c>
      <c r="S33">
        <v>170</v>
      </c>
      <c r="T33">
        <v>221</v>
      </c>
      <c r="U33">
        <f t="shared" si="1"/>
        <v>0.76923076923076927</v>
      </c>
      <c r="W33">
        <v>236</v>
      </c>
      <c r="X33">
        <f t="shared" si="2"/>
        <v>0</v>
      </c>
      <c r="Z33">
        <v>244</v>
      </c>
      <c r="AA33">
        <f t="shared" si="3"/>
        <v>0</v>
      </c>
      <c r="AC33">
        <v>252</v>
      </c>
      <c r="AD33">
        <f t="shared" si="4"/>
        <v>0</v>
      </c>
      <c r="AQ33" t="s">
        <v>52</v>
      </c>
      <c r="BH33" t="s">
        <v>52</v>
      </c>
      <c r="BY33" t="s">
        <v>52</v>
      </c>
      <c r="CP33" t="s">
        <v>52</v>
      </c>
    </row>
    <row r="34" spans="1:94" x14ac:dyDescent="0.25">
      <c r="A34" s="7" t="s">
        <v>93</v>
      </c>
      <c r="B34">
        <v>94</v>
      </c>
      <c r="C34" s="7"/>
      <c r="D34" t="s">
        <v>50</v>
      </c>
      <c r="G34" t="s">
        <v>51</v>
      </c>
      <c r="H34">
        <v>1</v>
      </c>
      <c r="I34" s="7" t="s">
        <v>53</v>
      </c>
      <c r="J34" s="7">
        <v>94</v>
      </c>
      <c r="K34" s="7">
        <v>2</v>
      </c>
      <c r="L34" t="s">
        <v>52</v>
      </c>
      <c r="M34">
        <v>0.77</v>
      </c>
      <c r="N34">
        <v>0.93</v>
      </c>
      <c r="P34" s="7">
        <v>205</v>
      </c>
      <c r="Q34" s="7">
        <v>228</v>
      </c>
      <c r="R34" s="7">
        <f t="shared" ref="R34:R65" si="5">P34/Q34</f>
        <v>0.89912280701754388</v>
      </c>
      <c r="S34" s="7">
        <v>175</v>
      </c>
      <c r="T34" s="7">
        <v>221</v>
      </c>
      <c r="U34" s="7">
        <f t="shared" si="1"/>
        <v>0.79185520361990946</v>
      </c>
      <c r="V34" s="7">
        <v>188</v>
      </c>
      <c r="W34" s="7">
        <v>236</v>
      </c>
      <c r="X34" s="7">
        <f t="shared" si="2"/>
        <v>0.79661016949152541</v>
      </c>
      <c r="Y34" s="7">
        <v>202.32</v>
      </c>
      <c r="Z34" s="7">
        <v>244</v>
      </c>
      <c r="AA34" s="7">
        <f t="shared" si="3"/>
        <v>0.82918032786885243</v>
      </c>
      <c r="AB34" s="7">
        <v>209.16</v>
      </c>
      <c r="AC34" s="7">
        <v>252</v>
      </c>
      <c r="AD34" s="7">
        <f t="shared" si="4"/>
        <v>0.83</v>
      </c>
      <c r="AE34" s="7">
        <f>AVERAGE(R34,U34,X34,AA34,AD34)</f>
        <v>0.82935370159956623</v>
      </c>
      <c r="AF34" s="7"/>
      <c r="AG34" s="9">
        <f>AE34*$AI$1</f>
        <v>136.84336076392842</v>
      </c>
      <c r="AO34" s="3">
        <v>198.44</v>
      </c>
      <c r="AP34" s="3" t="s">
        <v>54</v>
      </c>
      <c r="AQ34" s="3" t="s">
        <v>52</v>
      </c>
      <c r="BH34" t="s">
        <v>52</v>
      </c>
      <c r="BY34" t="s">
        <v>52</v>
      </c>
      <c r="CP34" t="s">
        <v>52</v>
      </c>
    </row>
    <row r="35" spans="1:94" x14ac:dyDescent="0.25">
      <c r="A35" s="7" t="s">
        <v>58</v>
      </c>
      <c r="B35">
        <v>102</v>
      </c>
      <c r="C35" s="7" t="s">
        <v>136</v>
      </c>
      <c r="D35" t="s">
        <v>50</v>
      </c>
      <c r="G35" t="s">
        <v>51</v>
      </c>
      <c r="H35">
        <v>1</v>
      </c>
      <c r="I35" s="7" t="s">
        <v>53</v>
      </c>
      <c r="J35" s="7">
        <v>102</v>
      </c>
      <c r="K35" s="7">
        <v>1</v>
      </c>
      <c r="L35" t="s">
        <v>52</v>
      </c>
      <c r="M35">
        <v>0</v>
      </c>
      <c r="N35">
        <v>0.92</v>
      </c>
      <c r="P35" s="7">
        <v>131.69999999999999</v>
      </c>
      <c r="Q35" s="7">
        <v>228</v>
      </c>
      <c r="R35" s="7">
        <f t="shared" si="5"/>
        <v>0.57763157894736838</v>
      </c>
      <c r="S35" s="7">
        <v>170</v>
      </c>
      <c r="T35" s="7">
        <v>221</v>
      </c>
      <c r="U35" s="7">
        <f t="shared" si="1"/>
        <v>0.76923076923076927</v>
      </c>
      <c r="V35" s="7">
        <v>191</v>
      </c>
      <c r="W35" s="7">
        <v>236</v>
      </c>
      <c r="X35" s="7">
        <f t="shared" si="2"/>
        <v>0.80932203389830504</v>
      </c>
      <c r="Y35" s="7">
        <v>207</v>
      </c>
      <c r="Z35" s="7">
        <v>244</v>
      </c>
      <c r="AA35" s="7">
        <f t="shared" si="3"/>
        <v>0.84836065573770492</v>
      </c>
      <c r="AB35" s="7">
        <v>275</v>
      </c>
      <c r="AC35" s="7">
        <v>252</v>
      </c>
      <c r="AD35" s="7">
        <f t="shared" si="4"/>
        <v>1.0912698412698412</v>
      </c>
      <c r="AE35" s="7">
        <f>AVERAGE(R35,U35,X35,AA35,AD35)</f>
        <v>0.81916297581679776</v>
      </c>
      <c r="AF35" s="7"/>
      <c r="AG35" s="9">
        <f>AE35*$AI$1</f>
        <v>135.16189100977164</v>
      </c>
      <c r="AO35" s="3">
        <v>189.33330000000001</v>
      </c>
      <c r="AP35" s="3" t="s">
        <v>54</v>
      </c>
      <c r="AQ35" s="3" t="s">
        <v>52</v>
      </c>
      <c r="BH35" t="s">
        <v>52</v>
      </c>
      <c r="BY35" t="s">
        <v>52</v>
      </c>
      <c r="BZ35">
        <v>1.37</v>
      </c>
      <c r="CA35" t="s">
        <v>285</v>
      </c>
      <c r="CB35">
        <v>1.41</v>
      </c>
      <c r="CC35" t="s">
        <v>284</v>
      </c>
      <c r="CD35">
        <v>1.1000000000000001</v>
      </c>
      <c r="CE35" t="s">
        <v>285</v>
      </c>
      <c r="CF35">
        <v>0.76</v>
      </c>
      <c r="CG35" t="s">
        <v>285</v>
      </c>
      <c r="CH35">
        <v>1.1299999999999999</v>
      </c>
      <c r="CI35" t="s">
        <v>284</v>
      </c>
      <c r="CN35">
        <v>1.2</v>
      </c>
      <c r="CO35" t="s">
        <v>54</v>
      </c>
      <c r="CP35" t="s">
        <v>52</v>
      </c>
    </row>
    <row r="36" spans="1:94" x14ac:dyDescent="0.25">
      <c r="A36" s="7" t="s">
        <v>58</v>
      </c>
      <c r="B36">
        <v>102</v>
      </c>
      <c r="C36" s="7" t="s">
        <v>63</v>
      </c>
      <c r="D36" t="s">
        <v>50</v>
      </c>
      <c r="G36" t="s">
        <v>51</v>
      </c>
      <c r="H36">
        <v>1</v>
      </c>
      <c r="I36" s="7" t="s">
        <v>53</v>
      </c>
      <c r="J36" s="7">
        <v>102</v>
      </c>
      <c r="K36" s="7">
        <v>1</v>
      </c>
      <c r="L36" t="s">
        <v>52</v>
      </c>
      <c r="M36">
        <v>0</v>
      </c>
      <c r="N36">
        <v>0.92</v>
      </c>
      <c r="P36" s="7">
        <v>131.69999999999999</v>
      </c>
      <c r="Q36" s="7">
        <v>228</v>
      </c>
      <c r="R36" s="7">
        <f t="shared" si="5"/>
        <v>0.57763157894736838</v>
      </c>
      <c r="S36" s="7">
        <v>170</v>
      </c>
      <c r="T36" s="7">
        <v>221</v>
      </c>
      <c r="U36" s="7">
        <f t="shared" si="1"/>
        <v>0.76923076923076927</v>
      </c>
      <c r="V36" s="7">
        <v>191</v>
      </c>
      <c r="W36" s="7">
        <v>236</v>
      </c>
      <c r="X36" s="7">
        <f t="shared" si="2"/>
        <v>0.80932203389830504</v>
      </c>
      <c r="Y36" s="7">
        <v>207</v>
      </c>
      <c r="Z36" s="7">
        <v>244</v>
      </c>
      <c r="AA36" s="7">
        <f t="shared" si="3"/>
        <v>0.84836065573770492</v>
      </c>
      <c r="AB36" s="7">
        <v>265</v>
      </c>
      <c r="AC36" s="7">
        <v>252</v>
      </c>
      <c r="AD36" s="7">
        <f t="shared" si="4"/>
        <v>1.0515873015873016</v>
      </c>
      <c r="AE36" s="7">
        <f>AVERAGE(R36,U36,X36,AA36,AD36)</f>
        <v>0.81122646788028985</v>
      </c>
      <c r="AF36" s="7"/>
      <c r="AG36" s="9">
        <f>AE36*$AI$1</f>
        <v>133.85236720024781</v>
      </c>
      <c r="AO36" s="3">
        <v>189.33330000000001</v>
      </c>
      <c r="AP36" s="3" t="s">
        <v>54</v>
      </c>
      <c r="AQ36" s="3" t="s">
        <v>52</v>
      </c>
      <c r="BH36" t="s">
        <v>52</v>
      </c>
      <c r="BY36" t="s">
        <v>52</v>
      </c>
      <c r="BZ36">
        <v>2.1</v>
      </c>
      <c r="CA36" t="s">
        <v>285</v>
      </c>
      <c r="CB36">
        <v>1.1399999999999999</v>
      </c>
      <c r="CC36" t="s">
        <v>284</v>
      </c>
      <c r="CD36">
        <v>0.88</v>
      </c>
      <c r="CE36" t="s">
        <v>285</v>
      </c>
      <c r="CF36">
        <v>0.62</v>
      </c>
      <c r="CG36" t="s">
        <v>285</v>
      </c>
      <c r="CH36">
        <v>0.53</v>
      </c>
      <c r="CI36" t="s">
        <v>284</v>
      </c>
      <c r="CN36">
        <v>0.88</v>
      </c>
      <c r="CO36" t="s">
        <v>54</v>
      </c>
      <c r="CP36" t="s">
        <v>52</v>
      </c>
    </row>
    <row r="37" spans="1:94" x14ac:dyDescent="0.25">
      <c r="A37" s="7" t="s">
        <v>70</v>
      </c>
      <c r="B37">
        <v>296</v>
      </c>
      <c r="C37" s="7" t="s">
        <v>92</v>
      </c>
      <c r="D37" t="s">
        <v>50</v>
      </c>
      <c r="G37" t="s">
        <v>51</v>
      </c>
      <c r="H37">
        <v>1</v>
      </c>
      <c r="I37" s="7" t="s">
        <v>53</v>
      </c>
      <c r="J37" s="7">
        <v>102</v>
      </c>
      <c r="K37" s="7">
        <v>1</v>
      </c>
      <c r="L37" t="s">
        <v>52</v>
      </c>
      <c r="M37">
        <v>0.5</v>
      </c>
      <c r="N37">
        <v>0.75</v>
      </c>
      <c r="P37" s="7">
        <v>228</v>
      </c>
      <c r="Q37" s="7">
        <v>228</v>
      </c>
      <c r="R37" s="7">
        <f t="shared" si="5"/>
        <v>1</v>
      </c>
      <c r="S37" s="7">
        <v>189</v>
      </c>
      <c r="T37" s="7">
        <v>221</v>
      </c>
      <c r="U37" s="7">
        <f t="shared" si="1"/>
        <v>0.85520361990950222</v>
      </c>
      <c r="V37" s="7">
        <v>199</v>
      </c>
      <c r="W37" s="7">
        <v>236</v>
      </c>
      <c r="X37" s="7">
        <f t="shared" si="2"/>
        <v>0.84322033898305082</v>
      </c>
      <c r="Y37" s="7">
        <v>206</v>
      </c>
      <c r="Z37" s="7">
        <v>244</v>
      </c>
      <c r="AA37" s="7">
        <f t="shared" si="3"/>
        <v>0.84426229508196726</v>
      </c>
      <c r="AB37" s="7">
        <v>128</v>
      </c>
      <c r="AC37" s="7">
        <v>252</v>
      </c>
      <c r="AD37" s="7">
        <f t="shared" si="4"/>
        <v>0.50793650793650791</v>
      </c>
      <c r="AE37" s="7">
        <f>AVERAGE(R37,U37,X37,AA37,AD37)</f>
        <v>0.8101245523822056</v>
      </c>
      <c r="AF37" s="7"/>
      <c r="AG37" s="9">
        <f>AE37*$AI$1</f>
        <v>133.67055114306393</v>
      </c>
      <c r="AO37" s="3">
        <v>198</v>
      </c>
      <c r="AP37" s="3" t="s">
        <v>54</v>
      </c>
      <c r="AQ37" s="3" t="s">
        <v>52</v>
      </c>
      <c r="BH37" t="s">
        <v>52</v>
      </c>
      <c r="BY37" t="s">
        <v>52</v>
      </c>
      <c r="BZ37">
        <v>1.85</v>
      </c>
      <c r="CA37" t="s">
        <v>284</v>
      </c>
      <c r="CB37">
        <v>2.0699999999999998</v>
      </c>
      <c r="CC37" t="s">
        <v>284</v>
      </c>
      <c r="CD37">
        <v>2.06</v>
      </c>
      <c r="CE37" t="s">
        <v>284</v>
      </c>
      <c r="CF37">
        <v>2.06</v>
      </c>
      <c r="CG37" t="s">
        <v>284</v>
      </c>
      <c r="CH37">
        <v>4.75</v>
      </c>
      <c r="CI37" t="s">
        <v>285</v>
      </c>
      <c r="CN37">
        <v>2.06</v>
      </c>
      <c r="CO37" t="s">
        <v>54</v>
      </c>
      <c r="CP37" t="s">
        <v>52</v>
      </c>
    </row>
    <row r="38" spans="1:94" customFormat="1" ht="15" hidden="1" x14ac:dyDescent="0.25">
      <c r="A38" t="s">
        <v>58</v>
      </c>
      <c r="B38">
        <v>102</v>
      </c>
      <c r="C38" t="s">
        <v>119</v>
      </c>
      <c r="D38" t="s">
        <v>50</v>
      </c>
      <c r="G38" t="s">
        <v>51</v>
      </c>
      <c r="H38">
        <v>1</v>
      </c>
      <c r="I38" t="s">
        <v>53</v>
      </c>
      <c r="J38">
        <v>102</v>
      </c>
      <c r="K38">
        <v>1</v>
      </c>
      <c r="L38" t="s">
        <v>52</v>
      </c>
      <c r="M38">
        <v>0</v>
      </c>
      <c r="N38">
        <v>0.92</v>
      </c>
      <c r="P38">
        <v>131.69999999999999</v>
      </c>
      <c r="Q38">
        <v>228</v>
      </c>
      <c r="R38">
        <f t="shared" si="5"/>
        <v>0.57763157894736838</v>
      </c>
      <c r="S38">
        <v>170</v>
      </c>
      <c r="T38">
        <v>221</v>
      </c>
      <c r="U38">
        <f t="shared" si="1"/>
        <v>0.76923076923076927</v>
      </c>
      <c r="W38">
        <v>236</v>
      </c>
      <c r="X38">
        <f t="shared" si="2"/>
        <v>0</v>
      </c>
      <c r="Z38">
        <v>244</v>
      </c>
      <c r="AA38">
        <f t="shared" si="3"/>
        <v>0</v>
      </c>
      <c r="AC38">
        <v>252</v>
      </c>
      <c r="AD38">
        <f t="shared" si="4"/>
        <v>0</v>
      </c>
      <c r="AQ38" t="s">
        <v>52</v>
      </c>
      <c r="BH38" t="s">
        <v>52</v>
      </c>
      <c r="BY38" t="s">
        <v>52</v>
      </c>
      <c r="CP38" t="s">
        <v>52</v>
      </c>
    </row>
    <row r="39" spans="1:94" x14ac:dyDescent="0.25">
      <c r="A39" s="7" t="s">
        <v>70</v>
      </c>
      <c r="B39">
        <v>296</v>
      </c>
      <c r="C39" s="7" t="s">
        <v>115</v>
      </c>
      <c r="D39" t="s">
        <v>50</v>
      </c>
      <c r="G39" t="s">
        <v>51</v>
      </c>
      <c r="H39">
        <v>1</v>
      </c>
      <c r="I39" s="7" t="s">
        <v>53</v>
      </c>
      <c r="J39" s="7">
        <v>102</v>
      </c>
      <c r="K39" s="7">
        <v>1</v>
      </c>
      <c r="L39" t="s">
        <v>52</v>
      </c>
      <c r="M39">
        <v>0.5</v>
      </c>
      <c r="N39">
        <v>0.75</v>
      </c>
      <c r="P39" s="7">
        <v>228</v>
      </c>
      <c r="Q39" s="7">
        <v>228</v>
      </c>
      <c r="R39" s="7">
        <f t="shared" si="5"/>
        <v>1</v>
      </c>
      <c r="S39" s="7">
        <v>176.5</v>
      </c>
      <c r="T39" s="7">
        <v>221</v>
      </c>
      <c r="U39" s="7">
        <f t="shared" si="1"/>
        <v>0.79864253393665163</v>
      </c>
      <c r="V39" s="7">
        <v>191.5</v>
      </c>
      <c r="W39" s="7">
        <v>236</v>
      </c>
      <c r="X39" s="7">
        <f t="shared" si="2"/>
        <v>0.81144067796610164</v>
      </c>
      <c r="Y39" s="7">
        <v>194</v>
      </c>
      <c r="Z39" s="7">
        <v>244</v>
      </c>
      <c r="AA39" s="7">
        <f t="shared" si="3"/>
        <v>0.79508196721311475</v>
      </c>
      <c r="AB39" s="7">
        <v>145</v>
      </c>
      <c r="AC39" s="7">
        <v>252</v>
      </c>
      <c r="AD39" s="7">
        <f t="shared" si="4"/>
        <v>0.57539682539682535</v>
      </c>
      <c r="AE39" s="7">
        <f>AVERAGE(R39,U39,X39,AA39,AD39)</f>
        <v>0.79611240090253865</v>
      </c>
      <c r="AF39" s="7"/>
      <c r="AG39" s="9">
        <f>AE39*$AI$1</f>
        <v>131.35854614891889</v>
      </c>
      <c r="AO39" s="3">
        <v>187.33330000000001</v>
      </c>
      <c r="AP39" s="3" t="s">
        <v>54</v>
      </c>
      <c r="AQ39" s="3" t="s">
        <v>52</v>
      </c>
      <c r="BH39" t="s">
        <v>52</v>
      </c>
      <c r="BY39" t="s">
        <v>52</v>
      </c>
      <c r="BZ39">
        <v>1.85</v>
      </c>
      <c r="CA39" t="s">
        <v>284</v>
      </c>
      <c r="CB39">
        <v>1.86</v>
      </c>
      <c r="CC39" t="s">
        <v>284</v>
      </c>
      <c r="CD39">
        <v>1.85</v>
      </c>
      <c r="CE39" t="s">
        <v>284</v>
      </c>
      <c r="CF39">
        <v>1.76</v>
      </c>
      <c r="CG39" t="s">
        <v>284</v>
      </c>
      <c r="CH39">
        <v>3.4</v>
      </c>
      <c r="CI39" t="s">
        <v>289</v>
      </c>
      <c r="CN39">
        <v>1.85</v>
      </c>
      <c r="CO39" t="s">
        <v>54</v>
      </c>
      <c r="CP39" t="s">
        <v>52</v>
      </c>
    </row>
    <row r="40" spans="1:94" x14ac:dyDescent="0.25">
      <c r="A40" s="7" t="s">
        <v>58</v>
      </c>
      <c r="B40">
        <v>102</v>
      </c>
      <c r="C40" s="7" t="s">
        <v>59</v>
      </c>
      <c r="D40" t="s">
        <v>50</v>
      </c>
      <c r="G40" t="s">
        <v>51</v>
      </c>
      <c r="H40">
        <v>1</v>
      </c>
      <c r="I40" s="7" t="s">
        <v>53</v>
      </c>
      <c r="J40" s="7">
        <v>102</v>
      </c>
      <c r="K40" s="7">
        <v>1</v>
      </c>
      <c r="L40" t="s">
        <v>52</v>
      </c>
      <c r="M40">
        <v>0</v>
      </c>
      <c r="N40">
        <v>0.92</v>
      </c>
      <c r="P40" s="7">
        <v>131.69999999999999</v>
      </c>
      <c r="Q40" s="7">
        <v>228</v>
      </c>
      <c r="R40" s="7">
        <f t="shared" si="5"/>
        <v>0.57763157894736838</v>
      </c>
      <c r="S40" s="7">
        <v>126.5</v>
      </c>
      <c r="T40" s="7">
        <v>221</v>
      </c>
      <c r="U40" s="7">
        <f t="shared" ref="U40:U71" si="6">S40/T40</f>
        <v>0.57239819004524883</v>
      </c>
      <c r="V40" s="7">
        <v>170</v>
      </c>
      <c r="W40" s="7">
        <v>236</v>
      </c>
      <c r="X40" s="7">
        <f t="shared" ref="X40:X71" si="7">V40/W40</f>
        <v>0.72033898305084743</v>
      </c>
      <c r="Y40" s="7">
        <v>207</v>
      </c>
      <c r="Z40" s="7">
        <v>244</v>
      </c>
      <c r="AA40" s="7">
        <f t="shared" ref="AA40:AA71" si="8">Y40/Z40</f>
        <v>0.84836065573770492</v>
      </c>
      <c r="AB40" s="7">
        <v>315</v>
      </c>
      <c r="AC40" s="7">
        <v>252</v>
      </c>
      <c r="AD40" s="7">
        <f t="shared" ref="AD40:AD71" si="9">AB40/AC40</f>
        <v>1.25</v>
      </c>
      <c r="AE40" s="7">
        <f>AVERAGE(R40,U40,X40,AA40,AD40)</f>
        <v>0.79374588155623393</v>
      </c>
      <c r="AF40" s="7"/>
      <c r="AG40" s="9">
        <f>AE40*$AI$1</f>
        <v>130.96807045677861</v>
      </c>
      <c r="AO40" s="3">
        <v>169.5667</v>
      </c>
      <c r="AP40" s="3" t="s">
        <v>54</v>
      </c>
      <c r="AQ40" s="3" t="s">
        <v>52</v>
      </c>
      <c r="BH40" t="s">
        <v>52</v>
      </c>
      <c r="BY40" t="s">
        <v>52</v>
      </c>
      <c r="CP40" t="s">
        <v>52</v>
      </c>
    </row>
    <row r="41" spans="1:94" customFormat="1" ht="15" hidden="1" x14ac:dyDescent="0.25">
      <c r="A41" t="s">
        <v>68</v>
      </c>
      <c r="B41">
        <v>80</v>
      </c>
      <c r="C41" t="s">
        <v>204</v>
      </c>
      <c r="D41" t="s">
        <v>50</v>
      </c>
      <c r="G41" t="s">
        <v>51</v>
      </c>
      <c r="H41">
        <v>1</v>
      </c>
      <c r="I41" t="s">
        <v>53</v>
      </c>
      <c r="J41">
        <v>80</v>
      </c>
      <c r="K41">
        <v>1</v>
      </c>
      <c r="L41" t="s">
        <v>52</v>
      </c>
      <c r="M41">
        <v>0.5</v>
      </c>
      <c r="N41">
        <v>0.75</v>
      </c>
      <c r="P41">
        <v>202.92</v>
      </c>
      <c r="Q41">
        <v>228</v>
      </c>
      <c r="R41">
        <f t="shared" si="5"/>
        <v>0.8899999999999999</v>
      </c>
      <c r="S41">
        <v>198.9</v>
      </c>
      <c r="T41">
        <v>221</v>
      </c>
      <c r="U41">
        <f t="shared" si="6"/>
        <v>0.9</v>
      </c>
      <c r="W41">
        <v>236</v>
      </c>
      <c r="X41">
        <f t="shared" si="7"/>
        <v>0</v>
      </c>
      <c r="Z41">
        <v>244</v>
      </c>
      <c r="AA41">
        <f t="shared" si="8"/>
        <v>0</v>
      </c>
      <c r="AC41">
        <v>252</v>
      </c>
      <c r="AD41">
        <f t="shared" si="9"/>
        <v>0</v>
      </c>
      <c r="AQ41" t="s">
        <v>52</v>
      </c>
      <c r="BH41" t="s">
        <v>52</v>
      </c>
      <c r="BY41" t="s">
        <v>52</v>
      </c>
      <c r="BZ41">
        <v>1.85</v>
      </c>
      <c r="CA41" t="s">
        <v>285</v>
      </c>
      <c r="CB41">
        <v>1.64</v>
      </c>
      <c r="CC41" t="s">
        <v>284</v>
      </c>
      <c r="CP41" t="s">
        <v>52</v>
      </c>
    </row>
    <row r="42" spans="1:94" x14ac:dyDescent="0.25">
      <c r="A42" s="7" t="s">
        <v>70</v>
      </c>
      <c r="B42">
        <v>296</v>
      </c>
      <c r="C42" s="7" t="s">
        <v>124</v>
      </c>
      <c r="D42" t="s">
        <v>50</v>
      </c>
      <c r="G42" t="s">
        <v>52</v>
      </c>
      <c r="H42">
        <v>1</v>
      </c>
      <c r="I42" s="7" t="s">
        <v>53</v>
      </c>
      <c r="J42" s="7">
        <v>102</v>
      </c>
      <c r="K42" s="7">
        <v>1</v>
      </c>
      <c r="L42" t="s">
        <v>52</v>
      </c>
      <c r="M42">
        <v>0</v>
      </c>
      <c r="N42">
        <v>0.75</v>
      </c>
      <c r="P42" s="7">
        <v>228</v>
      </c>
      <c r="Q42" s="7">
        <v>228</v>
      </c>
      <c r="R42" s="7">
        <f t="shared" si="5"/>
        <v>1</v>
      </c>
      <c r="S42" s="7">
        <v>177</v>
      </c>
      <c r="T42" s="7">
        <v>221</v>
      </c>
      <c r="U42" s="7">
        <f t="shared" si="6"/>
        <v>0.80090497737556565</v>
      </c>
      <c r="V42" s="7">
        <v>147</v>
      </c>
      <c r="W42" s="7">
        <v>236</v>
      </c>
      <c r="X42" s="7">
        <f t="shared" si="7"/>
        <v>0.6228813559322034</v>
      </c>
      <c r="Y42" s="7">
        <v>170</v>
      </c>
      <c r="Z42" s="7">
        <v>244</v>
      </c>
      <c r="AA42" s="7">
        <f t="shared" si="8"/>
        <v>0.69672131147540983</v>
      </c>
      <c r="AB42" s="7">
        <v>205</v>
      </c>
      <c r="AC42" s="7">
        <v>252</v>
      </c>
      <c r="AD42" s="7">
        <f t="shared" si="9"/>
        <v>0.81349206349206349</v>
      </c>
      <c r="AE42" s="7">
        <f t="shared" ref="AE42:AE47" si="10">AVERAGE(R42,U42,X42,AA42,AD42)</f>
        <v>0.78679994165504841</v>
      </c>
      <c r="AF42" s="7"/>
      <c r="AG42" s="9">
        <f t="shared" ref="AG42:AG47" si="11">AE42*$AI$1</f>
        <v>129.821990373083</v>
      </c>
      <c r="AO42" s="3">
        <v>184</v>
      </c>
      <c r="AP42" s="3" t="s">
        <v>54</v>
      </c>
      <c r="AQ42" s="3" t="s">
        <v>52</v>
      </c>
      <c r="BH42" t="s">
        <v>52</v>
      </c>
      <c r="BY42" t="s">
        <v>52</v>
      </c>
      <c r="BZ42">
        <v>0.65</v>
      </c>
      <c r="CA42" t="s">
        <v>285</v>
      </c>
      <c r="CB42">
        <v>0.69</v>
      </c>
      <c r="CC42" t="s">
        <v>285</v>
      </c>
      <c r="CD42">
        <v>0.11</v>
      </c>
      <c r="CE42" t="s">
        <v>285</v>
      </c>
      <c r="CF42">
        <v>0.25</v>
      </c>
      <c r="CG42" t="s">
        <v>285</v>
      </c>
      <c r="CH42">
        <v>0.22</v>
      </c>
      <c r="CI42" t="s">
        <v>289</v>
      </c>
      <c r="CN42">
        <v>0.37</v>
      </c>
      <c r="CO42" t="s">
        <v>54</v>
      </c>
      <c r="CP42" t="s">
        <v>52</v>
      </c>
    </row>
    <row r="43" spans="1:94" x14ac:dyDescent="0.25">
      <c r="A43" s="7" t="s">
        <v>58</v>
      </c>
      <c r="B43">
        <v>102</v>
      </c>
      <c r="C43" s="7" t="s">
        <v>112</v>
      </c>
      <c r="D43" t="s">
        <v>50</v>
      </c>
      <c r="G43" t="s">
        <v>51</v>
      </c>
      <c r="H43">
        <v>1</v>
      </c>
      <c r="I43" s="7" t="s">
        <v>53</v>
      </c>
      <c r="J43" s="7">
        <v>102</v>
      </c>
      <c r="K43" s="7">
        <v>1</v>
      </c>
      <c r="L43" t="s">
        <v>52</v>
      </c>
      <c r="M43">
        <v>0</v>
      </c>
      <c r="N43">
        <v>0.92</v>
      </c>
      <c r="P43" s="7">
        <v>131.69999999999999</v>
      </c>
      <c r="Q43" s="7">
        <v>228</v>
      </c>
      <c r="R43" s="7">
        <f t="shared" si="5"/>
        <v>0.57763157894736838</v>
      </c>
      <c r="S43" s="7">
        <v>170</v>
      </c>
      <c r="T43" s="7">
        <v>221</v>
      </c>
      <c r="U43" s="7">
        <f t="shared" si="6"/>
        <v>0.76923076923076927</v>
      </c>
      <c r="V43" s="7">
        <v>191</v>
      </c>
      <c r="W43" s="7">
        <v>236</v>
      </c>
      <c r="X43" s="7">
        <f t="shared" si="7"/>
        <v>0.80932203389830504</v>
      </c>
      <c r="Y43" s="7">
        <v>207</v>
      </c>
      <c r="Z43" s="7">
        <v>244</v>
      </c>
      <c r="AA43" s="7">
        <f t="shared" si="8"/>
        <v>0.84836065573770492</v>
      </c>
      <c r="AB43" s="7">
        <v>205</v>
      </c>
      <c r="AC43" s="7">
        <v>252</v>
      </c>
      <c r="AD43" s="7">
        <f t="shared" si="9"/>
        <v>0.81349206349206349</v>
      </c>
      <c r="AE43" s="7">
        <f t="shared" si="10"/>
        <v>0.76360742026124218</v>
      </c>
      <c r="AF43" s="7"/>
      <c r="AG43" s="9">
        <f t="shared" si="11"/>
        <v>125.99522434310497</v>
      </c>
      <c r="AO43" s="3">
        <v>188.66669999999999</v>
      </c>
      <c r="AP43" s="3" t="s">
        <v>54</v>
      </c>
      <c r="AQ43" s="3" t="s">
        <v>52</v>
      </c>
      <c r="BH43" t="s">
        <v>52</v>
      </c>
      <c r="BY43" t="s">
        <v>52</v>
      </c>
      <c r="BZ43">
        <v>1.85</v>
      </c>
      <c r="CA43" t="s">
        <v>284</v>
      </c>
      <c r="CB43">
        <v>1.26</v>
      </c>
      <c r="CC43" t="s">
        <v>284</v>
      </c>
      <c r="CD43">
        <v>0.98</v>
      </c>
      <c r="CE43" t="s">
        <v>285</v>
      </c>
      <c r="CF43">
        <v>0.69</v>
      </c>
      <c r="CG43" t="s">
        <v>285</v>
      </c>
      <c r="CH43">
        <v>0.59</v>
      </c>
      <c r="CI43" t="s">
        <v>284</v>
      </c>
      <c r="CN43">
        <v>0.98</v>
      </c>
      <c r="CO43" t="s">
        <v>54</v>
      </c>
      <c r="CP43" t="s">
        <v>52</v>
      </c>
    </row>
    <row r="44" spans="1:94" x14ac:dyDescent="0.25">
      <c r="A44" s="7" t="s">
        <v>58</v>
      </c>
      <c r="B44">
        <v>102</v>
      </c>
      <c r="C44" s="7" t="s">
        <v>104</v>
      </c>
      <c r="D44" t="s">
        <v>50</v>
      </c>
      <c r="G44" t="s">
        <v>51</v>
      </c>
      <c r="H44">
        <v>1</v>
      </c>
      <c r="I44" s="7" t="s">
        <v>53</v>
      </c>
      <c r="J44" s="7">
        <v>102</v>
      </c>
      <c r="K44" s="7">
        <v>1</v>
      </c>
      <c r="L44" t="s">
        <v>52</v>
      </c>
      <c r="M44">
        <v>0</v>
      </c>
      <c r="N44">
        <v>0.92</v>
      </c>
      <c r="P44" s="7">
        <v>131.69999999999999</v>
      </c>
      <c r="Q44" s="7">
        <v>228</v>
      </c>
      <c r="R44" s="7">
        <f t="shared" si="5"/>
        <v>0.57763157894736838</v>
      </c>
      <c r="S44" s="7">
        <v>170</v>
      </c>
      <c r="T44" s="7">
        <v>221</v>
      </c>
      <c r="U44" s="7">
        <f t="shared" si="6"/>
        <v>0.76923076923076927</v>
      </c>
      <c r="V44" s="7">
        <v>191</v>
      </c>
      <c r="W44" s="7">
        <v>236</v>
      </c>
      <c r="X44" s="7">
        <f t="shared" si="7"/>
        <v>0.80932203389830504</v>
      </c>
      <c r="Y44" s="7">
        <v>207</v>
      </c>
      <c r="Z44" s="7">
        <v>244</v>
      </c>
      <c r="AA44" s="7">
        <f t="shared" si="8"/>
        <v>0.84836065573770492</v>
      </c>
      <c r="AB44" s="7">
        <v>205</v>
      </c>
      <c r="AC44" s="7">
        <v>252</v>
      </c>
      <c r="AD44" s="7">
        <f t="shared" si="9"/>
        <v>0.81349206349206349</v>
      </c>
      <c r="AE44" s="7">
        <f t="shared" si="10"/>
        <v>0.76360742026124218</v>
      </c>
      <c r="AF44" s="7"/>
      <c r="AG44" s="9">
        <f t="shared" si="11"/>
        <v>125.99522434310497</v>
      </c>
      <c r="AO44" s="3">
        <v>188.66669999999999</v>
      </c>
      <c r="AP44" s="3" t="s">
        <v>54</v>
      </c>
      <c r="AQ44" s="3" t="s">
        <v>52</v>
      </c>
      <c r="BH44" t="s">
        <v>52</v>
      </c>
      <c r="BY44" t="s">
        <v>52</v>
      </c>
      <c r="BZ44">
        <v>1.85</v>
      </c>
      <c r="CA44" t="s">
        <v>284</v>
      </c>
      <c r="CB44">
        <v>1.27</v>
      </c>
      <c r="CC44" t="s">
        <v>284</v>
      </c>
      <c r="CD44">
        <v>0.98</v>
      </c>
      <c r="CE44" t="s">
        <v>285</v>
      </c>
      <c r="CP44" t="s">
        <v>52</v>
      </c>
    </row>
    <row r="45" spans="1:94" x14ac:dyDescent="0.25">
      <c r="A45" s="7" t="s">
        <v>58</v>
      </c>
      <c r="B45">
        <v>102</v>
      </c>
      <c r="C45" s="7" t="s">
        <v>113</v>
      </c>
      <c r="D45" t="s">
        <v>50</v>
      </c>
      <c r="G45" t="s">
        <v>51</v>
      </c>
      <c r="H45">
        <v>1</v>
      </c>
      <c r="I45" s="7" t="s">
        <v>53</v>
      </c>
      <c r="J45" s="7">
        <v>102</v>
      </c>
      <c r="K45" s="7">
        <v>1</v>
      </c>
      <c r="L45" t="s">
        <v>52</v>
      </c>
      <c r="M45">
        <v>0</v>
      </c>
      <c r="N45">
        <v>0.92</v>
      </c>
      <c r="P45" s="7">
        <v>131.69999999999999</v>
      </c>
      <c r="Q45" s="7">
        <v>228</v>
      </c>
      <c r="R45" s="7">
        <f t="shared" si="5"/>
        <v>0.57763157894736838</v>
      </c>
      <c r="S45" s="7">
        <v>170</v>
      </c>
      <c r="T45" s="7">
        <v>221</v>
      </c>
      <c r="U45" s="7">
        <f t="shared" si="6"/>
        <v>0.76923076923076927</v>
      </c>
      <c r="V45" s="7">
        <v>191</v>
      </c>
      <c r="W45" s="7">
        <v>236</v>
      </c>
      <c r="X45" s="7">
        <f t="shared" si="7"/>
        <v>0.80932203389830504</v>
      </c>
      <c r="Y45" s="7">
        <v>207</v>
      </c>
      <c r="Z45" s="7">
        <v>244</v>
      </c>
      <c r="AA45" s="7">
        <f t="shared" si="8"/>
        <v>0.84836065573770492</v>
      </c>
      <c r="AB45" s="7">
        <v>205</v>
      </c>
      <c r="AC45" s="7">
        <v>252</v>
      </c>
      <c r="AD45" s="7">
        <f t="shared" si="9"/>
        <v>0.81349206349206349</v>
      </c>
      <c r="AE45" s="7">
        <f t="shared" si="10"/>
        <v>0.76360742026124218</v>
      </c>
      <c r="AF45" s="7"/>
      <c r="AG45" s="9">
        <f t="shared" si="11"/>
        <v>125.99522434310497</v>
      </c>
      <c r="AO45" s="3">
        <v>188.66669999999999</v>
      </c>
      <c r="AP45" s="3" t="s">
        <v>54</v>
      </c>
      <c r="AQ45" s="3" t="s">
        <v>52</v>
      </c>
      <c r="BH45" t="s">
        <v>52</v>
      </c>
      <c r="BY45" t="s">
        <v>52</v>
      </c>
      <c r="BZ45">
        <v>1.85</v>
      </c>
      <c r="CA45" t="s">
        <v>284</v>
      </c>
      <c r="CB45">
        <v>1.83</v>
      </c>
      <c r="CC45" t="s">
        <v>284</v>
      </c>
      <c r="CD45">
        <v>1.42</v>
      </c>
      <c r="CE45" t="s">
        <v>285</v>
      </c>
      <c r="CF45">
        <v>0.98</v>
      </c>
      <c r="CG45" t="s">
        <v>285</v>
      </c>
      <c r="CH45">
        <v>0.84</v>
      </c>
      <c r="CI45" t="s">
        <v>284</v>
      </c>
      <c r="CN45">
        <v>1.41</v>
      </c>
      <c r="CO45" t="s">
        <v>54</v>
      </c>
      <c r="CP45" t="s">
        <v>52</v>
      </c>
    </row>
    <row r="46" spans="1:94" x14ac:dyDescent="0.25">
      <c r="A46" s="7" t="s">
        <v>58</v>
      </c>
      <c r="B46">
        <v>102</v>
      </c>
      <c r="C46" s="7" t="s">
        <v>62</v>
      </c>
      <c r="D46" t="s">
        <v>50</v>
      </c>
      <c r="G46" t="s">
        <v>51</v>
      </c>
      <c r="H46">
        <v>1</v>
      </c>
      <c r="I46" s="7" t="s">
        <v>53</v>
      </c>
      <c r="J46" s="7">
        <v>102</v>
      </c>
      <c r="K46" s="7">
        <v>1</v>
      </c>
      <c r="L46" t="s">
        <v>52</v>
      </c>
      <c r="M46">
        <v>0</v>
      </c>
      <c r="N46">
        <v>0.92</v>
      </c>
      <c r="P46" s="7">
        <v>131.69999999999999</v>
      </c>
      <c r="Q46" s="7">
        <v>228</v>
      </c>
      <c r="R46" s="7">
        <f t="shared" si="5"/>
        <v>0.57763157894736838</v>
      </c>
      <c r="S46" s="7">
        <v>170</v>
      </c>
      <c r="T46" s="7">
        <v>221</v>
      </c>
      <c r="U46" s="7">
        <f t="shared" si="6"/>
        <v>0.76923076923076927</v>
      </c>
      <c r="V46" s="7">
        <v>191</v>
      </c>
      <c r="W46" s="7">
        <v>236</v>
      </c>
      <c r="X46" s="7">
        <f t="shared" si="7"/>
        <v>0.80932203389830504</v>
      </c>
      <c r="Y46" s="7">
        <v>207</v>
      </c>
      <c r="Z46" s="7">
        <v>244</v>
      </c>
      <c r="AA46" s="7">
        <f t="shared" si="8"/>
        <v>0.84836065573770492</v>
      </c>
      <c r="AB46" s="7">
        <v>205</v>
      </c>
      <c r="AC46" s="7">
        <v>252</v>
      </c>
      <c r="AD46" s="7">
        <f t="shared" si="9"/>
        <v>0.81349206349206349</v>
      </c>
      <c r="AE46" s="7">
        <f t="shared" si="10"/>
        <v>0.76360742026124218</v>
      </c>
      <c r="AF46" s="7"/>
      <c r="AG46" s="9">
        <f t="shared" si="11"/>
        <v>125.99522434310497</v>
      </c>
      <c r="AO46" s="3">
        <v>188.66669999999999</v>
      </c>
      <c r="AP46" s="3" t="s">
        <v>54</v>
      </c>
      <c r="AQ46" s="3" t="s">
        <v>52</v>
      </c>
      <c r="BF46">
        <v>271.60000000000002</v>
      </c>
      <c r="BG46" t="s">
        <v>285</v>
      </c>
      <c r="BH46" t="s">
        <v>287</v>
      </c>
      <c r="BY46" t="s">
        <v>52</v>
      </c>
      <c r="BZ46">
        <v>1.85</v>
      </c>
      <c r="CA46" t="s">
        <v>284</v>
      </c>
      <c r="CB46">
        <v>1.1399999999999999</v>
      </c>
      <c r="CC46" t="s">
        <v>284</v>
      </c>
      <c r="CD46">
        <v>0.53</v>
      </c>
      <c r="CE46" t="s">
        <v>285</v>
      </c>
      <c r="CF46">
        <v>0.47</v>
      </c>
      <c r="CG46" t="s">
        <v>285</v>
      </c>
      <c r="CH46">
        <v>0.4</v>
      </c>
      <c r="CI46" t="s">
        <v>284</v>
      </c>
      <c r="CN46">
        <v>0.71</v>
      </c>
      <c r="CO46" t="s">
        <v>54</v>
      </c>
      <c r="CP46" t="s">
        <v>52</v>
      </c>
    </row>
    <row r="47" spans="1:94" x14ac:dyDescent="0.25">
      <c r="A47" s="7" t="s">
        <v>58</v>
      </c>
      <c r="B47">
        <v>102</v>
      </c>
      <c r="C47" s="7" t="s">
        <v>64</v>
      </c>
      <c r="D47" t="s">
        <v>50</v>
      </c>
      <c r="G47" t="s">
        <v>52</v>
      </c>
      <c r="H47">
        <v>1</v>
      </c>
      <c r="I47" s="7" t="s">
        <v>53</v>
      </c>
      <c r="J47" s="7">
        <v>102</v>
      </c>
      <c r="K47" s="7">
        <v>1</v>
      </c>
      <c r="L47" t="s">
        <v>52</v>
      </c>
      <c r="M47">
        <v>0</v>
      </c>
      <c r="N47">
        <v>0.92</v>
      </c>
      <c r="P47" s="7">
        <v>131.69999999999999</v>
      </c>
      <c r="Q47" s="7">
        <v>228</v>
      </c>
      <c r="R47" s="7">
        <f t="shared" si="5"/>
        <v>0.57763157894736838</v>
      </c>
      <c r="S47" s="7">
        <v>170</v>
      </c>
      <c r="T47" s="7">
        <v>221</v>
      </c>
      <c r="U47" s="7">
        <f t="shared" si="6"/>
        <v>0.76923076923076927</v>
      </c>
      <c r="V47" s="7">
        <v>191</v>
      </c>
      <c r="W47" s="7">
        <v>236</v>
      </c>
      <c r="X47" s="7">
        <f t="shared" si="7"/>
        <v>0.80932203389830504</v>
      </c>
      <c r="Y47" s="7">
        <v>207</v>
      </c>
      <c r="Z47" s="7">
        <v>244</v>
      </c>
      <c r="AA47" s="7">
        <f t="shared" si="8"/>
        <v>0.84836065573770492</v>
      </c>
      <c r="AB47" s="7">
        <v>205</v>
      </c>
      <c r="AC47" s="7">
        <v>252</v>
      </c>
      <c r="AD47" s="7">
        <f t="shared" si="9"/>
        <v>0.81349206349206349</v>
      </c>
      <c r="AE47" s="7">
        <f t="shared" si="10"/>
        <v>0.76360742026124218</v>
      </c>
      <c r="AF47" s="7"/>
      <c r="AG47" s="9">
        <f t="shared" si="11"/>
        <v>125.99522434310497</v>
      </c>
      <c r="AO47" s="3">
        <v>188.66669999999999</v>
      </c>
      <c r="AP47" s="3" t="s">
        <v>54</v>
      </c>
      <c r="AQ47" s="3" t="s">
        <v>52</v>
      </c>
      <c r="BH47" t="s">
        <v>52</v>
      </c>
      <c r="BY47" t="s">
        <v>52</v>
      </c>
      <c r="BZ47">
        <v>0.93</v>
      </c>
      <c r="CA47" t="s">
        <v>285</v>
      </c>
      <c r="CB47">
        <v>0.59</v>
      </c>
      <c r="CC47" t="s">
        <v>284</v>
      </c>
      <c r="CD47">
        <v>0.17</v>
      </c>
      <c r="CE47" t="s">
        <v>285</v>
      </c>
      <c r="CF47">
        <v>0.32</v>
      </c>
      <c r="CG47" t="s">
        <v>285</v>
      </c>
      <c r="CH47">
        <v>0.28000000000000003</v>
      </c>
      <c r="CI47" t="s">
        <v>284</v>
      </c>
      <c r="CN47">
        <v>0.4</v>
      </c>
      <c r="CO47" t="s">
        <v>54</v>
      </c>
      <c r="CP47" t="s">
        <v>52</v>
      </c>
    </row>
    <row r="48" spans="1:94" customFormat="1" ht="15" hidden="1" x14ac:dyDescent="0.25">
      <c r="A48" t="s">
        <v>70</v>
      </c>
      <c r="B48">
        <v>296</v>
      </c>
      <c r="C48" t="s">
        <v>209</v>
      </c>
      <c r="D48" t="s">
        <v>50</v>
      </c>
      <c r="G48" t="s">
        <v>51</v>
      </c>
      <c r="H48">
        <v>1</v>
      </c>
      <c r="I48" t="s">
        <v>53</v>
      </c>
      <c r="J48">
        <v>102</v>
      </c>
      <c r="K48">
        <v>1</v>
      </c>
      <c r="L48" t="s">
        <v>52</v>
      </c>
      <c r="M48">
        <v>0.5</v>
      </c>
      <c r="N48">
        <v>0.75</v>
      </c>
      <c r="P48">
        <v>228</v>
      </c>
      <c r="Q48">
        <v>228</v>
      </c>
      <c r="R48">
        <f t="shared" si="5"/>
        <v>1</v>
      </c>
      <c r="T48">
        <v>221</v>
      </c>
      <c r="U48">
        <f t="shared" si="6"/>
        <v>0</v>
      </c>
      <c r="W48">
        <v>236</v>
      </c>
      <c r="X48">
        <f t="shared" si="7"/>
        <v>0</v>
      </c>
      <c r="Z48">
        <v>244</v>
      </c>
      <c r="AA48">
        <f t="shared" si="8"/>
        <v>0</v>
      </c>
      <c r="AC48">
        <v>252</v>
      </c>
      <c r="AD48">
        <f t="shared" si="9"/>
        <v>0</v>
      </c>
      <c r="AQ48" t="s">
        <v>52</v>
      </c>
      <c r="BH48" t="s">
        <v>52</v>
      </c>
      <c r="BY48" t="s">
        <v>52</v>
      </c>
      <c r="BZ48">
        <v>1.85</v>
      </c>
      <c r="CA48" t="s">
        <v>284</v>
      </c>
      <c r="CP48" t="s">
        <v>52</v>
      </c>
    </row>
    <row r="49" spans="1:94" x14ac:dyDescent="0.25">
      <c r="A49" s="7" t="s">
        <v>58</v>
      </c>
      <c r="B49">
        <v>102</v>
      </c>
      <c r="C49" s="7" t="s">
        <v>180</v>
      </c>
      <c r="D49" t="s">
        <v>50</v>
      </c>
      <c r="G49" t="s">
        <v>51</v>
      </c>
      <c r="H49">
        <v>1</v>
      </c>
      <c r="I49" s="7" t="s">
        <v>53</v>
      </c>
      <c r="J49" s="7">
        <v>102</v>
      </c>
      <c r="K49" s="7">
        <v>1</v>
      </c>
      <c r="L49" t="s">
        <v>52</v>
      </c>
      <c r="M49">
        <v>0</v>
      </c>
      <c r="N49">
        <v>0.92</v>
      </c>
      <c r="P49" s="7">
        <v>131.69999999999999</v>
      </c>
      <c r="Q49" s="7">
        <v>228</v>
      </c>
      <c r="R49" s="7">
        <f t="shared" si="5"/>
        <v>0.57763157894736838</v>
      </c>
      <c r="S49" s="7">
        <v>170</v>
      </c>
      <c r="T49" s="7">
        <v>221</v>
      </c>
      <c r="U49" s="7">
        <f t="shared" si="6"/>
        <v>0.76923076923076927</v>
      </c>
      <c r="V49" s="7">
        <v>191</v>
      </c>
      <c r="W49" s="7">
        <v>236</v>
      </c>
      <c r="X49" s="7">
        <f t="shared" si="7"/>
        <v>0.80932203389830504</v>
      </c>
      <c r="Y49" s="7">
        <v>207</v>
      </c>
      <c r="Z49" s="7">
        <v>244</v>
      </c>
      <c r="AA49" s="7">
        <f t="shared" si="8"/>
        <v>0.84836065573770492</v>
      </c>
      <c r="AB49" s="7">
        <v>205</v>
      </c>
      <c r="AC49" s="7">
        <v>252</v>
      </c>
      <c r="AD49" s="7">
        <f t="shared" si="9"/>
        <v>0.81349206349206349</v>
      </c>
      <c r="AE49" s="7">
        <f t="shared" ref="AE49:AE57" si="12">AVERAGE(R49,U49,X49,AA49,AD49)</f>
        <v>0.76360742026124218</v>
      </c>
      <c r="AF49" s="7"/>
      <c r="AG49" s="9">
        <f t="shared" ref="AG49:AG57" si="13">AE49*$AI$1</f>
        <v>125.99522434310497</v>
      </c>
      <c r="AO49" s="3">
        <v>188.66669999999999</v>
      </c>
      <c r="AP49" s="3" t="s">
        <v>54</v>
      </c>
      <c r="AQ49" s="3" t="s">
        <v>52</v>
      </c>
      <c r="BH49" t="s">
        <v>52</v>
      </c>
      <c r="BY49" t="s">
        <v>52</v>
      </c>
      <c r="BZ49">
        <v>1.85</v>
      </c>
      <c r="CA49" t="s">
        <v>284</v>
      </c>
      <c r="CB49">
        <v>1.95</v>
      </c>
      <c r="CC49" t="s">
        <v>284</v>
      </c>
      <c r="CD49">
        <v>1.52</v>
      </c>
      <c r="CE49" t="s">
        <v>285</v>
      </c>
      <c r="CP49" t="s">
        <v>52</v>
      </c>
    </row>
    <row r="50" spans="1:94" x14ac:dyDescent="0.25">
      <c r="A50" s="7" t="s">
        <v>58</v>
      </c>
      <c r="B50">
        <v>102</v>
      </c>
      <c r="C50" s="7" t="s">
        <v>127</v>
      </c>
      <c r="D50" t="s">
        <v>50</v>
      </c>
      <c r="G50" t="s">
        <v>51</v>
      </c>
      <c r="H50">
        <v>1</v>
      </c>
      <c r="I50" s="7" t="s">
        <v>53</v>
      </c>
      <c r="J50" s="7">
        <v>102</v>
      </c>
      <c r="K50" s="7">
        <v>1</v>
      </c>
      <c r="L50" t="s">
        <v>52</v>
      </c>
      <c r="M50">
        <v>0</v>
      </c>
      <c r="N50">
        <v>0.92</v>
      </c>
      <c r="P50" s="7">
        <v>131.69999999999999</v>
      </c>
      <c r="Q50" s="7">
        <v>228</v>
      </c>
      <c r="R50" s="7">
        <f t="shared" si="5"/>
        <v>0.57763157894736838</v>
      </c>
      <c r="S50" s="7">
        <v>170</v>
      </c>
      <c r="T50" s="7">
        <v>221</v>
      </c>
      <c r="U50" s="7">
        <f t="shared" si="6"/>
        <v>0.76923076923076927</v>
      </c>
      <c r="V50" s="7">
        <v>191</v>
      </c>
      <c r="W50" s="7">
        <v>236</v>
      </c>
      <c r="X50" s="7">
        <f t="shared" si="7"/>
        <v>0.80932203389830504</v>
      </c>
      <c r="Y50" s="7">
        <v>207</v>
      </c>
      <c r="Z50" s="7">
        <v>244</v>
      </c>
      <c r="AA50" s="7">
        <f t="shared" si="8"/>
        <v>0.84836065573770492</v>
      </c>
      <c r="AB50" s="7">
        <v>205</v>
      </c>
      <c r="AC50" s="7">
        <v>252</v>
      </c>
      <c r="AD50" s="7">
        <f t="shared" si="9"/>
        <v>0.81349206349206349</v>
      </c>
      <c r="AE50" s="7">
        <f t="shared" si="12"/>
        <v>0.76360742026124218</v>
      </c>
      <c r="AF50" s="7"/>
      <c r="AG50" s="9">
        <f t="shared" si="13"/>
        <v>125.99522434310497</v>
      </c>
      <c r="AO50" s="3">
        <v>188.66669999999999</v>
      </c>
      <c r="AP50" s="3" t="s">
        <v>54</v>
      </c>
      <c r="AQ50" s="3" t="s">
        <v>52</v>
      </c>
      <c r="BH50" t="s">
        <v>52</v>
      </c>
      <c r="BY50" t="s">
        <v>52</v>
      </c>
      <c r="BZ50">
        <v>1.85</v>
      </c>
      <c r="CA50" t="s">
        <v>284</v>
      </c>
      <c r="CB50">
        <v>1.62</v>
      </c>
      <c r="CC50" t="s">
        <v>284</v>
      </c>
      <c r="CD50">
        <v>1.26</v>
      </c>
      <c r="CE50" t="s">
        <v>284</v>
      </c>
      <c r="CF50">
        <v>0.87</v>
      </c>
      <c r="CG50" t="s">
        <v>284</v>
      </c>
      <c r="CH50">
        <v>0.75</v>
      </c>
      <c r="CI50" t="s">
        <v>284</v>
      </c>
      <c r="CN50">
        <v>1.25</v>
      </c>
      <c r="CO50" t="s">
        <v>54</v>
      </c>
      <c r="CP50" t="s">
        <v>52</v>
      </c>
    </row>
    <row r="51" spans="1:94" x14ac:dyDescent="0.25">
      <c r="A51" s="7" t="s">
        <v>58</v>
      </c>
      <c r="B51">
        <v>102</v>
      </c>
      <c r="C51" s="7" t="s">
        <v>66</v>
      </c>
      <c r="D51" t="s">
        <v>50</v>
      </c>
      <c r="G51" t="s">
        <v>51</v>
      </c>
      <c r="H51">
        <v>1</v>
      </c>
      <c r="I51" s="7" t="s">
        <v>53</v>
      </c>
      <c r="J51" s="7">
        <v>102</v>
      </c>
      <c r="K51" s="7">
        <v>1</v>
      </c>
      <c r="L51" t="s">
        <v>52</v>
      </c>
      <c r="M51">
        <v>0</v>
      </c>
      <c r="N51">
        <v>0.92</v>
      </c>
      <c r="P51" s="7">
        <v>131.69999999999999</v>
      </c>
      <c r="Q51" s="7">
        <v>228</v>
      </c>
      <c r="R51" s="7">
        <f t="shared" si="5"/>
        <v>0.57763157894736838</v>
      </c>
      <c r="S51" s="7">
        <v>170</v>
      </c>
      <c r="T51" s="7">
        <v>221</v>
      </c>
      <c r="U51" s="7">
        <f t="shared" si="6"/>
        <v>0.76923076923076927</v>
      </c>
      <c r="V51" s="7">
        <v>191</v>
      </c>
      <c r="W51" s="7">
        <v>236</v>
      </c>
      <c r="X51" s="7">
        <f t="shared" si="7"/>
        <v>0.80932203389830504</v>
      </c>
      <c r="Y51" s="7">
        <v>207</v>
      </c>
      <c r="Z51" s="7">
        <v>244</v>
      </c>
      <c r="AA51" s="7">
        <f t="shared" si="8"/>
        <v>0.84836065573770492</v>
      </c>
      <c r="AB51" s="7">
        <v>205</v>
      </c>
      <c r="AC51" s="7">
        <v>252</v>
      </c>
      <c r="AD51" s="7">
        <f t="shared" si="9"/>
        <v>0.81349206349206349</v>
      </c>
      <c r="AE51" s="7">
        <f t="shared" si="12"/>
        <v>0.76360742026124218</v>
      </c>
      <c r="AF51" s="7"/>
      <c r="AG51" s="9">
        <f t="shared" si="13"/>
        <v>125.99522434310497</v>
      </c>
      <c r="AO51" s="3">
        <v>188.66669999999999</v>
      </c>
      <c r="AP51" s="3" t="s">
        <v>54</v>
      </c>
      <c r="AQ51" s="3" t="s">
        <v>52</v>
      </c>
      <c r="BH51" t="s">
        <v>52</v>
      </c>
      <c r="BY51" t="s">
        <v>52</v>
      </c>
      <c r="BZ51">
        <v>1.32</v>
      </c>
      <c r="CA51" t="s">
        <v>285</v>
      </c>
      <c r="CB51">
        <v>1.1399999999999999</v>
      </c>
      <c r="CC51" t="s">
        <v>284</v>
      </c>
      <c r="CD51">
        <v>0.88</v>
      </c>
      <c r="CE51" t="s">
        <v>285</v>
      </c>
      <c r="CF51">
        <v>0.62</v>
      </c>
      <c r="CG51" t="s">
        <v>285</v>
      </c>
      <c r="CH51">
        <v>0.62</v>
      </c>
      <c r="CI51" t="s">
        <v>285</v>
      </c>
      <c r="CN51">
        <v>0.88</v>
      </c>
      <c r="CO51" t="s">
        <v>54</v>
      </c>
      <c r="CP51" t="s">
        <v>52</v>
      </c>
    </row>
    <row r="52" spans="1:94" x14ac:dyDescent="0.25">
      <c r="A52" s="7" t="s">
        <v>58</v>
      </c>
      <c r="B52">
        <v>102</v>
      </c>
      <c r="C52" s="7" t="s">
        <v>118</v>
      </c>
      <c r="D52" t="s">
        <v>50</v>
      </c>
      <c r="G52" t="s">
        <v>51</v>
      </c>
      <c r="H52">
        <v>1</v>
      </c>
      <c r="I52" s="7" t="s">
        <v>53</v>
      </c>
      <c r="J52" s="7">
        <v>102</v>
      </c>
      <c r="K52" s="7">
        <v>1</v>
      </c>
      <c r="L52" t="s">
        <v>52</v>
      </c>
      <c r="M52">
        <v>0</v>
      </c>
      <c r="N52">
        <v>0.92</v>
      </c>
      <c r="P52" s="7">
        <v>131.69999999999999</v>
      </c>
      <c r="Q52" s="7">
        <v>228</v>
      </c>
      <c r="R52" s="7">
        <f t="shared" si="5"/>
        <v>0.57763157894736838</v>
      </c>
      <c r="S52" s="7">
        <v>170</v>
      </c>
      <c r="T52" s="7">
        <v>221</v>
      </c>
      <c r="U52" s="7">
        <f t="shared" si="6"/>
        <v>0.76923076923076927</v>
      </c>
      <c r="V52" s="7">
        <v>191</v>
      </c>
      <c r="W52" s="7">
        <v>236</v>
      </c>
      <c r="X52" s="7">
        <f t="shared" si="7"/>
        <v>0.80932203389830504</v>
      </c>
      <c r="Y52" s="7">
        <v>207</v>
      </c>
      <c r="Z52" s="7">
        <v>244</v>
      </c>
      <c r="AA52" s="7">
        <f t="shared" si="8"/>
        <v>0.84836065573770492</v>
      </c>
      <c r="AB52" s="7">
        <v>205</v>
      </c>
      <c r="AC52" s="7">
        <v>252</v>
      </c>
      <c r="AD52" s="7">
        <f t="shared" si="9"/>
        <v>0.81349206349206349</v>
      </c>
      <c r="AE52" s="7">
        <f t="shared" si="12"/>
        <v>0.76360742026124218</v>
      </c>
      <c r="AF52" s="7"/>
      <c r="AG52" s="9">
        <f t="shared" si="13"/>
        <v>125.99522434310497</v>
      </c>
      <c r="AO52" s="3">
        <v>188.66669999999999</v>
      </c>
      <c r="AP52" s="3" t="s">
        <v>54</v>
      </c>
      <c r="AQ52" s="3" t="s">
        <v>52</v>
      </c>
      <c r="BH52" t="s">
        <v>52</v>
      </c>
      <c r="BY52" t="s">
        <v>52</v>
      </c>
      <c r="CP52" t="s">
        <v>52</v>
      </c>
    </row>
    <row r="53" spans="1:94" x14ac:dyDescent="0.25">
      <c r="A53" s="7" t="s">
        <v>58</v>
      </c>
      <c r="B53">
        <v>102</v>
      </c>
      <c r="C53" s="7" t="s">
        <v>67</v>
      </c>
      <c r="D53" t="s">
        <v>50</v>
      </c>
      <c r="G53" t="s">
        <v>51</v>
      </c>
      <c r="H53">
        <v>1</v>
      </c>
      <c r="I53" s="7" t="s">
        <v>53</v>
      </c>
      <c r="J53" s="7">
        <v>102</v>
      </c>
      <c r="K53" s="7">
        <v>1</v>
      </c>
      <c r="L53" t="s">
        <v>52</v>
      </c>
      <c r="M53">
        <v>0</v>
      </c>
      <c r="N53">
        <v>0.92</v>
      </c>
      <c r="P53" s="7">
        <v>131.69999999999999</v>
      </c>
      <c r="Q53" s="7">
        <v>228</v>
      </c>
      <c r="R53" s="7">
        <f t="shared" si="5"/>
        <v>0.57763157894736838</v>
      </c>
      <c r="S53" s="7">
        <v>170</v>
      </c>
      <c r="T53" s="7">
        <v>221</v>
      </c>
      <c r="U53" s="7">
        <f t="shared" si="6"/>
        <v>0.76923076923076927</v>
      </c>
      <c r="V53" s="7">
        <v>191</v>
      </c>
      <c r="W53" s="7">
        <v>236</v>
      </c>
      <c r="X53" s="7">
        <f t="shared" si="7"/>
        <v>0.80932203389830504</v>
      </c>
      <c r="Y53" s="7">
        <v>207</v>
      </c>
      <c r="Z53" s="7">
        <v>244</v>
      </c>
      <c r="AA53" s="7">
        <f t="shared" si="8"/>
        <v>0.84836065573770492</v>
      </c>
      <c r="AB53" s="7">
        <v>205</v>
      </c>
      <c r="AC53" s="7">
        <v>252</v>
      </c>
      <c r="AD53" s="7">
        <f t="shared" si="9"/>
        <v>0.81349206349206349</v>
      </c>
      <c r="AE53" s="7">
        <f t="shared" si="12"/>
        <v>0.76360742026124218</v>
      </c>
      <c r="AF53" s="7"/>
      <c r="AG53" s="9">
        <f t="shared" si="13"/>
        <v>125.99522434310497</v>
      </c>
      <c r="AO53" s="3">
        <v>188.66669999999999</v>
      </c>
      <c r="AP53" s="3" t="s">
        <v>54</v>
      </c>
      <c r="AQ53" s="3" t="s">
        <v>52</v>
      </c>
      <c r="BH53" t="s">
        <v>52</v>
      </c>
      <c r="BY53" t="s">
        <v>52</v>
      </c>
      <c r="BZ53">
        <v>1.85</v>
      </c>
      <c r="CA53" t="s">
        <v>284</v>
      </c>
      <c r="CB53">
        <v>1.1399999999999999</v>
      </c>
      <c r="CC53" t="s">
        <v>284</v>
      </c>
      <c r="CD53">
        <v>0.88</v>
      </c>
      <c r="CE53" t="s">
        <v>285</v>
      </c>
      <c r="CF53">
        <v>0.62</v>
      </c>
      <c r="CG53" t="s">
        <v>285</v>
      </c>
      <c r="CH53">
        <v>0.53</v>
      </c>
      <c r="CI53" t="s">
        <v>284</v>
      </c>
      <c r="CN53">
        <v>0.88</v>
      </c>
      <c r="CO53" t="s">
        <v>54</v>
      </c>
      <c r="CP53" t="s">
        <v>52</v>
      </c>
    </row>
    <row r="54" spans="1:94" x14ac:dyDescent="0.25">
      <c r="A54" s="7" t="s">
        <v>58</v>
      </c>
      <c r="B54">
        <v>102</v>
      </c>
      <c r="C54" s="7" t="s">
        <v>114</v>
      </c>
      <c r="D54" t="s">
        <v>50</v>
      </c>
      <c r="G54" t="s">
        <v>51</v>
      </c>
      <c r="H54">
        <v>1</v>
      </c>
      <c r="I54" s="7" t="s">
        <v>53</v>
      </c>
      <c r="J54" s="7">
        <v>102</v>
      </c>
      <c r="K54" s="7">
        <v>1</v>
      </c>
      <c r="L54" t="s">
        <v>52</v>
      </c>
      <c r="M54">
        <v>0</v>
      </c>
      <c r="N54">
        <v>0.92</v>
      </c>
      <c r="P54" s="7">
        <v>131.69999999999999</v>
      </c>
      <c r="Q54" s="7">
        <v>228</v>
      </c>
      <c r="R54" s="7">
        <f t="shared" si="5"/>
        <v>0.57763157894736838</v>
      </c>
      <c r="S54" s="7">
        <v>170</v>
      </c>
      <c r="T54" s="7">
        <v>221</v>
      </c>
      <c r="U54" s="7">
        <f t="shared" si="6"/>
        <v>0.76923076923076927</v>
      </c>
      <c r="V54" s="7">
        <v>191</v>
      </c>
      <c r="W54" s="7">
        <v>236</v>
      </c>
      <c r="X54" s="7">
        <f t="shared" si="7"/>
        <v>0.80932203389830504</v>
      </c>
      <c r="Y54" s="7">
        <v>207</v>
      </c>
      <c r="Z54" s="7">
        <v>244</v>
      </c>
      <c r="AA54" s="7">
        <f t="shared" si="8"/>
        <v>0.84836065573770492</v>
      </c>
      <c r="AB54" s="7">
        <v>205</v>
      </c>
      <c r="AC54" s="7">
        <v>252</v>
      </c>
      <c r="AD54" s="7">
        <f t="shared" si="9"/>
        <v>0.81349206349206349</v>
      </c>
      <c r="AE54" s="7">
        <f t="shared" si="12"/>
        <v>0.76360742026124218</v>
      </c>
      <c r="AF54" s="7"/>
      <c r="AG54" s="9">
        <f t="shared" si="13"/>
        <v>125.99522434310497</v>
      </c>
      <c r="AO54" s="3">
        <v>188.66669999999999</v>
      </c>
      <c r="AP54" s="3" t="s">
        <v>54</v>
      </c>
      <c r="AQ54" s="3" t="s">
        <v>52</v>
      </c>
      <c r="BH54" t="s">
        <v>52</v>
      </c>
      <c r="BY54" t="s">
        <v>52</v>
      </c>
      <c r="BZ54">
        <v>1.85</v>
      </c>
      <c r="CA54" t="s">
        <v>284</v>
      </c>
      <c r="CB54">
        <v>1.82</v>
      </c>
      <c r="CC54" t="s">
        <v>284</v>
      </c>
      <c r="CD54">
        <v>1.42</v>
      </c>
      <c r="CE54" t="s">
        <v>285</v>
      </c>
      <c r="CF54">
        <v>0.98</v>
      </c>
      <c r="CG54" t="s">
        <v>285</v>
      </c>
      <c r="CH54">
        <v>0.84</v>
      </c>
      <c r="CI54" t="s">
        <v>284</v>
      </c>
      <c r="CN54">
        <v>1.41</v>
      </c>
      <c r="CO54" t="s">
        <v>54</v>
      </c>
      <c r="CP54" t="s">
        <v>52</v>
      </c>
    </row>
    <row r="55" spans="1:94" x14ac:dyDescent="0.25">
      <c r="A55" s="7" t="s">
        <v>94</v>
      </c>
      <c r="B55">
        <v>26</v>
      </c>
      <c r="C55" s="7"/>
      <c r="D55" t="s">
        <v>50</v>
      </c>
      <c r="G55" t="s">
        <v>51</v>
      </c>
      <c r="H55">
        <v>1</v>
      </c>
      <c r="I55" s="7" t="s">
        <v>53</v>
      </c>
      <c r="J55" s="7">
        <v>102</v>
      </c>
      <c r="K55" s="7">
        <v>1</v>
      </c>
      <c r="L55" t="s">
        <v>52</v>
      </c>
      <c r="M55">
        <v>0</v>
      </c>
      <c r="N55">
        <v>0.92</v>
      </c>
      <c r="P55" s="7">
        <v>131.69999999999999</v>
      </c>
      <c r="Q55" s="7">
        <v>228</v>
      </c>
      <c r="R55" s="7">
        <f t="shared" si="5"/>
        <v>0.57763157894736838</v>
      </c>
      <c r="S55" s="7">
        <v>170</v>
      </c>
      <c r="T55" s="7">
        <v>221</v>
      </c>
      <c r="U55" s="7">
        <f t="shared" si="6"/>
        <v>0.76923076923076927</v>
      </c>
      <c r="V55" s="7">
        <v>191</v>
      </c>
      <c r="W55" s="7">
        <v>236</v>
      </c>
      <c r="X55" s="7">
        <f t="shared" si="7"/>
        <v>0.80932203389830504</v>
      </c>
      <c r="Y55" s="7">
        <v>207</v>
      </c>
      <c r="Z55" s="7">
        <v>244</v>
      </c>
      <c r="AA55" s="7">
        <f t="shared" si="8"/>
        <v>0.84836065573770492</v>
      </c>
      <c r="AB55" s="7">
        <v>186</v>
      </c>
      <c r="AC55" s="7">
        <v>252</v>
      </c>
      <c r="AD55" s="7">
        <f t="shared" si="9"/>
        <v>0.73809523809523814</v>
      </c>
      <c r="AE55" s="7">
        <f t="shared" si="12"/>
        <v>0.74852805518187715</v>
      </c>
      <c r="AF55" s="7"/>
      <c r="AG55" s="9">
        <f t="shared" si="13"/>
        <v>123.50712910500972</v>
      </c>
      <c r="AO55" s="3">
        <v>182.33330000000001</v>
      </c>
      <c r="AP55" s="3" t="s">
        <v>54</v>
      </c>
      <c r="AQ55" s="3" t="s">
        <v>52</v>
      </c>
      <c r="BH55" t="s">
        <v>52</v>
      </c>
      <c r="BY55" t="s">
        <v>52</v>
      </c>
      <c r="BZ55">
        <v>1.53</v>
      </c>
      <c r="CA55" t="s">
        <v>285</v>
      </c>
      <c r="CB55">
        <v>1.48</v>
      </c>
      <c r="CC55" t="s">
        <v>285</v>
      </c>
      <c r="CD55">
        <v>1.1499999999999999</v>
      </c>
      <c r="CE55" t="s">
        <v>285</v>
      </c>
      <c r="CF55">
        <v>1.1200000000000001</v>
      </c>
      <c r="CG55" t="s">
        <v>285</v>
      </c>
      <c r="CH55">
        <v>1.04</v>
      </c>
      <c r="CI55" t="s">
        <v>289</v>
      </c>
      <c r="CN55">
        <v>1.25</v>
      </c>
      <c r="CO55" t="s">
        <v>54</v>
      </c>
      <c r="CP55" t="s">
        <v>52</v>
      </c>
    </row>
    <row r="56" spans="1:94" x14ac:dyDescent="0.25">
      <c r="A56" s="7" t="s">
        <v>77</v>
      </c>
      <c r="B56">
        <v>51</v>
      </c>
      <c r="C56" s="7" t="s">
        <v>78</v>
      </c>
      <c r="D56" t="s">
        <v>50</v>
      </c>
      <c r="G56" t="s">
        <v>52</v>
      </c>
      <c r="H56">
        <v>1</v>
      </c>
      <c r="I56" s="7" t="s">
        <v>53</v>
      </c>
      <c r="J56" s="7">
        <v>51</v>
      </c>
      <c r="K56" s="7">
        <v>2</v>
      </c>
      <c r="L56" t="s">
        <v>52</v>
      </c>
      <c r="M56">
        <v>0.5</v>
      </c>
      <c r="N56">
        <v>0.73</v>
      </c>
      <c r="P56" s="7">
        <v>228</v>
      </c>
      <c r="Q56" s="7">
        <v>228</v>
      </c>
      <c r="R56" s="7">
        <f t="shared" si="5"/>
        <v>1</v>
      </c>
      <c r="S56" s="7">
        <v>218</v>
      </c>
      <c r="T56" s="7">
        <v>221</v>
      </c>
      <c r="U56" s="7">
        <f t="shared" si="6"/>
        <v>0.98642533936651589</v>
      </c>
      <c r="V56" s="7">
        <v>147</v>
      </c>
      <c r="W56" s="7">
        <v>236</v>
      </c>
      <c r="X56" s="7">
        <f t="shared" si="7"/>
        <v>0.6228813559322034</v>
      </c>
      <c r="Y56" s="7">
        <v>170</v>
      </c>
      <c r="Z56" s="7">
        <v>244</v>
      </c>
      <c r="AA56" s="7">
        <f t="shared" si="8"/>
        <v>0.69672131147540983</v>
      </c>
      <c r="AB56" s="7">
        <v>109</v>
      </c>
      <c r="AC56" s="7">
        <v>252</v>
      </c>
      <c r="AD56" s="7">
        <f t="shared" si="9"/>
        <v>0.43253968253968256</v>
      </c>
      <c r="AE56" s="7">
        <f t="shared" si="12"/>
        <v>0.7477135378627624</v>
      </c>
      <c r="AF56" s="7"/>
      <c r="AG56" s="9">
        <f t="shared" si="13"/>
        <v>123.3727337473558</v>
      </c>
      <c r="AO56" s="3">
        <v>178.33330000000001</v>
      </c>
      <c r="AP56" s="3" t="s">
        <v>54</v>
      </c>
      <c r="AQ56" s="3" t="s">
        <v>52</v>
      </c>
      <c r="BH56" t="s">
        <v>52</v>
      </c>
      <c r="BY56" t="s">
        <v>52</v>
      </c>
      <c r="BZ56">
        <v>0.8</v>
      </c>
      <c r="CA56" t="s">
        <v>284</v>
      </c>
      <c r="CB56">
        <v>0.8</v>
      </c>
      <c r="CC56" t="s">
        <v>285</v>
      </c>
      <c r="CD56">
        <v>0.8</v>
      </c>
      <c r="CE56" t="s">
        <v>285</v>
      </c>
      <c r="CF56">
        <v>0.8</v>
      </c>
      <c r="CG56" t="s">
        <v>285</v>
      </c>
      <c r="CH56">
        <v>0.18</v>
      </c>
      <c r="CI56" t="s">
        <v>285</v>
      </c>
      <c r="CN56">
        <v>0.8</v>
      </c>
      <c r="CO56" t="s">
        <v>54</v>
      </c>
      <c r="CP56" t="s">
        <v>52</v>
      </c>
    </row>
    <row r="57" spans="1:94" x14ac:dyDescent="0.25">
      <c r="A57" s="7" t="s">
        <v>58</v>
      </c>
      <c r="B57">
        <v>102</v>
      </c>
      <c r="C57" s="7" t="s">
        <v>65</v>
      </c>
      <c r="D57" t="s">
        <v>50</v>
      </c>
      <c r="G57" t="s">
        <v>51</v>
      </c>
      <c r="H57">
        <v>1</v>
      </c>
      <c r="I57" s="7" t="s">
        <v>53</v>
      </c>
      <c r="J57" s="7">
        <v>102</v>
      </c>
      <c r="K57" s="7">
        <v>1</v>
      </c>
      <c r="L57" t="s">
        <v>52</v>
      </c>
      <c r="M57">
        <v>0</v>
      </c>
      <c r="N57">
        <v>0.92</v>
      </c>
      <c r="P57" s="7">
        <v>131.69999999999999</v>
      </c>
      <c r="Q57" s="7">
        <v>228</v>
      </c>
      <c r="R57" s="7">
        <f t="shared" si="5"/>
        <v>0.57763157894736838</v>
      </c>
      <c r="S57" s="7">
        <v>170</v>
      </c>
      <c r="T57" s="7">
        <v>221</v>
      </c>
      <c r="U57" s="7">
        <f t="shared" si="6"/>
        <v>0.76923076923076927</v>
      </c>
      <c r="V57" s="7">
        <v>191</v>
      </c>
      <c r="W57" s="7">
        <v>236</v>
      </c>
      <c r="X57" s="7">
        <f t="shared" si="7"/>
        <v>0.80932203389830504</v>
      </c>
      <c r="Y57" s="7">
        <v>207</v>
      </c>
      <c r="Z57" s="7">
        <v>244</v>
      </c>
      <c r="AA57" s="7">
        <f t="shared" si="8"/>
        <v>0.84836065573770492</v>
      </c>
      <c r="AB57" s="7">
        <v>155</v>
      </c>
      <c r="AC57" s="7">
        <v>252</v>
      </c>
      <c r="AD57" s="7">
        <f t="shared" si="9"/>
        <v>0.61507936507936511</v>
      </c>
      <c r="AE57" s="7">
        <f t="shared" si="12"/>
        <v>0.72392488057870252</v>
      </c>
      <c r="AF57" s="7"/>
      <c r="AG57" s="9">
        <f t="shared" si="13"/>
        <v>119.44760529548591</v>
      </c>
      <c r="AO57" s="3">
        <v>172</v>
      </c>
      <c r="AP57" s="3" t="s">
        <v>54</v>
      </c>
      <c r="AQ57" s="3" t="s">
        <v>52</v>
      </c>
      <c r="BH57" t="s">
        <v>52</v>
      </c>
      <c r="BY57" t="s">
        <v>52</v>
      </c>
      <c r="BZ57">
        <v>1.85</v>
      </c>
      <c r="CA57" t="s">
        <v>284</v>
      </c>
      <c r="CB57">
        <v>1.1399999999999999</v>
      </c>
      <c r="CC57" t="s">
        <v>284</v>
      </c>
      <c r="CD57">
        <v>0.88</v>
      </c>
      <c r="CE57" t="s">
        <v>285</v>
      </c>
      <c r="CF57">
        <v>0.62</v>
      </c>
      <c r="CG57" t="s">
        <v>285</v>
      </c>
      <c r="CH57">
        <v>0.53</v>
      </c>
      <c r="CI57" t="s">
        <v>284</v>
      </c>
      <c r="CN57">
        <v>0.88</v>
      </c>
      <c r="CO57" t="s">
        <v>54</v>
      </c>
      <c r="CP57" t="s">
        <v>52</v>
      </c>
    </row>
    <row r="58" spans="1:94" customFormat="1" ht="15" hidden="1" x14ac:dyDescent="0.25">
      <c r="A58" t="s">
        <v>75</v>
      </c>
      <c r="B58">
        <v>16</v>
      </c>
      <c r="C58" t="s">
        <v>103</v>
      </c>
      <c r="D58" t="s">
        <v>50</v>
      </c>
      <c r="G58" t="s">
        <v>51</v>
      </c>
      <c r="H58">
        <v>1</v>
      </c>
      <c r="I58" t="s">
        <v>53</v>
      </c>
      <c r="J58">
        <v>16</v>
      </c>
      <c r="K58">
        <v>2</v>
      </c>
      <c r="L58" t="s">
        <v>52</v>
      </c>
      <c r="M58">
        <v>0.5</v>
      </c>
      <c r="N58">
        <v>0.75</v>
      </c>
      <c r="P58">
        <v>83.5</v>
      </c>
      <c r="Q58">
        <v>228</v>
      </c>
      <c r="R58">
        <f t="shared" si="5"/>
        <v>0.36622807017543857</v>
      </c>
      <c r="S58">
        <v>96.14</v>
      </c>
      <c r="T58">
        <v>221</v>
      </c>
      <c r="U58">
        <f t="shared" si="6"/>
        <v>0.43502262443438916</v>
      </c>
      <c r="W58">
        <v>236</v>
      </c>
      <c r="X58">
        <f t="shared" si="7"/>
        <v>0</v>
      </c>
      <c r="Z58">
        <v>244</v>
      </c>
      <c r="AA58">
        <f t="shared" si="8"/>
        <v>0</v>
      </c>
      <c r="AC58">
        <v>252</v>
      </c>
      <c r="AD58">
        <f t="shared" si="9"/>
        <v>0</v>
      </c>
      <c r="AQ58" t="s">
        <v>52</v>
      </c>
      <c r="AR58">
        <v>194.66</v>
      </c>
      <c r="AS58" t="s">
        <v>285</v>
      </c>
      <c r="BH58" t="s">
        <v>52</v>
      </c>
      <c r="BY58" t="s">
        <v>52</v>
      </c>
      <c r="BZ58">
        <v>1.85</v>
      </c>
      <c r="CA58" t="s">
        <v>284</v>
      </c>
      <c r="CB58">
        <v>1.1100000000000001</v>
      </c>
      <c r="CC58" t="s">
        <v>284</v>
      </c>
      <c r="CP58" t="s">
        <v>52</v>
      </c>
    </row>
    <row r="59" spans="1:94" customFormat="1" ht="15" hidden="1" x14ac:dyDescent="0.25">
      <c r="A59" t="s">
        <v>125</v>
      </c>
      <c r="B59">
        <v>67</v>
      </c>
      <c r="C59" t="s">
        <v>164</v>
      </c>
      <c r="D59" t="s">
        <v>50</v>
      </c>
      <c r="G59" t="s">
        <v>51</v>
      </c>
      <c r="H59">
        <v>1</v>
      </c>
      <c r="I59" t="s">
        <v>53</v>
      </c>
      <c r="J59">
        <v>67</v>
      </c>
      <c r="K59">
        <v>1</v>
      </c>
      <c r="L59" t="s">
        <v>52</v>
      </c>
      <c r="M59">
        <v>0.5</v>
      </c>
      <c r="N59">
        <v>0.87</v>
      </c>
      <c r="P59">
        <v>228</v>
      </c>
      <c r="Q59">
        <v>228</v>
      </c>
      <c r="R59">
        <f t="shared" si="5"/>
        <v>1</v>
      </c>
      <c r="T59">
        <v>221</v>
      </c>
      <c r="U59">
        <f t="shared" si="6"/>
        <v>0</v>
      </c>
      <c r="W59">
        <v>236</v>
      </c>
      <c r="X59">
        <f t="shared" si="7"/>
        <v>0</v>
      </c>
      <c r="Z59">
        <v>244</v>
      </c>
      <c r="AA59">
        <f t="shared" si="8"/>
        <v>0</v>
      </c>
      <c r="AC59">
        <v>252</v>
      </c>
      <c r="AD59">
        <f t="shared" si="9"/>
        <v>0</v>
      </c>
      <c r="AQ59" t="s">
        <v>52</v>
      </c>
      <c r="BH59" t="s">
        <v>52</v>
      </c>
      <c r="BY59" t="s">
        <v>52</v>
      </c>
      <c r="BZ59">
        <v>1.85</v>
      </c>
      <c r="CA59" t="s">
        <v>284</v>
      </c>
      <c r="CP59" t="s">
        <v>52</v>
      </c>
    </row>
    <row r="60" spans="1:94" customFormat="1" ht="15" hidden="1" x14ac:dyDescent="0.25">
      <c r="A60" t="s">
        <v>125</v>
      </c>
      <c r="B60">
        <v>67</v>
      </c>
      <c r="C60" t="s">
        <v>292</v>
      </c>
      <c r="D60" t="s">
        <v>50</v>
      </c>
      <c r="G60" t="s">
        <v>51</v>
      </c>
      <c r="H60">
        <v>1</v>
      </c>
      <c r="I60" t="s">
        <v>53</v>
      </c>
      <c r="J60">
        <v>67</v>
      </c>
      <c r="K60">
        <v>1</v>
      </c>
      <c r="L60" t="s">
        <v>52</v>
      </c>
      <c r="M60">
        <v>0.5</v>
      </c>
      <c r="N60">
        <v>0.87</v>
      </c>
      <c r="P60">
        <v>228</v>
      </c>
      <c r="Q60">
        <v>228</v>
      </c>
      <c r="R60">
        <f t="shared" si="5"/>
        <v>1</v>
      </c>
      <c r="T60">
        <v>221</v>
      </c>
      <c r="U60">
        <f t="shared" si="6"/>
        <v>0</v>
      </c>
      <c r="W60">
        <v>236</v>
      </c>
      <c r="X60">
        <f t="shared" si="7"/>
        <v>0</v>
      </c>
      <c r="Z60">
        <v>244</v>
      </c>
      <c r="AA60">
        <f t="shared" si="8"/>
        <v>0</v>
      </c>
      <c r="AC60">
        <v>252</v>
      </c>
      <c r="AD60">
        <f t="shared" si="9"/>
        <v>0</v>
      </c>
      <c r="AQ60" t="s">
        <v>52</v>
      </c>
      <c r="BH60" t="s">
        <v>52</v>
      </c>
      <c r="BY60" t="s">
        <v>52</v>
      </c>
      <c r="BZ60">
        <v>1.85</v>
      </c>
      <c r="CA60" t="s">
        <v>284</v>
      </c>
      <c r="CP60" t="s">
        <v>52</v>
      </c>
    </row>
    <row r="61" spans="1:94" customFormat="1" ht="15" hidden="1" x14ac:dyDescent="0.25">
      <c r="A61" t="s">
        <v>125</v>
      </c>
      <c r="B61">
        <v>67</v>
      </c>
      <c r="C61" t="s">
        <v>160</v>
      </c>
      <c r="D61" t="s">
        <v>50</v>
      </c>
      <c r="G61" t="s">
        <v>52</v>
      </c>
      <c r="H61">
        <v>1</v>
      </c>
      <c r="I61" t="s">
        <v>53</v>
      </c>
      <c r="J61">
        <v>67</v>
      </c>
      <c r="K61">
        <v>1</v>
      </c>
      <c r="L61" t="s">
        <v>52</v>
      </c>
      <c r="M61">
        <v>0.3</v>
      </c>
      <c r="N61">
        <v>0.87</v>
      </c>
      <c r="P61">
        <v>228</v>
      </c>
      <c r="Q61">
        <v>228</v>
      </c>
      <c r="R61">
        <f t="shared" si="5"/>
        <v>1</v>
      </c>
      <c r="T61">
        <v>221</v>
      </c>
      <c r="U61">
        <f t="shared" si="6"/>
        <v>0</v>
      </c>
      <c r="W61">
        <v>236</v>
      </c>
      <c r="X61">
        <f t="shared" si="7"/>
        <v>0</v>
      </c>
      <c r="Z61">
        <v>244</v>
      </c>
      <c r="AA61">
        <f t="shared" si="8"/>
        <v>0</v>
      </c>
      <c r="AC61">
        <v>252</v>
      </c>
      <c r="AD61">
        <f t="shared" si="9"/>
        <v>0</v>
      </c>
      <c r="AQ61" t="s">
        <v>52</v>
      </c>
      <c r="BH61" t="s">
        <v>52</v>
      </c>
      <c r="BY61" t="s">
        <v>52</v>
      </c>
      <c r="BZ61">
        <v>0.93</v>
      </c>
      <c r="CA61" t="s">
        <v>285</v>
      </c>
      <c r="CP61" t="s">
        <v>52</v>
      </c>
    </row>
    <row r="62" spans="1:94" customFormat="1" ht="15" hidden="1" x14ac:dyDescent="0.25">
      <c r="A62" t="s">
        <v>125</v>
      </c>
      <c r="B62">
        <v>67</v>
      </c>
      <c r="C62" t="s">
        <v>198</v>
      </c>
      <c r="D62" t="s">
        <v>50</v>
      </c>
      <c r="G62" t="s">
        <v>52</v>
      </c>
      <c r="H62">
        <v>1</v>
      </c>
      <c r="I62" t="s">
        <v>53</v>
      </c>
      <c r="J62">
        <v>67</v>
      </c>
      <c r="K62">
        <v>1</v>
      </c>
      <c r="L62" t="s">
        <v>52</v>
      </c>
      <c r="M62">
        <v>0.5</v>
      </c>
      <c r="N62">
        <v>0.87</v>
      </c>
      <c r="P62">
        <v>228</v>
      </c>
      <c r="Q62">
        <v>228</v>
      </c>
      <c r="R62">
        <f t="shared" si="5"/>
        <v>1</v>
      </c>
      <c r="T62">
        <v>221</v>
      </c>
      <c r="U62">
        <f t="shared" si="6"/>
        <v>0</v>
      </c>
      <c r="W62">
        <v>236</v>
      </c>
      <c r="X62">
        <f t="shared" si="7"/>
        <v>0</v>
      </c>
      <c r="Z62">
        <v>244</v>
      </c>
      <c r="AA62">
        <f t="shared" si="8"/>
        <v>0</v>
      </c>
      <c r="AC62">
        <v>252</v>
      </c>
      <c r="AD62">
        <f t="shared" si="9"/>
        <v>0</v>
      </c>
      <c r="AQ62" t="s">
        <v>52</v>
      </c>
      <c r="BH62" t="s">
        <v>52</v>
      </c>
      <c r="BY62" t="s">
        <v>52</v>
      </c>
      <c r="CP62" t="s">
        <v>52</v>
      </c>
    </row>
    <row r="63" spans="1:94" customFormat="1" ht="15" hidden="1" x14ac:dyDescent="0.25">
      <c r="A63" t="s">
        <v>125</v>
      </c>
      <c r="B63">
        <v>67</v>
      </c>
      <c r="C63" t="s">
        <v>291</v>
      </c>
      <c r="D63" t="s">
        <v>50</v>
      </c>
      <c r="G63" t="s">
        <v>51</v>
      </c>
      <c r="H63">
        <v>1</v>
      </c>
      <c r="I63" t="s">
        <v>53</v>
      </c>
      <c r="J63">
        <v>67</v>
      </c>
      <c r="K63">
        <v>3</v>
      </c>
      <c r="L63" t="s">
        <v>52</v>
      </c>
      <c r="M63">
        <v>0.5</v>
      </c>
      <c r="N63">
        <v>0.87</v>
      </c>
      <c r="P63">
        <v>228</v>
      </c>
      <c r="Q63">
        <v>228</v>
      </c>
      <c r="R63">
        <f t="shared" si="5"/>
        <v>1</v>
      </c>
      <c r="T63">
        <v>221</v>
      </c>
      <c r="U63">
        <f t="shared" si="6"/>
        <v>0</v>
      </c>
      <c r="W63">
        <v>236</v>
      </c>
      <c r="X63">
        <f t="shared" si="7"/>
        <v>0</v>
      </c>
      <c r="Z63">
        <v>244</v>
      </c>
      <c r="AA63">
        <f t="shared" si="8"/>
        <v>0</v>
      </c>
      <c r="AC63">
        <v>252</v>
      </c>
      <c r="AD63">
        <f t="shared" si="9"/>
        <v>0</v>
      </c>
      <c r="AQ63" t="s">
        <v>52</v>
      </c>
      <c r="BH63" t="s">
        <v>52</v>
      </c>
      <c r="BY63" t="s">
        <v>52</v>
      </c>
      <c r="BZ63">
        <v>1.85</v>
      </c>
      <c r="CA63" t="s">
        <v>284</v>
      </c>
      <c r="CP63" t="s">
        <v>52</v>
      </c>
    </row>
    <row r="64" spans="1:94" customFormat="1" ht="15" hidden="1" x14ac:dyDescent="0.25">
      <c r="A64" t="s">
        <v>125</v>
      </c>
      <c r="B64">
        <v>67</v>
      </c>
      <c r="C64" t="s">
        <v>111</v>
      </c>
      <c r="D64" t="s">
        <v>50</v>
      </c>
      <c r="G64" t="s">
        <v>51</v>
      </c>
      <c r="H64">
        <v>1</v>
      </c>
      <c r="I64" t="s">
        <v>53</v>
      </c>
      <c r="J64">
        <v>67</v>
      </c>
      <c r="K64">
        <v>1</v>
      </c>
      <c r="L64" t="s">
        <v>52</v>
      </c>
      <c r="M64">
        <v>0.5</v>
      </c>
      <c r="N64">
        <v>0.87</v>
      </c>
      <c r="P64">
        <v>228</v>
      </c>
      <c r="Q64">
        <v>228</v>
      </c>
      <c r="R64">
        <f t="shared" si="5"/>
        <v>1</v>
      </c>
      <c r="T64">
        <v>221</v>
      </c>
      <c r="U64">
        <f t="shared" si="6"/>
        <v>0</v>
      </c>
      <c r="W64">
        <v>236</v>
      </c>
      <c r="X64">
        <f t="shared" si="7"/>
        <v>0</v>
      </c>
      <c r="Z64">
        <v>244</v>
      </c>
      <c r="AA64">
        <f t="shared" si="8"/>
        <v>0</v>
      </c>
      <c r="AC64">
        <v>252</v>
      </c>
      <c r="AD64">
        <f t="shared" si="9"/>
        <v>0</v>
      </c>
      <c r="AQ64" t="s">
        <v>52</v>
      </c>
      <c r="BH64" t="s">
        <v>52</v>
      </c>
      <c r="BY64" t="s">
        <v>52</v>
      </c>
      <c r="CP64" t="s">
        <v>52</v>
      </c>
    </row>
    <row r="65" spans="1:94" x14ac:dyDescent="0.25">
      <c r="A65" s="7" t="s">
        <v>70</v>
      </c>
      <c r="B65">
        <v>296</v>
      </c>
      <c r="C65" s="7" t="s">
        <v>74</v>
      </c>
      <c r="D65" t="s">
        <v>50</v>
      </c>
      <c r="G65" t="s">
        <v>51</v>
      </c>
      <c r="H65">
        <v>1</v>
      </c>
      <c r="I65" s="7" t="s">
        <v>53</v>
      </c>
      <c r="J65" s="7">
        <v>102</v>
      </c>
      <c r="K65" s="7">
        <v>1</v>
      </c>
      <c r="L65" t="s">
        <v>52</v>
      </c>
      <c r="M65">
        <v>0</v>
      </c>
      <c r="N65">
        <v>0.75</v>
      </c>
      <c r="P65" s="7">
        <v>135</v>
      </c>
      <c r="Q65" s="7">
        <v>228</v>
      </c>
      <c r="R65" s="7">
        <f t="shared" si="5"/>
        <v>0.59210526315789469</v>
      </c>
      <c r="S65" s="7">
        <v>132</v>
      </c>
      <c r="T65" s="7">
        <v>221</v>
      </c>
      <c r="U65" s="7">
        <f t="shared" si="6"/>
        <v>0.59728506787330315</v>
      </c>
      <c r="V65" s="7">
        <v>147</v>
      </c>
      <c r="W65" s="7">
        <v>236</v>
      </c>
      <c r="X65" s="7">
        <f t="shared" si="7"/>
        <v>0.6228813559322034</v>
      </c>
      <c r="Y65" s="7">
        <v>170</v>
      </c>
      <c r="Z65" s="7">
        <v>244</v>
      </c>
      <c r="AA65" s="7">
        <f t="shared" si="8"/>
        <v>0.69672131147540983</v>
      </c>
      <c r="AB65" s="7">
        <v>205</v>
      </c>
      <c r="AC65" s="7">
        <v>252</v>
      </c>
      <c r="AD65" s="7">
        <f t="shared" si="9"/>
        <v>0.81349206349206349</v>
      </c>
      <c r="AE65" s="7">
        <f t="shared" ref="AE65:AE72" si="14">AVERAGE(R65,U65,X65,AA65,AD65)</f>
        <v>0.66449701238617487</v>
      </c>
      <c r="AF65" s="7"/>
      <c r="AG65" s="9">
        <f t="shared" ref="AG65:AG72" si="15">AE65*$AI$1</f>
        <v>109.64200704371885</v>
      </c>
      <c r="AO65" s="3">
        <v>150.66669999999999</v>
      </c>
      <c r="AP65" s="3" t="s">
        <v>54</v>
      </c>
      <c r="AQ65" s="3" t="s">
        <v>52</v>
      </c>
      <c r="BH65" t="s">
        <v>52</v>
      </c>
      <c r="BY65" t="s">
        <v>52</v>
      </c>
      <c r="CP65" t="s">
        <v>52</v>
      </c>
    </row>
    <row r="66" spans="1:94" x14ac:dyDescent="0.25">
      <c r="A66" s="7" t="s">
        <v>87</v>
      </c>
      <c r="B66">
        <v>91</v>
      </c>
      <c r="C66" s="7" t="s">
        <v>76</v>
      </c>
      <c r="D66" t="s">
        <v>50</v>
      </c>
      <c r="G66" t="s">
        <v>51</v>
      </c>
      <c r="H66">
        <v>1</v>
      </c>
      <c r="I66" s="7" t="s">
        <v>53</v>
      </c>
      <c r="J66" s="7">
        <v>91</v>
      </c>
      <c r="K66" s="7">
        <v>2</v>
      </c>
      <c r="L66" t="s">
        <v>52</v>
      </c>
      <c r="M66">
        <v>0.77</v>
      </c>
      <c r="N66">
        <v>0.93</v>
      </c>
      <c r="P66" s="7">
        <v>135</v>
      </c>
      <c r="Q66" s="7">
        <v>228</v>
      </c>
      <c r="R66" s="7">
        <f t="shared" ref="R66:R97" si="16">P66/Q66</f>
        <v>0.59210526315789469</v>
      </c>
      <c r="S66" s="7">
        <v>133</v>
      </c>
      <c r="T66" s="7">
        <v>221</v>
      </c>
      <c r="U66" s="7">
        <f t="shared" si="6"/>
        <v>0.60180995475113119</v>
      </c>
      <c r="V66" s="7">
        <v>147</v>
      </c>
      <c r="W66" s="7">
        <v>236</v>
      </c>
      <c r="X66" s="7">
        <f t="shared" si="7"/>
        <v>0.6228813559322034</v>
      </c>
      <c r="Y66" s="7">
        <v>170</v>
      </c>
      <c r="Z66" s="7">
        <v>244</v>
      </c>
      <c r="AA66" s="7">
        <f t="shared" si="8"/>
        <v>0.69672131147540983</v>
      </c>
      <c r="AB66" s="7">
        <v>167</v>
      </c>
      <c r="AC66" s="7">
        <v>252</v>
      </c>
      <c r="AD66" s="7">
        <f t="shared" si="9"/>
        <v>0.66269841269841268</v>
      </c>
      <c r="AE66" s="7">
        <f t="shared" si="14"/>
        <v>0.63524325960301031</v>
      </c>
      <c r="AF66" s="7"/>
      <c r="AG66" s="9">
        <f t="shared" si="15"/>
        <v>104.8151378344967</v>
      </c>
      <c r="AO66" s="3">
        <v>149.66669999999999</v>
      </c>
      <c r="AP66" s="3" t="s">
        <v>54</v>
      </c>
      <c r="AQ66" s="3" t="s">
        <v>52</v>
      </c>
      <c r="BH66" t="s">
        <v>52</v>
      </c>
      <c r="BY66" t="s">
        <v>52</v>
      </c>
      <c r="BZ66">
        <v>1.42</v>
      </c>
      <c r="CA66" t="s">
        <v>285</v>
      </c>
      <c r="CB66">
        <v>1.35</v>
      </c>
      <c r="CC66" t="s">
        <v>284</v>
      </c>
      <c r="CD66">
        <v>0.83</v>
      </c>
      <c r="CE66" t="s">
        <v>288</v>
      </c>
      <c r="CF66">
        <v>1.85</v>
      </c>
      <c r="CG66" t="s">
        <v>284</v>
      </c>
      <c r="CH66">
        <v>1.01</v>
      </c>
      <c r="CI66" t="s">
        <v>285</v>
      </c>
      <c r="CN66">
        <v>1.26</v>
      </c>
      <c r="CO66" t="s">
        <v>54</v>
      </c>
      <c r="CP66" t="s">
        <v>52</v>
      </c>
    </row>
    <row r="67" spans="1:94" x14ac:dyDescent="0.25">
      <c r="A67" s="7" t="s">
        <v>87</v>
      </c>
      <c r="B67">
        <v>91</v>
      </c>
      <c r="C67" s="7" t="s">
        <v>103</v>
      </c>
      <c r="D67" t="s">
        <v>50</v>
      </c>
      <c r="G67" t="s">
        <v>51</v>
      </c>
      <c r="H67">
        <v>1</v>
      </c>
      <c r="I67" s="7" t="s">
        <v>53</v>
      </c>
      <c r="J67" s="7">
        <v>91</v>
      </c>
      <c r="K67" s="7">
        <v>2</v>
      </c>
      <c r="L67" t="s">
        <v>52</v>
      </c>
      <c r="M67">
        <v>0.77</v>
      </c>
      <c r="N67">
        <v>0.93</v>
      </c>
      <c r="P67" s="7">
        <v>135</v>
      </c>
      <c r="Q67" s="7">
        <v>228</v>
      </c>
      <c r="R67" s="7">
        <f t="shared" si="16"/>
        <v>0.59210526315789469</v>
      </c>
      <c r="S67" s="7">
        <v>133</v>
      </c>
      <c r="T67" s="7">
        <v>221</v>
      </c>
      <c r="U67" s="7">
        <f t="shared" si="6"/>
        <v>0.60180995475113119</v>
      </c>
      <c r="V67" s="7">
        <v>147</v>
      </c>
      <c r="W67" s="7">
        <v>236</v>
      </c>
      <c r="X67" s="7">
        <f t="shared" si="7"/>
        <v>0.6228813559322034</v>
      </c>
      <c r="Y67" s="7">
        <v>170</v>
      </c>
      <c r="Z67" s="7">
        <v>244</v>
      </c>
      <c r="AA67" s="7">
        <f t="shared" si="8"/>
        <v>0.69672131147540983</v>
      </c>
      <c r="AB67" s="7">
        <v>167</v>
      </c>
      <c r="AC67" s="7">
        <v>252</v>
      </c>
      <c r="AD67" s="7">
        <f t="shared" si="9"/>
        <v>0.66269841269841268</v>
      </c>
      <c r="AE67" s="7">
        <f t="shared" si="14"/>
        <v>0.63524325960301031</v>
      </c>
      <c r="AF67" s="7"/>
      <c r="AG67" s="9">
        <f t="shared" si="15"/>
        <v>104.8151378344967</v>
      </c>
      <c r="AO67" s="3">
        <v>149.66669999999999</v>
      </c>
      <c r="AP67" s="3" t="s">
        <v>54</v>
      </c>
      <c r="AQ67" s="3" t="s">
        <v>52</v>
      </c>
      <c r="BH67" t="s">
        <v>52</v>
      </c>
      <c r="BY67" t="s">
        <v>52</v>
      </c>
      <c r="BZ67">
        <v>1.47</v>
      </c>
      <c r="CA67" t="s">
        <v>285</v>
      </c>
      <c r="CB67">
        <v>1.35</v>
      </c>
      <c r="CC67" t="s">
        <v>284</v>
      </c>
      <c r="CD67">
        <v>0.83</v>
      </c>
      <c r="CE67" t="s">
        <v>284</v>
      </c>
      <c r="CF67">
        <v>1.85</v>
      </c>
      <c r="CG67" t="s">
        <v>284</v>
      </c>
      <c r="CH67">
        <v>0.6</v>
      </c>
      <c r="CI67" t="s">
        <v>285</v>
      </c>
      <c r="CN67">
        <v>1.22</v>
      </c>
      <c r="CO67" t="s">
        <v>54</v>
      </c>
      <c r="CP67" t="s">
        <v>52</v>
      </c>
    </row>
    <row r="68" spans="1:94" x14ac:dyDescent="0.25">
      <c r="A68" s="7" t="s">
        <v>82</v>
      </c>
      <c r="B68">
        <v>52</v>
      </c>
      <c r="C68" s="7"/>
      <c r="D68" t="s">
        <v>50</v>
      </c>
      <c r="G68" t="s">
        <v>52</v>
      </c>
      <c r="H68">
        <v>1</v>
      </c>
      <c r="I68" s="7" t="s">
        <v>53</v>
      </c>
      <c r="J68" s="7">
        <v>50</v>
      </c>
      <c r="K68" s="7">
        <v>1</v>
      </c>
      <c r="L68" t="s">
        <v>52</v>
      </c>
      <c r="M68">
        <v>0.5</v>
      </c>
      <c r="N68">
        <v>0.75</v>
      </c>
      <c r="P68" s="7">
        <v>85</v>
      </c>
      <c r="Q68" s="7">
        <v>228</v>
      </c>
      <c r="R68" s="7">
        <f t="shared" si="16"/>
        <v>0.37280701754385964</v>
      </c>
      <c r="S68" s="7">
        <v>93</v>
      </c>
      <c r="T68" s="7">
        <v>221</v>
      </c>
      <c r="U68" s="7">
        <f t="shared" si="6"/>
        <v>0.42081447963800905</v>
      </c>
      <c r="V68" s="7">
        <v>191.5</v>
      </c>
      <c r="W68" s="7">
        <v>236</v>
      </c>
      <c r="X68" s="7">
        <f t="shared" si="7"/>
        <v>0.81144067796610164</v>
      </c>
      <c r="Y68" s="7">
        <v>198</v>
      </c>
      <c r="Z68" s="7">
        <v>244</v>
      </c>
      <c r="AA68" s="7">
        <f t="shared" si="8"/>
        <v>0.81147540983606559</v>
      </c>
      <c r="AB68" s="7">
        <v>109</v>
      </c>
      <c r="AC68" s="7">
        <v>252</v>
      </c>
      <c r="AD68" s="7">
        <f t="shared" si="9"/>
        <v>0.43253968253968256</v>
      </c>
      <c r="AE68" s="7">
        <f t="shared" si="14"/>
        <v>0.56981545350474361</v>
      </c>
      <c r="AF68" s="7"/>
      <c r="AG68" s="9">
        <f t="shared" si="15"/>
        <v>94.019549828282692</v>
      </c>
      <c r="AO68" s="3">
        <v>131.16669999999999</v>
      </c>
      <c r="AP68" s="3" t="s">
        <v>54</v>
      </c>
      <c r="AQ68" s="3" t="s">
        <v>52</v>
      </c>
      <c r="BH68" t="s">
        <v>52</v>
      </c>
      <c r="BY68" t="s">
        <v>52</v>
      </c>
      <c r="CP68" t="s">
        <v>52</v>
      </c>
    </row>
    <row r="69" spans="1:94" x14ac:dyDescent="0.25">
      <c r="A69" s="7" t="s">
        <v>84</v>
      </c>
      <c r="B69">
        <v>11</v>
      </c>
      <c r="C69" s="7" t="s">
        <v>85</v>
      </c>
      <c r="D69" t="s">
        <v>50</v>
      </c>
      <c r="G69" t="s">
        <v>51</v>
      </c>
      <c r="H69">
        <v>1</v>
      </c>
      <c r="I69" s="7" t="s">
        <v>53</v>
      </c>
      <c r="J69" s="7">
        <v>11</v>
      </c>
      <c r="K69" s="7">
        <v>2</v>
      </c>
      <c r="L69" t="s">
        <v>52</v>
      </c>
      <c r="M69">
        <v>0.5</v>
      </c>
      <c r="N69">
        <v>0.75</v>
      </c>
      <c r="P69" s="7">
        <v>155</v>
      </c>
      <c r="Q69" s="7">
        <v>228</v>
      </c>
      <c r="R69" s="7">
        <f t="shared" si="16"/>
        <v>0.67982456140350878</v>
      </c>
      <c r="S69" s="7">
        <v>110</v>
      </c>
      <c r="T69" s="7">
        <v>221</v>
      </c>
      <c r="U69" s="7">
        <f t="shared" si="6"/>
        <v>0.49773755656108598</v>
      </c>
      <c r="V69" s="7">
        <v>118</v>
      </c>
      <c r="W69" s="7">
        <v>236</v>
      </c>
      <c r="X69" s="7">
        <f t="shared" si="7"/>
        <v>0.5</v>
      </c>
      <c r="Y69" s="7">
        <v>122</v>
      </c>
      <c r="Z69" s="7">
        <v>244</v>
      </c>
      <c r="AA69" s="7">
        <f t="shared" si="8"/>
        <v>0.5</v>
      </c>
      <c r="AB69" s="7">
        <v>126</v>
      </c>
      <c r="AC69" s="7">
        <v>252</v>
      </c>
      <c r="AD69" s="7">
        <f t="shared" si="9"/>
        <v>0.5</v>
      </c>
      <c r="AE69" s="7">
        <f t="shared" si="14"/>
        <v>0.53551242359291895</v>
      </c>
      <c r="AF69" s="7"/>
      <c r="AG69" s="9">
        <f t="shared" si="15"/>
        <v>88.359549892831623</v>
      </c>
      <c r="AO69" s="3">
        <v>122</v>
      </c>
      <c r="AP69" s="3" t="s">
        <v>54</v>
      </c>
      <c r="AQ69" s="3" t="s">
        <v>52</v>
      </c>
      <c r="BH69" t="s">
        <v>52</v>
      </c>
      <c r="BY69" t="s">
        <v>52</v>
      </c>
      <c r="CP69" t="s">
        <v>52</v>
      </c>
    </row>
    <row r="70" spans="1:94" x14ac:dyDescent="0.25">
      <c r="A70" s="7" t="s">
        <v>182</v>
      </c>
      <c r="B70">
        <v>131</v>
      </c>
      <c r="C70" s="7"/>
      <c r="D70" t="s">
        <v>50</v>
      </c>
      <c r="G70" t="s">
        <v>51</v>
      </c>
      <c r="H70">
        <v>1</v>
      </c>
      <c r="I70" s="7" t="s">
        <v>53</v>
      </c>
      <c r="J70" s="7">
        <v>131</v>
      </c>
      <c r="K70" s="7">
        <v>1</v>
      </c>
      <c r="L70" t="s">
        <v>52</v>
      </c>
      <c r="M70">
        <v>0.6</v>
      </c>
      <c r="N70">
        <v>0.84</v>
      </c>
      <c r="P70" s="7">
        <v>124</v>
      </c>
      <c r="Q70" s="7">
        <v>228</v>
      </c>
      <c r="R70" s="7">
        <f t="shared" si="16"/>
        <v>0.54385964912280704</v>
      </c>
      <c r="S70" s="7">
        <v>110</v>
      </c>
      <c r="T70" s="7">
        <v>221</v>
      </c>
      <c r="U70" s="7">
        <f t="shared" si="6"/>
        <v>0.49773755656108598</v>
      </c>
      <c r="V70" s="7">
        <v>123</v>
      </c>
      <c r="W70" s="7">
        <v>236</v>
      </c>
      <c r="X70" s="7">
        <f t="shared" si="7"/>
        <v>0.52118644067796616</v>
      </c>
      <c r="Y70" s="7">
        <v>124</v>
      </c>
      <c r="Z70" s="7">
        <v>244</v>
      </c>
      <c r="AA70" s="7">
        <f t="shared" si="8"/>
        <v>0.50819672131147542</v>
      </c>
      <c r="AB70" s="7">
        <v>131</v>
      </c>
      <c r="AC70" s="7">
        <v>252</v>
      </c>
      <c r="AD70" s="7">
        <f t="shared" si="9"/>
        <v>0.51984126984126988</v>
      </c>
      <c r="AE70" s="7">
        <f t="shared" si="14"/>
        <v>0.51816432750292085</v>
      </c>
      <c r="AF70" s="7"/>
      <c r="AG70" s="9">
        <f t="shared" si="15"/>
        <v>85.497114037981945</v>
      </c>
      <c r="AO70" s="3">
        <v>123.66670000000001</v>
      </c>
      <c r="AP70" s="3" t="s">
        <v>54</v>
      </c>
      <c r="AQ70" s="3" t="s">
        <v>52</v>
      </c>
      <c r="BH70" t="s">
        <v>52</v>
      </c>
      <c r="BY70" t="s">
        <v>52</v>
      </c>
      <c r="BZ70">
        <v>1.41</v>
      </c>
      <c r="CA70" t="s">
        <v>285</v>
      </c>
      <c r="CB70">
        <v>1.36</v>
      </c>
      <c r="CC70" t="s">
        <v>285</v>
      </c>
      <c r="CD70">
        <v>1.81</v>
      </c>
      <c r="CE70" t="s">
        <v>284</v>
      </c>
      <c r="CF70">
        <v>1.58</v>
      </c>
      <c r="CG70" t="s">
        <v>284</v>
      </c>
      <c r="CH70">
        <v>1.1100000000000001</v>
      </c>
      <c r="CI70" t="s">
        <v>285</v>
      </c>
      <c r="CN70">
        <v>1.45</v>
      </c>
      <c r="CO70" t="s">
        <v>54</v>
      </c>
      <c r="CP70" t="s">
        <v>52</v>
      </c>
    </row>
    <row r="71" spans="1:94" x14ac:dyDescent="0.25">
      <c r="A71" s="7" t="s">
        <v>84</v>
      </c>
      <c r="B71">
        <v>11</v>
      </c>
      <c r="C71" s="7" t="s">
        <v>96</v>
      </c>
      <c r="D71" t="s">
        <v>50</v>
      </c>
      <c r="G71" t="s">
        <v>51</v>
      </c>
      <c r="H71">
        <v>1</v>
      </c>
      <c r="I71" s="7" t="s">
        <v>53</v>
      </c>
      <c r="J71" s="7">
        <v>11</v>
      </c>
      <c r="K71" s="7">
        <v>2</v>
      </c>
      <c r="L71" t="s">
        <v>52</v>
      </c>
      <c r="M71">
        <v>0.5</v>
      </c>
      <c r="N71">
        <v>0.75</v>
      </c>
      <c r="P71" s="7">
        <v>124</v>
      </c>
      <c r="Q71" s="7">
        <v>228</v>
      </c>
      <c r="R71" s="7">
        <f t="shared" si="16"/>
        <v>0.54385964912280704</v>
      </c>
      <c r="S71" s="7">
        <v>110</v>
      </c>
      <c r="T71" s="7">
        <v>221</v>
      </c>
      <c r="U71" s="7">
        <f t="shared" si="6"/>
        <v>0.49773755656108598</v>
      </c>
      <c r="V71" s="7">
        <v>118</v>
      </c>
      <c r="W71" s="7">
        <v>236</v>
      </c>
      <c r="X71" s="7">
        <f t="shared" si="7"/>
        <v>0.5</v>
      </c>
      <c r="Y71" s="7">
        <v>122</v>
      </c>
      <c r="Z71" s="7">
        <v>244</v>
      </c>
      <c r="AA71" s="7">
        <f t="shared" si="8"/>
        <v>0.5</v>
      </c>
      <c r="AB71" s="7">
        <v>126</v>
      </c>
      <c r="AC71" s="7">
        <v>252</v>
      </c>
      <c r="AD71" s="7">
        <f t="shared" si="9"/>
        <v>0.5</v>
      </c>
      <c r="AE71" s="7">
        <f t="shared" si="14"/>
        <v>0.50831944113677863</v>
      </c>
      <c r="AF71" s="7"/>
      <c r="AG71" s="9">
        <f t="shared" si="15"/>
        <v>83.872707787568473</v>
      </c>
      <c r="AO71" s="3">
        <v>121.33329999999999</v>
      </c>
      <c r="AP71" s="3" t="s">
        <v>54</v>
      </c>
      <c r="AQ71" s="3" t="s">
        <v>52</v>
      </c>
      <c r="BH71" t="s">
        <v>52</v>
      </c>
      <c r="BY71" t="s">
        <v>52</v>
      </c>
      <c r="BZ71">
        <v>2.64</v>
      </c>
      <c r="CA71" t="s">
        <v>285</v>
      </c>
      <c r="CB71">
        <v>2.2799999999999998</v>
      </c>
      <c r="CC71" t="s">
        <v>284</v>
      </c>
      <c r="CD71">
        <v>2.78</v>
      </c>
      <c r="CE71" t="s">
        <v>284</v>
      </c>
      <c r="CF71">
        <v>2.42</v>
      </c>
      <c r="CG71" t="s">
        <v>284</v>
      </c>
      <c r="CH71">
        <v>2.08</v>
      </c>
      <c r="CI71" t="s">
        <v>284</v>
      </c>
      <c r="CN71">
        <v>2.4500000000000002</v>
      </c>
      <c r="CO71" t="s">
        <v>54</v>
      </c>
      <c r="CP71" t="s">
        <v>52</v>
      </c>
    </row>
    <row r="72" spans="1:94" x14ac:dyDescent="0.25">
      <c r="A72" s="7" t="s">
        <v>84</v>
      </c>
      <c r="B72">
        <v>11</v>
      </c>
      <c r="C72" s="7" t="s">
        <v>97</v>
      </c>
      <c r="D72" t="s">
        <v>50</v>
      </c>
      <c r="G72" t="s">
        <v>51</v>
      </c>
      <c r="H72">
        <v>1</v>
      </c>
      <c r="I72" s="7" t="s">
        <v>53</v>
      </c>
      <c r="J72" s="7">
        <v>11</v>
      </c>
      <c r="K72" s="7">
        <v>2</v>
      </c>
      <c r="L72" t="s">
        <v>52</v>
      </c>
      <c r="M72">
        <v>0.5</v>
      </c>
      <c r="N72">
        <v>0.75</v>
      </c>
      <c r="P72" s="7">
        <v>124</v>
      </c>
      <c r="Q72" s="7">
        <v>228</v>
      </c>
      <c r="R72" s="7">
        <f t="shared" si="16"/>
        <v>0.54385964912280704</v>
      </c>
      <c r="S72" s="7">
        <v>110</v>
      </c>
      <c r="T72" s="7">
        <v>221</v>
      </c>
      <c r="U72" s="7">
        <f t="shared" ref="U72:U103" si="17">S72/T72</f>
        <v>0.49773755656108598</v>
      </c>
      <c r="V72" s="7">
        <v>118</v>
      </c>
      <c r="W72" s="7">
        <v>236</v>
      </c>
      <c r="X72" s="7">
        <f t="shared" ref="X72:X103" si="18">V72/W72</f>
        <v>0.5</v>
      </c>
      <c r="Y72" s="7">
        <v>122</v>
      </c>
      <c r="Z72" s="7">
        <v>244</v>
      </c>
      <c r="AA72" s="7">
        <f t="shared" ref="AA72:AA103" si="19">Y72/Z72</f>
        <v>0.5</v>
      </c>
      <c r="AB72" s="7">
        <v>126</v>
      </c>
      <c r="AC72" s="7">
        <v>252</v>
      </c>
      <c r="AD72" s="7">
        <f t="shared" ref="AD72:AD103" si="20">AB72/AC72</f>
        <v>0.5</v>
      </c>
      <c r="AE72" s="7">
        <f t="shared" si="14"/>
        <v>0.50831944113677863</v>
      </c>
      <c r="AF72" s="7"/>
      <c r="AG72" s="9">
        <f t="shared" si="15"/>
        <v>83.872707787568473</v>
      </c>
      <c r="AO72" s="3">
        <v>121.33329999999999</v>
      </c>
      <c r="AP72" s="3" t="s">
        <v>54</v>
      </c>
      <c r="AQ72" s="3" t="s">
        <v>52</v>
      </c>
      <c r="BH72" t="s">
        <v>52</v>
      </c>
      <c r="BY72" t="s">
        <v>52</v>
      </c>
      <c r="BZ72">
        <v>2.64</v>
      </c>
      <c r="CA72" t="s">
        <v>285</v>
      </c>
      <c r="CB72">
        <v>2.2799999999999998</v>
      </c>
      <c r="CC72" t="s">
        <v>284</v>
      </c>
      <c r="CD72">
        <v>2.78</v>
      </c>
      <c r="CE72" t="s">
        <v>284</v>
      </c>
      <c r="CF72">
        <v>2.42</v>
      </c>
      <c r="CG72" t="s">
        <v>284</v>
      </c>
      <c r="CH72">
        <v>2.2799999999999998</v>
      </c>
      <c r="CI72" t="s">
        <v>284</v>
      </c>
      <c r="CN72">
        <v>2.4500000000000002</v>
      </c>
      <c r="CO72" t="s">
        <v>54</v>
      </c>
      <c r="CP72" t="s">
        <v>52</v>
      </c>
    </row>
    <row r="73" spans="1:94" customFormat="1" ht="15" hidden="1" x14ac:dyDescent="0.25">
      <c r="A73" t="s">
        <v>144</v>
      </c>
      <c r="B73">
        <v>81</v>
      </c>
      <c r="C73" t="s">
        <v>69</v>
      </c>
      <c r="D73" t="s">
        <v>50</v>
      </c>
      <c r="G73" t="s">
        <v>52</v>
      </c>
      <c r="H73">
        <v>1</v>
      </c>
      <c r="I73" t="s">
        <v>53</v>
      </c>
      <c r="J73">
        <v>81</v>
      </c>
      <c r="K73">
        <v>1</v>
      </c>
      <c r="L73" t="s">
        <v>52</v>
      </c>
      <c r="M73">
        <v>0.67</v>
      </c>
      <c r="N73">
        <v>0.92</v>
      </c>
      <c r="P73">
        <v>228</v>
      </c>
      <c r="Q73">
        <v>228</v>
      </c>
      <c r="R73">
        <f t="shared" si="16"/>
        <v>1</v>
      </c>
      <c r="S73">
        <v>198.9</v>
      </c>
      <c r="T73">
        <v>221</v>
      </c>
      <c r="U73">
        <f t="shared" si="17"/>
        <v>0.9</v>
      </c>
      <c r="W73">
        <v>236</v>
      </c>
      <c r="X73">
        <f t="shared" si="18"/>
        <v>0</v>
      </c>
      <c r="Z73">
        <v>244</v>
      </c>
      <c r="AA73">
        <f t="shared" si="19"/>
        <v>0</v>
      </c>
      <c r="AC73">
        <v>252</v>
      </c>
      <c r="AD73">
        <f t="shared" si="20"/>
        <v>0</v>
      </c>
      <c r="AQ73" t="s">
        <v>52</v>
      </c>
      <c r="BH73" t="s">
        <v>52</v>
      </c>
      <c r="BY73" t="s">
        <v>52</v>
      </c>
      <c r="BZ73">
        <v>0.93</v>
      </c>
      <c r="CA73" t="s">
        <v>285</v>
      </c>
      <c r="CB73">
        <v>0.72</v>
      </c>
      <c r="CC73" t="s">
        <v>284</v>
      </c>
      <c r="CP73" t="s">
        <v>52</v>
      </c>
    </row>
    <row r="74" spans="1:94" customFormat="1" ht="15" hidden="1" x14ac:dyDescent="0.25">
      <c r="A74" t="s">
        <v>144</v>
      </c>
      <c r="B74">
        <v>81</v>
      </c>
      <c r="C74" t="s">
        <v>205</v>
      </c>
      <c r="D74" t="s">
        <v>50</v>
      </c>
      <c r="G74" t="s">
        <v>51</v>
      </c>
      <c r="H74">
        <v>1</v>
      </c>
      <c r="I74" t="s">
        <v>53</v>
      </c>
      <c r="J74">
        <v>81</v>
      </c>
      <c r="K74">
        <v>1</v>
      </c>
      <c r="L74" t="s">
        <v>52</v>
      </c>
      <c r="M74">
        <v>0.67</v>
      </c>
      <c r="N74">
        <v>0.92</v>
      </c>
      <c r="P74">
        <v>228</v>
      </c>
      <c r="Q74">
        <v>228</v>
      </c>
      <c r="R74">
        <f t="shared" si="16"/>
        <v>1</v>
      </c>
      <c r="S74">
        <v>198.9</v>
      </c>
      <c r="T74">
        <v>221</v>
      </c>
      <c r="U74">
        <f t="shared" si="17"/>
        <v>0.9</v>
      </c>
      <c r="W74">
        <v>236</v>
      </c>
      <c r="X74">
        <f t="shared" si="18"/>
        <v>0</v>
      </c>
      <c r="Z74">
        <v>244</v>
      </c>
      <c r="AA74">
        <f t="shared" si="19"/>
        <v>0</v>
      </c>
      <c r="AC74">
        <v>252</v>
      </c>
      <c r="AD74">
        <f t="shared" si="20"/>
        <v>0</v>
      </c>
      <c r="AQ74" t="s">
        <v>52</v>
      </c>
      <c r="BH74" t="s">
        <v>52</v>
      </c>
      <c r="BY74" t="s">
        <v>52</v>
      </c>
      <c r="BZ74">
        <v>1.85</v>
      </c>
      <c r="CA74" t="s">
        <v>284</v>
      </c>
      <c r="CB74">
        <v>1.34</v>
      </c>
      <c r="CC74" t="s">
        <v>284</v>
      </c>
      <c r="CP74" t="s">
        <v>52</v>
      </c>
    </row>
    <row r="75" spans="1:94" x14ac:dyDescent="0.25">
      <c r="A75" s="7" t="s">
        <v>84</v>
      </c>
      <c r="B75">
        <v>11</v>
      </c>
      <c r="C75" s="7" t="s">
        <v>98</v>
      </c>
      <c r="D75" t="s">
        <v>50</v>
      </c>
      <c r="G75" t="s">
        <v>51</v>
      </c>
      <c r="H75">
        <v>1</v>
      </c>
      <c r="I75" s="7" t="s">
        <v>53</v>
      </c>
      <c r="J75" s="7">
        <v>11</v>
      </c>
      <c r="K75" s="7">
        <v>2</v>
      </c>
      <c r="L75" t="s">
        <v>52</v>
      </c>
      <c r="M75">
        <v>0.5</v>
      </c>
      <c r="N75">
        <v>0.75</v>
      </c>
      <c r="P75" s="7">
        <v>124</v>
      </c>
      <c r="Q75" s="7">
        <v>228</v>
      </c>
      <c r="R75" s="7">
        <f t="shared" si="16"/>
        <v>0.54385964912280704</v>
      </c>
      <c r="S75" s="7">
        <v>110</v>
      </c>
      <c r="T75" s="7">
        <v>221</v>
      </c>
      <c r="U75" s="7">
        <f t="shared" si="17"/>
        <v>0.49773755656108598</v>
      </c>
      <c r="V75" s="7">
        <v>118</v>
      </c>
      <c r="W75" s="7">
        <v>236</v>
      </c>
      <c r="X75" s="7">
        <f t="shared" si="18"/>
        <v>0.5</v>
      </c>
      <c r="Y75" s="7">
        <v>122</v>
      </c>
      <c r="Z75" s="7">
        <v>244</v>
      </c>
      <c r="AA75" s="7">
        <f t="shared" si="19"/>
        <v>0.5</v>
      </c>
      <c r="AB75" s="7">
        <v>126</v>
      </c>
      <c r="AC75" s="7">
        <v>252</v>
      </c>
      <c r="AD75" s="7">
        <f t="shared" si="20"/>
        <v>0.5</v>
      </c>
      <c r="AE75" s="7">
        <f>AVERAGE(R75,U75,X75,AA75,AD75)</f>
        <v>0.50831944113677863</v>
      </c>
      <c r="AF75" s="7"/>
      <c r="AG75" s="9">
        <f>AE75*$AI$1</f>
        <v>83.872707787568473</v>
      </c>
      <c r="AO75" s="3">
        <v>121.33329999999999</v>
      </c>
      <c r="AP75" s="3" t="s">
        <v>54</v>
      </c>
      <c r="AQ75" s="3" t="s">
        <v>52</v>
      </c>
      <c r="BH75" t="s">
        <v>52</v>
      </c>
      <c r="BY75" t="s">
        <v>52</v>
      </c>
      <c r="BZ75">
        <v>2.64</v>
      </c>
      <c r="CA75" t="s">
        <v>285</v>
      </c>
      <c r="CB75">
        <v>2.2799999999999998</v>
      </c>
      <c r="CC75" t="s">
        <v>284</v>
      </c>
      <c r="CD75">
        <v>2.78</v>
      </c>
      <c r="CE75" t="s">
        <v>284</v>
      </c>
      <c r="CF75">
        <v>2.42</v>
      </c>
      <c r="CG75" t="s">
        <v>284</v>
      </c>
      <c r="CH75">
        <v>2.2799999999999998</v>
      </c>
      <c r="CI75" t="s">
        <v>284</v>
      </c>
      <c r="CN75">
        <v>2.4500000000000002</v>
      </c>
      <c r="CO75" t="s">
        <v>54</v>
      </c>
      <c r="CP75" t="s">
        <v>52</v>
      </c>
    </row>
    <row r="76" spans="1:94" x14ac:dyDescent="0.25">
      <c r="A76" s="7" t="s">
        <v>84</v>
      </c>
      <c r="B76">
        <v>11</v>
      </c>
      <c r="C76" s="7" t="s">
        <v>196</v>
      </c>
      <c r="D76" t="s">
        <v>50</v>
      </c>
      <c r="G76" t="s">
        <v>51</v>
      </c>
      <c r="H76">
        <v>1</v>
      </c>
      <c r="I76" s="7" t="s">
        <v>53</v>
      </c>
      <c r="J76" s="7">
        <v>11</v>
      </c>
      <c r="K76" s="7">
        <v>2</v>
      </c>
      <c r="L76" t="s">
        <v>52</v>
      </c>
      <c r="M76">
        <v>0.5</v>
      </c>
      <c r="N76">
        <v>0.75</v>
      </c>
      <c r="P76" s="7">
        <v>124</v>
      </c>
      <c r="Q76" s="7">
        <v>228</v>
      </c>
      <c r="R76" s="7">
        <f t="shared" si="16"/>
        <v>0.54385964912280704</v>
      </c>
      <c r="S76" s="7">
        <v>110</v>
      </c>
      <c r="T76" s="7">
        <v>221</v>
      </c>
      <c r="U76" s="7">
        <f t="shared" si="17"/>
        <v>0.49773755656108598</v>
      </c>
      <c r="V76" s="7">
        <v>118</v>
      </c>
      <c r="W76" s="7">
        <v>236</v>
      </c>
      <c r="X76" s="7">
        <f t="shared" si="18"/>
        <v>0.5</v>
      </c>
      <c r="Y76" s="7">
        <v>122</v>
      </c>
      <c r="Z76" s="7">
        <v>244</v>
      </c>
      <c r="AA76" s="7">
        <f t="shared" si="19"/>
        <v>0.5</v>
      </c>
      <c r="AB76" s="7">
        <v>126</v>
      </c>
      <c r="AC76" s="7">
        <v>252</v>
      </c>
      <c r="AD76" s="7">
        <f t="shared" si="20"/>
        <v>0.5</v>
      </c>
      <c r="AE76" s="7">
        <f>AVERAGE(R76,U76,X76,AA76,AD76)</f>
        <v>0.50831944113677863</v>
      </c>
      <c r="AF76" s="7"/>
      <c r="AG76" s="9">
        <f>AE76*$AI$1</f>
        <v>83.872707787568473</v>
      </c>
      <c r="AO76" s="3">
        <v>121.33329999999999</v>
      </c>
      <c r="AP76" s="3" t="s">
        <v>54</v>
      </c>
      <c r="AQ76" s="3" t="s">
        <v>52</v>
      </c>
      <c r="BH76" t="s">
        <v>52</v>
      </c>
      <c r="BY76" t="s">
        <v>52</v>
      </c>
      <c r="CP76" t="s">
        <v>52</v>
      </c>
    </row>
    <row r="77" spans="1:94" x14ac:dyDescent="0.25">
      <c r="A77" s="7" t="s">
        <v>75</v>
      </c>
      <c r="B77">
        <v>16</v>
      </c>
      <c r="C77" s="7" t="s">
        <v>76</v>
      </c>
      <c r="D77" t="s">
        <v>50</v>
      </c>
      <c r="G77" t="s">
        <v>51</v>
      </c>
      <c r="H77">
        <v>1</v>
      </c>
      <c r="I77" s="7" t="s">
        <v>53</v>
      </c>
      <c r="J77" s="7">
        <v>16</v>
      </c>
      <c r="K77" s="7">
        <v>2</v>
      </c>
      <c r="L77" t="s">
        <v>52</v>
      </c>
      <c r="M77">
        <v>0.5</v>
      </c>
      <c r="N77">
        <v>0.75</v>
      </c>
      <c r="P77" s="7">
        <v>83.35</v>
      </c>
      <c r="Q77" s="7">
        <v>228</v>
      </c>
      <c r="R77" s="7">
        <f t="shared" si="16"/>
        <v>0.36557017543859649</v>
      </c>
      <c r="S77" s="7">
        <v>96.14</v>
      </c>
      <c r="T77" s="7">
        <v>221</v>
      </c>
      <c r="U77" s="7">
        <f t="shared" si="17"/>
        <v>0.43502262443438916</v>
      </c>
      <c r="V77" s="7">
        <v>103.37</v>
      </c>
      <c r="W77" s="7">
        <v>236</v>
      </c>
      <c r="X77" s="7">
        <f t="shared" si="18"/>
        <v>0.43800847457627118</v>
      </c>
      <c r="Y77" s="7">
        <v>106.14</v>
      </c>
      <c r="Z77" s="7">
        <v>244</v>
      </c>
      <c r="AA77" s="7">
        <f t="shared" si="19"/>
        <v>0.435</v>
      </c>
      <c r="AB77" s="7">
        <v>128</v>
      </c>
      <c r="AC77" s="7">
        <v>252</v>
      </c>
      <c r="AD77" s="7">
        <f t="shared" si="20"/>
        <v>0.50793650793650791</v>
      </c>
      <c r="AE77" s="7">
        <f>AVERAGE(R77,U77,X77,AA77,AD77)</f>
        <v>0.43630755647715291</v>
      </c>
      <c r="AF77" s="7"/>
      <c r="AG77" s="9">
        <f>AE77*$AI$1</f>
        <v>71.99074681873023</v>
      </c>
      <c r="AO77" s="3">
        <v>101.88330000000001</v>
      </c>
      <c r="AP77" s="3" t="s">
        <v>54</v>
      </c>
      <c r="AQ77" s="3" t="s">
        <v>52</v>
      </c>
      <c r="BF77">
        <v>146.69999999999999</v>
      </c>
      <c r="BG77" t="s">
        <v>285</v>
      </c>
      <c r="BH77" t="s">
        <v>287</v>
      </c>
      <c r="BY77" t="s">
        <v>52</v>
      </c>
      <c r="BZ77">
        <v>1.85</v>
      </c>
      <c r="CA77" t="s">
        <v>284</v>
      </c>
      <c r="CB77">
        <v>1.1399999999999999</v>
      </c>
      <c r="CC77" t="s">
        <v>284</v>
      </c>
      <c r="CD77">
        <v>0.95</v>
      </c>
      <c r="CE77" t="s">
        <v>284</v>
      </c>
      <c r="CF77">
        <v>1.55</v>
      </c>
      <c r="CG77" t="s">
        <v>284</v>
      </c>
      <c r="CH77">
        <v>1.81</v>
      </c>
      <c r="CI77" t="s">
        <v>289</v>
      </c>
      <c r="CN77">
        <v>1.5</v>
      </c>
      <c r="CO77" t="s">
        <v>54</v>
      </c>
      <c r="CP77" t="s">
        <v>52</v>
      </c>
    </row>
    <row r="78" spans="1:94" x14ac:dyDescent="0.25">
      <c r="A78" s="7" t="s">
        <v>79</v>
      </c>
      <c r="B78">
        <v>50</v>
      </c>
      <c r="C78" s="7" t="s">
        <v>100</v>
      </c>
      <c r="D78" t="s">
        <v>50</v>
      </c>
      <c r="G78" t="s">
        <v>51</v>
      </c>
      <c r="H78">
        <v>1</v>
      </c>
      <c r="I78" s="7" t="s">
        <v>53</v>
      </c>
      <c r="J78" s="7">
        <v>50</v>
      </c>
      <c r="K78" s="7">
        <v>1</v>
      </c>
      <c r="L78" t="s">
        <v>52</v>
      </c>
      <c r="M78">
        <v>0.5</v>
      </c>
      <c r="N78">
        <v>0.75</v>
      </c>
      <c r="P78" s="7">
        <v>85</v>
      </c>
      <c r="Q78" s="7">
        <v>228</v>
      </c>
      <c r="R78" s="7">
        <f t="shared" si="16"/>
        <v>0.37280701754385964</v>
      </c>
      <c r="S78" s="7">
        <v>93</v>
      </c>
      <c r="T78" s="7">
        <v>221</v>
      </c>
      <c r="U78" s="7">
        <f t="shared" si="17"/>
        <v>0.42081447963800905</v>
      </c>
      <c r="V78" s="7">
        <v>89.7</v>
      </c>
      <c r="W78" s="7">
        <v>236</v>
      </c>
      <c r="X78" s="7">
        <f t="shared" si="18"/>
        <v>0.3800847457627119</v>
      </c>
      <c r="Y78" s="7">
        <v>92.72</v>
      </c>
      <c r="Z78" s="7">
        <v>244</v>
      </c>
      <c r="AA78" s="7">
        <f t="shared" si="19"/>
        <v>0.38</v>
      </c>
      <c r="AB78" s="7">
        <v>109</v>
      </c>
      <c r="AC78" s="7">
        <v>252</v>
      </c>
      <c r="AD78" s="7">
        <f t="shared" si="20"/>
        <v>0.43253968253968256</v>
      </c>
      <c r="AE78" s="7">
        <f>AVERAGE(R78,U78,X78,AA78,AD78)</f>
        <v>0.39724918509685259</v>
      </c>
      <c r="AF78" s="7"/>
      <c r="AG78" s="9">
        <f>AE78*$AI$1</f>
        <v>65.546115540980679</v>
      </c>
      <c r="AO78" s="3">
        <v>91.806700000000006</v>
      </c>
      <c r="AP78" s="3" t="s">
        <v>54</v>
      </c>
      <c r="AQ78" s="3" t="s">
        <v>52</v>
      </c>
      <c r="BH78" t="s">
        <v>52</v>
      </c>
      <c r="BY78" t="s">
        <v>52</v>
      </c>
      <c r="BZ78">
        <v>2.6</v>
      </c>
      <c r="CA78" t="s">
        <v>289</v>
      </c>
      <c r="CB78">
        <v>1.22</v>
      </c>
      <c r="CC78" t="s">
        <v>284</v>
      </c>
      <c r="CD78">
        <v>1.76</v>
      </c>
      <c r="CE78" t="s">
        <v>284</v>
      </c>
      <c r="CF78">
        <v>1.67</v>
      </c>
      <c r="CG78" t="s">
        <v>284</v>
      </c>
      <c r="CH78">
        <v>2.19</v>
      </c>
      <c r="CI78" t="s">
        <v>289</v>
      </c>
      <c r="CN78">
        <v>1.87</v>
      </c>
      <c r="CO78" t="s">
        <v>54</v>
      </c>
      <c r="CP78" t="s">
        <v>52</v>
      </c>
    </row>
    <row r="79" spans="1:94" customFormat="1" ht="15" hidden="1" x14ac:dyDescent="0.25">
      <c r="A79" t="s">
        <v>84</v>
      </c>
      <c r="B79">
        <v>11</v>
      </c>
      <c r="C79" t="s">
        <v>108</v>
      </c>
      <c r="D79" t="s">
        <v>50</v>
      </c>
      <c r="G79" t="s">
        <v>51</v>
      </c>
      <c r="H79">
        <v>1</v>
      </c>
      <c r="I79" t="s">
        <v>53</v>
      </c>
      <c r="J79">
        <v>11</v>
      </c>
      <c r="K79">
        <v>2</v>
      </c>
      <c r="L79" t="s">
        <v>52</v>
      </c>
      <c r="M79">
        <v>0.5</v>
      </c>
      <c r="N79">
        <v>0.75</v>
      </c>
      <c r="P79">
        <v>124</v>
      </c>
      <c r="Q79">
        <v>228</v>
      </c>
      <c r="R79">
        <f t="shared" si="16"/>
        <v>0.54385964912280704</v>
      </c>
      <c r="S79">
        <v>110</v>
      </c>
      <c r="T79">
        <v>221</v>
      </c>
      <c r="U79">
        <f t="shared" si="17"/>
        <v>0.49773755656108598</v>
      </c>
      <c r="W79">
        <v>236</v>
      </c>
      <c r="X79">
        <f t="shared" si="18"/>
        <v>0</v>
      </c>
      <c r="Z79">
        <v>244</v>
      </c>
      <c r="AA79">
        <f t="shared" si="19"/>
        <v>0</v>
      </c>
      <c r="AC79">
        <v>252</v>
      </c>
      <c r="AD79">
        <f t="shared" si="20"/>
        <v>0</v>
      </c>
      <c r="AQ79" t="s">
        <v>52</v>
      </c>
      <c r="BH79" t="s">
        <v>52</v>
      </c>
      <c r="BY79" t="s">
        <v>52</v>
      </c>
      <c r="BZ79">
        <v>1.1100000000000001</v>
      </c>
      <c r="CA79" t="s">
        <v>285</v>
      </c>
      <c r="CB79">
        <v>1.08</v>
      </c>
      <c r="CC79" t="s">
        <v>284</v>
      </c>
      <c r="CP79" t="s">
        <v>52</v>
      </c>
    </row>
    <row r="80" spans="1:94" x14ac:dyDescent="0.25">
      <c r="A80" s="7" t="s">
        <v>79</v>
      </c>
      <c r="B80">
        <v>50</v>
      </c>
      <c r="C80" s="7" t="s">
        <v>80</v>
      </c>
      <c r="D80" t="s">
        <v>50</v>
      </c>
      <c r="G80" t="s">
        <v>51</v>
      </c>
      <c r="H80">
        <v>1</v>
      </c>
      <c r="I80" s="7" t="s">
        <v>53</v>
      </c>
      <c r="J80" s="7">
        <v>50</v>
      </c>
      <c r="K80" s="7">
        <v>1</v>
      </c>
      <c r="L80" t="s">
        <v>52</v>
      </c>
      <c r="M80">
        <v>0.5</v>
      </c>
      <c r="N80">
        <v>0.75</v>
      </c>
      <c r="P80" s="7">
        <v>85</v>
      </c>
      <c r="Q80" s="7">
        <v>228</v>
      </c>
      <c r="R80" s="7">
        <f t="shared" si="16"/>
        <v>0.37280701754385964</v>
      </c>
      <c r="S80" s="7">
        <v>93</v>
      </c>
      <c r="T80" s="7">
        <v>221</v>
      </c>
      <c r="U80" s="7">
        <f t="shared" si="17"/>
        <v>0.42081447963800905</v>
      </c>
      <c r="V80" s="7">
        <v>89.7</v>
      </c>
      <c r="W80" s="7">
        <v>236</v>
      </c>
      <c r="X80" s="7">
        <f t="shared" si="18"/>
        <v>0.3800847457627119</v>
      </c>
      <c r="Y80" s="7">
        <v>92.72</v>
      </c>
      <c r="Z80" s="7">
        <v>244</v>
      </c>
      <c r="AA80" s="7">
        <f t="shared" si="19"/>
        <v>0.38</v>
      </c>
      <c r="AB80" s="7">
        <v>109</v>
      </c>
      <c r="AC80" s="7">
        <v>252</v>
      </c>
      <c r="AD80" s="7">
        <f t="shared" si="20"/>
        <v>0.43253968253968256</v>
      </c>
      <c r="AE80" s="7">
        <f>AVERAGE(R80,U80,X80,AA80,AD80)</f>
        <v>0.39724918509685259</v>
      </c>
      <c r="AF80" s="7"/>
      <c r="AG80" s="9">
        <f>AE80*$AI$1</f>
        <v>65.546115540980679</v>
      </c>
      <c r="AO80" s="3">
        <v>91.806700000000006</v>
      </c>
      <c r="AP80" s="3" t="s">
        <v>54</v>
      </c>
      <c r="AQ80" s="3" t="s">
        <v>52</v>
      </c>
      <c r="BH80" t="s">
        <v>52</v>
      </c>
      <c r="BY80" t="s">
        <v>52</v>
      </c>
      <c r="BZ80">
        <v>4.4800000000000004</v>
      </c>
      <c r="CA80" t="s">
        <v>289</v>
      </c>
      <c r="CB80">
        <v>2.0299999999999998</v>
      </c>
      <c r="CC80" t="s">
        <v>284</v>
      </c>
      <c r="CD80">
        <v>2.93</v>
      </c>
      <c r="CE80" t="s">
        <v>284</v>
      </c>
      <c r="CF80">
        <v>2.78</v>
      </c>
      <c r="CG80" t="s">
        <v>284</v>
      </c>
      <c r="CH80">
        <v>3.64</v>
      </c>
      <c r="CI80" t="s">
        <v>289</v>
      </c>
      <c r="CN80">
        <v>3.12</v>
      </c>
      <c r="CO80" t="s">
        <v>54</v>
      </c>
      <c r="CP80" t="s">
        <v>52</v>
      </c>
    </row>
    <row r="81" spans="1:94" x14ac:dyDescent="0.25">
      <c r="A81" s="7" t="s">
        <v>79</v>
      </c>
      <c r="B81">
        <v>50</v>
      </c>
      <c r="C81" s="7" t="s">
        <v>65</v>
      </c>
      <c r="D81" t="s">
        <v>50</v>
      </c>
      <c r="G81" t="s">
        <v>51</v>
      </c>
      <c r="H81">
        <v>1</v>
      </c>
      <c r="I81" s="7" t="s">
        <v>53</v>
      </c>
      <c r="J81" s="7">
        <v>50</v>
      </c>
      <c r="K81" s="7">
        <v>1</v>
      </c>
      <c r="L81" t="s">
        <v>52</v>
      </c>
      <c r="M81">
        <v>0.5</v>
      </c>
      <c r="N81">
        <v>0.75</v>
      </c>
      <c r="P81" s="7">
        <v>85</v>
      </c>
      <c r="Q81" s="7">
        <v>228</v>
      </c>
      <c r="R81" s="7">
        <f t="shared" si="16"/>
        <v>0.37280701754385964</v>
      </c>
      <c r="S81" s="7">
        <v>93</v>
      </c>
      <c r="T81" s="7">
        <v>221</v>
      </c>
      <c r="U81" s="7">
        <f t="shared" si="17"/>
        <v>0.42081447963800905</v>
      </c>
      <c r="V81" s="7">
        <v>89.7</v>
      </c>
      <c r="W81" s="7">
        <v>236</v>
      </c>
      <c r="X81" s="7">
        <f t="shared" si="18"/>
        <v>0.3800847457627119</v>
      </c>
      <c r="Y81" s="7">
        <v>92.72</v>
      </c>
      <c r="Z81" s="7">
        <v>244</v>
      </c>
      <c r="AA81" s="7">
        <f t="shared" si="19"/>
        <v>0.38</v>
      </c>
      <c r="AB81" s="7">
        <v>109</v>
      </c>
      <c r="AC81" s="7">
        <v>252</v>
      </c>
      <c r="AD81" s="7">
        <f t="shared" si="20"/>
        <v>0.43253968253968256</v>
      </c>
      <c r="AE81" s="7">
        <f>AVERAGE(R81,U81,X81,AA81,AD81)</f>
        <v>0.39724918509685259</v>
      </c>
      <c r="AF81" s="7"/>
      <c r="AG81" s="9">
        <f>AE81*$AI$1</f>
        <v>65.546115540980679</v>
      </c>
      <c r="AO81" s="3">
        <v>91.806700000000006</v>
      </c>
      <c r="AP81" s="3" t="s">
        <v>54</v>
      </c>
      <c r="AQ81" s="3" t="s">
        <v>52</v>
      </c>
      <c r="BH81" t="s">
        <v>52</v>
      </c>
      <c r="BY81" t="s">
        <v>52</v>
      </c>
      <c r="BZ81">
        <v>3.57</v>
      </c>
      <c r="CA81" t="s">
        <v>289</v>
      </c>
      <c r="CB81">
        <v>1.74</v>
      </c>
      <c r="CC81" t="s">
        <v>284</v>
      </c>
      <c r="CD81">
        <v>2.5099999999999998</v>
      </c>
      <c r="CE81" t="s">
        <v>284</v>
      </c>
      <c r="CF81">
        <v>2.38</v>
      </c>
      <c r="CG81" t="s">
        <v>284</v>
      </c>
      <c r="CH81">
        <v>3.12</v>
      </c>
      <c r="CI81" t="s">
        <v>289</v>
      </c>
      <c r="CN81">
        <v>2.67</v>
      </c>
      <c r="CO81" t="s">
        <v>54</v>
      </c>
      <c r="CP81" t="s">
        <v>52</v>
      </c>
    </row>
    <row r="82" spans="1:94" x14ac:dyDescent="0.25">
      <c r="A82" s="7" t="s">
        <v>79</v>
      </c>
      <c r="B82">
        <v>50</v>
      </c>
      <c r="C82" s="7" t="s">
        <v>81</v>
      </c>
      <c r="D82" t="s">
        <v>50</v>
      </c>
      <c r="G82" t="s">
        <v>51</v>
      </c>
      <c r="H82">
        <v>1</v>
      </c>
      <c r="I82" s="7" t="s">
        <v>53</v>
      </c>
      <c r="J82" s="7">
        <v>50</v>
      </c>
      <c r="K82" s="7">
        <v>1</v>
      </c>
      <c r="L82" t="s">
        <v>52</v>
      </c>
      <c r="M82">
        <v>0.5</v>
      </c>
      <c r="N82">
        <v>0.75</v>
      </c>
      <c r="P82" s="7">
        <v>85</v>
      </c>
      <c r="Q82" s="7">
        <v>228</v>
      </c>
      <c r="R82" s="7">
        <f t="shared" si="16"/>
        <v>0.37280701754385964</v>
      </c>
      <c r="S82" s="7">
        <v>93</v>
      </c>
      <c r="T82" s="7">
        <v>221</v>
      </c>
      <c r="U82" s="7">
        <f t="shared" si="17"/>
        <v>0.42081447963800905</v>
      </c>
      <c r="V82" s="7">
        <v>89.7</v>
      </c>
      <c r="W82" s="7">
        <v>236</v>
      </c>
      <c r="X82" s="7">
        <f t="shared" si="18"/>
        <v>0.3800847457627119</v>
      </c>
      <c r="Y82" s="7">
        <v>92.72</v>
      </c>
      <c r="Z82" s="7">
        <v>244</v>
      </c>
      <c r="AA82" s="7">
        <f t="shared" si="19"/>
        <v>0.38</v>
      </c>
      <c r="AB82" s="7">
        <v>109</v>
      </c>
      <c r="AC82" s="7">
        <v>252</v>
      </c>
      <c r="AD82" s="7">
        <f t="shared" si="20"/>
        <v>0.43253968253968256</v>
      </c>
      <c r="AE82" s="7">
        <f>AVERAGE(R82,U82,X82,AA82,AD82)</f>
        <v>0.39724918509685259</v>
      </c>
      <c r="AF82" s="7"/>
      <c r="AG82" s="9">
        <f>AE82*$AI$1</f>
        <v>65.546115540980679</v>
      </c>
      <c r="AO82" s="3">
        <v>91.806700000000006</v>
      </c>
      <c r="AP82" s="3" t="s">
        <v>54</v>
      </c>
      <c r="AQ82" s="3" t="s">
        <v>52</v>
      </c>
      <c r="BH82" t="s">
        <v>52</v>
      </c>
      <c r="BY82" t="s">
        <v>52</v>
      </c>
      <c r="BZ82">
        <v>2.74</v>
      </c>
      <c r="CA82" t="s">
        <v>289</v>
      </c>
      <c r="CB82">
        <v>1.59</v>
      </c>
      <c r="CC82" t="s">
        <v>284</v>
      </c>
      <c r="CD82">
        <v>2.29</v>
      </c>
      <c r="CE82" t="s">
        <v>284</v>
      </c>
      <c r="CF82">
        <v>2.17</v>
      </c>
      <c r="CG82" t="s">
        <v>284</v>
      </c>
      <c r="CH82">
        <v>2.84</v>
      </c>
      <c r="CI82" t="s">
        <v>289</v>
      </c>
      <c r="CN82">
        <v>2.4</v>
      </c>
      <c r="CO82" t="s">
        <v>54</v>
      </c>
      <c r="CP82" t="s">
        <v>52</v>
      </c>
    </row>
  </sheetData>
  <autoFilter ref="A1:AQ82" xr:uid="{DAD897DF-4857-45A5-B37C-EF49DE6B2D13}">
    <filterColumn colId="40">
      <customFilters>
        <customFilter operator="notEqual" val=" "/>
      </customFilters>
    </filterColumn>
  </autoFilter>
  <sortState xmlns:xlrd2="http://schemas.microsoft.com/office/spreadsheetml/2017/richdata2" ref="A2:CR82">
    <sortCondition descending="1" ref="AE2:AE82"/>
  </sortState>
  <pageMargins left="0.25" right="0.25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5C42-64DB-4373-8677-254A2969711E}">
  <sheetPr filterMode="1"/>
  <dimension ref="A1:CP82"/>
  <sheetViews>
    <sheetView workbookViewId="0">
      <pane ySplit="1" topLeftCell="A24" activePane="bottomLeft" state="frozen"/>
      <selection pane="bottomLeft" sqref="A1:AH82"/>
    </sheetView>
  </sheetViews>
  <sheetFormatPr defaultRowHeight="15.75" x14ac:dyDescent="0.25"/>
  <cols>
    <col min="1" max="1" width="24" style="3" customWidth="1"/>
    <col min="2" max="2" width="0" hidden="1" customWidth="1"/>
    <col min="3" max="3" width="9.140625" style="3"/>
    <col min="4" max="8" width="0" hidden="1" customWidth="1"/>
    <col min="9" max="11" width="9.140625" style="3"/>
    <col min="12" max="14" width="0" hidden="1" customWidth="1"/>
    <col min="15" max="15" width="9.140625" hidden="1" customWidth="1"/>
    <col min="16" max="16" width="9.140625" style="3" hidden="1" customWidth="1"/>
    <col min="17" max="32" width="0" style="3" hidden="1" customWidth="1"/>
    <col min="33" max="35" width="14.42578125" style="3" customWidth="1"/>
    <col min="36" max="43" width="9.140625" style="3" hidden="1" customWidth="1"/>
    <col min="44" max="94" width="9.140625" hidden="1" customWidth="1"/>
    <col min="95" max="16384" width="9.140625" style="3"/>
  </cols>
  <sheetData>
    <row r="1" spans="1:94" s="4" customFormat="1" ht="94.5" x14ac:dyDescent="0.25">
      <c r="A1" s="6" t="s">
        <v>6</v>
      </c>
      <c r="B1" s="2" t="s">
        <v>7</v>
      </c>
      <c r="C1" s="6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6" t="s">
        <v>307</v>
      </c>
      <c r="J1" s="6" t="s">
        <v>30</v>
      </c>
      <c r="K1" s="6" t="s">
        <v>31</v>
      </c>
      <c r="L1" s="2" t="s">
        <v>14</v>
      </c>
      <c r="M1" s="2" t="s">
        <v>19</v>
      </c>
      <c r="N1" s="2" t="s">
        <v>20</v>
      </c>
      <c r="O1" s="2"/>
      <c r="P1" s="6" t="s">
        <v>219</v>
      </c>
      <c r="Q1" s="6" t="s">
        <v>295</v>
      </c>
      <c r="R1" s="6" t="s">
        <v>301</v>
      </c>
      <c r="S1" s="6" t="s">
        <v>221</v>
      </c>
      <c r="T1" s="6" t="s">
        <v>296</v>
      </c>
      <c r="U1" s="6" t="s">
        <v>302</v>
      </c>
      <c r="V1" s="6" t="s">
        <v>223</v>
      </c>
      <c r="W1" s="6" t="s">
        <v>297</v>
      </c>
      <c r="X1" s="6" t="s">
        <v>303</v>
      </c>
      <c r="Y1" s="6" t="s">
        <v>225</v>
      </c>
      <c r="Z1" s="6" t="s">
        <v>298</v>
      </c>
      <c r="AA1" s="6" t="s">
        <v>304</v>
      </c>
      <c r="AB1" s="6" t="s">
        <v>227</v>
      </c>
      <c r="AC1" s="6" t="s">
        <v>299</v>
      </c>
      <c r="AD1" s="6" t="s">
        <v>305</v>
      </c>
      <c r="AE1" s="6" t="s">
        <v>300</v>
      </c>
      <c r="AF1" s="6"/>
      <c r="AG1" s="8" t="s">
        <v>294</v>
      </c>
      <c r="AH1" s="5" t="s">
        <v>306</v>
      </c>
      <c r="AI1" s="5"/>
      <c r="AK1" s="4" t="s">
        <v>229</v>
      </c>
      <c r="AL1" s="4" t="s">
        <v>293</v>
      </c>
      <c r="AM1" s="4" t="s">
        <v>231</v>
      </c>
      <c r="AN1" s="4" t="s">
        <v>232</v>
      </c>
      <c r="AO1" s="4" t="s">
        <v>215</v>
      </c>
      <c r="AP1" s="4" t="s">
        <v>26</v>
      </c>
      <c r="AQ1" s="4" t="s">
        <v>27</v>
      </c>
      <c r="AR1" s="2" t="s">
        <v>233</v>
      </c>
      <c r="AS1" s="2" t="s">
        <v>234</v>
      </c>
      <c r="AT1" s="2" t="s">
        <v>235</v>
      </c>
      <c r="AU1" s="2" t="s">
        <v>236</v>
      </c>
      <c r="AV1" s="2" t="s">
        <v>237</v>
      </c>
      <c r="AW1" s="2" t="s">
        <v>238</v>
      </c>
      <c r="AX1" s="2" t="s">
        <v>239</v>
      </c>
      <c r="AY1" s="2" t="s">
        <v>240</v>
      </c>
      <c r="AZ1" s="2" t="s">
        <v>241</v>
      </c>
      <c r="BA1" s="2" t="s">
        <v>242</v>
      </c>
      <c r="BB1" s="2" t="s">
        <v>243</v>
      </c>
      <c r="BC1" s="2" t="s">
        <v>244</v>
      </c>
      <c r="BD1" s="2" t="s">
        <v>245</v>
      </c>
      <c r="BE1" s="2" t="s">
        <v>246</v>
      </c>
      <c r="BF1" s="2" t="s">
        <v>247</v>
      </c>
      <c r="BG1" s="2" t="s">
        <v>248</v>
      </c>
      <c r="BH1" s="2" t="s">
        <v>249</v>
      </c>
      <c r="BI1" s="2" t="s">
        <v>250</v>
      </c>
      <c r="BJ1" s="2" t="s">
        <v>251</v>
      </c>
      <c r="BK1" s="2" t="s">
        <v>252</v>
      </c>
      <c r="BL1" s="2" t="s">
        <v>253</v>
      </c>
      <c r="BM1" s="2" t="s">
        <v>254</v>
      </c>
      <c r="BN1" s="2" t="s">
        <v>255</v>
      </c>
      <c r="BO1" s="2" t="s">
        <v>256</v>
      </c>
      <c r="BP1" s="2" t="s">
        <v>257</v>
      </c>
      <c r="BQ1" s="2" t="s">
        <v>258</v>
      </c>
      <c r="BR1" s="2" t="s">
        <v>259</v>
      </c>
      <c r="BS1" s="2" t="s">
        <v>260</v>
      </c>
      <c r="BT1" s="2" t="s">
        <v>261</v>
      </c>
      <c r="BU1" s="2" t="s">
        <v>262</v>
      </c>
      <c r="BV1" s="2" t="s">
        <v>263</v>
      </c>
      <c r="BW1" s="2" t="s">
        <v>264</v>
      </c>
      <c r="BX1" s="2" t="s">
        <v>265</v>
      </c>
      <c r="BY1" s="2" t="s">
        <v>266</v>
      </c>
      <c r="BZ1" s="2" t="s">
        <v>267</v>
      </c>
      <c r="CA1" s="2" t="s">
        <v>268</v>
      </c>
      <c r="CB1" s="2" t="s">
        <v>269</v>
      </c>
      <c r="CC1" s="2" t="s">
        <v>270</v>
      </c>
      <c r="CD1" s="2" t="s">
        <v>271</v>
      </c>
      <c r="CE1" s="2" t="s">
        <v>272</v>
      </c>
      <c r="CF1" s="2" t="s">
        <v>273</v>
      </c>
      <c r="CG1" s="2" t="s">
        <v>274</v>
      </c>
      <c r="CH1" s="2" t="s">
        <v>275</v>
      </c>
      <c r="CI1" s="2" t="s">
        <v>276</v>
      </c>
      <c r="CJ1" s="2" t="s">
        <v>277</v>
      </c>
      <c r="CK1" s="2" t="s">
        <v>278</v>
      </c>
      <c r="CL1" s="2" t="s">
        <v>279</v>
      </c>
      <c r="CM1" s="2" t="s">
        <v>280</v>
      </c>
      <c r="CN1" s="2" t="s">
        <v>281</v>
      </c>
      <c r="CO1" s="2" t="s">
        <v>282</v>
      </c>
      <c r="CP1" s="2" t="s">
        <v>283</v>
      </c>
    </row>
    <row r="2" spans="1:94" hidden="1" x14ac:dyDescent="0.25">
      <c r="A2" s="7" t="s">
        <v>49</v>
      </c>
      <c r="B2">
        <v>27</v>
      </c>
      <c r="C2" s="7"/>
      <c r="D2" t="s">
        <v>50</v>
      </c>
      <c r="G2" t="s">
        <v>51</v>
      </c>
      <c r="H2">
        <v>1</v>
      </c>
      <c r="I2" s="7" t="s">
        <v>53</v>
      </c>
      <c r="J2" s="7">
        <v>27</v>
      </c>
      <c r="K2" s="7">
        <v>1</v>
      </c>
      <c r="L2" t="s">
        <v>52</v>
      </c>
      <c r="M2">
        <v>0</v>
      </c>
      <c r="N2">
        <v>0.75</v>
      </c>
      <c r="P2" s="7">
        <v>231</v>
      </c>
      <c r="Q2" s="7">
        <v>228</v>
      </c>
      <c r="R2" s="7">
        <f>P2/Q2</f>
        <v>1.013157894736842</v>
      </c>
      <c r="S2" s="7">
        <v>208</v>
      </c>
      <c r="T2" s="7">
        <v>221</v>
      </c>
      <c r="U2" s="7">
        <f>S2/T2</f>
        <v>0.94117647058823528</v>
      </c>
      <c r="V2" s="7">
        <v>224</v>
      </c>
      <c r="W2" s="7">
        <v>236</v>
      </c>
      <c r="X2" s="7">
        <f>V2/W2</f>
        <v>0.94915254237288138</v>
      </c>
      <c r="Y2" s="7">
        <v>225</v>
      </c>
      <c r="Z2" s="7">
        <v>244</v>
      </c>
      <c r="AA2" s="7">
        <f>Y2/Z2</f>
        <v>0.92213114754098358</v>
      </c>
      <c r="AB2" s="7">
        <v>247</v>
      </c>
      <c r="AC2" s="7">
        <v>252</v>
      </c>
      <c r="AD2" s="7">
        <f>AB2/AC2</f>
        <v>0.98015873015873012</v>
      </c>
      <c r="AE2" s="7">
        <f>AVERAGE(R2,U2,X2,AA2,AD2)</f>
        <v>0.96115535707953437</v>
      </c>
      <c r="AF2" s="7"/>
      <c r="AG2" s="9"/>
      <c r="AK2" s="3">
        <v>241</v>
      </c>
      <c r="AL2" s="3" t="s">
        <v>285</v>
      </c>
      <c r="AM2" s="3">
        <v>219</v>
      </c>
      <c r="AN2" s="3" t="s">
        <v>285</v>
      </c>
      <c r="AO2" s="3">
        <v>219</v>
      </c>
      <c r="AP2" s="3" t="s">
        <v>286</v>
      </c>
      <c r="AQ2" s="3" t="s">
        <v>287</v>
      </c>
      <c r="BF2">
        <v>263</v>
      </c>
      <c r="BG2" t="s">
        <v>286</v>
      </c>
      <c r="BH2" t="s">
        <v>287</v>
      </c>
      <c r="BY2" t="s">
        <v>52</v>
      </c>
      <c r="BZ2">
        <v>3.7</v>
      </c>
      <c r="CA2" t="s">
        <v>284</v>
      </c>
      <c r="CB2">
        <v>3.4</v>
      </c>
      <c r="CC2" t="s">
        <v>284</v>
      </c>
      <c r="CP2" t="s">
        <v>52</v>
      </c>
    </row>
    <row r="3" spans="1:94" x14ac:dyDescent="0.25">
      <c r="A3" s="7" t="s">
        <v>87</v>
      </c>
      <c r="B3">
        <v>91</v>
      </c>
      <c r="C3" s="7" t="s">
        <v>76</v>
      </c>
      <c r="D3" t="s">
        <v>50</v>
      </c>
      <c r="G3" t="s">
        <v>51</v>
      </c>
      <c r="H3">
        <v>1</v>
      </c>
      <c r="I3" s="7" t="s">
        <v>53</v>
      </c>
      <c r="J3" s="7">
        <v>91</v>
      </c>
      <c r="K3" s="7">
        <v>2</v>
      </c>
      <c r="L3" t="s">
        <v>52</v>
      </c>
      <c r="M3">
        <v>0.77</v>
      </c>
      <c r="N3">
        <v>0.93</v>
      </c>
      <c r="P3" s="7">
        <v>135</v>
      </c>
      <c r="Q3" s="7">
        <v>228</v>
      </c>
      <c r="R3" s="7">
        <f t="shared" ref="R3:R66" si="0">P3/Q3</f>
        <v>0.59210526315789469</v>
      </c>
      <c r="S3" s="7">
        <v>133</v>
      </c>
      <c r="T3" s="7">
        <v>221</v>
      </c>
      <c r="U3" s="7">
        <f t="shared" ref="U3:U5" si="1">S3/T3</f>
        <v>0.60180995475113119</v>
      </c>
      <c r="V3" s="7">
        <v>147</v>
      </c>
      <c r="W3" s="7">
        <v>236</v>
      </c>
      <c r="X3" s="7">
        <f t="shared" ref="X3:X5" si="2">V3/W3</f>
        <v>0.6228813559322034</v>
      </c>
      <c r="Y3" s="7">
        <v>170</v>
      </c>
      <c r="Z3" s="7">
        <v>244</v>
      </c>
      <c r="AA3" s="7">
        <f t="shared" ref="AA3:AA5" si="3">Y3/Z3</f>
        <v>0.69672131147540983</v>
      </c>
      <c r="AB3" s="7">
        <v>167</v>
      </c>
      <c r="AC3" s="7">
        <v>252</v>
      </c>
      <c r="AD3" s="7">
        <f t="shared" ref="AD3:AD5" si="4">AB3/AC3</f>
        <v>0.66269841269841268</v>
      </c>
      <c r="AE3" s="7">
        <f t="shared" ref="AE3:AE4" si="5">AVERAGE(R3,U3,X3,AA3,AD3)</f>
        <v>0.63524325960301031</v>
      </c>
      <c r="AF3" s="7"/>
      <c r="AG3" s="9"/>
      <c r="AO3" s="3">
        <v>149.66669999999999</v>
      </c>
      <c r="AP3" s="3" t="s">
        <v>54</v>
      </c>
      <c r="AQ3" s="3" t="s">
        <v>52</v>
      </c>
      <c r="BH3" t="s">
        <v>52</v>
      </c>
      <c r="BY3" t="s">
        <v>52</v>
      </c>
      <c r="BZ3">
        <v>1.42</v>
      </c>
      <c r="CA3" t="s">
        <v>285</v>
      </c>
      <c r="CB3">
        <v>1.35</v>
      </c>
      <c r="CC3" t="s">
        <v>284</v>
      </c>
      <c r="CD3">
        <v>0.83</v>
      </c>
      <c r="CE3" t="s">
        <v>288</v>
      </c>
      <c r="CF3">
        <v>1.85</v>
      </c>
      <c r="CG3" t="s">
        <v>284</v>
      </c>
      <c r="CH3">
        <v>1.01</v>
      </c>
      <c r="CI3" t="s">
        <v>285</v>
      </c>
      <c r="CN3">
        <v>1.26</v>
      </c>
      <c r="CO3" t="s">
        <v>54</v>
      </c>
      <c r="CP3" t="s">
        <v>52</v>
      </c>
    </row>
    <row r="4" spans="1:94" x14ac:dyDescent="0.25">
      <c r="A4" s="7" t="s">
        <v>87</v>
      </c>
      <c r="B4">
        <v>91</v>
      </c>
      <c r="C4" s="7" t="s">
        <v>103</v>
      </c>
      <c r="D4" t="s">
        <v>50</v>
      </c>
      <c r="G4" t="s">
        <v>51</v>
      </c>
      <c r="H4">
        <v>1</v>
      </c>
      <c r="I4" s="7" t="s">
        <v>53</v>
      </c>
      <c r="J4" s="7">
        <v>91</v>
      </c>
      <c r="K4" s="7">
        <v>2</v>
      </c>
      <c r="L4" t="s">
        <v>52</v>
      </c>
      <c r="M4">
        <v>0.77</v>
      </c>
      <c r="N4">
        <v>0.93</v>
      </c>
      <c r="P4" s="7">
        <v>135</v>
      </c>
      <c r="Q4" s="7">
        <v>228</v>
      </c>
      <c r="R4" s="7">
        <f t="shared" si="0"/>
        <v>0.59210526315789469</v>
      </c>
      <c r="S4" s="7">
        <v>133</v>
      </c>
      <c r="T4" s="7">
        <v>221</v>
      </c>
      <c r="U4" s="7">
        <f t="shared" si="1"/>
        <v>0.60180995475113119</v>
      </c>
      <c r="V4" s="7">
        <v>147</v>
      </c>
      <c r="W4" s="7">
        <v>236</v>
      </c>
      <c r="X4" s="7">
        <f t="shared" si="2"/>
        <v>0.6228813559322034</v>
      </c>
      <c r="Y4" s="7">
        <v>170</v>
      </c>
      <c r="Z4" s="7">
        <v>244</v>
      </c>
      <c r="AA4" s="7">
        <f t="shared" si="3"/>
        <v>0.69672131147540983</v>
      </c>
      <c r="AB4" s="7">
        <v>167</v>
      </c>
      <c r="AC4" s="7">
        <v>252</v>
      </c>
      <c r="AD4" s="7">
        <f t="shared" si="4"/>
        <v>0.66269841269841268</v>
      </c>
      <c r="AE4" s="7">
        <f t="shared" si="5"/>
        <v>0.63524325960301031</v>
      </c>
      <c r="AF4" s="7"/>
      <c r="AG4" s="9"/>
      <c r="AO4" s="3">
        <v>149.66669999999999</v>
      </c>
      <c r="AP4" s="3" t="s">
        <v>54</v>
      </c>
      <c r="AQ4" s="3" t="s">
        <v>52</v>
      </c>
      <c r="BH4" t="s">
        <v>52</v>
      </c>
      <c r="BY4" t="s">
        <v>52</v>
      </c>
      <c r="BZ4">
        <v>1.47</v>
      </c>
      <c r="CA4" t="s">
        <v>285</v>
      </c>
      <c r="CB4">
        <v>1.35</v>
      </c>
      <c r="CC4" t="s">
        <v>284</v>
      </c>
      <c r="CD4">
        <v>0.83</v>
      </c>
      <c r="CE4" t="s">
        <v>284</v>
      </c>
      <c r="CF4">
        <v>1.85</v>
      </c>
      <c r="CG4" t="s">
        <v>284</v>
      </c>
      <c r="CH4">
        <v>0.6</v>
      </c>
      <c r="CI4" t="s">
        <v>285</v>
      </c>
      <c r="CN4">
        <v>1.22</v>
      </c>
      <c r="CO4" t="s">
        <v>54</v>
      </c>
      <c r="CP4" t="s">
        <v>52</v>
      </c>
    </row>
    <row r="5" spans="1:94" customFormat="1" ht="15" hidden="1" x14ac:dyDescent="0.25">
      <c r="A5" t="s">
        <v>132</v>
      </c>
      <c r="B5">
        <v>47</v>
      </c>
      <c r="C5" t="s">
        <v>133</v>
      </c>
      <c r="D5" t="s">
        <v>50</v>
      </c>
      <c r="G5" t="s">
        <v>51</v>
      </c>
      <c r="H5">
        <v>1</v>
      </c>
      <c r="I5" t="s">
        <v>53</v>
      </c>
      <c r="J5">
        <v>47</v>
      </c>
      <c r="K5">
        <v>1</v>
      </c>
      <c r="L5" t="s">
        <v>52</v>
      </c>
      <c r="M5">
        <v>0.63</v>
      </c>
      <c r="N5">
        <v>0.8</v>
      </c>
      <c r="P5">
        <v>228</v>
      </c>
      <c r="Q5">
        <v>228</v>
      </c>
      <c r="R5">
        <f t="shared" si="0"/>
        <v>1</v>
      </c>
      <c r="S5">
        <v>218</v>
      </c>
      <c r="T5">
        <v>221</v>
      </c>
      <c r="U5">
        <f t="shared" si="1"/>
        <v>0.98642533936651589</v>
      </c>
      <c r="W5">
        <v>236</v>
      </c>
      <c r="X5">
        <f t="shared" si="2"/>
        <v>0</v>
      </c>
      <c r="Z5">
        <v>244</v>
      </c>
      <c r="AA5">
        <f t="shared" si="3"/>
        <v>0</v>
      </c>
      <c r="AC5">
        <v>252</v>
      </c>
      <c r="AD5">
        <f t="shared" si="4"/>
        <v>0</v>
      </c>
      <c r="AQ5" t="s">
        <v>52</v>
      </c>
      <c r="BH5" t="s">
        <v>52</v>
      </c>
      <c r="BY5" t="s">
        <v>52</v>
      </c>
      <c r="BZ5">
        <v>1.85</v>
      </c>
      <c r="CA5" t="s">
        <v>284</v>
      </c>
      <c r="CB5">
        <v>1.35</v>
      </c>
      <c r="CC5" t="s">
        <v>284</v>
      </c>
      <c r="CP5" t="s">
        <v>52</v>
      </c>
    </row>
    <row r="6" spans="1:94" customFormat="1" ht="15" hidden="1" x14ac:dyDescent="0.25">
      <c r="A6" t="s">
        <v>110</v>
      </c>
      <c r="B6">
        <v>265</v>
      </c>
      <c r="C6" t="s">
        <v>214</v>
      </c>
      <c r="D6" t="s">
        <v>50</v>
      </c>
      <c r="G6" t="s">
        <v>51</v>
      </c>
      <c r="H6">
        <v>1</v>
      </c>
      <c r="I6" t="s">
        <v>53</v>
      </c>
      <c r="J6">
        <v>102</v>
      </c>
      <c r="K6">
        <v>1</v>
      </c>
      <c r="L6" t="s">
        <v>52</v>
      </c>
      <c r="M6">
        <v>0</v>
      </c>
      <c r="N6">
        <v>0.87</v>
      </c>
      <c r="Q6">
        <v>228</v>
      </c>
      <c r="R6">
        <f t="shared" si="0"/>
        <v>0</v>
      </c>
      <c r="AQ6" t="s">
        <v>52</v>
      </c>
      <c r="BH6" t="s">
        <v>52</v>
      </c>
      <c r="BY6" t="s">
        <v>52</v>
      </c>
      <c r="CP6" t="s">
        <v>52</v>
      </c>
    </row>
    <row r="7" spans="1:94" customFormat="1" ht="15" hidden="1" x14ac:dyDescent="0.25">
      <c r="A7" t="s">
        <v>110</v>
      </c>
      <c r="B7">
        <v>265</v>
      </c>
      <c r="C7" t="s">
        <v>111</v>
      </c>
      <c r="D7" t="s">
        <v>50</v>
      </c>
      <c r="G7" t="s">
        <v>51</v>
      </c>
      <c r="H7">
        <v>1</v>
      </c>
      <c r="I7" t="s">
        <v>53</v>
      </c>
      <c r="J7">
        <v>102</v>
      </c>
      <c r="K7">
        <v>1</v>
      </c>
      <c r="L7" t="s">
        <v>52</v>
      </c>
      <c r="M7">
        <v>0</v>
      </c>
      <c r="N7">
        <v>0.87</v>
      </c>
      <c r="Q7">
        <v>228</v>
      </c>
      <c r="R7">
        <f t="shared" si="0"/>
        <v>0</v>
      </c>
      <c r="AQ7" t="s">
        <v>52</v>
      </c>
      <c r="BH7" t="s">
        <v>52</v>
      </c>
      <c r="BY7" t="s">
        <v>52</v>
      </c>
      <c r="CP7" t="s">
        <v>52</v>
      </c>
    </row>
    <row r="8" spans="1:94" customFormat="1" ht="15" hidden="1" x14ac:dyDescent="0.25">
      <c r="A8" t="s">
        <v>58</v>
      </c>
      <c r="B8">
        <v>102</v>
      </c>
      <c r="C8" t="s">
        <v>173</v>
      </c>
      <c r="D8" t="s">
        <v>50</v>
      </c>
      <c r="G8" t="s">
        <v>52</v>
      </c>
      <c r="H8">
        <v>1</v>
      </c>
      <c r="I8" t="s">
        <v>53</v>
      </c>
      <c r="J8">
        <v>102</v>
      </c>
      <c r="K8">
        <v>1</v>
      </c>
      <c r="L8" t="s">
        <v>52</v>
      </c>
      <c r="M8">
        <v>0</v>
      </c>
      <c r="N8">
        <v>0.92</v>
      </c>
      <c r="P8">
        <v>52.32</v>
      </c>
      <c r="Q8">
        <v>228</v>
      </c>
      <c r="R8">
        <f t="shared" si="0"/>
        <v>0.22947368421052633</v>
      </c>
      <c r="S8">
        <v>68</v>
      </c>
      <c r="T8">
        <v>221</v>
      </c>
      <c r="U8">
        <f t="shared" ref="U8:U71" si="6">S8/T8</f>
        <v>0.30769230769230771</v>
      </c>
      <c r="W8">
        <v>236</v>
      </c>
      <c r="X8">
        <f t="shared" ref="X8:X71" si="7">V8/W8</f>
        <v>0</v>
      </c>
      <c r="Z8">
        <v>244</v>
      </c>
      <c r="AA8">
        <f t="shared" ref="AA8:AA71" si="8">Y8/Z8</f>
        <v>0</v>
      </c>
      <c r="AC8">
        <v>252</v>
      </c>
      <c r="AD8">
        <f t="shared" ref="AD8:AD71" si="9">AB8/AC8</f>
        <v>0</v>
      </c>
      <c r="AQ8" t="s">
        <v>52</v>
      </c>
      <c r="BH8" t="s">
        <v>52</v>
      </c>
      <c r="BY8" t="s">
        <v>52</v>
      </c>
      <c r="BZ8">
        <v>0.93</v>
      </c>
      <c r="CA8" t="s">
        <v>285</v>
      </c>
      <c r="CB8">
        <v>1.17</v>
      </c>
      <c r="CC8" t="s">
        <v>285</v>
      </c>
      <c r="CP8" t="s">
        <v>52</v>
      </c>
    </row>
    <row r="9" spans="1:94" x14ac:dyDescent="0.25">
      <c r="A9" s="7" t="s">
        <v>58</v>
      </c>
      <c r="B9">
        <v>102</v>
      </c>
      <c r="C9" s="7" t="s">
        <v>112</v>
      </c>
      <c r="D9" t="s">
        <v>50</v>
      </c>
      <c r="G9" t="s">
        <v>51</v>
      </c>
      <c r="H9">
        <v>1</v>
      </c>
      <c r="I9" s="7" t="s">
        <v>53</v>
      </c>
      <c r="J9" s="7">
        <v>102</v>
      </c>
      <c r="K9" s="7">
        <v>1</v>
      </c>
      <c r="L9" t="s">
        <v>52</v>
      </c>
      <c r="M9">
        <v>0</v>
      </c>
      <c r="N9">
        <v>0.92</v>
      </c>
      <c r="P9" s="7">
        <v>131.69999999999999</v>
      </c>
      <c r="Q9" s="7">
        <v>228</v>
      </c>
      <c r="R9" s="7">
        <f t="shared" si="0"/>
        <v>0.57763157894736838</v>
      </c>
      <c r="S9" s="7">
        <v>170</v>
      </c>
      <c r="T9" s="7">
        <v>221</v>
      </c>
      <c r="U9" s="7">
        <f t="shared" si="6"/>
        <v>0.76923076923076927</v>
      </c>
      <c r="V9" s="7">
        <v>191</v>
      </c>
      <c r="W9" s="7">
        <v>236</v>
      </c>
      <c r="X9" s="7">
        <f t="shared" si="7"/>
        <v>0.80932203389830504</v>
      </c>
      <c r="Y9" s="7">
        <v>207</v>
      </c>
      <c r="Z9" s="7">
        <v>244</v>
      </c>
      <c r="AA9" s="7">
        <f t="shared" si="8"/>
        <v>0.84836065573770492</v>
      </c>
      <c r="AB9" s="7">
        <v>205</v>
      </c>
      <c r="AC9" s="7">
        <v>252</v>
      </c>
      <c r="AD9" s="7">
        <f t="shared" si="9"/>
        <v>0.81349206349206349</v>
      </c>
      <c r="AE9" s="7">
        <f>AVERAGE(R9,U9,X9,AA9,AD9)</f>
        <v>0.76360742026124218</v>
      </c>
      <c r="AF9" s="7"/>
      <c r="AG9" s="9"/>
      <c r="AO9" s="3">
        <v>188.66669999999999</v>
      </c>
      <c r="AP9" s="3" t="s">
        <v>54</v>
      </c>
      <c r="AQ9" s="3" t="s">
        <v>52</v>
      </c>
      <c r="BH9" t="s">
        <v>52</v>
      </c>
      <c r="BY9" t="s">
        <v>52</v>
      </c>
      <c r="BZ9">
        <v>1.85</v>
      </c>
      <c r="CA9" t="s">
        <v>284</v>
      </c>
      <c r="CB9">
        <v>1.26</v>
      </c>
      <c r="CC9" t="s">
        <v>284</v>
      </c>
      <c r="CD9">
        <v>0.98</v>
      </c>
      <c r="CE9" t="s">
        <v>285</v>
      </c>
      <c r="CF9">
        <v>0.69</v>
      </c>
      <c r="CG9" t="s">
        <v>285</v>
      </c>
      <c r="CH9">
        <v>0.59</v>
      </c>
      <c r="CI9" t="s">
        <v>284</v>
      </c>
      <c r="CN9">
        <v>0.98</v>
      </c>
      <c r="CO9" t="s">
        <v>54</v>
      </c>
      <c r="CP9" t="s">
        <v>52</v>
      </c>
    </row>
    <row r="10" spans="1:94" customFormat="1" ht="15" hidden="1" x14ac:dyDescent="0.25">
      <c r="A10" t="s">
        <v>58</v>
      </c>
      <c r="B10">
        <v>102</v>
      </c>
      <c r="C10" t="s">
        <v>191</v>
      </c>
      <c r="D10" t="s">
        <v>50</v>
      </c>
      <c r="G10" t="s">
        <v>51</v>
      </c>
      <c r="H10">
        <v>1</v>
      </c>
      <c r="I10" t="s">
        <v>53</v>
      </c>
      <c r="J10">
        <v>102</v>
      </c>
      <c r="K10">
        <v>1</v>
      </c>
      <c r="L10" t="s">
        <v>52</v>
      </c>
      <c r="M10">
        <v>0</v>
      </c>
      <c r="N10">
        <v>0.92</v>
      </c>
      <c r="P10">
        <v>52.32</v>
      </c>
      <c r="Q10">
        <v>228</v>
      </c>
      <c r="R10">
        <f t="shared" si="0"/>
        <v>0.22947368421052633</v>
      </c>
      <c r="S10">
        <v>68</v>
      </c>
      <c r="T10">
        <v>221</v>
      </c>
      <c r="U10">
        <f t="shared" si="6"/>
        <v>0.30769230769230771</v>
      </c>
      <c r="V10">
        <v>68</v>
      </c>
      <c r="W10">
        <v>236</v>
      </c>
      <c r="X10">
        <f t="shared" si="7"/>
        <v>0.28813559322033899</v>
      </c>
      <c r="Z10">
        <v>244</v>
      </c>
      <c r="AA10">
        <f t="shared" si="8"/>
        <v>0</v>
      </c>
      <c r="AC10">
        <v>252</v>
      </c>
      <c r="AD10">
        <f t="shared" si="9"/>
        <v>0</v>
      </c>
      <c r="AQ10" t="s">
        <v>52</v>
      </c>
      <c r="BH10" t="s">
        <v>52</v>
      </c>
      <c r="BY10" t="s">
        <v>52</v>
      </c>
      <c r="BZ10">
        <v>1.85</v>
      </c>
      <c r="CA10" t="s">
        <v>284</v>
      </c>
      <c r="CB10">
        <v>1.26</v>
      </c>
      <c r="CC10" t="s">
        <v>284</v>
      </c>
      <c r="CD10">
        <v>0.98</v>
      </c>
      <c r="CE10" t="s">
        <v>284</v>
      </c>
      <c r="CP10" t="s">
        <v>52</v>
      </c>
    </row>
    <row r="11" spans="1:94" x14ac:dyDescent="0.25">
      <c r="A11" s="7" t="s">
        <v>58</v>
      </c>
      <c r="B11">
        <v>102</v>
      </c>
      <c r="C11" s="7" t="s">
        <v>104</v>
      </c>
      <c r="D11" t="s">
        <v>50</v>
      </c>
      <c r="G11" t="s">
        <v>51</v>
      </c>
      <c r="H11">
        <v>1</v>
      </c>
      <c r="I11" s="7" t="s">
        <v>53</v>
      </c>
      <c r="J11" s="7">
        <v>102</v>
      </c>
      <c r="K11" s="7">
        <v>1</v>
      </c>
      <c r="L11" t="s">
        <v>52</v>
      </c>
      <c r="M11">
        <v>0</v>
      </c>
      <c r="N11">
        <v>0.92</v>
      </c>
      <c r="P11" s="7">
        <v>131.69999999999999</v>
      </c>
      <c r="Q11" s="7">
        <v>228</v>
      </c>
      <c r="R11" s="7">
        <f t="shared" si="0"/>
        <v>0.57763157894736838</v>
      </c>
      <c r="S11" s="7">
        <v>170</v>
      </c>
      <c r="T11" s="7">
        <v>221</v>
      </c>
      <c r="U11" s="7">
        <f t="shared" si="6"/>
        <v>0.76923076923076927</v>
      </c>
      <c r="V11" s="7">
        <v>191</v>
      </c>
      <c r="W11" s="7">
        <v>236</v>
      </c>
      <c r="X11" s="7">
        <f t="shared" si="7"/>
        <v>0.80932203389830504</v>
      </c>
      <c r="Y11" s="7">
        <v>207</v>
      </c>
      <c r="Z11" s="7">
        <v>244</v>
      </c>
      <c r="AA11" s="7">
        <f t="shared" si="8"/>
        <v>0.84836065573770492</v>
      </c>
      <c r="AB11" s="7">
        <v>205</v>
      </c>
      <c r="AC11" s="7">
        <v>252</v>
      </c>
      <c r="AD11" s="7">
        <f t="shared" si="9"/>
        <v>0.81349206349206349</v>
      </c>
      <c r="AE11" s="7">
        <f>AVERAGE(R11,U11,X11,AA11,AD11)</f>
        <v>0.76360742026124218</v>
      </c>
      <c r="AF11" s="7"/>
      <c r="AG11" s="9"/>
      <c r="AO11" s="3">
        <v>188.66669999999999</v>
      </c>
      <c r="AP11" s="3" t="s">
        <v>54</v>
      </c>
      <c r="AQ11" s="3" t="s">
        <v>52</v>
      </c>
      <c r="BH11" t="s">
        <v>52</v>
      </c>
      <c r="BY11" t="s">
        <v>52</v>
      </c>
      <c r="BZ11">
        <v>1.85</v>
      </c>
      <c r="CA11" t="s">
        <v>284</v>
      </c>
      <c r="CB11">
        <v>1.27</v>
      </c>
      <c r="CC11" t="s">
        <v>284</v>
      </c>
      <c r="CD11">
        <v>0.98</v>
      </c>
      <c r="CE11" t="s">
        <v>285</v>
      </c>
      <c r="CP11" t="s">
        <v>52</v>
      </c>
    </row>
    <row r="12" spans="1:94" customFormat="1" ht="15" hidden="1" x14ac:dyDescent="0.25">
      <c r="A12" t="s">
        <v>58</v>
      </c>
      <c r="B12">
        <v>102</v>
      </c>
      <c r="C12" t="s">
        <v>147</v>
      </c>
      <c r="D12" t="s">
        <v>50</v>
      </c>
      <c r="G12" t="s">
        <v>52</v>
      </c>
      <c r="H12">
        <v>1</v>
      </c>
      <c r="I12" t="s">
        <v>53</v>
      </c>
      <c r="J12">
        <v>102</v>
      </c>
      <c r="K12">
        <v>1</v>
      </c>
      <c r="L12" t="s">
        <v>52</v>
      </c>
      <c r="M12">
        <v>0</v>
      </c>
      <c r="N12">
        <v>0.92</v>
      </c>
      <c r="P12">
        <v>131.69999999999999</v>
      </c>
      <c r="Q12">
        <v>228</v>
      </c>
      <c r="R12">
        <f t="shared" si="0"/>
        <v>0.57763157894736838</v>
      </c>
      <c r="S12">
        <v>170</v>
      </c>
      <c r="T12">
        <v>221</v>
      </c>
      <c r="U12">
        <f t="shared" si="6"/>
        <v>0.76923076923076927</v>
      </c>
      <c r="W12">
        <v>236</v>
      </c>
      <c r="X12">
        <f t="shared" si="7"/>
        <v>0</v>
      </c>
      <c r="Z12">
        <v>244</v>
      </c>
      <c r="AA12">
        <f t="shared" si="8"/>
        <v>0</v>
      </c>
      <c r="AC12">
        <v>252</v>
      </c>
      <c r="AD12">
        <f t="shared" si="9"/>
        <v>0</v>
      </c>
      <c r="AQ12" t="s">
        <v>52</v>
      </c>
      <c r="BH12" t="s">
        <v>52</v>
      </c>
      <c r="BY12" t="s">
        <v>52</v>
      </c>
      <c r="CP12" t="s">
        <v>52</v>
      </c>
    </row>
    <row r="13" spans="1:94" x14ac:dyDescent="0.25">
      <c r="A13" s="7" t="s">
        <v>58</v>
      </c>
      <c r="B13">
        <v>102</v>
      </c>
      <c r="C13" s="7" t="s">
        <v>59</v>
      </c>
      <c r="D13" t="s">
        <v>50</v>
      </c>
      <c r="G13" t="s">
        <v>51</v>
      </c>
      <c r="H13">
        <v>1</v>
      </c>
      <c r="I13" s="7" t="s">
        <v>53</v>
      </c>
      <c r="J13" s="7">
        <v>102</v>
      </c>
      <c r="K13" s="7">
        <v>1</v>
      </c>
      <c r="L13" t="s">
        <v>52</v>
      </c>
      <c r="M13">
        <v>0</v>
      </c>
      <c r="N13">
        <v>0.92</v>
      </c>
      <c r="P13" s="7">
        <v>131.69999999999999</v>
      </c>
      <c r="Q13" s="7">
        <v>228</v>
      </c>
      <c r="R13" s="7">
        <f t="shared" si="0"/>
        <v>0.57763157894736838</v>
      </c>
      <c r="S13" s="7">
        <v>126.5</v>
      </c>
      <c r="T13" s="7">
        <v>221</v>
      </c>
      <c r="U13" s="7">
        <f t="shared" si="6"/>
        <v>0.57239819004524883</v>
      </c>
      <c r="V13" s="7">
        <v>170</v>
      </c>
      <c r="W13" s="7">
        <v>236</v>
      </c>
      <c r="X13" s="7">
        <f t="shared" si="7"/>
        <v>0.72033898305084743</v>
      </c>
      <c r="Y13" s="7">
        <v>207</v>
      </c>
      <c r="Z13" s="7">
        <v>244</v>
      </c>
      <c r="AA13" s="7">
        <f t="shared" si="8"/>
        <v>0.84836065573770492</v>
      </c>
      <c r="AB13" s="7">
        <v>315</v>
      </c>
      <c r="AC13" s="7">
        <v>252</v>
      </c>
      <c r="AD13" s="7">
        <f t="shared" si="9"/>
        <v>1.25</v>
      </c>
      <c r="AE13" s="7">
        <f t="shared" ref="AE13:AE14" si="10">AVERAGE(R13,U13,X13,AA13,AD13)</f>
        <v>0.79374588155623393</v>
      </c>
      <c r="AF13" s="7"/>
      <c r="AG13" s="9"/>
      <c r="AO13" s="3">
        <v>169.5667</v>
      </c>
      <c r="AP13" s="3" t="s">
        <v>54</v>
      </c>
      <c r="AQ13" s="3" t="s">
        <v>52</v>
      </c>
      <c r="BH13" t="s">
        <v>52</v>
      </c>
      <c r="BY13" t="s">
        <v>52</v>
      </c>
      <c r="CP13" t="s">
        <v>52</v>
      </c>
    </row>
    <row r="14" spans="1:94" x14ac:dyDescent="0.25">
      <c r="A14" s="7" t="s">
        <v>58</v>
      </c>
      <c r="B14">
        <v>102</v>
      </c>
      <c r="C14" s="7" t="s">
        <v>61</v>
      </c>
      <c r="D14" t="s">
        <v>50</v>
      </c>
      <c r="G14" t="s">
        <v>51</v>
      </c>
      <c r="H14">
        <v>1</v>
      </c>
      <c r="I14" s="7" t="s">
        <v>53</v>
      </c>
      <c r="J14" s="7">
        <v>102</v>
      </c>
      <c r="K14" s="7">
        <v>1</v>
      </c>
      <c r="L14" t="s">
        <v>52</v>
      </c>
      <c r="M14">
        <v>0</v>
      </c>
      <c r="N14">
        <v>0.92</v>
      </c>
      <c r="P14" s="7">
        <v>131.69999999999999</v>
      </c>
      <c r="Q14" s="7">
        <v>228</v>
      </c>
      <c r="R14" s="7">
        <f t="shared" si="0"/>
        <v>0.57763157894736838</v>
      </c>
      <c r="S14" s="7">
        <v>170</v>
      </c>
      <c r="T14" s="7">
        <v>221</v>
      </c>
      <c r="U14" s="7">
        <f t="shared" si="6"/>
        <v>0.76923076923076927</v>
      </c>
      <c r="V14" s="7">
        <v>191</v>
      </c>
      <c r="W14" s="7">
        <v>236</v>
      </c>
      <c r="X14" s="7">
        <f t="shared" si="7"/>
        <v>0.80932203389830504</v>
      </c>
      <c r="Y14" s="7">
        <v>207</v>
      </c>
      <c r="Z14" s="7">
        <v>244</v>
      </c>
      <c r="AA14" s="7">
        <f t="shared" si="8"/>
        <v>0.84836065573770492</v>
      </c>
      <c r="AB14" s="7">
        <v>315</v>
      </c>
      <c r="AC14" s="7">
        <v>252</v>
      </c>
      <c r="AD14" s="7">
        <f t="shared" si="9"/>
        <v>1.25</v>
      </c>
      <c r="AE14" s="7">
        <f t="shared" si="10"/>
        <v>0.8509090075628295</v>
      </c>
      <c r="AF14" s="7"/>
      <c r="AG14" s="9"/>
      <c r="AO14" s="3">
        <v>189.33330000000001</v>
      </c>
      <c r="AP14" s="3" t="s">
        <v>54</v>
      </c>
      <c r="AQ14" s="3" t="s">
        <v>52</v>
      </c>
      <c r="BH14" t="s">
        <v>52</v>
      </c>
      <c r="BY14" t="s">
        <v>52</v>
      </c>
      <c r="BZ14">
        <v>1.85</v>
      </c>
      <c r="CA14" t="s">
        <v>284</v>
      </c>
      <c r="CB14">
        <v>1.1299999999999999</v>
      </c>
      <c r="CC14" t="s">
        <v>284</v>
      </c>
      <c r="CD14">
        <v>0.88</v>
      </c>
      <c r="CE14" t="s">
        <v>285</v>
      </c>
      <c r="CF14">
        <v>0.62</v>
      </c>
      <c r="CG14" t="s">
        <v>285</v>
      </c>
      <c r="CH14">
        <v>0.53</v>
      </c>
      <c r="CI14" t="s">
        <v>284</v>
      </c>
      <c r="CN14">
        <v>0.88</v>
      </c>
      <c r="CO14" t="s">
        <v>54</v>
      </c>
      <c r="CP14" t="s">
        <v>52</v>
      </c>
    </row>
    <row r="15" spans="1:94" customFormat="1" ht="15" hidden="1" x14ac:dyDescent="0.25">
      <c r="A15" t="s">
        <v>58</v>
      </c>
      <c r="B15">
        <v>102</v>
      </c>
      <c r="C15" t="s">
        <v>178</v>
      </c>
      <c r="D15" t="s">
        <v>50</v>
      </c>
      <c r="G15" t="s">
        <v>51</v>
      </c>
      <c r="H15">
        <v>1</v>
      </c>
      <c r="I15" t="s">
        <v>53</v>
      </c>
      <c r="J15">
        <v>102</v>
      </c>
      <c r="K15">
        <v>1</v>
      </c>
      <c r="L15" t="s">
        <v>52</v>
      </c>
      <c r="M15">
        <v>0</v>
      </c>
      <c r="N15">
        <v>0.92</v>
      </c>
      <c r="P15">
        <v>131.69999999999999</v>
      </c>
      <c r="Q15">
        <v>228</v>
      </c>
      <c r="R15">
        <f t="shared" si="0"/>
        <v>0.57763157894736838</v>
      </c>
      <c r="S15">
        <v>170</v>
      </c>
      <c r="T15">
        <v>221</v>
      </c>
      <c r="U15">
        <f t="shared" si="6"/>
        <v>0.76923076923076927</v>
      </c>
      <c r="W15">
        <v>236</v>
      </c>
      <c r="X15">
        <f t="shared" si="7"/>
        <v>0</v>
      </c>
      <c r="Z15">
        <v>244</v>
      </c>
      <c r="AA15">
        <f t="shared" si="8"/>
        <v>0</v>
      </c>
      <c r="AC15">
        <v>252</v>
      </c>
      <c r="AD15">
        <f t="shared" si="9"/>
        <v>0</v>
      </c>
      <c r="AQ15" t="s">
        <v>52</v>
      </c>
      <c r="BH15" t="s">
        <v>52</v>
      </c>
      <c r="BY15" t="s">
        <v>52</v>
      </c>
      <c r="CP15" t="s">
        <v>52</v>
      </c>
    </row>
    <row r="16" spans="1:94" x14ac:dyDescent="0.25">
      <c r="A16" s="7" t="s">
        <v>58</v>
      </c>
      <c r="B16">
        <v>102</v>
      </c>
      <c r="C16" s="7" t="s">
        <v>113</v>
      </c>
      <c r="D16" t="s">
        <v>50</v>
      </c>
      <c r="G16" t="s">
        <v>51</v>
      </c>
      <c r="H16">
        <v>1</v>
      </c>
      <c r="I16" s="7" t="s">
        <v>53</v>
      </c>
      <c r="J16" s="7">
        <v>102</v>
      </c>
      <c r="K16" s="7">
        <v>1</v>
      </c>
      <c r="L16" t="s">
        <v>52</v>
      </c>
      <c r="M16">
        <v>0</v>
      </c>
      <c r="N16">
        <v>0.92</v>
      </c>
      <c r="P16" s="7">
        <v>131.69999999999999</v>
      </c>
      <c r="Q16" s="7">
        <v>228</v>
      </c>
      <c r="R16" s="7">
        <f t="shared" si="0"/>
        <v>0.57763157894736838</v>
      </c>
      <c r="S16" s="7">
        <v>170</v>
      </c>
      <c r="T16" s="7">
        <v>221</v>
      </c>
      <c r="U16" s="7">
        <f t="shared" si="6"/>
        <v>0.76923076923076927</v>
      </c>
      <c r="V16" s="7">
        <v>191</v>
      </c>
      <c r="W16" s="7">
        <v>236</v>
      </c>
      <c r="X16" s="7">
        <f t="shared" si="7"/>
        <v>0.80932203389830504</v>
      </c>
      <c r="Y16" s="7">
        <v>207</v>
      </c>
      <c r="Z16" s="7">
        <v>244</v>
      </c>
      <c r="AA16" s="7">
        <f t="shared" si="8"/>
        <v>0.84836065573770492</v>
      </c>
      <c r="AB16" s="7">
        <v>205</v>
      </c>
      <c r="AC16" s="7">
        <v>252</v>
      </c>
      <c r="AD16" s="7">
        <f t="shared" si="9"/>
        <v>0.81349206349206349</v>
      </c>
      <c r="AE16" s="7">
        <f>AVERAGE(R16,U16,X16,AA16,AD16)</f>
        <v>0.76360742026124218</v>
      </c>
      <c r="AF16" s="7"/>
      <c r="AG16" s="9"/>
      <c r="AO16" s="3">
        <v>188.66669999999999</v>
      </c>
      <c r="AP16" s="3" t="s">
        <v>54</v>
      </c>
      <c r="AQ16" s="3" t="s">
        <v>52</v>
      </c>
      <c r="BH16" t="s">
        <v>52</v>
      </c>
      <c r="BY16" t="s">
        <v>52</v>
      </c>
      <c r="BZ16">
        <v>1.85</v>
      </c>
      <c r="CA16" t="s">
        <v>284</v>
      </c>
      <c r="CB16">
        <v>1.83</v>
      </c>
      <c r="CC16" t="s">
        <v>284</v>
      </c>
      <c r="CD16">
        <v>1.42</v>
      </c>
      <c r="CE16" t="s">
        <v>285</v>
      </c>
      <c r="CF16">
        <v>0.98</v>
      </c>
      <c r="CG16" t="s">
        <v>285</v>
      </c>
      <c r="CH16">
        <v>0.84</v>
      </c>
      <c r="CI16" t="s">
        <v>284</v>
      </c>
      <c r="CN16">
        <v>1.41</v>
      </c>
      <c r="CO16" t="s">
        <v>54</v>
      </c>
      <c r="CP16" t="s">
        <v>52</v>
      </c>
    </row>
    <row r="17" spans="1:94" customFormat="1" ht="15" hidden="1" x14ac:dyDescent="0.25">
      <c r="A17" t="s">
        <v>58</v>
      </c>
      <c r="B17">
        <v>102</v>
      </c>
      <c r="C17" t="s">
        <v>148</v>
      </c>
      <c r="D17" t="s">
        <v>50</v>
      </c>
      <c r="G17" t="s">
        <v>52</v>
      </c>
      <c r="H17">
        <v>1</v>
      </c>
      <c r="I17" t="s">
        <v>53</v>
      </c>
      <c r="J17">
        <v>102</v>
      </c>
      <c r="K17">
        <v>1</v>
      </c>
      <c r="L17" t="s">
        <v>52</v>
      </c>
      <c r="M17">
        <v>0</v>
      </c>
      <c r="N17">
        <v>0.92</v>
      </c>
      <c r="P17">
        <v>131.69999999999999</v>
      </c>
      <c r="Q17">
        <v>228</v>
      </c>
      <c r="R17">
        <f t="shared" si="0"/>
        <v>0.57763157894736838</v>
      </c>
      <c r="S17">
        <v>170</v>
      </c>
      <c r="T17">
        <v>221</v>
      </c>
      <c r="U17">
        <f t="shared" si="6"/>
        <v>0.76923076923076927</v>
      </c>
      <c r="W17">
        <v>236</v>
      </c>
      <c r="X17">
        <f t="shared" si="7"/>
        <v>0</v>
      </c>
      <c r="Z17">
        <v>244</v>
      </c>
      <c r="AA17">
        <f t="shared" si="8"/>
        <v>0</v>
      </c>
      <c r="AC17">
        <v>252</v>
      </c>
      <c r="AD17">
        <f t="shared" si="9"/>
        <v>0</v>
      </c>
      <c r="AQ17" t="s">
        <v>52</v>
      </c>
      <c r="BH17" t="s">
        <v>52</v>
      </c>
      <c r="BY17" t="s">
        <v>52</v>
      </c>
      <c r="CP17" t="s">
        <v>52</v>
      </c>
    </row>
    <row r="18" spans="1:94" customFormat="1" ht="15" hidden="1" x14ac:dyDescent="0.25">
      <c r="A18" t="s">
        <v>58</v>
      </c>
      <c r="B18">
        <v>102</v>
      </c>
      <c r="C18" t="s">
        <v>200</v>
      </c>
      <c r="D18" t="s">
        <v>50</v>
      </c>
      <c r="G18" t="s">
        <v>51</v>
      </c>
      <c r="H18">
        <v>1</v>
      </c>
      <c r="I18" t="s">
        <v>53</v>
      </c>
      <c r="J18">
        <v>102</v>
      </c>
      <c r="K18">
        <v>1</v>
      </c>
      <c r="L18" t="s">
        <v>52</v>
      </c>
      <c r="M18">
        <v>0</v>
      </c>
      <c r="N18">
        <v>0.92</v>
      </c>
      <c r="P18">
        <v>131.69999999999999</v>
      </c>
      <c r="Q18">
        <v>228</v>
      </c>
      <c r="R18">
        <f t="shared" si="0"/>
        <v>0.57763157894736838</v>
      </c>
      <c r="S18">
        <v>170</v>
      </c>
      <c r="T18">
        <v>221</v>
      </c>
      <c r="U18">
        <f t="shared" si="6"/>
        <v>0.76923076923076927</v>
      </c>
      <c r="V18">
        <v>191</v>
      </c>
      <c r="W18">
        <v>236</v>
      </c>
      <c r="X18">
        <f t="shared" si="7"/>
        <v>0.80932203389830504</v>
      </c>
      <c r="Z18">
        <v>244</v>
      </c>
      <c r="AA18">
        <f t="shared" si="8"/>
        <v>0</v>
      </c>
      <c r="AC18">
        <v>252</v>
      </c>
      <c r="AD18">
        <f t="shared" si="9"/>
        <v>0</v>
      </c>
      <c r="AQ18" t="s">
        <v>52</v>
      </c>
      <c r="BH18" t="s">
        <v>52</v>
      </c>
      <c r="BY18" t="s">
        <v>52</v>
      </c>
      <c r="BZ18">
        <v>1.85</v>
      </c>
      <c r="CA18" t="s">
        <v>284</v>
      </c>
      <c r="CB18">
        <v>1.54</v>
      </c>
      <c r="CC18" t="s">
        <v>284</v>
      </c>
      <c r="CD18">
        <v>1.19</v>
      </c>
      <c r="CE18" t="s">
        <v>285</v>
      </c>
      <c r="CP18" t="s">
        <v>52</v>
      </c>
    </row>
    <row r="19" spans="1:94" customFormat="1" ht="15" hidden="1" x14ac:dyDescent="0.25">
      <c r="A19" t="s">
        <v>58</v>
      </c>
      <c r="B19">
        <v>102</v>
      </c>
      <c r="C19" t="s">
        <v>151</v>
      </c>
      <c r="D19" t="s">
        <v>50</v>
      </c>
      <c r="G19" t="s">
        <v>51</v>
      </c>
      <c r="H19">
        <v>1</v>
      </c>
      <c r="I19" t="s">
        <v>53</v>
      </c>
      <c r="J19">
        <v>102</v>
      </c>
      <c r="K19">
        <v>1</v>
      </c>
      <c r="L19" t="s">
        <v>52</v>
      </c>
      <c r="M19">
        <v>0</v>
      </c>
      <c r="N19">
        <v>0.92</v>
      </c>
      <c r="P19">
        <v>131.69999999999999</v>
      </c>
      <c r="Q19">
        <v>228</v>
      </c>
      <c r="R19">
        <f t="shared" si="0"/>
        <v>0.57763157894736838</v>
      </c>
      <c r="S19">
        <v>170</v>
      </c>
      <c r="T19">
        <v>221</v>
      </c>
      <c r="U19">
        <f t="shared" si="6"/>
        <v>0.76923076923076927</v>
      </c>
      <c r="V19">
        <v>191</v>
      </c>
      <c r="W19">
        <v>236</v>
      </c>
      <c r="X19">
        <f t="shared" si="7"/>
        <v>0.80932203389830504</v>
      </c>
      <c r="Z19">
        <v>244</v>
      </c>
      <c r="AA19">
        <f t="shared" si="8"/>
        <v>0</v>
      </c>
      <c r="AC19">
        <v>252</v>
      </c>
      <c r="AD19">
        <f t="shared" si="9"/>
        <v>0</v>
      </c>
      <c r="AQ19" t="s">
        <v>52</v>
      </c>
      <c r="BH19" t="s">
        <v>52</v>
      </c>
      <c r="BY19" t="s">
        <v>52</v>
      </c>
      <c r="BZ19">
        <v>1.85</v>
      </c>
      <c r="CA19" t="s">
        <v>284</v>
      </c>
      <c r="CB19">
        <v>1.6</v>
      </c>
      <c r="CC19" t="s">
        <v>284</v>
      </c>
      <c r="CD19">
        <v>1.24</v>
      </c>
      <c r="CE19" t="s">
        <v>284</v>
      </c>
      <c r="CP19" t="s">
        <v>52</v>
      </c>
    </row>
    <row r="20" spans="1:94" x14ac:dyDescent="0.25">
      <c r="A20" s="7" t="s">
        <v>58</v>
      </c>
      <c r="B20">
        <v>102</v>
      </c>
      <c r="C20" s="7" t="s">
        <v>62</v>
      </c>
      <c r="D20" t="s">
        <v>50</v>
      </c>
      <c r="G20" t="s">
        <v>51</v>
      </c>
      <c r="H20">
        <v>1</v>
      </c>
      <c r="I20" s="7" t="s">
        <v>53</v>
      </c>
      <c r="J20" s="7">
        <v>102</v>
      </c>
      <c r="K20" s="7">
        <v>1</v>
      </c>
      <c r="L20" t="s">
        <v>52</v>
      </c>
      <c r="M20">
        <v>0</v>
      </c>
      <c r="N20">
        <v>0.92</v>
      </c>
      <c r="P20" s="7">
        <v>131.69999999999999</v>
      </c>
      <c r="Q20" s="7">
        <v>228</v>
      </c>
      <c r="R20" s="7">
        <f t="shared" si="0"/>
        <v>0.57763157894736838</v>
      </c>
      <c r="S20" s="7">
        <v>170</v>
      </c>
      <c r="T20" s="7">
        <v>221</v>
      </c>
      <c r="U20" s="7">
        <f t="shared" si="6"/>
        <v>0.76923076923076927</v>
      </c>
      <c r="V20" s="7">
        <v>191</v>
      </c>
      <c r="W20" s="7">
        <v>236</v>
      </c>
      <c r="X20" s="7">
        <f t="shared" si="7"/>
        <v>0.80932203389830504</v>
      </c>
      <c r="Y20" s="7">
        <v>207</v>
      </c>
      <c r="Z20" s="7">
        <v>244</v>
      </c>
      <c r="AA20" s="7">
        <f t="shared" si="8"/>
        <v>0.84836065573770492</v>
      </c>
      <c r="AB20" s="7">
        <v>205</v>
      </c>
      <c r="AC20" s="7">
        <v>252</v>
      </c>
      <c r="AD20" s="7">
        <f t="shared" si="9"/>
        <v>0.81349206349206349</v>
      </c>
      <c r="AE20" s="7">
        <f>AVERAGE(R20,U20,X20,AA20,AD20)</f>
        <v>0.76360742026124218</v>
      </c>
      <c r="AF20" s="7"/>
      <c r="AG20" s="9"/>
      <c r="AO20" s="3">
        <v>188.66669999999999</v>
      </c>
      <c r="AP20" s="3" t="s">
        <v>54</v>
      </c>
      <c r="AQ20" s="3" t="s">
        <v>52</v>
      </c>
      <c r="BF20">
        <v>271.60000000000002</v>
      </c>
      <c r="BG20" t="s">
        <v>285</v>
      </c>
      <c r="BH20" t="s">
        <v>287</v>
      </c>
      <c r="BY20" t="s">
        <v>52</v>
      </c>
      <c r="BZ20">
        <v>1.85</v>
      </c>
      <c r="CA20" t="s">
        <v>284</v>
      </c>
      <c r="CB20">
        <v>1.1399999999999999</v>
      </c>
      <c r="CC20" t="s">
        <v>284</v>
      </c>
      <c r="CD20">
        <v>0.53</v>
      </c>
      <c r="CE20" t="s">
        <v>285</v>
      </c>
      <c r="CF20">
        <v>0.47</v>
      </c>
      <c r="CG20" t="s">
        <v>285</v>
      </c>
      <c r="CH20">
        <v>0.4</v>
      </c>
      <c r="CI20" t="s">
        <v>284</v>
      </c>
      <c r="CN20">
        <v>0.71</v>
      </c>
      <c r="CO20" t="s">
        <v>54</v>
      </c>
      <c r="CP20" t="s">
        <v>52</v>
      </c>
    </row>
    <row r="21" spans="1:94" customFormat="1" ht="15" hidden="1" x14ac:dyDescent="0.25">
      <c r="A21" t="s">
        <v>58</v>
      </c>
      <c r="B21">
        <v>102</v>
      </c>
      <c r="C21" t="s">
        <v>156</v>
      </c>
      <c r="D21" t="s">
        <v>50</v>
      </c>
      <c r="G21" t="s">
        <v>52</v>
      </c>
      <c r="H21">
        <v>1</v>
      </c>
      <c r="I21" t="s">
        <v>53</v>
      </c>
      <c r="J21">
        <v>102</v>
      </c>
      <c r="K21">
        <v>1</v>
      </c>
      <c r="L21" t="s">
        <v>52</v>
      </c>
      <c r="M21">
        <v>0</v>
      </c>
      <c r="N21">
        <v>0.92</v>
      </c>
      <c r="P21">
        <v>131.69999999999999</v>
      </c>
      <c r="Q21">
        <v>228</v>
      </c>
      <c r="R21">
        <f t="shared" si="0"/>
        <v>0.57763157894736838</v>
      </c>
      <c r="S21">
        <v>170</v>
      </c>
      <c r="T21">
        <v>221</v>
      </c>
      <c r="U21">
        <f t="shared" si="6"/>
        <v>0.76923076923076927</v>
      </c>
      <c r="W21">
        <v>236</v>
      </c>
      <c r="X21">
        <f t="shared" si="7"/>
        <v>0</v>
      </c>
      <c r="Z21">
        <v>244</v>
      </c>
      <c r="AA21">
        <f t="shared" si="8"/>
        <v>0</v>
      </c>
      <c r="AC21">
        <v>252</v>
      </c>
      <c r="AD21">
        <f t="shared" si="9"/>
        <v>0</v>
      </c>
      <c r="AQ21" t="s">
        <v>52</v>
      </c>
      <c r="BH21" t="s">
        <v>52</v>
      </c>
      <c r="BY21" t="s">
        <v>52</v>
      </c>
      <c r="CP21" t="s">
        <v>52</v>
      </c>
    </row>
    <row r="22" spans="1:94" x14ac:dyDescent="0.25">
      <c r="A22" s="7" t="s">
        <v>58</v>
      </c>
      <c r="B22">
        <v>102</v>
      </c>
      <c r="C22" s="7" t="s">
        <v>63</v>
      </c>
      <c r="D22" t="s">
        <v>50</v>
      </c>
      <c r="G22" t="s">
        <v>51</v>
      </c>
      <c r="H22">
        <v>1</v>
      </c>
      <c r="I22" s="7" t="s">
        <v>53</v>
      </c>
      <c r="J22" s="7">
        <v>102</v>
      </c>
      <c r="K22" s="7">
        <v>1</v>
      </c>
      <c r="L22" t="s">
        <v>52</v>
      </c>
      <c r="M22">
        <v>0</v>
      </c>
      <c r="N22">
        <v>0.92</v>
      </c>
      <c r="P22" s="7">
        <v>131.69999999999999</v>
      </c>
      <c r="Q22" s="7">
        <v>228</v>
      </c>
      <c r="R22" s="7">
        <f t="shared" si="0"/>
        <v>0.57763157894736838</v>
      </c>
      <c r="S22" s="7">
        <v>170</v>
      </c>
      <c r="T22" s="7">
        <v>221</v>
      </c>
      <c r="U22" s="7">
        <f t="shared" si="6"/>
        <v>0.76923076923076927</v>
      </c>
      <c r="V22" s="7">
        <v>191</v>
      </c>
      <c r="W22" s="7">
        <v>236</v>
      </c>
      <c r="X22" s="7">
        <f t="shared" si="7"/>
        <v>0.80932203389830504</v>
      </c>
      <c r="Y22" s="7">
        <v>207</v>
      </c>
      <c r="Z22" s="7">
        <v>244</v>
      </c>
      <c r="AA22" s="7">
        <f t="shared" si="8"/>
        <v>0.84836065573770492</v>
      </c>
      <c r="AB22" s="7">
        <v>265</v>
      </c>
      <c r="AC22" s="7">
        <v>252</v>
      </c>
      <c r="AD22" s="7">
        <f t="shared" si="9"/>
        <v>1.0515873015873016</v>
      </c>
      <c r="AE22" s="7">
        <f>AVERAGE(R22,U22,X22,AA22,AD22)</f>
        <v>0.81122646788028985</v>
      </c>
      <c r="AF22" s="7"/>
      <c r="AG22" s="9"/>
      <c r="AO22" s="3">
        <v>189.33330000000001</v>
      </c>
      <c r="AP22" s="3" t="s">
        <v>54</v>
      </c>
      <c r="AQ22" s="3" t="s">
        <v>52</v>
      </c>
      <c r="BH22" t="s">
        <v>52</v>
      </c>
      <c r="BY22" t="s">
        <v>52</v>
      </c>
      <c r="BZ22">
        <v>2.1</v>
      </c>
      <c r="CA22" t="s">
        <v>285</v>
      </c>
      <c r="CB22">
        <v>1.1399999999999999</v>
      </c>
      <c r="CC22" t="s">
        <v>284</v>
      </c>
      <c r="CD22">
        <v>0.88</v>
      </c>
      <c r="CE22" t="s">
        <v>285</v>
      </c>
      <c r="CF22">
        <v>0.62</v>
      </c>
      <c r="CG22" t="s">
        <v>285</v>
      </c>
      <c r="CH22">
        <v>0.53</v>
      </c>
      <c r="CI22" t="s">
        <v>284</v>
      </c>
      <c r="CN22">
        <v>0.88</v>
      </c>
      <c r="CO22" t="s">
        <v>54</v>
      </c>
      <c r="CP22" t="s">
        <v>52</v>
      </c>
    </row>
    <row r="23" spans="1:94" customFormat="1" ht="15" hidden="1" x14ac:dyDescent="0.25">
      <c r="A23" t="s">
        <v>58</v>
      </c>
      <c r="B23">
        <v>102</v>
      </c>
      <c r="C23" t="s">
        <v>149</v>
      </c>
      <c r="D23" t="s">
        <v>50</v>
      </c>
      <c r="G23" t="s">
        <v>52</v>
      </c>
      <c r="H23">
        <v>1</v>
      </c>
      <c r="I23" t="s">
        <v>53</v>
      </c>
      <c r="J23">
        <v>102</v>
      </c>
      <c r="K23">
        <v>1</v>
      </c>
      <c r="L23" t="s">
        <v>52</v>
      </c>
      <c r="M23">
        <v>0</v>
      </c>
      <c r="N23">
        <v>0.92</v>
      </c>
      <c r="P23">
        <v>131.69999999999999</v>
      </c>
      <c r="Q23">
        <v>228</v>
      </c>
      <c r="R23">
        <f t="shared" si="0"/>
        <v>0.57763157894736838</v>
      </c>
      <c r="S23">
        <v>170</v>
      </c>
      <c r="T23">
        <v>221</v>
      </c>
      <c r="U23">
        <f t="shared" si="6"/>
        <v>0.76923076923076927</v>
      </c>
      <c r="W23">
        <v>236</v>
      </c>
      <c r="X23">
        <f t="shared" si="7"/>
        <v>0</v>
      </c>
      <c r="Z23">
        <v>244</v>
      </c>
      <c r="AA23">
        <f t="shared" si="8"/>
        <v>0</v>
      </c>
      <c r="AC23">
        <v>252</v>
      </c>
      <c r="AD23">
        <f t="shared" si="9"/>
        <v>0</v>
      </c>
      <c r="AQ23" t="s">
        <v>52</v>
      </c>
      <c r="BH23" t="s">
        <v>52</v>
      </c>
      <c r="BY23" t="s">
        <v>52</v>
      </c>
      <c r="CP23" t="s">
        <v>52</v>
      </c>
    </row>
    <row r="24" spans="1:94" x14ac:dyDescent="0.25">
      <c r="A24" s="7" t="s">
        <v>58</v>
      </c>
      <c r="B24">
        <v>102</v>
      </c>
      <c r="C24" s="7" t="s">
        <v>64</v>
      </c>
      <c r="D24" t="s">
        <v>50</v>
      </c>
      <c r="G24" t="s">
        <v>52</v>
      </c>
      <c r="H24">
        <v>1</v>
      </c>
      <c r="I24" s="7" t="s">
        <v>53</v>
      </c>
      <c r="J24" s="7">
        <v>102</v>
      </c>
      <c r="K24" s="7">
        <v>1</v>
      </c>
      <c r="L24" t="s">
        <v>52</v>
      </c>
      <c r="M24">
        <v>0</v>
      </c>
      <c r="N24">
        <v>0.92</v>
      </c>
      <c r="P24" s="7">
        <v>131.69999999999999</v>
      </c>
      <c r="Q24" s="7">
        <v>228</v>
      </c>
      <c r="R24" s="7">
        <f t="shared" si="0"/>
        <v>0.57763157894736838</v>
      </c>
      <c r="S24" s="7">
        <v>170</v>
      </c>
      <c r="T24" s="7">
        <v>221</v>
      </c>
      <c r="U24" s="7">
        <f t="shared" si="6"/>
        <v>0.76923076923076927</v>
      </c>
      <c r="V24" s="7">
        <v>191</v>
      </c>
      <c r="W24" s="7">
        <v>236</v>
      </c>
      <c r="X24" s="7">
        <f t="shared" si="7"/>
        <v>0.80932203389830504</v>
      </c>
      <c r="Y24" s="7">
        <v>207</v>
      </c>
      <c r="Z24" s="7">
        <v>244</v>
      </c>
      <c r="AA24" s="7">
        <f t="shared" si="8"/>
        <v>0.84836065573770492</v>
      </c>
      <c r="AB24" s="7">
        <v>205</v>
      </c>
      <c r="AC24" s="7">
        <v>252</v>
      </c>
      <c r="AD24" s="7">
        <f t="shared" si="9"/>
        <v>0.81349206349206349</v>
      </c>
      <c r="AE24" s="7">
        <f>AVERAGE(R24,U24,X24,AA24,AD24)</f>
        <v>0.76360742026124218</v>
      </c>
      <c r="AF24" s="7"/>
      <c r="AG24" s="9"/>
      <c r="AO24" s="3">
        <v>188.66669999999999</v>
      </c>
      <c r="AP24" s="3" t="s">
        <v>54</v>
      </c>
      <c r="AQ24" s="3" t="s">
        <v>52</v>
      </c>
      <c r="BH24" t="s">
        <v>52</v>
      </c>
      <c r="BY24" t="s">
        <v>52</v>
      </c>
      <c r="BZ24">
        <v>0.93</v>
      </c>
      <c r="CA24" t="s">
        <v>285</v>
      </c>
      <c r="CB24">
        <v>0.59</v>
      </c>
      <c r="CC24" t="s">
        <v>284</v>
      </c>
      <c r="CD24">
        <v>0.17</v>
      </c>
      <c r="CE24" t="s">
        <v>285</v>
      </c>
      <c r="CF24">
        <v>0.32</v>
      </c>
      <c r="CG24" t="s">
        <v>285</v>
      </c>
      <c r="CH24">
        <v>0.28000000000000003</v>
      </c>
      <c r="CI24" t="s">
        <v>284</v>
      </c>
      <c r="CN24">
        <v>0.4</v>
      </c>
      <c r="CO24" t="s">
        <v>54</v>
      </c>
      <c r="CP24" t="s">
        <v>52</v>
      </c>
    </row>
    <row r="25" spans="1:94" customFormat="1" ht="15" hidden="1" x14ac:dyDescent="0.25">
      <c r="A25" t="s">
        <v>58</v>
      </c>
      <c r="B25">
        <v>102</v>
      </c>
      <c r="C25" t="s">
        <v>195</v>
      </c>
      <c r="D25" t="s">
        <v>50</v>
      </c>
      <c r="G25" t="s">
        <v>51</v>
      </c>
      <c r="H25">
        <v>1</v>
      </c>
      <c r="I25" t="s">
        <v>53</v>
      </c>
      <c r="J25">
        <v>102</v>
      </c>
      <c r="K25">
        <v>1</v>
      </c>
      <c r="L25" t="s">
        <v>52</v>
      </c>
      <c r="M25">
        <v>0</v>
      </c>
      <c r="N25">
        <v>0.92</v>
      </c>
      <c r="P25">
        <v>131.69999999999999</v>
      </c>
      <c r="Q25">
        <v>228</v>
      </c>
      <c r="R25">
        <f t="shared" si="0"/>
        <v>0.57763157894736838</v>
      </c>
      <c r="S25">
        <v>170</v>
      </c>
      <c r="T25">
        <v>221</v>
      </c>
      <c r="U25">
        <f t="shared" si="6"/>
        <v>0.76923076923076927</v>
      </c>
      <c r="W25">
        <v>236</v>
      </c>
      <c r="X25">
        <f t="shared" si="7"/>
        <v>0</v>
      </c>
      <c r="Z25">
        <v>244</v>
      </c>
      <c r="AA25">
        <f t="shared" si="8"/>
        <v>0</v>
      </c>
      <c r="AC25">
        <v>252</v>
      </c>
      <c r="AD25">
        <f t="shared" si="9"/>
        <v>0</v>
      </c>
      <c r="AQ25" t="s">
        <v>52</v>
      </c>
      <c r="BH25" t="s">
        <v>52</v>
      </c>
      <c r="BY25" t="s">
        <v>52</v>
      </c>
      <c r="CP25" t="s">
        <v>52</v>
      </c>
    </row>
    <row r="26" spans="1:94" customFormat="1" ht="15" hidden="1" x14ac:dyDescent="0.25">
      <c r="A26" t="s">
        <v>58</v>
      </c>
      <c r="B26">
        <v>102</v>
      </c>
      <c r="C26" t="s">
        <v>184</v>
      </c>
      <c r="D26" t="s">
        <v>50</v>
      </c>
      <c r="G26" t="s">
        <v>52</v>
      </c>
      <c r="H26">
        <v>1</v>
      </c>
      <c r="I26" t="s">
        <v>53</v>
      </c>
      <c r="J26">
        <v>102</v>
      </c>
      <c r="K26">
        <v>1</v>
      </c>
      <c r="L26" t="s">
        <v>52</v>
      </c>
      <c r="M26">
        <v>0</v>
      </c>
      <c r="N26">
        <v>0.92</v>
      </c>
      <c r="P26">
        <v>131.69999999999999</v>
      </c>
      <c r="Q26">
        <v>228</v>
      </c>
      <c r="R26">
        <f t="shared" si="0"/>
        <v>0.57763157894736838</v>
      </c>
      <c r="S26">
        <v>170</v>
      </c>
      <c r="T26">
        <v>221</v>
      </c>
      <c r="U26">
        <f t="shared" si="6"/>
        <v>0.76923076923076927</v>
      </c>
      <c r="W26">
        <v>236</v>
      </c>
      <c r="X26">
        <f t="shared" si="7"/>
        <v>0</v>
      </c>
      <c r="Z26">
        <v>244</v>
      </c>
      <c r="AA26">
        <f t="shared" si="8"/>
        <v>0</v>
      </c>
      <c r="AC26">
        <v>252</v>
      </c>
      <c r="AD26">
        <f t="shared" si="9"/>
        <v>0</v>
      </c>
      <c r="AQ26" t="s">
        <v>52</v>
      </c>
      <c r="BH26" t="s">
        <v>52</v>
      </c>
      <c r="BY26" t="s">
        <v>52</v>
      </c>
      <c r="CP26" t="s">
        <v>52</v>
      </c>
    </row>
    <row r="27" spans="1:94" x14ac:dyDescent="0.25">
      <c r="A27" s="7" t="s">
        <v>58</v>
      </c>
      <c r="B27">
        <v>102</v>
      </c>
      <c r="C27" s="7" t="s">
        <v>180</v>
      </c>
      <c r="D27" t="s">
        <v>50</v>
      </c>
      <c r="G27" t="s">
        <v>51</v>
      </c>
      <c r="H27">
        <v>1</v>
      </c>
      <c r="I27" s="7" t="s">
        <v>53</v>
      </c>
      <c r="J27" s="7">
        <v>102</v>
      </c>
      <c r="K27" s="7">
        <v>1</v>
      </c>
      <c r="L27" t="s">
        <v>52</v>
      </c>
      <c r="M27">
        <v>0</v>
      </c>
      <c r="N27">
        <v>0.92</v>
      </c>
      <c r="P27" s="7">
        <v>131.69999999999999</v>
      </c>
      <c r="Q27" s="7">
        <v>228</v>
      </c>
      <c r="R27" s="7">
        <f t="shared" si="0"/>
        <v>0.57763157894736838</v>
      </c>
      <c r="S27" s="7">
        <v>170</v>
      </c>
      <c r="T27" s="7">
        <v>221</v>
      </c>
      <c r="U27" s="7">
        <f t="shared" si="6"/>
        <v>0.76923076923076927</v>
      </c>
      <c r="V27" s="7">
        <v>191</v>
      </c>
      <c r="W27" s="7">
        <v>236</v>
      </c>
      <c r="X27" s="7">
        <f t="shared" si="7"/>
        <v>0.80932203389830504</v>
      </c>
      <c r="Y27" s="7">
        <v>207</v>
      </c>
      <c r="Z27" s="7">
        <v>244</v>
      </c>
      <c r="AA27" s="7">
        <f t="shared" si="8"/>
        <v>0.84836065573770492</v>
      </c>
      <c r="AB27" s="7">
        <v>205</v>
      </c>
      <c r="AC27" s="7">
        <v>252</v>
      </c>
      <c r="AD27" s="7">
        <f t="shared" si="9"/>
        <v>0.81349206349206349</v>
      </c>
      <c r="AE27" s="7">
        <f t="shared" ref="AE27:AE28" si="11">AVERAGE(R27,U27,X27,AA27,AD27)</f>
        <v>0.76360742026124218</v>
      </c>
      <c r="AF27" s="7"/>
      <c r="AG27" s="9"/>
      <c r="AO27" s="3">
        <v>188.66669999999999</v>
      </c>
      <c r="AP27" s="3" t="s">
        <v>54</v>
      </c>
      <c r="AQ27" s="3" t="s">
        <v>52</v>
      </c>
      <c r="BH27" t="s">
        <v>52</v>
      </c>
      <c r="BY27" t="s">
        <v>52</v>
      </c>
      <c r="BZ27">
        <v>1.85</v>
      </c>
      <c r="CA27" t="s">
        <v>284</v>
      </c>
      <c r="CB27">
        <v>1.95</v>
      </c>
      <c r="CC27" t="s">
        <v>284</v>
      </c>
      <c r="CD27">
        <v>1.52</v>
      </c>
      <c r="CE27" t="s">
        <v>285</v>
      </c>
      <c r="CP27" t="s">
        <v>52</v>
      </c>
    </row>
    <row r="28" spans="1:94" x14ac:dyDescent="0.25">
      <c r="A28" s="7" t="s">
        <v>58</v>
      </c>
      <c r="B28">
        <v>102</v>
      </c>
      <c r="C28" s="7" t="s">
        <v>127</v>
      </c>
      <c r="D28" t="s">
        <v>50</v>
      </c>
      <c r="G28" t="s">
        <v>51</v>
      </c>
      <c r="H28">
        <v>1</v>
      </c>
      <c r="I28" s="7" t="s">
        <v>53</v>
      </c>
      <c r="J28" s="7">
        <v>102</v>
      </c>
      <c r="K28" s="7">
        <v>1</v>
      </c>
      <c r="L28" t="s">
        <v>52</v>
      </c>
      <c r="M28">
        <v>0</v>
      </c>
      <c r="N28">
        <v>0.92</v>
      </c>
      <c r="P28" s="7">
        <v>131.69999999999999</v>
      </c>
      <c r="Q28" s="7">
        <v>228</v>
      </c>
      <c r="R28" s="7">
        <f t="shared" si="0"/>
        <v>0.57763157894736838</v>
      </c>
      <c r="S28" s="7">
        <v>170</v>
      </c>
      <c r="T28" s="7">
        <v>221</v>
      </c>
      <c r="U28" s="7">
        <f t="shared" si="6"/>
        <v>0.76923076923076927</v>
      </c>
      <c r="V28" s="7">
        <v>191</v>
      </c>
      <c r="W28" s="7">
        <v>236</v>
      </c>
      <c r="X28" s="7">
        <f t="shared" si="7"/>
        <v>0.80932203389830504</v>
      </c>
      <c r="Y28" s="7">
        <v>207</v>
      </c>
      <c r="Z28" s="7">
        <v>244</v>
      </c>
      <c r="AA28" s="7">
        <f t="shared" si="8"/>
        <v>0.84836065573770492</v>
      </c>
      <c r="AB28" s="7">
        <v>205</v>
      </c>
      <c r="AC28" s="7">
        <v>252</v>
      </c>
      <c r="AD28" s="7">
        <f t="shared" si="9"/>
        <v>0.81349206349206349</v>
      </c>
      <c r="AE28" s="7">
        <f t="shared" si="11"/>
        <v>0.76360742026124218</v>
      </c>
      <c r="AF28" s="7"/>
      <c r="AG28" s="9"/>
      <c r="AO28" s="3">
        <v>188.66669999999999</v>
      </c>
      <c r="AP28" s="3" t="s">
        <v>54</v>
      </c>
      <c r="AQ28" s="3" t="s">
        <v>52</v>
      </c>
      <c r="BH28" t="s">
        <v>52</v>
      </c>
      <c r="BY28" t="s">
        <v>52</v>
      </c>
      <c r="BZ28">
        <v>1.85</v>
      </c>
      <c r="CA28" t="s">
        <v>284</v>
      </c>
      <c r="CB28">
        <v>1.62</v>
      </c>
      <c r="CC28" t="s">
        <v>284</v>
      </c>
      <c r="CD28">
        <v>1.26</v>
      </c>
      <c r="CE28" t="s">
        <v>284</v>
      </c>
      <c r="CF28">
        <v>0.87</v>
      </c>
      <c r="CG28" t="s">
        <v>284</v>
      </c>
      <c r="CH28">
        <v>0.75</v>
      </c>
      <c r="CI28" t="s">
        <v>284</v>
      </c>
      <c r="CN28">
        <v>1.25</v>
      </c>
      <c r="CO28" t="s">
        <v>54</v>
      </c>
      <c r="CP28" t="s">
        <v>52</v>
      </c>
    </row>
    <row r="29" spans="1:94" customFormat="1" ht="15" hidden="1" x14ac:dyDescent="0.25">
      <c r="A29" t="s">
        <v>58</v>
      </c>
      <c r="B29">
        <v>102</v>
      </c>
      <c r="C29" t="s">
        <v>167</v>
      </c>
      <c r="D29" t="s">
        <v>50</v>
      </c>
      <c r="G29" t="s">
        <v>51</v>
      </c>
      <c r="H29">
        <v>1</v>
      </c>
      <c r="I29" t="s">
        <v>53</v>
      </c>
      <c r="J29">
        <v>102</v>
      </c>
      <c r="K29">
        <v>1</v>
      </c>
      <c r="L29" t="s">
        <v>52</v>
      </c>
      <c r="M29">
        <v>0</v>
      </c>
      <c r="N29">
        <v>0.92</v>
      </c>
      <c r="P29">
        <v>131.69999999999999</v>
      </c>
      <c r="Q29">
        <v>228</v>
      </c>
      <c r="R29">
        <f t="shared" si="0"/>
        <v>0.57763157894736838</v>
      </c>
      <c r="S29">
        <v>170</v>
      </c>
      <c r="T29">
        <v>221</v>
      </c>
      <c r="U29">
        <f t="shared" si="6"/>
        <v>0.76923076923076927</v>
      </c>
      <c r="W29">
        <v>236</v>
      </c>
      <c r="X29">
        <f t="shared" si="7"/>
        <v>0</v>
      </c>
      <c r="Z29">
        <v>244</v>
      </c>
      <c r="AA29">
        <f t="shared" si="8"/>
        <v>0</v>
      </c>
      <c r="AC29">
        <v>252</v>
      </c>
      <c r="AD29">
        <f t="shared" si="9"/>
        <v>0</v>
      </c>
      <c r="AQ29" t="s">
        <v>52</v>
      </c>
      <c r="BH29" t="s">
        <v>52</v>
      </c>
      <c r="BY29" t="s">
        <v>52</v>
      </c>
      <c r="CP29" t="s">
        <v>52</v>
      </c>
    </row>
    <row r="30" spans="1:94" x14ac:dyDescent="0.25">
      <c r="A30" s="7" t="s">
        <v>58</v>
      </c>
      <c r="B30">
        <v>102</v>
      </c>
      <c r="C30" s="7" t="s">
        <v>128</v>
      </c>
      <c r="D30" t="s">
        <v>50</v>
      </c>
      <c r="G30" t="s">
        <v>51</v>
      </c>
      <c r="H30">
        <v>1</v>
      </c>
      <c r="I30" s="7" t="s">
        <v>53</v>
      </c>
      <c r="J30" s="7">
        <v>102</v>
      </c>
      <c r="K30" s="7">
        <v>1</v>
      </c>
      <c r="L30" t="s">
        <v>52</v>
      </c>
      <c r="M30">
        <v>0</v>
      </c>
      <c r="N30">
        <v>0.92</v>
      </c>
      <c r="P30" s="7">
        <v>131.69999999999999</v>
      </c>
      <c r="Q30" s="7">
        <v>228</v>
      </c>
      <c r="R30" s="7">
        <f t="shared" si="0"/>
        <v>0.57763157894736838</v>
      </c>
      <c r="S30" s="7">
        <v>170</v>
      </c>
      <c r="T30" s="7">
        <v>221</v>
      </c>
      <c r="U30" s="7">
        <f t="shared" si="6"/>
        <v>0.76923076923076927</v>
      </c>
      <c r="V30" s="7">
        <v>191</v>
      </c>
      <c r="W30" s="7">
        <v>236</v>
      </c>
      <c r="X30" s="7">
        <f t="shared" si="7"/>
        <v>0.80932203389830504</v>
      </c>
      <c r="Y30" s="7">
        <v>207</v>
      </c>
      <c r="Z30" s="7">
        <v>244</v>
      </c>
      <c r="AA30" s="7">
        <f t="shared" si="8"/>
        <v>0.84836065573770492</v>
      </c>
      <c r="AB30" s="7">
        <v>315</v>
      </c>
      <c r="AC30" s="7">
        <v>252</v>
      </c>
      <c r="AD30" s="7">
        <f t="shared" si="9"/>
        <v>1.25</v>
      </c>
      <c r="AE30" s="7">
        <f t="shared" ref="AE30:AE32" si="12">AVERAGE(R30,U30,X30,AA30,AD30)</f>
        <v>0.8509090075628295</v>
      </c>
      <c r="AF30" s="7"/>
      <c r="AG30" s="9"/>
      <c r="AO30" s="3">
        <v>189.33330000000001</v>
      </c>
      <c r="AP30" s="3" t="s">
        <v>54</v>
      </c>
      <c r="AQ30" s="3" t="s">
        <v>52</v>
      </c>
      <c r="BH30" t="s">
        <v>52</v>
      </c>
      <c r="BY30" t="s">
        <v>52</v>
      </c>
      <c r="BZ30">
        <v>1.3</v>
      </c>
      <c r="CA30" t="s">
        <v>285</v>
      </c>
      <c r="CB30">
        <v>1.08</v>
      </c>
      <c r="CC30" t="s">
        <v>285</v>
      </c>
      <c r="CD30">
        <v>0.43</v>
      </c>
      <c r="CE30" t="s">
        <v>285</v>
      </c>
      <c r="CF30">
        <v>0.87</v>
      </c>
      <c r="CG30" t="s">
        <v>285</v>
      </c>
      <c r="CH30">
        <v>0.51</v>
      </c>
      <c r="CI30" t="s">
        <v>288</v>
      </c>
      <c r="CN30">
        <v>0.82</v>
      </c>
      <c r="CO30" t="s">
        <v>54</v>
      </c>
      <c r="CP30" t="s">
        <v>52</v>
      </c>
    </row>
    <row r="31" spans="1:94" x14ac:dyDescent="0.25">
      <c r="A31" s="7" t="s">
        <v>58</v>
      </c>
      <c r="B31">
        <v>102</v>
      </c>
      <c r="C31" s="7" t="s">
        <v>65</v>
      </c>
      <c r="D31" t="s">
        <v>50</v>
      </c>
      <c r="G31" t="s">
        <v>51</v>
      </c>
      <c r="H31">
        <v>1</v>
      </c>
      <c r="I31" s="7" t="s">
        <v>53</v>
      </c>
      <c r="J31" s="7">
        <v>102</v>
      </c>
      <c r="K31" s="7">
        <v>1</v>
      </c>
      <c r="L31" t="s">
        <v>52</v>
      </c>
      <c r="M31">
        <v>0</v>
      </c>
      <c r="N31">
        <v>0.92</v>
      </c>
      <c r="P31" s="7">
        <v>131.69999999999999</v>
      </c>
      <c r="Q31" s="7">
        <v>228</v>
      </c>
      <c r="R31" s="7">
        <f t="shared" si="0"/>
        <v>0.57763157894736838</v>
      </c>
      <c r="S31" s="7">
        <v>170</v>
      </c>
      <c r="T31" s="7">
        <v>221</v>
      </c>
      <c r="U31" s="7">
        <f t="shared" si="6"/>
        <v>0.76923076923076927</v>
      </c>
      <c r="V31" s="7">
        <v>191</v>
      </c>
      <c r="W31" s="7">
        <v>236</v>
      </c>
      <c r="X31" s="7">
        <f t="shared" si="7"/>
        <v>0.80932203389830504</v>
      </c>
      <c r="Y31" s="7">
        <v>207</v>
      </c>
      <c r="Z31" s="7">
        <v>244</v>
      </c>
      <c r="AA31" s="7">
        <f t="shared" si="8"/>
        <v>0.84836065573770492</v>
      </c>
      <c r="AB31" s="7">
        <v>155</v>
      </c>
      <c r="AC31" s="7">
        <v>252</v>
      </c>
      <c r="AD31" s="7">
        <f t="shared" si="9"/>
        <v>0.61507936507936511</v>
      </c>
      <c r="AE31" s="7">
        <f t="shared" si="12"/>
        <v>0.72392488057870252</v>
      </c>
      <c r="AF31" s="7"/>
      <c r="AG31" s="9"/>
      <c r="AO31" s="3">
        <v>172</v>
      </c>
      <c r="AP31" s="3" t="s">
        <v>54</v>
      </c>
      <c r="AQ31" s="3" t="s">
        <v>52</v>
      </c>
      <c r="BH31" t="s">
        <v>52</v>
      </c>
      <c r="BY31" t="s">
        <v>52</v>
      </c>
      <c r="BZ31">
        <v>1.85</v>
      </c>
      <c r="CA31" t="s">
        <v>284</v>
      </c>
      <c r="CB31">
        <v>1.1399999999999999</v>
      </c>
      <c r="CC31" t="s">
        <v>284</v>
      </c>
      <c r="CD31">
        <v>0.88</v>
      </c>
      <c r="CE31" t="s">
        <v>285</v>
      </c>
      <c r="CF31">
        <v>0.62</v>
      </c>
      <c r="CG31" t="s">
        <v>285</v>
      </c>
      <c r="CH31">
        <v>0.53</v>
      </c>
      <c r="CI31" t="s">
        <v>284</v>
      </c>
      <c r="CN31">
        <v>0.88</v>
      </c>
      <c r="CO31" t="s">
        <v>54</v>
      </c>
      <c r="CP31" t="s">
        <v>52</v>
      </c>
    </row>
    <row r="32" spans="1:94" x14ac:dyDescent="0.25">
      <c r="A32" s="7" t="s">
        <v>58</v>
      </c>
      <c r="B32">
        <v>102</v>
      </c>
      <c r="C32" s="7" t="s">
        <v>136</v>
      </c>
      <c r="D32" t="s">
        <v>50</v>
      </c>
      <c r="G32" t="s">
        <v>51</v>
      </c>
      <c r="H32">
        <v>1</v>
      </c>
      <c r="I32" s="7" t="s">
        <v>53</v>
      </c>
      <c r="J32" s="7">
        <v>102</v>
      </c>
      <c r="K32" s="7">
        <v>1</v>
      </c>
      <c r="L32" t="s">
        <v>52</v>
      </c>
      <c r="M32">
        <v>0</v>
      </c>
      <c r="N32">
        <v>0.92</v>
      </c>
      <c r="P32" s="7">
        <v>131.69999999999999</v>
      </c>
      <c r="Q32" s="7">
        <v>228</v>
      </c>
      <c r="R32" s="7">
        <f t="shared" si="0"/>
        <v>0.57763157894736838</v>
      </c>
      <c r="S32" s="7">
        <v>170</v>
      </c>
      <c r="T32" s="7">
        <v>221</v>
      </c>
      <c r="U32" s="7">
        <f t="shared" si="6"/>
        <v>0.76923076923076927</v>
      </c>
      <c r="V32" s="7">
        <v>191</v>
      </c>
      <c r="W32" s="7">
        <v>236</v>
      </c>
      <c r="X32" s="7">
        <f t="shared" si="7"/>
        <v>0.80932203389830504</v>
      </c>
      <c r="Y32" s="7">
        <v>207</v>
      </c>
      <c r="Z32" s="7">
        <v>244</v>
      </c>
      <c r="AA32" s="7">
        <f t="shared" si="8"/>
        <v>0.84836065573770492</v>
      </c>
      <c r="AB32" s="7">
        <v>275</v>
      </c>
      <c r="AC32" s="7">
        <v>252</v>
      </c>
      <c r="AD32" s="7">
        <f t="shared" si="9"/>
        <v>1.0912698412698412</v>
      </c>
      <c r="AE32" s="7">
        <f t="shared" si="12"/>
        <v>0.81916297581679776</v>
      </c>
      <c r="AF32" s="7"/>
      <c r="AG32" s="9"/>
      <c r="AO32" s="3">
        <v>189.33330000000001</v>
      </c>
      <c r="AP32" s="3" t="s">
        <v>54</v>
      </c>
      <c r="AQ32" s="3" t="s">
        <v>52</v>
      </c>
      <c r="BH32" t="s">
        <v>52</v>
      </c>
      <c r="BY32" t="s">
        <v>52</v>
      </c>
      <c r="BZ32">
        <v>1.37</v>
      </c>
      <c r="CA32" t="s">
        <v>285</v>
      </c>
      <c r="CB32">
        <v>1.41</v>
      </c>
      <c r="CC32" t="s">
        <v>284</v>
      </c>
      <c r="CD32">
        <v>1.1000000000000001</v>
      </c>
      <c r="CE32" t="s">
        <v>285</v>
      </c>
      <c r="CF32">
        <v>0.76</v>
      </c>
      <c r="CG32" t="s">
        <v>285</v>
      </c>
      <c r="CH32">
        <v>1.1299999999999999</v>
      </c>
      <c r="CI32" t="s">
        <v>284</v>
      </c>
      <c r="CN32">
        <v>1.2</v>
      </c>
      <c r="CO32" t="s">
        <v>54</v>
      </c>
      <c r="CP32" t="s">
        <v>52</v>
      </c>
    </row>
    <row r="33" spans="1:94" customFormat="1" ht="15" hidden="1" x14ac:dyDescent="0.25">
      <c r="A33" t="s">
        <v>58</v>
      </c>
      <c r="B33">
        <v>102</v>
      </c>
      <c r="C33" t="s">
        <v>201</v>
      </c>
      <c r="D33" t="s">
        <v>50</v>
      </c>
      <c r="G33" t="s">
        <v>51</v>
      </c>
      <c r="H33">
        <v>1</v>
      </c>
      <c r="I33" t="s">
        <v>53</v>
      </c>
      <c r="J33">
        <v>102</v>
      </c>
      <c r="K33">
        <v>1</v>
      </c>
      <c r="L33" t="s">
        <v>52</v>
      </c>
      <c r="M33">
        <v>0</v>
      </c>
      <c r="N33">
        <v>0.92</v>
      </c>
      <c r="P33">
        <v>131.69999999999999</v>
      </c>
      <c r="Q33">
        <v>228</v>
      </c>
      <c r="R33">
        <f t="shared" si="0"/>
        <v>0.57763157894736838</v>
      </c>
      <c r="S33">
        <v>170</v>
      </c>
      <c r="T33">
        <v>221</v>
      </c>
      <c r="U33">
        <f t="shared" si="6"/>
        <v>0.76923076923076927</v>
      </c>
      <c r="W33">
        <v>236</v>
      </c>
      <c r="X33">
        <f t="shared" si="7"/>
        <v>0</v>
      </c>
      <c r="Z33">
        <v>244</v>
      </c>
      <c r="AA33">
        <f t="shared" si="8"/>
        <v>0</v>
      </c>
      <c r="AC33">
        <v>252</v>
      </c>
      <c r="AD33">
        <f t="shared" si="9"/>
        <v>0</v>
      </c>
      <c r="AQ33" t="s">
        <v>52</v>
      </c>
      <c r="BH33" t="s">
        <v>52</v>
      </c>
      <c r="BY33" t="s">
        <v>52</v>
      </c>
      <c r="CP33" t="s">
        <v>52</v>
      </c>
    </row>
    <row r="34" spans="1:94" x14ac:dyDescent="0.25">
      <c r="A34" s="7" t="s">
        <v>58</v>
      </c>
      <c r="B34">
        <v>102</v>
      </c>
      <c r="C34" s="7" t="s">
        <v>66</v>
      </c>
      <c r="D34" t="s">
        <v>50</v>
      </c>
      <c r="G34" t="s">
        <v>51</v>
      </c>
      <c r="H34">
        <v>1</v>
      </c>
      <c r="I34" s="7" t="s">
        <v>53</v>
      </c>
      <c r="J34" s="7">
        <v>102</v>
      </c>
      <c r="K34" s="7">
        <v>1</v>
      </c>
      <c r="L34" t="s">
        <v>52</v>
      </c>
      <c r="M34">
        <v>0</v>
      </c>
      <c r="N34">
        <v>0.92</v>
      </c>
      <c r="P34" s="7">
        <v>131.69999999999999</v>
      </c>
      <c r="Q34" s="7">
        <v>228</v>
      </c>
      <c r="R34" s="7">
        <f t="shared" si="0"/>
        <v>0.57763157894736838</v>
      </c>
      <c r="S34" s="7">
        <v>170</v>
      </c>
      <c r="T34" s="7">
        <v>221</v>
      </c>
      <c r="U34" s="7">
        <f t="shared" si="6"/>
        <v>0.76923076923076927</v>
      </c>
      <c r="V34" s="7">
        <v>191</v>
      </c>
      <c r="W34" s="7">
        <v>236</v>
      </c>
      <c r="X34" s="7">
        <f t="shared" si="7"/>
        <v>0.80932203389830504</v>
      </c>
      <c r="Y34" s="7">
        <v>207</v>
      </c>
      <c r="Z34" s="7">
        <v>244</v>
      </c>
      <c r="AA34" s="7">
        <f t="shared" si="8"/>
        <v>0.84836065573770492</v>
      </c>
      <c r="AB34" s="7">
        <v>205</v>
      </c>
      <c r="AC34" s="7">
        <v>252</v>
      </c>
      <c r="AD34" s="7">
        <f t="shared" si="9"/>
        <v>0.81349206349206349</v>
      </c>
      <c r="AE34" s="7">
        <f t="shared" ref="AE34:AE37" si="13">AVERAGE(R34,U34,X34,AA34,AD34)</f>
        <v>0.76360742026124218</v>
      </c>
      <c r="AF34" s="7"/>
      <c r="AG34" s="9"/>
      <c r="AO34" s="3">
        <v>188.66669999999999</v>
      </c>
      <c r="AP34" s="3" t="s">
        <v>54</v>
      </c>
      <c r="AQ34" s="3" t="s">
        <v>52</v>
      </c>
      <c r="BH34" t="s">
        <v>52</v>
      </c>
      <c r="BY34" t="s">
        <v>52</v>
      </c>
      <c r="BZ34">
        <v>1.32</v>
      </c>
      <c r="CA34" t="s">
        <v>285</v>
      </c>
      <c r="CB34">
        <v>1.1399999999999999</v>
      </c>
      <c r="CC34" t="s">
        <v>284</v>
      </c>
      <c r="CD34">
        <v>0.88</v>
      </c>
      <c r="CE34" t="s">
        <v>285</v>
      </c>
      <c r="CF34">
        <v>0.62</v>
      </c>
      <c r="CG34" t="s">
        <v>285</v>
      </c>
      <c r="CH34">
        <v>0.62</v>
      </c>
      <c r="CI34" t="s">
        <v>285</v>
      </c>
      <c r="CN34">
        <v>0.88</v>
      </c>
      <c r="CO34" t="s">
        <v>54</v>
      </c>
      <c r="CP34" t="s">
        <v>52</v>
      </c>
    </row>
    <row r="35" spans="1:94" x14ac:dyDescent="0.25">
      <c r="A35" s="7" t="s">
        <v>58</v>
      </c>
      <c r="B35">
        <v>102</v>
      </c>
      <c r="C35" s="7" t="s">
        <v>118</v>
      </c>
      <c r="D35" t="s">
        <v>50</v>
      </c>
      <c r="G35" t="s">
        <v>51</v>
      </c>
      <c r="H35">
        <v>1</v>
      </c>
      <c r="I35" s="7" t="s">
        <v>53</v>
      </c>
      <c r="J35" s="7">
        <v>102</v>
      </c>
      <c r="K35" s="7">
        <v>1</v>
      </c>
      <c r="L35" t="s">
        <v>52</v>
      </c>
      <c r="M35">
        <v>0</v>
      </c>
      <c r="N35">
        <v>0.92</v>
      </c>
      <c r="P35" s="7">
        <v>131.69999999999999</v>
      </c>
      <c r="Q35" s="7">
        <v>228</v>
      </c>
      <c r="R35" s="7">
        <f t="shared" si="0"/>
        <v>0.57763157894736838</v>
      </c>
      <c r="S35" s="7">
        <v>170</v>
      </c>
      <c r="T35" s="7">
        <v>221</v>
      </c>
      <c r="U35" s="7">
        <f t="shared" si="6"/>
        <v>0.76923076923076927</v>
      </c>
      <c r="V35" s="7">
        <v>191</v>
      </c>
      <c r="W35" s="7">
        <v>236</v>
      </c>
      <c r="X35" s="7">
        <f t="shared" si="7"/>
        <v>0.80932203389830504</v>
      </c>
      <c r="Y35" s="7">
        <v>207</v>
      </c>
      <c r="Z35" s="7">
        <v>244</v>
      </c>
      <c r="AA35" s="7">
        <f t="shared" si="8"/>
        <v>0.84836065573770492</v>
      </c>
      <c r="AB35" s="7">
        <v>205</v>
      </c>
      <c r="AC35" s="7">
        <v>252</v>
      </c>
      <c r="AD35" s="7">
        <f t="shared" si="9"/>
        <v>0.81349206349206349</v>
      </c>
      <c r="AE35" s="7">
        <f t="shared" si="13"/>
        <v>0.76360742026124218</v>
      </c>
      <c r="AF35" s="7"/>
      <c r="AG35" s="9"/>
      <c r="AO35" s="3">
        <v>188.66669999999999</v>
      </c>
      <c r="AP35" s="3" t="s">
        <v>54</v>
      </c>
      <c r="AQ35" s="3" t="s">
        <v>52</v>
      </c>
      <c r="BH35" t="s">
        <v>52</v>
      </c>
      <c r="BY35" t="s">
        <v>52</v>
      </c>
      <c r="CP35" t="s">
        <v>52</v>
      </c>
    </row>
    <row r="36" spans="1:94" x14ac:dyDescent="0.25">
      <c r="A36" s="7" t="s">
        <v>58</v>
      </c>
      <c r="B36">
        <v>102</v>
      </c>
      <c r="C36" s="7" t="s">
        <v>67</v>
      </c>
      <c r="D36" t="s">
        <v>50</v>
      </c>
      <c r="G36" t="s">
        <v>51</v>
      </c>
      <c r="H36">
        <v>1</v>
      </c>
      <c r="I36" s="7" t="s">
        <v>53</v>
      </c>
      <c r="J36" s="7">
        <v>102</v>
      </c>
      <c r="K36" s="7">
        <v>1</v>
      </c>
      <c r="L36" t="s">
        <v>52</v>
      </c>
      <c r="M36">
        <v>0</v>
      </c>
      <c r="N36">
        <v>0.92</v>
      </c>
      <c r="P36" s="7">
        <v>131.69999999999999</v>
      </c>
      <c r="Q36" s="7">
        <v>228</v>
      </c>
      <c r="R36" s="7">
        <f t="shared" si="0"/>
        <v>0.57763157894736838</v>
      </c>
      <c r="S36" s="7">
        <v>170</v>
      </c>
      <c r="T36" s="7">
        <v>221</v>
      </c>
      <c r="U36" s="7">
        <f t="shared" si="6"/>
        <v>0.76923076923076927</v>
      </c>
      <c r="V36" s="7">
        <v>191</v>
      </c>
      <c r="W36" s="7">
        <v>236</v>
      </c>
      <c r="X36" s="7">
        <f t="shared" si="7"/>
        <v>0.80932203389830504</v>
      </c>
      <c r="Y36" s="7">
        <v>207</v>
      </c>
      <c r="Z36" s="7">
        <v>244</v>
      </c>
      <c r="AA36" s="7">
        <f t="shared" si="8"/>
        <v>0.84836065573770492</v>
      </c>
      <c r="AB36" s="7">
        <v>205</v>
      </c>
      <c r="AC36" s="7">
        <v>252</v>
      </c>
      <c r="AD36" s="7">
        <f t="shared" si="9"/>
        <v>0.81349206349206349</v>
      </c>
      <c r="AE36" s="7">
        <f t="shared" si="13"/>
        <v>0.76360742026124218</v>
      </c>
      <c r="AF36" s="7"/>
      <c r="AG36" s="9"/>
      <c r="AO36" s="3">
        <v>188.66669999999999</v>
      </c>
      <c r="AP36" s="3" t="s">
        <v>54</v>
      </c>
      <c r="AQ36" s="3" t="s">
        <v>52</v>
      </c>
      <c r="BH36" t="s">
        <v>52</v>
      </c>
      <c r="BY36" t="s">
        <v>52</v>
      </c>
      <c r="BZ36">
        <v>1.85</v>
      </c>
      <c r="CA36" t="s">
        <v>284</v>
      </c>
      <c r="CB36">
        <v>1.1399999999999999</v>
      </c>
      <c r="CC36" t="s">
        <v>284</v>
      </c>
      <c r="CD36">
        <v>0.88</v>
      </c>
      <c r="CE36" t="s">
        <v>285</v>
      </c>
      <c r="CF36">
        <v>0.62</v>
      </c>
      <c r="CG36" t="s">
        <v>285</v>
      </c>
      <c r="CH36">
        <v>0.53</v>
      </c>
      <c r="CI36" t="s">
        <v>284</v>
      </c>
      <c r="CN36">
        <v>0.88</v>
      </c>
      <c r="CO36" t="s">
        <v>54</v>
      </c>
      <c r="CP36" t="s">
        <v>52</v>
      </c>
    </row>
    <row r="37" spans="1:94" x14ac:dyDescent="0.25">
      <c r="A37" s="7" t="s">
        <v>58</v>
      </c>
      <c r="B37">
        <v>102</v>
      </c>
      <c r="C37" s="7" t="s">
        <v>114</v>
      </c>
      <c r="D37" t="s">
        <v>50</v>
      </c>
      <c r="G37" t="s">
        <v>51</v>
      </c>
      <c r="H37">
        <v>1</v>
      </c>
      <c r="I37" s="7" t="s">
        <v>53</v>
      </c>
      <c r="J37" s="7">
        <v>102</v>
      </c>
      <c r="K37" s="7">
        <v>1</v>
      </c>
      <c r="L37" t="s">
        <v>52</v>
      </c>
      <c r="M37">
        <v>0</v>
      </c>
      <c r="N37">
        <v>0.92</v>
      </c>
      <c r="P37" s="7">
        <v>131.69999999999999</v>
      </c>
      <c r="Q37" s="7">
        <v>228</v>
      </c>
      <c r="R37" s="7">
        <f t="shared" si="0"/>
        <v>0.57763157894736838</v>
      </c>
      <c r="S37" s="7">
        <v>170</v>
      </c>
      <c r="T37" s="7">
        <v>221</v>
      </c>
      <c r="U37" s="7">
        <f t="shared" si="6"/>
        <v>0.76923076923076927</v>
      </c>
      <c r="V37" s="7">
        <v>191</v>
      </c>
      <c r="W37" s="7">
        <v>236</v>
      </c>
      <c r="X37" s="7">
        <f t="shared" si="7"/>
        <v>0.80932203389830504</v>
      </c>
      <c r="Y37" s="7">
        <v>207</v>
      </c>
      <c r="Z37" s="7">
        <v>244</v>
      </c>
      <c r="AA37" s="7">
        <f t="shared" si="8"/>
        <v>0.84836065573770492</v>
      </c>
      <c r="AB37" s="7">
        <v>205</v>
      </c>
      <c r="AC37" s="7">
        <v>252</v>
      </c>
      <c r="AD37" s="7">
        <f t="shared" si="9"/>
        <v>0.81349206349206349</v>
      </c>
      <c r="AE37" s="7">
        <f t="shared" si="13"/>
        <v>0.76360742026124218</v>
      </c>
      <c r="AF37" s="7"/>
      <c r="AG37" s="9"/>
      <c r="AO37" s="3">
        <v>188.66669999999999</v>
      </c>
      <c r="AP37" s="3" t="s">
        <v>54</v>
      </c>
      <c r="AQ37" s="3" t="s">
        <v>52</v>
      </c>
      <c r="BH37" t="s">
        <v>52</v>
      </c>
      <c r="BY37" t="s">
        <v>52</v>
      </c>
      <c r="BZ37">
        <v>1.85</v>
      </c>
      <c r="CA37" t="s">
        <v>284</v>
      </c>
      <c r="CB37">
        <v>1.82</v>
      </c>
      <c r="CC37" t="s">
        <v>284</v>
      </c>
      <c r="CD37">
        <v>1.42</v>
      </c>
      <c r="CE37" t="s">
        <v>285</v>
      </c>
      <c r="CF37">
        <v>0.98</v>
      </c>
      <c r="CG37" t="s">
        <v>285</v>
      </c>
      <c r="CH37">
        <v>0.84</v>
      </c>
      <c r="CI37" t="s">
        <v>284</v>
      </c>
      <c r="CN37">
        <v>1.41</v>
      </c>
      <c r="CO37" t="s">
        <v>54</v>
      </c>
      <c r="CP37" t="s">
        <v>52</v>
      </c>
    </row>
    <row r="38" spans="1:94" customFormat="1" ht="15" hidden="1" x14ac:dyDescent="0.25">
      <c r="A38" t="s">
        <v>58</v>
      </c>
      <c r="B38">
        <v>102</v>
      </c>
      <c r="C38" t="s">
        <v>119</v>
      </c>
      <c r="D38" t="s">
        <v>50</v>
      </c>
      <c r="G38" t="s">
        <v>51</v>
      </c>
      <c r="H38">
        <v>1</v>
      </c>
      <c r="I38" t="s">
        <v>53</v>
      </c>
      <c r="J38">
        <v>102</v>
      </c>
      <c r="K38">
        <v>1</v>
      </c>
      <c r="L38" t="s">
        <v>52</v>
      </c>
      <c r="M38">
        <v>0</v>
      </c>
      <c r="N38">
        <v>0.92</v>
      </c>
      <c r="P38">
        <v>131.69999999999999</v>
      </c>
      <c r="Q38">
        <v>228</v>
      </c>
      <c r="R38">
        <f t="shared" si="0"/>
        <v>0.57763157894736838</v>
      </c>
      <c r="S38">
        <v>170</v>
      </c>
      <c r="T38">
        <v>221</v>
      </c>
      <c r="U38">
        <f t="shared" si="6"/>
        <v>0.76923076923076927</v>
      </c>
      <c r="W38">
        <v>236</v>
      </c>
      <c r="X38">
        <f t="shared" si="7"/>
        <v>0</v>
      </c>
      <c r="Z38">
        <v>244</v>
      </c>
      <c r="AA38">
        <f t="shared" si="8"/>
        <v>0</v>
      </c>
      <c r="AC38">
        <v>252</v>
      </c>
      <c r="AD38">
        <f t="shared" si="9"/>
        <v>0</v>
      </c>
      <c r="AQ38" t="s">
        <v>52</v>
      </c>
      <c r="BH38" t="s">
        <v>52</v>
      </c>
      <c r="BY38" t="s">
        <v>52</v>
      </c>
      <c r="CP38" t="s">
        <v>52</v>
      </c>
    </row>
    <row r="39" spans="1:94" x14ac:dyDescent="0.25">
      <c r="A39" s="7" t="s">
        <v>68</v>
      </c>
      <c r="B39">
        <v>80</v>
      </c>
      <c r="C39" s="7" t="s">
        <v>69</v>
      </c>
      <c r="D39" t="s">
        <v>50</v>
      </c>
      <c r="G39" t="s">
        <v>51</v>
      </c>
      <c r="H39">
        <v>1</v>
      </c>
      <c r="I39" s="7" t="s">
        <v>53</v>
      </c>
      <c r="J39" s="7">
        <v>80</v>
      </c>
      <c r="K39" s="7">
        <v>1</v>
      </c>
      <c r="L39" t="s">
        <v>52</v>
      </c>
      <c r="M39">
        <v>0.5</v>
      </c>
      <c r="N39">
        <v>0.75</v>
      </c>
      <c r="P39" s="7">
        <v>202.92</v>
      </c>
      <c r="Q39" s="7">
        <v>228</v>
      </c>
      <c r="R39" s="7">
        <f t="shared" si="0"/>
        <v>0.8899999999999999</v>
      </c>
      <c r="S39" s="7">
        <v>198.9</v>
      </c>
      <c r="T39" s="7">
        <v>221</v>
      </c>
      <c r="U39" s="7">
        <f t="shared" si="6"/>
        <v>0.9</v>
      </c>
      <c r="V39" s="7">
        <v>212.4</v>
      </c>
      <c r="W39" s="7">
        <v>236</v>
      </c>
      <c r="X39" s="7">
        <f t="shared" si="7"/>
        <v>0.9</v>
      </c>
      <c r="Y39" s="7">
        <v>219.6</v>
      </c>
      <c r="Z39" s="7">
        <v>244</v>
      </c>
      <c r="AA39" s="7">
        <f t="shared" si="8"/>
        <v>0.9</v>
      </c>
      <c r="AB39" s="7">
        <v>178</v>
      </c>
      <c r="AC39" s="7">
        <v>252</v>
      </c>
      <c r="AD39" s="7">
        <f t="shared" si="9"/>
        <v>0.70634920634920639</v>
      </c>
      <c r="AE39" s="7">
        <f t="shared" ref="AE39:AE40" si="14">AVERAGE(R39,U39,X39,AA39,AD39)</f>
        <v>0.85926984126984129</v>
      </c>
      <c r="AF39" s="7"/>
      <c r="AG39" s="9"/>
      <c r="AO39" s="3">
        <v>204.74</v>
      </c>
      <c r="AP39" s="3" t="s">
        <v>54</v>
      </c>
      <c r="AQ39" s="3" t="s">
        <v>52</v>
      </c>
      <c r="BH39" t="s">
        <v>52</v>
      </c>
      <c r="BY39" t="s">
        <v>52</v>
      </c>
      <c r="BZ39">
        <v>1.85</v>
      </c>
      <c r="CA39" t="s">
        <v>284</v>
      </c>
      <c r="CB39">
        <v>1.1399999999999999</v>
      </c>
      <c r="CC39" t="s">
        <v>284</v>
      </c>
      <c r="CD39">
        <v>1.24</v>
      </c>
      <c r="CE39" t="s">
        <v>284</v>
      </c>
      <c r="CF39">
        <v>1.55</v>
      </c>
      <c r="CG39" t="s">
        <v>284</v>
      </c>
      <c r="CH39">
        <v>1.35</v>
      </c>
      <c r="CI39" t="s">
        <v>285</v>
      </c>
      <c r="CN39">
        <v>1.38</v>
      </c>
      <c r="CO39" t="s">
        <v>54</v>
      </c>
      <c r="CP39" t="s">
        <v>52</v>
      </c>
    </row>
    <row r="40" spans="1:94" x14ac:dyDescent="0.25">
      <c r="A40" s="7" t="s">
        <v>68</v>
      </c>
      <c r="B40">
        <v>80</v>
      </c>
      <c r="C40" s="7" t="s">
        <v>105</v>
      </c>
      <c r="D40" t="s">
        <v>50</v>
      </c>
      <c r="G40" t="s">
        <v>51</v>
      </c>
      <c r="H40">
        <v>1</v>
      </c>
      <c r="I40" s="7" t="s">
        <v>53</v>
      </c>
      <c r="J40" s="7">
        <v>80</v>
      </c>
      <c r="K40" s="7">
        <v>1</v>
      </c>
      <c r="L40" t="s">
        <v>52</v>
      </c>
      <c r="M40">
        <v>0.5</v>
      </c>
      <c r="N40">
        <v>0.75</v>
      </c>
      <c r="P40" s="7">
        <v>228</v>
      </c>
      <c r="Q40" s="7">
        <v>228</v>
      </c>
      <c r="R40" s="7">
        <f t="shared" si="0"/>
        <v>1</v>
      </c>
      <c r="S40" s="7">
        <v>221</v>
      </c>
      <c r="T40" s="7">
        <v>221</v>
      </c>
      <c r="U40" s="7">
        <f t="shared" si="6"/>
        <v>1</v>
      </c>
      <c r="V40" s="7">
        <v>212.4</v>
      </c>
      <c r="W40" s="7">
        <v>236</v>
      </c>
      <c r="X40" s="7">
        <f t="shared" si="7"/>
        <v>0.9</v>
      </c>
      <c r="Y40" s="7">
        <v>219.6</v>
      </c>
      <c r="Z40" s="7">
        <v>244</v>
      </c>
      <c r="AA40" s="7">
        <f t="shared" si="8"/>
        <v>0.9</v>
      </c>
      <c r="AB40" s="7">
        <v>178</v>
      </c>
      <c r="AC40" s="7">
        <v>252</v>
      </c>
      <c r="AD40" s="7">
        <f t="shared" si="9"/>
        <v>0.70634920634920639</v>
      </c>
      <c r="AE40" s="7">
        <f t="shared" si="14"/>
        <v>0.90126984126984122</v>
      </c>
      <c r="AF40" s="7"/>
      <c r="AG40" s="9"/>
      <c r="AO40" s="3">
        <v>217.66669999999999</v>
      </c>
      <c r="AP40" s="3" t="s">
        <v>54</v>
      </c>
      <c r="AQ40" s="3" t="s">
        <v>52</v>
      </c>
      <c r="BH40" t="s">
        <v>52</v>
      </c>
      <c r="BY40" t="s">
        <v>52</v>
      </c>
      <c r="BZ40">
        <v>1.85</v>
      </c>
      <c r="CA40" t="s">
        <v>285</v>
      </c>
      <c r="CB40">
        <v>1.82</v>
      </c>
      <c r="CC40" t="s">
        <v>285</v>
      </c>
      <c r="CD40">
        <v>1.99</v>
      </c>
      <c r="CE40" t="s">
        <v>284</v>
      </c>
      <c r="CF40">
        <v>2.5</v>
      </c>
      <c r="CG40" t="s">
        <v>284</v>
      </c>
      <c r="CH40">
        <v>2.1800000000000002</v>
      </c>
      <c r="CI40" t="s">
        <v>285</v>
      </c>
      <c r="CN40">
        <v>2.0099999999999998</v>
      </c>
      <c r="CO40" t="s">
        <v>54</v>
      </c>
      <c r="CP40" t="s">
        <v>52</v>
      </c>
    </row>
    <row r="41" spans="1:94" customFormat="1" ht="15" hidden="1" x14ac:dyDescent="0.25">
      <c r="A41" t="s">
        <v>68</v>
      </c>
      <c r="B41">
        <v>80</v>
      </c>
      <c r="C41" t="s">
        <v>204</v>
      </c>
      <c r="D41" t="s">
        <v>50</v>
      </c>
      <c r="G41" t="s">
        <v>51</v>
      </c>
      <c r="H41">
        <v>1</v>
      </c>
      <c r="I41" t="s">
        <v>53</v>
      </c>
      <c r="J41">
        <v>80</v>
      </c>
      <c r="K41">
        <v>1</v>
      </c>
      <c r="L41" t="s">
        <v>52</v>
      </c>
      <c r="M41">
        <v>0.5</v>
      </c>
      <c r="N41">
        <v>0.75</v>
      </c>
      <c r="P41">
        <v>202.92</v>
      </c>
      <c r="Q41">
        <v>228</v>
      </c>
      <c r="R41">
        <f t="shared" si="0"/>
        <v>0.8899999999999999</v>
      </c>
      <c r="S41">
        <v>198.9</v>
      </c>
      <c r="T41">
        <v>221</v>
      </c>
      <c r="U41">
        <f t="shared" si="6"/>
        <v>0.9</v>
      </c>
      <c r="W41">
        <v>236</v>
      </c>
      <c r="X41">
        <f t="shared" si="7"/>
        <v>0</v>
      </c>
      <c r="Z41">
        <v>244</v>
      </c>
      <c r="AA41">
        <f t="shared" si="8"/>
        <v>0</v>
      </c>
      <c r="AC41">
        <v>252</v>
      </c>
      <c r="AD41">
        <f t="shared" si="9"/>
        <v>0</v>
      </c>
      <c r="AQ41" t="s">
        <v>52</v>
      </c>
      <c r="BH41" t="s">
        <v>52</v>
      </c>
      <c r="BY41" t="s">
        <v>52</v>
      </c>
      <c r="BZ41">
        <v>1.85</v>
      </c>
      <c r="CA41" t="s">
        <v>285</v>
      </c>
      <c r="CB41">
        <v>1.64</v>
      </c>
      <c r="CC41" t="s">
        <v>284</v>
      </c>
      <c r="CP41" t="s">
        <v>52</v>
      </c>
    </row>
    <row r="42" spans="1:94" x14ac:dyDescent="0.25">
      <c r="A42" s="7" t="s">
        <v>68</v>
      </c>
      <c r="B42">
        <v>80</v>
      </c>
      <c r="C42" s="7" t="s">
        <v>163</v>
      </c>
      <c r="D42" t="s">
        <v>50</v>
      </c>
      <c r="G42" t="s">
        <v>51</v>
      </c>
      <c r="H42">
        <v>1</v>
      </c>
      <c r="I42" s="7" t="s">
        <v>53</v>
      </c>
      <c r="J42" s="7">
        <v>80</v>
      </c>
      <c r="K42" s="7">
        <v>1</v>
      </c>
      <c r="L42" t="s">
        <v>52</v>
      </c>
      <c r="M42">
        <v>0.5</v>
      </c>
      <c r="N42">
        <v>0.75</v>
      </c>
      <c r="P42" s="7">
        <v>202.92</v>
      </c>
      <c r="Q42" s="7">
        <v>228</v>
      </c>
      <c r="R42" s="7">
        <f t="shared" si="0"/>
        <v>0.8899999999999999</v>
      </c>
      <c r="S42" s="7">
        <v>198.9</v>
      </c>
      <c r="T42" s="7">
        <v>221</v>
      </c>
      <c r="U42" s="7">
        <f t="shared" si="6"/>
        <v>0.9</v>
      </c>
      <c r="V42" s="7">
        <v>212.4</v>
      </c>
      <c r="W42" s="7">
        <v>236</v>
      </c>
      <c r="X42" s="7">
        <f t="shared" si="7"/>
        <v>0.9</v>
      </c>
      <c r="Y42" s="7">
        <v>219.6</v>
      </c>
      <c r="Z42" s="7">
        <v>244</v>
      </c>
      <c r="AA42" s="7">
        <f t="shared" si="8"/>
        <v>0.9</v>
      </c>
      <c r="AB42" s="7">
        <v>178</v>
      </c>
      <c r="AC42" s="7">
        <v>252</v>
      </c>
      <c r="AD42" s="7">
        <f t="shared" si="9"/>
        <v>0.70634920634920639</v>
      </c>
      <c r="AE42" s="7">
        <f t="shared" ref="AE42:AE47" si="15">AVERAGE(R42,U42,X42,AA42,AD42)</f>
        <v>0.85926984126984129</v>
      </c>
      <c r="AF42" s="7"/>
      <c r="AG42" s="9"/>
      <c r="AO42" s="3">
        <v>204.74</v>
      </c>
      <c r="AP42" s="3" t="s">
        <v>54</v>
      </c>
      <c r="AQ42" s="3" t="s">
        <v>52</v>
      </c>
      <c r="BH42" t="s">
        <v>52</v>
      </c>
      <c r="BY42" t="s">
        <v>52</v>
      </c>
      <c r="BZ42">
        <v>1.85</v>
      </c>
      <c r="CA42" t="s">
        <v>285</v>
      </c>
      <c r="CB42">
        <v>1.67</v>
      </c>
      <c r="CC42" t="s">
        <v>284</v>
      </c>
      <c r="CD42">
        <v>1.83</v>
      </c>
      <c r="CE42" t="s">
        <v>284</v>
      </c>
      <c r="CF42">
        <v>3</v>
      </c>
      <c r="CG42" t="s">
        <v>284</v>
      </c>
      <c r="CH42">
        <v>2.61</v>
      </c>
      <c r="CI42" t="s">
        <v>285</v>
      </c>
      <c r="CN42">
        <v>2.1</v>
      </c>
      <c r="CO42" t="s">
        <v>54</v>
      </c>
      <c r="CP42" t="s">
        <v>52</v>
      </c>
    </row>
    <row r="43" spans="1:94" hidden="1" x14ac:dyDescent="0.25">
      <c r="A43" s="7" t="s">
        <v>70</v>
      </c>
      <c r="B43">
        <v>296</v>
      </c>
      <c r="C43" s="7" t="s">
        <v>71</v>
      </c>
      <c r="D43" t="s">
        <v>50</v>
      </c>
      <c r="G43" t="s">
        <v>51</v>
      </c>
      <c r="H43">
        <v>1</v>
      </c>
      <c r="I43" s="7" t="s">
        <v>53</v>
      </c>
      <c r="J43" s="7">
        <v>296</v>
      </c>
      <c r="K43" s="7">
        <v>1</v>
      </c>
      <c r="L43" t="s">
        <v>52</v>
      </c>
      <c r="M43">
        <v>0</v>
      </c>
      <c r="N43">
        <v>0.75</v>
      </c>
      <c r="P43" s="7">
        <v>228</v>
      </c>
      <c r="Q43" s="7">
        <v>228</v>
      </c>
      <c r="R43" s="7">
        <f t="shared" si="0"/>
        <v>1</v>
      </c>
      <c r="S43" s="7">
        <v>190</v>
      </c>
      <c r="T43" s="7">
        <v>221</v>
      </c>
      <c r="U43" s="7">
        <f t="shared" si="6"/>
        <v>0.85972850678733037</v>
      </c>
      <c r="V43" s="7">
        <v>194</v>
      </c>
      <c r="W43" s="7">
        <v>236</v>
      </c>
      <c r="X43" s="7">
        <f t="shared" si="7"/>
        <v>0.82203389830508478</v>
      </c>
      <c r="Y43" s="7">
        <v>225</v>
      </c>
      <c r="Z43" s="7">
        <v>244</v>
      </c>
      <c r="AA43" s="7">
        <f t="shared" si="8"/>
        <v>0.92213114754098358</v>
      </c>
      <c r="AB43" s="7">
        <v>247</v>
      </c>
      <c r="AC43" s="7">
        <v>252</v>
      </c>
      <c r="AD43" s="7">
        <f t="shared" si="9"/>
        <v>0.98015873015873012</v>
      </c>
      <c r="AE43" s="7">
        <f t="shared" si="15"/>
        <v>0.91681045655842586</v>
      </c>
      <c r="AF43" s="7"/>
      <c r="AG43" s="9"/>
      <c r="AK43" s="3">
        <v>241</v>
      </c>
      <c r="AL43" s="3" t="s">
        <v>285</v>
      </c>
      <c r="AM43" s="3">
        <v>219</v>
      </c>
      <c r="AN43" s="3" t="s">
        <v>285</v>
      </c>
      <c r="AO43" s="3">
        <v>219</v>
      </c>
      <c r="AP43" s="3" t="s">
        <v>286</v>
      </c>
      <c r="AQ43" s="3" t="s">
        <v>287</v>
      </c>
      <c r="BF43">
        <v>263</v>
      </c>
      <c r="BG43" t="s">
        <v>286</v>
      </c>
      <c r="BH43" t="s">
        <v>287</v>
      </c>
      <c r="BY43" t="s">
        <v>52</v>
      </c>
      <c r="CP43" t="s">
        <v>52</v>
      </c>
    </row>
    <row r="44" spans="1:94" x14ac:dyDescent="0.25">
      <c r="A44" s="7" t="s">
        <v>70</v>
      </c>
      <c r="B44">
        <v>296</v>
      </c>
      <c r="C44" s="7" t="s">
        <v>72</v>
      </c>
      <c r="D44" t="s">
        <v>50</v>
      </c>
      <c r="G44" t="s">
        <v>51</v>
      </c>
      <c r="H44">
        <v>1</v>
      </c>
      <c r="I44" s="7" t="s">
        <v>53</v>
      </c>
      <c r="J44" s="7">
        <v>296</v>
      </c>
      <c r="K44" s="7">
        <v>1</v>
      </c>
      <c r="L44" t="s">
        <v>52</v>
      </c>
      <c r="M44">
        <v>0.5</v>
      </c>
      <c r="N44">
        <v>0.75</v>
      </c>
      <c r="P44" s="7">
        <v>228</v>
      </c>
      <c r="Q44" s="7">
        <v>228</v>
      </c>
      <c r="R44" s="7">
        <f t="shared" si="0"/>
        <v>1</v>
      </c>
      <c r="S44" s="7">
        <v>221</v>
      </c>
      <c r="T44" s="7">
        <v>221</v>
      </c>
      <c r="U44" s="7">
        <f t="shared" si="6"/>
        <v>1</v>
      </c>
      <c r="V44" s="7">
        <v>236</v>
      </c>
      <c r="W44" s="7">
        <v>236</v>
      </c>
      <c r="X44" s="7">
        <f t="shared" si="7"/>
        <v>1</v>
      </c>
      <c r="Y44" s="7">
        <v>244</v>
      </c>
      <c r="Z44" s="7">
        <v>244</v>
      </c>
      <c r="AA44" s="7">
        <f t="shared" si="8"/>
        <v>1</v>
      </c>
      <c r="AB44" s="7">
        <v>215</v>
      </c>
      <c r="AC44" s="7">
        <v>252</v>
      </c>
      <c r="AD44" s="7">
        <f t="shared" si="9"/>
        <v>0.85317460317460314</v>
      </c>
      <c r="AE44" s="7">
        <f t="shared" si="15"/>
        <v>0.97063492063492052</v>
      </c>
      <c r="AF44" s="7"/>
      <c r="AG44" s="9"/>
      <c r="AO44" s="3">
        <v>228.33330000000001</v>
      </c>
      <c r="AP44" s="3" t="s">
        <v>54</v>
      </c>
      <c r="AQ44" s="3" t="s">
        <v>52</v>
      </c>
      <c r="BH44" t="s">
        <v>52</v>
      </c>
      <c r="BY44" t="s">
        <v>52</v>
      </c>
      <c r="CP44" t="s">
        <v>52</v>
      </c>
    </row>
    <row r="45" spans="1:94" x14ac:dyDescent="0.25">
      <c r="A45" s="7" t="s">
        <v>70</v>
      </c>
      <c r="B45">
        <v>296</v>
      </c>
      <c r="C45" s="7" t="s">
        <v>73</v>
      </c>
      <c r="D45" t="s">
        <v>50</v>
      </c>
      <c r="G45" t="s">
        <v>51</v>
      </c>
      <c r="H45">
        <v>1</v>
      </c>
      <c r="I45" s="7" t="s">
        <v>53</v>
      </c>
      <c r="J45" s="7">
        <v>296</v>
      </c>
      <c r="K45" s="7">
        <v>1</v>
      </c>
      <c r="L45" t="s">
        <v>52</v>
      </c>
      <c r="M45">
        <v>0</v>
      </c>
      <c r="N45">
        <v>0.75</v>
      </c>
      <c r="P45" s="7">
        <v>228</v>
      </c>
      <c r="Q45" s="7">
        <v>228</v>
      </c>
      <c r="R45" s="7">
        <f t="shared" si="0"/>
        <v>1</v>
      </c>
      <c r="S45" s="7">
        <v>221</v>
      </c>
      <c r="T45" s="7">
        <v>221</v>
      </c>
      <c r="U45" s="7">
        <f t="shared" si="6"/>
        <v>1</v>
      </c>
      <c r="V45" s="7">
        <v>236</v>
      </c>
      <c r="W45" s="7">
        <v>236</v>
      </c>
      <c r="X45" s="7">
        <f t="shared" si="7"/>
        <v>1</v>
      </c>
      <c r="Y45" s="7">
        <v>244</v>
      </c>
      <c r="Z45" s="7">
        <v>244</v>
      </c>
      <c r="AA45" s="7">
        <f t="shared" si="8"/>
        <v>1</v>
      </c>
      <c r="AB45" s="7">
        <v>225</v>
      </c>
      <c r="AC45" s="7">
        <v>252</v>
      </c>
      <c r="AD45" s="7">
        <f t="shared" si="9"/>
        <v>0.8928571428571429</v>
      </c>
      <c r="AE45" s="7">
        <f t="shared" si="15"/>
        <v>0.97857142857142865</v>
      </c>
      <c r="AF45" s="7"/>
      <c r="AG45" s="9"/>
      <c r="AO45" s="3">
        <v>229.66669999999999</v>
      </c>
      <c r="AP45" s="3" t="s">
        <v>54</v>
      </c>
      <c r="AQ45" s="3" t="s">
        <v>52</v>
      </c>
      <c r="BH45" t="s">
        <v>52</v>
      </c>
      <c r="BY45" t="s">
        <v>52</v>
      </c>
      <c r="CP45" t="s">
        <v>52</v>
      </c>
    </row>
    <row r="46" spans="1:94" x14ac:dyDescent="0.25">
      <c r="A46" s="7" t="s">
        <v>70</v>
      </c>
      <c r="B46">
        <v>296</v>
      </c>
      <c r="C46" s="7" t="s">
        <v>115</v>
      </c>
      <c r="D46" t="s">
        <v>50</v>
      </c>
      <c r="G46" t="s">
        <v>51</v>
      </c>
      <c r="H46">
        <v>1</v>
      </c>
      <c r="I46" s="7" t="s">
        <v>53</v>
      </c>
      <c r="J46" s="7">
        <v>102</v>
      </c>
      <c r="K46" s="7">
        <v>1</v>
      </c>
      <c r="L46" t="s">
        <v>52</v>
      </c>
      <c r="M46">
        <v>0.5</v>
      </c>
      <c r="N46">
        <v>0.75</v>
      </c>
      <c r="P46" s="7">
        <v>228</v>
      </c>
      <c r="Q46" s="7">
        <v>228</v>
      </c>
      <c r="R46" s="7">
        <f t="shared" si="0"/>
        <v>1</v>
      </c>
      <c r="S46" s="7">
        <v>176.5</v>
      </c>
      <c r="T46" s="7">
        <v>221</v>
      </c>
      <c r="U46" s="7">
        <f t="shared" si="6"/>
        <v>0.79864253393665163</v>
      </c>
      <c r="V46" s="7">
        <v>191.5</v>
      </c>
      <c r="W46" s="7">
        <v>236</v>
      </c>
      <c r="X46" s="7">
        <f t="shared" si="7"/>
        <v>0.81144067796610164</v>
      </c>
      <c r="Y46" s="7">
        <v>194</v>
      </c>
      <c r="Z46" s="7">
        <v>244</v>
      </c>
      <c r="AA46" s="7">
        <f t="shared" si="8"/>
        <v>0.79508196721311475</v>
      </c>
      <c r="AB46" s="7">
        <v>145</v>
      </c>
      <c r="AC46" s="7">
        <v>252</v>
      </c>
      <c r="AD46" s="7">
        <f t="shared" si="9"/>
        <v>0.57539682539682535</v>
      </c>
      <c r="AE46" s="7">
        <f t="shared" si="15"/>
        <v>0.79611240090253865</v>
      </c>
      <c r="AF46" s="7"/>
      <c r="AG46" s="9"/>
      <c r="AO46" s="3">
        <v>187.33330000000001</v>
      </c>
      <c r="AP46" s="3" t="s">
        <v>54</v>
      </c>
      <c r="AQ46" s="3" t="s">
        <v>52</v>
      </c>
      <c r="BH46" t="s">
        <v>52</v>
      </c>
      <c r="BY46" t="s">
        <v>52</v>
      </c>
      <c r="BZ46">
        <v>1.85</v>
      </c>
      <c r="CA46" t="s">
        <v>284</v>
      </c>
      <c r="CB46">
        <v>1.86</v>
      </c>
      <c r="CC46" t="s">
        <v>284</v>
      </c>
      <c r="CD46">
        <v>1.85</v>
      </c>
      <c r="CE46" t="s">
        <v>284</v>
      </c>
      <c r="CF46">
        <v>1.76</v>
      </c>
      <c r="CG46" t="s">
        <v>284</v>
      </c>
      <c r="CH46">
        <v>3.4</v>
      </c>
      <c r="CI46" t="s">
        <v>289</v>
      </c>
      <c r="CN46">
        <v>1.85</v>
      </c>
      <c r="CO46" t="s">
        <v>54</v>
      </c>
      <c r="CP46" t="s">
        <v>52</v>
      </c>
    </row>
    <row r="47" spans="1:94" x14ac:dyDescent="0.25">
      <c r="A47" s="7" t="s">
        <v>70</v>
      </c>
      <c r="B47">
        <v>296</v>
      </c>
      <c r="C47" s="7" t="s">
        <v>74</v>
      </c>
      <c r="D47" t="s">
        <v>50</v>
      </c>
      <c r="G47" t="s">
        <v>51</v>
      </c>
      <c r="H47">
        <v>1</v>
      </c>
      <c r="I47" s="7" t="s">
        <v>53</v>
      </c>
      <c r="J47" s="7">
        <v>102</v>
      </c>
      <c r="K47" s="7">
        <v>1</v>
      </c>
      <c r="L47" t="s">
        <v>52</v>
      </c>
      <c r="M47">
        <v>0</v>
      </c>
      <c r="N47">
        <v>0.75</v>
      </c>
      <c r="P47" s="7">
        <v>135</v>
      </c>
      <c r="Q47" s="7">
        <v>228</v>
      </c>
      <c r="R47" s="7">
        <f t="shared" si="0"/>
        <v>0.59210526315789469</v>
      </c>
      <c r="S47" s="7">
        <v>132</v>
      </c>
      <c r="T47" s="7">
        <v>221</v>
      </c>
      <c r="U47" s="7">
        <f t="shared" si="6"/>
        <v>0.59728506787330315</v>
      </c>
      <c r="V47" s="7">
        <v>147</v>
      </c>
      <c r="W47" s="7">
        <v>236</v>
      </c>
      <c r="X47" s="7">
        <f t="shared" si="7"/>
        <v>0.6228813559322034</v>
      </c>
      <c r="Y47" s="7">
        <v>170</v>
      </c>
      <c r="Z47" s="7">
        <v>244</v>
      </c>
      <c r="AA47" s="7">
        <f t="shared" si="8"/>
        <v>0.69672131147540983</v>
      </c>
      <c r="AB47" s="7">
        <v>205</v>
      </c>
      <c r="AC47" s="7">
        <v>252</v>
      </c>
      <c r="AD47" s="7">
        <f t="shared" si="9"/>
        <v>0.81349206349206349</v>
      </c>
      <c r="AE47" s="7">
        <f t="shared" si="15"/>
        <v>0.66449701238617487</v>
      </c>
      <c r="AF47" s="7"/>
      <c r="AG47" s="9"/>
      <c r="AO47" s="3">
        <v>150.66669999999999</v>
      </c>
      <c r="AP47" s="3" t="s">
        <v>54</v>
      </c>
      <c r="AQ47" s="3" t="s">
        <v>52</v>
      </c>
      <c r="BH47" t="s">
        <v>52</v>
      </c>
      <c r="BY47" t="s">
        <v>52</v>
      </c>
      <c r="CP47" t="s">
        <v>52</v>
      </c>
    </row>
    <row r="48" spans="1:94" customFormat="1" ht="15" hidden="1" x14ac:dyDescent="0.25">
      <c r="A48" t="s">
        <v>70</v>
      </c>
      <c r="B48">
        <v>296</v>
      </c>
      <c r="C48" t="s">
        <v>209</v>
      </c>
      <c r="D48" t="s">
        <v>50</v>
      </c>
      <c r="G48" t="s">
        <v>51</v>
      </c>
      <c r="H48">
        <v>1</v>
      </c>
      <c r="I48" t="s">
        <v>53</v>
      </c>
      <c r="J48">
        <v>102</v>
      </c>
      <c r="K48">
        <v>1</v>
      </c>
      <c r="L48" t="s">
        <v>52</v>
      </c>
      <c r="M48">
        <v>0.5</v>
      </c>
      <c r="N48">
        <v>0.75</v>
      </c>
      <c r="P48">
        <v>228</v>
      </c>
      <c r="Q48">
        <v>228</v>
      </c>
      <c r="R48">
        <f t="shared" si="0"/>
        <v>1</v>
      </c>
      <c r="T48">
        <v>221</v>
      </c>
      <c r="U48">
        <f t="shared" si="6"/>
        <v>0</v>
      </c>
      <c r="W48">
        <v>236</v>
      </c>
      <c r="X48">
        <f t="shared" si="7"/>
        <v>0</v>
      </c>
      <c r="Z48">
        <v>244</v>
      </c>
      <c r="AA48">
        <f t="shared" si="8"/>
        <v>0</v>
      </c>
      <c r="AC48">
        <v>252</v>
      </c>
      <c r="AD48">
        <f t="shared" si="9"/>
        <v>0</v>
      </c>
      <c r="AQ48" t="s">
        <v>52</v>
      </c>
      <c r="BH48" t="s">
        <v>52</v>
      </c>
      <c r="BY48" t="s">
        <v>52</v>
      </c>
      <c r="BZ48">
        <v>1.85</v>
      </c>
      <c r="CA48" t="s">
        <v>284</v>
      </c>
      <c r="CP48" t="s">
        <v>52</v>
      </c>
    </row>
    <row r="49" spans="1:94" x14ac:dyDescent="0.25">
      <c r="A49" s="7" t="s">
        <v>70</v>
      </c>
      <c r="B49">
        <v>296</v>
      </c>
      <c r="C49" s="7" t="s">
        <v>129</v>
      </c>
      <c r="D49" t="s">
        <v>50</v>
      </c>
      <c r="G49" t="s">
        <v>51</v>
      </c>
      <c r="H49">
        <v>1</v>
      </c>
      <c r="I49" s="7" t="s">
        <v>53</v>
      </c>
      <c r="J49" s="7">
        <v>102</v>
      </c>
      <c r="K49" s="7">
        <v>1</v>
      </c>
      <c r="L49" t="s">
        <v>52</v>
      </c>
      <c r="M49">
        <v>0</v>
      </c>
      <c r="N49">
        <v>0.75</v>
      </c>
      <c r="P49" s="7">
        <v>228</v>
      </c>
      <c r="Q49" s="7">
        <v>228</v>
      </c>
      <c r="R49" s="7">
        <f t="shared" si="0"/>
        <v>1</v>
      </c>
      <c r="S49" s="7">
        <v>190</v>
      </c>
      <c r="T49" s="7">
        <v>221</v>
      </c>
      <c r="U49" s="7">
        <f t="shared" si="6"/>
        <v>0.85972850678733037</v>
      </c>
      <c r="V49" s="7">
        <v>194</v>
      </c>
      <c r="W49" s="7">
        <v>236</v>
      </c>
      <c r="X49" s="7">
        <f t="shared" si="7"/>
        <v>0.82203389830508478</v>
      </c>
      <c r="Y49" s="7">
        <v>213</v>
      </c>
      <c r="Z49" s="7">
        <v>244</v>
      </c>
      <c r="AA49" s="7">
        <f t="shared" si="8"/>
        <v>0.87295081967213117</v>
      </c>
      <c r="AB49" s="7">
        <v>225</v>
      </c>
      <c r="AC49" s="7">
        <v>252</v>
      </c>
      <c r="AD49" s="7">
        <f t="shared" si="9"/>
        <v>0.8928571428571429</v>
      </c>
      <c r="AE49" s="7">
        <f t="shared" ref="AE49:AE57" si="16">AVERAGE(R49,U49,X49,AA49,AD49)</f>
        <v>0.88951407352433787</v>
      </c>
      <c r="AF49" s="7"/>
      <c r="AG49" s="9"/>
      <c r="AO49" s="3">
        <v>210.66669999999999</v>
      </c>
      <c r="AP49" s="3" t="s">
        <v>54</v>
      </c>
      <c r="AQ49" s="3" t="s">
        <v>52</v>
      </c>
      <c r="BH49" t="s">
        <v>52</v>
      </c>
      <c r="BY49" t="s">
        <v>52</v>
      </c>
      <c r="BZ49">
        <v>1.85</v>
      </c>
      <c r="CA49" t="s">
        <v>284</v>
      </c>
      <c r="CB49">
        <v>1.62</v>
      </c>
      <c r="CC49" t="s">
        <v>284</v>
      </c>
      <c r="CD49">
        <v>0.9</v>
      </c>
      <c r="CE49" t="s">
        <v>285</v>
      </c>
      <c r="CF49">
        <v>1.21</v>
      </c>
      <c r="CG49" t="s">
        <v>285</v>
      </c>
      <c r="CH49">
        <v>1.76</v>
      </c>
      <c r="CI49" t="s">
        <v>289</v>
      </c>
      <c r="CN49">
        <v>1.53</v>
      </c>
      <c r="CO49" t="s">
        <v>54</v>
      </c>
      <c r="CP49" t="s">
        <v>52</v>
      </c>
    </row>
    <row r="50" spans="1:94" x14ac:dyDescent="0.25">
      <c r="A50" s="7" t="s">
        <v>70</v>
      </c>
      <c r="B50">
        <v>296</v>
      </c>
      <c r="C50" s="7" t="s">
        <v>89</v>
      </c>
      <c r="D50" t="s">
        <v>50</v>
      </c>
      <c r="G50" t="s">
        <v>51</v>
      </c>
      <c r="H50">
        <v>1</v>
      </c>
      <c r="I50" s="7" t="s">
        <v>53</v>
      </c>
      <c r="J50" s="7">
        <v>102</v>
      </c>
      <c r="K50" s="7">
        <v>1</v>
      </c>
      <c r="L50" t="s">
        <v>52</v>
      </c>
      <c r="M50">
        <v>0.25</v>
      </c>
      <c r="N50">
        <v>0.75</v>
      </c>
      <c r="P50" s="7">
        <v>228</v>
      </c>
      <c r="Q50" s="7">
        <v>228</v>
      </c>
      <c r="R50" s="7">
        <f t="shared" si="0"/>
        <v>1</v>
      </c>
      <c r="S50" s="7">
        <v>168</v>
      </c>
      <c r="T50" s="7">
        <v>221</v>
      </c>
      <c r="U50" s="7">
        <f t="shared" si="6"/>
        <v>0.76018099547511309</v>
      </c>
      <c r="V50" s="7">
        <v>202</v>
      </c>
      <c r="W50" s="7">
        <v>236</v>
      </c>
      <c r="X50" s="7">
        <f t="shared" si="7"/>
        <v>0.85593220338983056</v>
      </c>
      <c r="Y50" s="7">
        <v>206</v>
      </c>
      <c r="Z50" s="7">
        <v>244</v>
      </c>
      <c r="AA50" s="7">
        <f t="shared" si="8"/>
        <v>0.84426229508196726</v>
      </c>
      <c r="AB50" s="7">
        <v>215</v>
      </c>
      <c r="AC50" s="7">
        <v>252</v>
      </c>
      <c r="AD50" s="7">
        <f t="shared" si="9"/>
        <v>0.85317460317460314</v>
      </c>
      <c r="AE50" s="7">
        <f t="shared" si="16"/>
        <v>0.8627100194243027</v>
      </c>
      <c r="AF50" s="7"/>
      <c r="AG50" s="9"/>
      <c r="AO50" s="3">
        <v>207.66669999999999</v>
      </c>
      <c r="AP50" s="3" t="s">
        <v>54</v>
      </c>
      <c r="AQ50" s="3" t="s">
        <v>52</v>
      </c>
      <c r="BH50" t="s">
        <v>52</v>
      </c>
      <c r="BY50" t="s">
        <v>52</v>
      </c>
      <c r="BZ50">
        <v>1.85</v>
      </c>
      <c r="CA50" t="s">
        <v>284</v>
      </c>
      <c r="CB50">
        <v>1.65</v>
      </c>
      <c r="CC50" t="s">
        <v>284</v>
      </c>
      <c r="CD50">
        <v>0.99</v>
      </c>
      <c r="CE50" t="s">
        <v>284</v>
      </c>
      <c r="CF50">
        <v>1.28</v>
      </c>
      <c r="CG50" t="s">
        <v>284</v>
      </c>
      <c r="CH50">
        <v>1.28</v>
      </c>
      <c r="CI50" t="s">
        <v>284</v>
      </c>
      <c r="CN50">
        <v>1.4</v>
      </c>
      <c r="CO50" t="s">
        <v>54</v>
      </c>
      <c r="CP50" t="s">
        <v>52</v>
      </c>
    </row>
    <row r="51" spans="1:94" x14ac:dyDescent="0.25">
      <c r="A51" s="7" t="s">
        <v>70</v>
      </c>
      <c r="B51">
        <v>296</v>
      </c>
      <c r="C51" s="7" t="s">
        <v>122</v>
      </c>
      <c r="D51" t="s">
        <v>50</v>
      </c>
      <c r="G51" t="s">
        <v>51</v>
      </c>
      <c r="H51">
        <v>1</v>
      </c>
      <c r="I51" s="7" t="s">
        <v>53</v>
      </c>
      <c r="J51" s="7">
        <v>102</v>
      </c>
      <c r="K51" s="7">
        <v>1</v>
      </c>
      <c r="L51" t="s">
        <v>52</v>
      </c>
      <c r="M51">
        <v>0</v>
      </c>
      <c r="N51">
        <v>0.75</v>
      </c>
      <c r="P51" s="7">
        <v>228</v>
      </c>
      <c r="Q51" s="7">
        <v>228</v>
      </c>
      <c r="R51" s="7">
        <f t="shared" si="0"/>
        <v>1</v>
      </c>
      <c r="S51" s="7">
        <v>190</v>
      </c>
      <c r="T51" s="7">
        <v>221</v>
      </c>
      <c r="U51" s="7">
        <f t="shared" si="6"/>
        <v>0.85972850678733037</v>
      </c>
      <c r="V51" s="7">
        <v>194</v>
      </c>
      <c r="W51" s="7">
        <v>236</v>
      </c>
      <c r="X51" s="7">
        <f t="shared" si="7"/>
        <v>0.82203389830508478</v>
      </c>
      <c r="Y51" s="7">
        <v>213</v>
      </c>
      <c r="Z51" s="7">
        <v>244</v>
      </c>
      <c r="AA51" s="7">
        <f t="shared" si="8"/>
        <v>0.87295081967213117</v>
      </c>
      <c r="AB51" s="7">
        <v>225</v>
      </c>
      <c r="AC51" s="7">
        <v>252</v>
      </c>
      <c r="AD51" s="7">
        <f t="shared" si="9"/>
        <v>0.8928571428571429</v>
      </c>
      <c r="AE51" s="7">
        <f t="shared" si="16"/>
        <v>0.88951407352433787</v>
      </c>
      <c r="AF51" s="7"/>
      <c r="AG51" s="9"/>
      <c r="AO51" s="3">
        <v>210.66669999999999</v>
      </c>
      <c r="AP51" s="3" t="s">
        <v>54</v>
      </c>
      <c r="AQ51" s="3" t="s">
        <v>52</v>
      </c>
      <c r="BH51" t="s">
        <v>52</v>
      </c>
      <c r="BY51" t="s">
        <v>52</v>
      </c>
      <c r="BZ51">
        <v>1.85</v>
      </c>
      <c r="CA51" t="s">
        <v>284</v>
      </c>
      <c r="CB51">
        <v>2.44</v>
      </c>
      <c r="CC51" t="s">
        <v>285</v>
      </c>
      <c r="CD51">
        <v>2.76</v>
      </c>
      <c r="CE51" t="s">
        <v>285</v>
      </c>
      <c r="CF51">
        <v>2.59</v>
      </c>
      <c r="CG51" t="s">
        <v>285</v>
      </c>
      <c r="CH51">
        <v>2.21</v>
      </c>
      <c r="CI51" t="s">
        <v>288</v>
      </c>
      <c r="CN51">
        <v>2.41</v>
      </c>
      <c r="CO51" t="s">
        <v>54</v>
      </c>
      <c r="CP51" t="s">
        <v>52</v>
      </c>
    </row>
    <row r="52" spans="1:94" x14ac:dyDescent="0.25">
      <c r="A52" s="7" t="s">
        <v>70</v>
      </c>
      <c r="B52">
        <v>296</v>
      </c>
      <c r="C52" s="7" t="s">
        <v>90</v>
      </c>
      <c r="D52" t="s">
        <v>50</v>
      </c>
      <c r="G52" t="s">
        <v>51</v>
      </c>
      <c r="H52">
        <v>1</v>
      </c>
      <c r="I52" s="7" t="s">
        <v>53</v>
      </c>
      <c r="J52" s="7">
        <v>102</v>
      </c>
      <c r="K52" s="7">
        <v>1</v>
      </c>
      <c r="L52" t="s">
        <v>52</v>
      </c>
      <c r="M52">
        <v>0.5</v>
      </c>
      <c r="N52">
        <v>0.75</v>
      </c>
      <c r="P52" s="7">
        <v>228</v>
      </c>
      <c r="Q52" s="7">
        <v>228</v>
      </c>
      <c r="R52" s="7">
        <f t="shared" si="0"/>
        <v>1</v>
      </c>
      <c r="S52" s="7">
        <v>190</v>
      </c>
      <c r="T52" s="7">
        <v>221</v>
      </c>
      <c r="U52" s="7">
        <f t="shared" si="6"/>
        <v>0.85972850678733037</v>
      </c>
      <c r="V52" s="7">
        <v>236</v>
      </c>
      <c r="W52" s="7">
        <v>236</v>
      </c>
      <c r="X52" s="7">
        <f t="shared" si="7"/>
        <v>1</v>
      </c>
      <c r="Y52" s="7">
        <v>244</v>
      </c>
      <c r="Z52" s="7">
        <v>244</v>
      </c>
      <c r="AA52" s="7">
        <f t="shared" si="8"/>
        <v>1</v>
      </c>
      <c r="AB52" s="7">
        <v>215</v>
      </c>
      <c r="AC52" s="7">
        <v>252</v>
      </c>
      <c r="AD52" s="7">
        <f t="shared" si="9"/>
        <v>0.85317460317460314</v>
      </c>
      <c r="AE52" s="7">
        <f t="shared" si="16"/>
        <v>0.94258062199238668</v>
      </c>
      <c r="AF52" s="7"/>
      <c r="AG52" s="9"/>
      <c r="AO52" s="3">
        <v>226.33330000000001</v>
      </c>
      <c r="AP52" s="3" t="s">
        <v>54</v>
      </c>
      <c r="AQ52" s="3" t="s">
        <v>52</v>
      </c>
      <c r="BH52" t="s">
        <v>52</v>
      </c>
      <c r="BY52" t="s">
        <v>52</v>
      </c>
      <c r="BZ52">
        <v>1.85</v>
      </c>
      <c r="CA52" t="s">
        <v>284</v>
      </c>
      <c r="CB52">
        <v>2.0699999999999998</v>
      </c>
      <c r="CC52" t="s">
        <v>284</v>
      </c>
      <c r="CD52">
        <v>1.96</v>
      </c>
      <c r="CE52" t="s">
        <v>284</v>
      </c>
      <c r="CF52">
        <v>1.57</v>
      </c>
      <c r="CG52" t="s">
        <v>284</v>
      </c>
      <c r="CH52">
        <v>1.57</v>
      </c>
      <c r="CI52" t="s">
        <v>284</v>
      </c>
      <c r="CN52">
        <v>1.79</v>
      </c>
      <c r="CO52" t="s">
        <v>54</v>
      </c>
      <c r="CP52" t="s">
        <v>52</v>
      </c>
    </row>
    <row r="53" spans="1:94" x14ac:dyDescent="0.25">
      <c r="A53" s="7" t="s">
        <v>70</v>
      </c>
      <c r="B53">
        <v>296</v>
      </c>
      <c r="C53" s="7" t="s">
        <v>91</v>
      </c>
      <c r="D53" t="s">
        <v>50</v>
      </c>
      <c r="G53" t="s">
        <v>51</v>
      </c>
      <c r="H53">
        <v>1</v>
      </c>
      <c r="I53" s="7" t="s">
        <v>53</v>
      </c>
      <c r="J53" s="7">
        <v>102</v>
      </c>
      <c r="K53" s="7">
        <v>1</v>
      </c>
      <c r="L53" t="s">
        <v>52</v>
      </c>
      <c r="M53">
        <v>0.5</v>
      </c>
      <c r="N53">
        <v>0.75</v>
      </c>
      <c r="P53" s="7">
        <v>228</v>
      </c>
      <c r="Q53" s="7">
        <v>228</v>
      </c>
      <c r="R53" s="7">
        <f t="shared" si="0"/>
        <v>1</v>
      </c>
      <c r="S53" s="7">
        <v>190</v>
      </c>
      <c r="T53" s="7">
        <v>221</v>
      </c>
      <c r="U53" s="7">
        <f t="shared" si="6"/>
        <v>0.85972850678733037</v>
      </c>
      <c r="V53" s="7">
        <v>236</v>
      </c>
      <c r="W53" s="7">
        <v>236</v>
      </c>
      <c r="X53" s="7">
        <f t="shared" si="7"/>
        <v>1</v>
      </c>
      <c r="Y53" s="7">
        <v>244</v>
      </c>
      <c r="Z53" s="7">
        <v>244</v>
      </c>
      <c r="AA53" s="7">
        <f t="shared" si="8"/>
        <v>1</v>
      </c>
      <c r="AB53" s="7">
        <v>215</v>
      </c>
      <c r="AC53" s="7">
        <v>252</v>
      </c>
      <c r="AD53" s="7">
        <f t="shared" si="9"/>
        <v>0.85317460317460314</v>
      </c>
      <c r="AE53" s="7">
        <f t="shared" si="16"/>
        <v>0.94258062199238668</v>
      </c>
      <c r="AF53" s="7"/>
      <c r="AG53" s="9"/>
      <c r="AO53" s="3">
        <v>226.33330000000001</v>
      </c>
      <c r="AP53" s="3" t="s">
        <v>54</v>
      </c>
      <c r="AQ53" s="3" t="s">
        <v>52</v>
      </c>
      <c r="BH53" t="s">
        <v>52</v>
      </c>
      <c r="BY53" t="s">
        <v>52</v>
      </c>
      <c r="BZ53">
        <v>1.85</v>
      </c>
      <c r="CA53" t="s">
        <v>284</v>
      </c>
      <c r="CB53">
        <v>2.0699999999999998</v>
      </c>
      <c r="CC53" t="s">
        <v>284</v>
      </c>
      <c r="CD53">
        <v>1.96</v>
      </c>
      <c r="CE53" t="s">
        <v>284</v>
      </c>
      <c r="CF53">
        <v>1.57</v>
      </c>
      <c r="CG53" t="s">
        <v>284</v>
      </c>
      <c r="CH53">
        <v>1.57</v>
      </c>
      <c r="CI53" t="s">
        <v>284</v>
      </c>
      <c r="CN53">
        <v>1.79</v>
      </c>
      <c r="CO53" t="s">
        <v>54</v>
      </c>
      <c r="CP53" t="s">
        <v>52</v>
      </c>
    </row>
    <row r="54" spans="1:94" x14ac:dyDescent="0.25">
      <c r="A54" s="7" t="s">
        <v>70</v>
      </c>
      <c r="B54">
        <v>296</v>
      </c>
      <c r="C54" s="7" t="s">
        <v>124</v>
      </c>
      <c r="D54" t="s">
        <v>50</v>
      </c>
      <c r="G54" t="s">
        <v>52</v>
      </c>
      <c r="H54">
        <v>1</v>
      </c>
      <c r="I54" s="7" t="s">
        <v>53</v>
      </c>
      <c r="J54" s="7">
        <v>102</v>
      </c>
      <c r="K54" s="7">
        <v>1</v>
      </c>
      <c r="L54" t="s">
        <v>52</v>
      </c>
      <c r="M54">
        <v>0</v>
      </c>
      <c r="N54">
        <v>0.75</v>
      </c>
      <c r="P54" s="7">
        <v>228</v>
      </c>
      <c r="Q54" s="7">
        <v>228</v>
      </c>
      <c r="R54" s="7">
        <f t="shared" si="0"/>
        <v>1</v>
      </c>
      <c r="S54" s="7">
        <v>177</v>
      </c>
      <c r="T54" s="7">
        <v>221</v>
      </c>
      <c r="U54" s="7">
        <f t="shared" si="6"/>
        <v>0.80090497737556565</v>
      </c>
      <c r="V54" s="7">
        <v>147</v>
      </c>
      <c r="W54" s="7">
        <v>236</v>
      </c>
      <c r="X54" s="7">
        <f t="shared" si="7"/>
        <v>0.6228813559322034</v>
      </c>
      <c r="Y54" s="7">
        <v>170</v>
      </c>
      <c r="Z54" s="7">
        <v>244</v>
      </c>
      <c r="AA54" s="7">
        <f t="shared" si="8"/>
        <v>0.69672131147540983</v>
      </c>
      <c r="AB54" s="7">
        <v>205</v>
      </c>
      <c r="AC54" s="7">
        <v>252</v>
      </c>
      <c r="AD54" s="7">
        <f t="shared" si="9"/>
        <v>0.81349206349206349</v>
      </c>
      <c r="AE54" s="7">
        <f t="shared" si="16"/>
        <v>0.78679994165504841</v>
      </c>
      <c r="AF54" s="7"/>
      <c r="AG54" s="9"/>
      <c r="AO54" s="3">
        <v>184</v>
      </c>
      <c r="AP54" s="3" t="s">
        <v>54</v>
      </c>
      <c r="AQ54" s="3" t="s">
        <v>52</v>
      </c>
      <c r="BH54" t="s">
        <v>52</v>
      </c>
      <c r="BY54" t="s">
        <v>52</v>
      </c>
      <c r="BZ54">
        <v>0.65</v>
      </c>
      <c r="CA54" t="s">
        <v>285</v>
      </c>
      <c r="CB54">
        <v>0.69</v>
      </c>
      <c r="CC54" t="s">
        <v>285</v>
      </c>
      <c r="CD54">
        <v>0.11</v>
      </c>
      <c r="CE54" t="s">
        <v>285</v>
      </c>
      <c r="CF54">
        <v>0.25</v>
      </c>
      <c r="CG54" t="s">
        <v>285</v>
      </c>
      <c r="CH54">
        <v>0.22</v>
      </c>
      <c r="CI54" t="s">
        <v>289</v>
      </c>
      <c r="CN54">
        <v>0.37</v>
      </c>
      <c r="CO54" t="s">
        <v>54</v>
      </c>
      <c r="CP54" t="s">
        <v>52</v>
      </c>
    </row>
    <row r="55" spans="1:94" x14ac:dyDescent="0.25">
      <c r="A55" s="7" t="s">
        <v>70</v>
      </c>
      <c r="B55">
        <v>296</v>
      </c>
      <c r="C55" s="7" t="s">
        <v>92</v>
      </c>
      <c r="D55" t="s">
        <v>50</v>
      </c>
      <c r="G55" t="s">
        <v>51</v>
      </c>
      <c r="H55">
        <v>1</v>
      </c>
      <c r="I55" s="7" t="s">
        <v>53</v>
      </c>
      <c r="J55" s="7">
        <v>102</v>
      </c>
      <c r="K55" s="7">
        <v>1</v>
      </c>
      <c r="L55" t="s">
        <v>52</v>
      </c>
      <c r="M55">
        <v>0.5</v>
      </c>
      <c r="N55">
        <v>0.75</v>
      </c>
      <c r="P55" s="7">
        <v>228</v>
      </c>
      <c r="Q55" s="7">
        <v>228</v>
      </c>
      <c r="R55" s="7">
        <f t="shared" si="0"/>
        <v>1</v>
      </c>
      <c r="S55" s="7">
        <v>189</v>
      </c>
      <c r="T55" s="7">
        <v>221</v>
      </c>
      <c r="U55" s="7">
        <f t="shared" si="6"/>
        <v>0.85520361990950222</v>
      </c>
      <c r="V55" s="7">
        <v>199</v>
      </c>
      <c r="W55" s="7">
        <v>236</v>
      </c>
      <c r="X55" s="7">
        <f t="shared" si="7"/>
        <v>0.84322033898305082</v>
      </c>
      <c r="Y55" s="7">
        <v>206</v>
      </c>
      <c r="Z55" s="7">
        <v>244</v>
      </c>
      <c r="AA55" s="7">
        <f t="shared" si="8"/>
        <v>0.84426229508196726</v>
      </c>
      <c r="AB55" s="7">
        <v>128</v>
      </c>
      <c r="AC55" s="7">
        <v>252</v>
      </c>
      <c r="AD55" s="7">
        <f t="shared" si="9"/>
        <v>0.50793650793650791</v>
      </c>
      <c r="AE55" s="7">
        <f t="shared" si="16"/>
        <v>0.8101245523822056</v>
      </c>
      <c r="AF55" s="7"/>
      <c r="AG55" s="9"/>
      <c r="AO55" s="3">
        <v>198</v>
      </c>
      <c r="AP55" s="3" t="s">
        <v>54</v>
      </c>
      <c r="AQ55" s="3" t="s">
        <v>52</v>
      </c>
      <c r="BH55" t="s">
        <v>52</v>
      </c>
      <c r="BY55" t="s">
        <v>52</v>
      </c>
      <c r="BZ55">
        <v>1.85</v>
      </c>
      <c r="CA55" t="s">
        <v>284</v>
      </c>
      <c r="CB55">
        <v>2.0699999999999998</v>
      </c>
      <c r="CC55" t="s">
        <v>284</v>
      </c>
      <c r="CD55">
        <v>2.06</v>
      </c>
      <c r="CE55" t="s">
        <v>284</v>
      </c>
      <c r="CF55">
        <v>2.06</v>
      </c>
      <c r="CG55" t="s">
        <v>284</v>
      </c>
      <c r="CH55">
        <v>4.75</v>
      </c>
      <c r="CI55" t="s">
        <v>285</v>
      </c>
      <c r="CN55">
        <v>2.06</v>
      </c>
      <c r="CO55" t="s">
        <v>54</v>
      </c>
      <c r="CP55" t="s">
        <v>52</v>
      </c>
    </row>
    <row r="56" spans="1:94" x14ac:dyDescent="0.25">
      <c r="A56" s="7" t="s">
        <v>70</v>
      </c>
      <c r="B56">
        <v>296</v>
      </c>
      <c r="C56" s="7" t="s">
        <v>116</v>
      </c>
      <c r="D56" t="s">
        <v>50</v>
      </c>
      <c r="G56" t="s">
        <v>51</v>
      </c>
      <c r="H56">
        <v>1</v>
      </c>
      <c r="I56" s="7" t="s">
        <v>53</v>
      </c>
      <c r="J56" s="7">
        <v>102</v>
      </c>
      <c r="K56" s="7">
        <v>1</v>
      </c>
      <c r="L56" t="s">
        <v>52</v>
      </c>
      <c r="M56">
        <v>0.5</v>
      </c>
      <c r="N56">
        <v>0.75</v>
      </c>
      <c r="P56" s="7">
        <v>228</v>
      </c>
      <c r="Q56" s="7">
        <v>228</v>
      </c>
      <c r="R56" s="7">
        <f t="shared" si="0"/>
        <v>1</v>
      </c>
      <c r="S56" s="7">
        <v>190</v>
      </c>
      <c r="T56" s="7">
        <v>221</v>
      </c>
      <c r="U56" s="7">
        <f t="shared" si="6"/>
        <v>0.85972850678733037</v>
      </c>
      <c r="V56" s="7">
        <v>236</v>
      </c>
      <c r="W56" s="7">
        <v>236</v>
      </c>
      <c r="X56" s="7">
        <f t="shared" si="7"/>
        <v>1</v>
      </c>
      <c r="Y56" s="7">
        <v>244</v>
      </c>
      <c r="Z56" s="7">
        <v>244</v>
      </c>
      <c r="AA56" s="7">
        <f t="shared" si="8"/>
        <v>1</v>
      </c>
      <c r="AB56" s="7">
        <v>215</v>
      </c>
      <c r="AC56" s="7">
        <v>252</v>
      </c>
      <c r="AD56" s="7">
        <f t="shared" si="9"/>
        <v>0.85317460317460314</v>
      </c>
      <c r="AE56" s="7">
        <f t="shared" si="16"/>
        <v>0.94258062199238668</v>
      </c>
      <c r="AF56" s="7"/>
      <c r="AG56" s="9"/>
      <c r="AO56" s="3">
        <v>226.33330000000001</v>
      </c>
      <c r="AP56" s="3" t="s">
        <v>54</v>
      </c>
      <c r="AQ56" s="3" t="s">
        <v>52</v>
      </c>
      <c r="BH56" t="s">
        <v>52</v>
      </c>
      <c r="BY56" t="s">
        <v>52</v>
      </c>
      <c r="BZ56">
        <v>1.85</v>
      </c>
      <c r="CA56" t="s">
        <v>285</v>
      </c>
      <c r="CB56">
        <v>1.86</v>
      </c>
      <c r="CC56" t="s">
        <v>284</v>
      </c>
      <c r="CD56">
        <v>1.76</v>
      </c>
      <c r="CE56" t="s">
        <v>284</v>
      </c>
      <c r="CF56">
        <v>1.99</v>
      </c>
      <c r="CG56" t="s">
        <v>284</v>
      </c>
      <c r="CH56">
        <v>1.99</v>
      </c>
      <c r="CI56" t="s">
        <v>284</v>
      </c>
      <c r="CN56">
        <v>1.9</v>
      </c>
      <c r="CO56" t="s">
        <v>54</v>
      </c>
      <c r="CP56" t="s">
        <v>52</v>
      </c>
    </row>
    <row r="57" spans="1:94" x14ac:dyDescent="0.25">
      <c r="A57" s="7" t="s">
        <v>75</v>
      </c>
      <c r="B57">
        <v>16</v>
      </c>
      <c r="C57" s="7" t="s">
        <v>76</v>
      </c>
      <c r="D57" t="s">
        <v>50</v>
      </c>
      <c r="G57" t="s">
        <v>51</v>
      </c>
      <c r="H57">
        <v>1</v>
      </c>
      <c r="I57" s="7" t="s">
        <v>53</v>
      </c>
      <c r="J57" s="7">
        <v>16</v>
      </c>
      <c r="K57" s="7">
        <v>2</v>
      </c>
      <c r="L57" t="s">
        <v>52</v>
      </c>
      <c r="M57">
        <v>0.5</v>
      </c>
      <c r="N57">
        <v>0.75</v>
      </c>
      <c r="P57" s="7">
        <v>83.35</v>
      </c>
      <c r="Q57" s="7">
        <v>228</v>
      </c>
      <c r="R57" s="7">
        <f t="shared" si="0"/>
        <v>0.36557017543859649</v>
      </c>
      <c r="S57" s="7">
        <v>96.14</v>
      </c>
      <c r="T57" s="7">
        <v>221</v>
      </c>
      <c r="U57" s="7">
        <f t="shared" si="6"/>
        <v>0.43502262443438916</v>
      </c>
      <c r="V57" s="7">
        <v>103.37</v>
      </c>
      <c r="W57" s="7">
        <v>236</v>
      </c>
      <c r="X57" s="7">
        <f t="shared" si="7"/>
        <v>0.43800847457627118</v>
      </c>
      <c r="Y57" s="7">
        <v>106.14</v>
      </c>
      <c r="Z57" s="7">
        <v>244</v>
      </c>
      <c r="AA57" s="7">
        <f t="shared" si="8"/>
        <v>0.435</v>
      </c>
      <c r="AB57" s="7">
        <v>128</v>
      </c>
      <c r="AC57" s="7">
        <v>252</v>
      </c>
      <c r="AD57" s="7">
        <f t="shared" si="9"/>
        <v>0.50793650793650791</v>
      </c>
      <c r="AE57" s="7">
        <f t="shared" si="16"/>
        <v>0.43630755647715291</v>
      </c>
      <c r="AF57" s="7"/>
      <c r="AG57" s="9"/>
      <c r="AO57" s="3">
        <v>101.88330000000001</v>
      </c>
      <c r="AP57" s="3" t="s">
        <v>54</v>
      </c>
      <c r="AQ57" s="3" t="s">
        <v>52</v>
      </c>
      <c r="BF57">
        <v>146.69999999999999</v>
      </c>
      <c r="BG57" t="s">
        <v>285</v>
      </c>
      <c r="BH57" t="s">
        <v>287</v>
      </c>
      <c r="BY57" t="s">
        <v>52</v>
      </c>
      <c r="BZ57">
        <v>1.85</v>
      </c>
      <c r="CA57" t="s">
        <v>284</v>
      </c>
      <c r="CB57">
        <v>1.1399999999999999</v>
      </c>
      <c r="CC57" t="s">
        <v>284</v>
      </c>
      <c r="CD57">
        <v>0.95</v>
      </c>
      <c r="CE57" t="s">
        <v>284</v>
      </c>
      <c r="CF57">
        <v>1.55</v>
      </c>
      <c r="CG57" t="s">
        <v>284</v>
      </c>
      <c r="CH57">
        <v>1.81</v>
      </c>
      <c r="CI57" t="s">
        <v>289</v>
      </c>
      <c r="CN57">
        <v>1.5</v>
      </c>
      <c r="CO57" t="s">
        <v>54</v>
      </c>
      <c r="CP57" t="s">
        <v>52</v>
      </c>
    </row>
    <row r="58" spans="1:94" customFormat="1" ht="15" hidden="1" x14ac:dyDescent="0.25">
      <c r="A58" t="s">
        <v>75</v>
      </c>
      <c r="B58">
        <v>16</v>
      </c>
      <c r="C58" t="s">
        <v>103</v>
      </c>
      <c r="D58" t="s">
        <v>50</v>
      </c>
      <c r="G58" t="s">
        <v>51</v>
      </c>
      <c r="H58">
        <v>1</v>
      </c>
      <c r="I58" t="s">
        <v>53</v>
      </c>
      <c r="J58">
        <v>16</v>
      </c>
      <c r="K58">
        <v>2</v>
      </c>
      <c r="L58" t="s">
        <v>52</v>
      </c>
      <c r="M58">
        <v>0.5</v>
      </c>
      <c r="N58">
        <v>0.75</v>
      </c>
      <c r="P58">
        <v>83.5</v>
      </c>
      <c r="Q58">
        <v>228</v>
      </c>
      <c r="R58">
        <f t="shared" si="0"/>
        <v>0.36622807017543857</v>
      </c>
      <c r="S58">
        <v>96.14</v>
      </c>
      <c r="T58">
        <v>221</v>
      </c>
      <c r="U58">
        <f t="shared" si="6"/>
        <v>0.43502262443438916</v>
      </c>
      <c r="W58">
        <v>236</v>
      </c>
      <c r="X58">
        <f t="shared" si="7"/>
        <v>0</v>
      </c>
      <c r="Z58">
        <v>244</v>
      </c>
      <c r="AA58">
        <f t="shared" si="8"/>
        <v>0</v>
      </c>
      <c r="AC58">
        <v>252</v>
      </c>
      <c r="AD58">
        <f t="shared" si="9"/>
        <v>0</v>
      </c>
      <c r="AQ58" t="s">
        <v>52</v>
      </c>
      <c r="AR58">
        <v>194.66</v>
      </c>
      <c r="AS58" t="s">
        <v>285</v>
      </c>
      <c r="BH58" t="s">
        <v>52</v>
      </c>
      <c r="BY58" t="s">
        <v>52</v>
      </c>
      <c r="BZ58">
        <v>1.85</v>
      </c>
      <c r="CA58" t="s">
        <v>284</v>
      </c>
      <c r="CB58">
        <v>1.1100000000000001</v>
      </c>
      <c r="CC58" t="s">
        <v>284</v>
      </c>
      <c r="CP58" t="s">
        <v>52</v>
      </c>
    </row>
    <row r="59" spans="1:94" customFormat="1" ht="15" hidden="1" x14ac:dyDescent="0.25">
      <c r="A59" t="s">
        <v>125</v>
      </c>
      <c r="B59">
        <v>67</v>
      </c>
      <c r="C59" t="s">
        <v>164</v>
      </c>
      <c r="D59" t="s">
        <v>50</v>
      </c>
      <c r="G59" t="s">
        <v>51</v>
      </c>
      <c r="H59">
        <v>1</v>
      </c>
      <c r="I59" t="s">
        <v>53</v>
      </c>
      <c r="J59">
        <v>67</v>
      </c>
      <c r="K59">
        <v>1</v>
      </c>
      <c r="L59" t="s">
        <v>52</v>
      </c>
      <c r="M59">
        <v>0.5</v>
      </c>
      <c r="N59">
        <v>0.87</v>
      </c>
      <c r="P59">
        <v>228</v>
      </c>
      <c r="Q59">
        <v>228</v>
      </c>
      <c r="R59">
        <f t="shared" si="0"/>
        <v>1</v>
      </c>
      <c r="T59">
        <v>221</v>
      </c>
      <c r="U59">
        <f t="shared" si="6"/>
        <v>0</v>
      </c>
      <c r="W59">
        <v>236</v>
      </c>
      <c r="X59">
        <f t="shared" si="7"/>
        <v>0</v>
      </c>
      <c r="Z59">
        <v>244</v>
      </c>
      <c r="AA59">
        <f t="shared" si="8"/>
        <v>0</v>
      </c>
      <c r="AC59">
        <v>252</v>
      </c>
      <c r="AD59">
        <f t="shared" si="9"/>
        <v>0</v>
      </c>
      <c r="AQ59" t="s">
        <v>52</v>
      </c>
      <c r="BH59" t="s">
        <v>52</v>
      </c>
      <c r="BY59" t="s">
        <v>52</v>
      </c>
      <c r="BZ59">
        <v>1.85</v>
      </c>
      <c r="CA59" t="s">
        <v>284</v>
      </c>
      <c r="CP59" t="s">
        <v>52</v>
      </c>
    </row>
    <row r="60" spans="1:94" customFormat="1" ht="15" hidden="1" x14ac:dyDescent="0.25">
      <c r="A60" t="s">
        <v>125</v>
      </c>
      <c r="B60">
        <v>67</v>
      </c>
      <c r="C60" t="s">
        <v>292</v>
      </c>
      <c r="D60" t="s">
        <v>50</v>
      </c>
      <c r="G60" t="s">
        <v>51</v>
      </c>
      <c r="H60">
        <v>1</v>
      </c>
      <c r="I60" t="s">
        <v>53</v>
      </c>
      <c r="J60">
        <v>67</v>
      </c>
      <c r="K60">
        <v>1</v>
      </c>
      <c r="L60" t="s">
        <v>52</v>
      </c>
      <c r="M60">
        <v>0.5</v>
      </c>
      <c r="N60">
        <v>0.87</v>
      </c>
      <c r="P60">
        <v>228</v>
      </c>
      <c r="Q60">
        <v>228</v>
      </c>
      <c r="R60">
        <f t="shared" si="0"/>
        <v>1</v>
      </c>
      <c r="T60">
        <v>221</v>
      </c>
      <c r="U60">
        <f t="shared" si="6"/>
        <v>0</v>
      </c>
      <c r="W60">
        <v>236</v>
      </c>
      <c r="X60">
        <f t="shared" si="7"/>
        <v>0</v>
      </c>
      <c r="Z60">
        <v>244</v>
      </c>
      <c r="AA60">
        <f t="shared" si="8"/>
        <v>0</v>
      </c>
      <c r="AC60">
        <v>252</v>
      </c>
      <c r="AD60">
        <f t="shared" si="9"/>
        <v>0</v>
      </c>
      <c r="AQ60" t="s">
        <v>52</v>
      </c>
      <c r="BH60" t="s">
        <v>52</v>
      </c>
      <c r="BY60" t="s">
        <v>52</v>
      </c>
      <c r="BZ60">
        <v>1.85</v>
      </c>
      <c r="CA60" t="s">
        <v>284</v>
      </c>
      <c r="CP60" t="s">
        <v>52</v>
      </c>
    </row>
    <row r="61" spans="1:94" customFormat="1" ht="15" hidden="1" x14ac:dyDescent="0.25">
      <c r="A61" t="s">
        <v>125</v>
      </c>
      <c r="B61">
        <v>67</v>
      </c>
      <c r="C61" t="s">
        <v>160</v>
      </c>
      <c r="D61" t="s">
        <v>50</v>
      </c>
      <c r="G61" t="s">
        <v>52</v>
      </c>
      <c r="H61">
        <v>1</v>
      </c>
      <c r="I61" t="s">
        <v>53</v>
      </c>
      <c r="J61">
        <v>67</v>
      </c>
      <c r="K61">
        <v>1</v>
      </c>
      <c r="L61" t="s">
        <v>52</v>
      </c>
      <c r="M61">
        <v>0.3</v>
      </c>
      <c r="N61">
        <v>0.87</v>
      </c>
      <c r="P61">
        <v>228</v>
      </c>
      <c r="Q61">
        <v>228</v>
      </c>
      <c r="R61">
        <f t="shared" si="0"/>
        <v>1</v>
      </c>
      <c r="T61">
        <v>221</v>
      </c>
      <c r="U61">
        <f t="shared" si="6"/>
        <v>0</v>
      </c>
      <c r="W61">
        <v>236</v>
      </c>
      <c r="X61">
        <f t="shared" si="7"/>
        <v>0</v>
      </c>
      <c r="Z61">
        <v>244</v>
      </c>
      <c r="AA61">
        <f t="shared" si="8"/>
        <v>0</v>
      </c>
      <c r="AC61">
        <v>252</v>
      </c>
      <c r="AD61">
        <f t="shared" si="9"/>
        <v>0</v>
      </c>
      <c r="AQ61" t="s">
        <v>52</v>
      </c>
      <c r="BH61" t="s">
        <v>52</v>
      </c>
      <c r="BY61" t="s">
        <v>52</v>
      </c>
      <c r="BZ61">
        <v>0.93</v>
      </c>
      <c r="CA61" t="s">
        <v>285</v>
      </c>
      <c r="CP61" t="s">
        <v>52</v>
      </c>
    </row>
    <row r="62" spans="1:94" customFormat="1" ht="15" hidden="1" x14ac:dyDescent="0.25">
      <c r="A62" t="s">
        <v>125</v>
      </c>
      <c r="B62">
        <v>67</v>
      </c>
      <c r="C62" t="s">
        <v>198</v>
      </c>
      <c r="D62" t="s">
        <v>50</v>
      </c>
      <c r="G62" t="s">
        <v>52</v>
      </c>
      <c r="H62">
        <v>1</v>
      </c>
      <c r="I62" t="s">
        <v>53</v>
      </c>
      <c r="J62">
        <v>67</v>
      </c>
      <c r="K62">
        <v>1</v>
      </c>
      <c r="L62" t="s">
        <v>52</v>
      </c>
      <c r="M62">
        <v>0.5</v>
      </c>
      <c r="N62">
        <v>0.87</v>
      </c>
      <c r="P62">
        <v>228</v>
      </c>
      <c r="Q62">
        <v>228</v>
      </c>
      <c r="R62">
        <f t="shared" si="0"/>
        <v>1</v>
      </c>
      <c r="T62">
        <v>221</v>
      </c>
      <c r="U62">
        <f t="shared" si="6"/>
        <v>0</v>
      </c>
      <c r="W62">
        <v>236</v>
      </c>
      <c r="X62">
        <f t="shared" si="7"/>
        <v>0</v>
      </c>
      <c r="Z62">
        <v>244</v>
      </c>
      <c r="AA62">
        <f t="shared" si="8"/>
        <v>0</v>
      </c>
      <c r="AC62">
        <v>252</v>
      </c>
      <c r="AD62">
        <f t="shared" si="9"/>
        <v>0</v>
      </c>
      <c r="AQ62" t="s">
        <v>52</v>
      </c>
      <c r="BH62" t="s">
        <v>52</v>
      </c>
      <c r="BY62" t="s">
        <v>52</v>
      </c>
      <c r="CP62" t="s">
        <v>52</v>
      </c>
    </row>
    <row r="63" spans="1:94" customFormat="1" ht="15" hidden="1" x14ac:dyDescent="0.25">
      <c r="A63" t="s">
        <v>125</v>
      </c>
      <c r="B63">
        <v>67</v>
      </c>
      <c r="C63" t="s">
        <v>291</v>
      </c>
      <c r="D63" t="s">
        <v>50</v>
      </c>
      <c r="G63" t="s">
        <v>51</v>
      </c>
      <c r="H63">
        <v>1</v>
      </c>
      <c r="I63" t="s">
        <v>53</v>
      </c>
      <c r="J63">
        <v>67</v>
      </c>
      <c r="K63">
        <v>3</v>
      </c>
      <c r="L63" t="s">
        <v>52</v>
      </c>
      <c r="M63">
        <v>0.5</v>
      </c>
      <c r="N63">
        <v>0.87</v>
      </c>
      <c r="P63">
        <v>228</v>
      </c>
      <c r="Q63">
        <v>228</v>
      </c>
      <c r="R63">
        <f t="shared" si="0"/>
        <v>1</v>
      </c>
      <c r="T63">
        <v>221</v>
      </c>
      <c r="U63">
        <f t="shared" si="6"/>
        <v>0</v>
      </c>
      <c r="W63">
        <v>236</v>
      </c>
      <c r="X63">
        <f t="shared" si="7"/>
        <v>0</v>
      </c>
      <c r="Z63">
        <v>244</v>
      </c>
      <c r="AA63">
        <f t="shared" si="8"/>
        <v>0</v>
      </c>
      <c r="AC63">
        <v>252</v>
      </c>
      <c r="AD63">
        <f t="shared" si="9"/>
        <v>0</v>
      </c>
      <c r="AQ63" t="s">
        <v>52</v>
      </c>
      <c r="BH63" t="s">
        <v>52</v>
      </c>
      <c r="BY63" t="s">
        <v>52</v>
      </c>
      <c r="BZ63">
        <v>1.85</v>
      </c>
      <c r="CA63" t="s">
        <v>284</v>
      </c>
      <c r="CP63" t="s">
        <v>52</v>
      </c>
    </row>
    <row r="64" spans="1:94" customFormat="1" ht="15" hidden="1" x14ac:dyDescent="0.25">
      <c r="A64" t="s">
        <v>125</v>
      </c>
      <c r="B64">
        <v>67</v>
      </c>
      <c r="C64" t="s">
        <v>111</v>
      </c>
      <c r="D64" t="s">
        <v>50</v>
      </c>
      <c r="G64" t="s">
        <v>51</v>
      </c>
      <c r="H64">
        <v>1</v>
      </c>
      <c r="I64" t="s">
        <v>53</v>
      </c>
      <c r="J64">
        <v>67</v>
      </c>
      <c r="K64">
        <v>1</v>
      </c>
      <c r="L64" t="s">
        <v>52</v>
      </c>
      <c r="M64">
        <v>0.5</v>
      </c>
      <c r="N64">
        <v>0.87</v>
      </c>
      <c r="P64">
        <v>228</v>
      </c>
      <c r="Q64">
        <v>228</v>
      </c>
      <c r="R64">
        <f t="shared" si="0"/>
        <v>1</v>
      </c>
      <c r="T64">
        <v>221</v>
      </c>
      <c r="U64">
        <f t="shared" si="6"/>
        <v>0</v>
      </c>
      <c r="W64">
        <v>236</v>
      </c>
      <c r="X64">
        <f t="shared" si="7"/>
        <v>0</v>
      </c>
      <c r="Z64">
        <v>244</v>
      </c>
      <c r="AA64">
        <f t="shared" si="8"/>
        <v>0</v>
      </c>
      <c r="AC64">
        <v>252</v>
      </c>
      <c r="AD64">
        <f t="shared" si="9"/>
        <v>0</v>
      </c>
      <c r="AQ64" t="s">
        <v>52</v>
      </c>
      <c r="BH64" t="s">
        <v>52</v>
      </c>
      <c r="BY64" t="s">
        <v>52</v>
      </c>
      <c r="CP64" t="s">
        <v>52</v>
      </c>
    </row>
    <row r="65" spans="1:94" x14ac:dyDescent="0.25">
      <c r="A65" s="7" t="s">
        <v>93</v>
      </c>
      <c r="B65">
        <v>94</v>
      </c>
      <c r="C65" s="7"/>
      <c r="D65" t="s">
        <v>50</v>
      </c>
      <c r="G65" t="s">
        <v>51</v>
      </c>
      <c r="H65">
        <v>1</v>
      </c>
      <c r="I65" s="7" t="s">
        <v>53</v>
      </c>
      <c r="J65" s="7">
        <v>94</v>
      </c>
      <c r="K65" s="7">
        <v>2</v>
      </c>
      <c r="L65" t="s">
        <v>52</v>
      </c>
      <c r="M65">
        <v>0.77</v>
      </c>
      <c r="N65">
        <v>0.93</v>
      </c>
      <c r="P65" s="7">
        <v>205</v>
      </c>
      <c r="Q65" s="7">
        <v>228</v>
      </c>
      <c r="R65" s="7">
        <f t="shared" si="0"/>
        <v>0.89912280701754388</v>
      </c>
      <c r="S65" s="7">
        <v>175</v>
      </c>
      <c r="T65" s="7">
        <v>221</v>
      </c>
      <c r="U65" s="7">
        <f t="shared" si="6"/>
        <v>0.79185520361990946</v>
      </c>
      <c r="V65" s="7">
        <v>188</v>
      </c>
      <c r="W65" s="7">
        <v>236</v>
      </c>
      <c r="X65" s="7">
        <f t="shared" si="7"/>
        <v>0.79661016949152541</v>
      </c>
      <c r="Y65" s="7">
        <v>202.32</v>
      </c>
      <c r="Z65" s="7">
        <v>244</v>
      </c>
      <c r="AA65" s="7">
        <f t="shared" si="8"/>
        <v>0.82918032786885243</v>
      </c>
      <c r="AB65" s="7">
        <v>209.16</v>
      </c>
      <c r="AC65" s="7">
        <v>252</v>
      </c>
      <c r="AD65" s="7">
        <f t="shared" si="9"/>
        <v>0.83</v>
      </c>
      <c r="AE65" s="7">
        <f t="shared" ref="AE65:AE72" si="17">AVERAGE(R65,U65,X65,AA65,AD65)</f>
        <v>0.82935370159956623</v>
      </c>
      <c r="AF65" s="7"/>
      <c r="AG65" s="9"/>
      <c r="AO65" s="3">
        <v>198.44</v>
      </c>
      <c r="AP65" s="3" t="s">
        <v>54</v>
      </c>
      <c r="AQ65" s="3" t="s">
        <v>52</v>
      </c>
      <c r="BH65" t="s">
        <v>52</v>
      </c>
      <c r="BY65" t="s">
        <v>52</v>
      </c>
      <c r="CP65" t="s">
        <v>52</v>
      </c>
    </row>
    <row r="66" spans="1:94" x14ac:dyDescent="0.25">
      <c r="A66" s="7" t="s">
        <v>94</v>
      </c>
      <c r="B66">
        <v>26</v>
      </c>
      <c r="C66" s="7"/>
      <c r="D66" t="s">
        <v>50</v>
      </c>
      <c r="G66" t="s">
        <v>51</v>
      </c>
      <c r="H66">
        <v>1</v>
      </c>
      <c r="I66" s="7" t="s">
        <v>53</v>
      </c>
      <c r="J66" s="7">
        <v>102</v>
      </c>
      <c r="K66" s="7">
        <v>1</v>
      </c>
      <c r="L66" t="s">
        <v>52</v>
      </c>
      <c r="M66">
        <v>0</v>
      </c>
      <c r="N66">
        <v>0.92</v>
      </c>
      <c r="P66" s="7">
        <v>131.69999999999999</v>
      </c>
      <c r="Q66" s="7">
        <v>228</v>
      </c>
      <c r="R66" s="7">
        <f t="shared" si="0"/>
        <v>0.57763157894736838</v>
      </c>
      <c r="S66" s="7">
        <v>170</v>
      </c>
      <c r="T66" s="7">
        <v>221</v>
      </c>
      <c r="U66" s="7">
        <f t="shared" si="6"/>
        <v>0.76923076923076927</v>
      </c>
      <c r="V66" s="7">
        <v>191</v>
      </c>
      <c r="W66" s="7">
        <v>236</v>
      </c>
      <c r="X66" s="7">
        <f t="shared" si="7"/>
        <v>0.80932203389830504</v>
      </c>
      <c r="Y66" s="7">
        <v>207</v>
      </c>
      <c r="Z66" s="7">
        <v>244</v>
      </c>
      <c r="AA66" s="7">
        <f t="shared" si="8"/>
        <v>0.84836065573770492</v>
      </c>
      <c r="AB66" s="7">
        <v>186</v>
      </c>
      <c r="AC66" s="7">
        <v>252</v>
      </c>
      <c r="AD66" s="7">
        <f t="shared" si="9"/>
        <v>0.73809523809523814</v>
      </c>
      <c r="AE66" s="7">
        <f t="shared" si="17"/>
        <v>0.74852805518187715</v>
      </c>
      <c r="AF66" s="7"/>
      <c r="AG66" s="9"/>
      <c r="AO66" s="3">
        <v>182.33330000000001</v>
      </c>
      <c r="AP66" s="3" t="s">
        <v>54</v>
      </c>
      <c r="AQ66" s="3" t="s">
        <v>52</v>
      </c>
      <c r="BH66" t="s">
        <v>52</v>
      </c>
      <c r="BY66" t="s">
        <v>52</v>
      </c>
      <c r="BZ66">
        <v>1.53</v>
      </c>
      <c r="CA66" t="s">
        <v>285</v>
      </c>
      <c r="CB66">
        <v>1.48</v>
      </c>
      <c r="CC66" t="s">
        <v>285</v>
      </c>
      <c r="CD66">
        <v>1.1499999999999999</v>
      </c>
      <c r="CE66" t="s">
        <v>285</v>
      </c>
      <c r="CF66">
        <v>1.1200000000000001</v>
      </c>
      <c r="CG66" t="s">
        <v>285</v>
      </c>
      <c r="CH66">
        <v>1.04</v>
      </c>
      <c r="CI66" t="s">
        <v>289</v>
      </c>
      <c r="CN66">
        <v>1.25</v>
      </c>
      <c r="CO66" t="s">
        <v>54</v>
      </c>
      <c r="CP66" t="s">
        <v>52</v>
      </c>
    </row>
    <row r="67" spans="1:94" x14ac:dyDescent="0.25">
      <c r="A67" s="7" t="s">
        <v>77</v>
      </c>
      <c r="B67">
        <v>51</v>
      </c>
      <c r="C67" s="7" t="s">
        <v>78</v>
      </c>
      <c r="D67" t="s">
        <v>50</v>
      </c>
      <c r="G67" t="s">
        <v>52</v>
      </c>
      <c r="H67">
        <v>1</v>
      </c>
      <c r="I67" s="7" t="s">
        <v>53</v>
      </c>
      <c r="J67" s="7">
        <v>51</v>
      </c>
      <c r="K67" s="7">
        <v>2</v>
      </c>
      <c r="L67" t="s">
        <v>52</v>
      </c>
      <c r="M67">
        <v>0.5</v>
      </c>
      <c r="N67">
        <v>0.73</v>
      </c>
      <c r="P67" s="7">
        <v>228</v>
      </c>
      <c r="Q67" s="7">
        <v>228</v>
      </c>
      <c r="R67" s="7">
        <f t="shared" ref="R67:R82" si="18">P67/Q67</f>
        <v>1</v>
      </c>
      <c r="S67" s="7">
        <v>218</v>
      </c>
      <c r="T67" s="7">
        <v>221</v>
      </c>
      <c r="U67" s="7">
        <f t="shared" si="6"/>
        <v>0.98642533936651589</v>
      </c>
      <c r="V67" s="7">
        <v>147</v>
      </c>
      <c r="W67" s="7">
        <v>236</v>
      </c>
      <c r="X67" s="7">
        <f t="shared" si="7"/>
        <v>0.6228813559322034</v>
      </c>
      <c r="Y67" s="7">
        <v>170</v>
      </c>
      <c r="Z67" s="7">
        <v>244</v>
      </c>
      <c r="AA67" s="7">
        <f t="shared" si="8"/>
        <v>0.69672131147540983</v>
      </c>
      <c r="AB67" s="7">
        <v>109</v>
      </c>
      <c r="AC67" s="7">
        <v>252</v>
      </c>
      <c r="AD67" s="7">
        <f t="shared" si="9"/>
        <v>0.43253968253968256</v>
      </c>
      <c r="AE67" s="7">
        <f t="shared" si="17"/>
        <v>0.7477135378627624</v>
      </c>
      <c r="AF67" s="7"/>
      <c r="AG67" s="9"/>
      <c r="AO67" s="3">
        <v>178.33330000000001</v>
      </c>
      <c r="AP67" s="3" t="s">
        <v>54</v>
      </c>
      <c r="AQ67" s="3" t="s">
        <v>52</v>
      </c>
      <c r="BH67" t="s">
        <v>52</v>
      </c>
      <c r="BY67" t="s">
        <v>52</v>
      </c>
      <c r="BZ67">
        <v>0.8</v>
      </c>
      <c r="CA67" t="s">
        <v>284</v>
      </c>
      <c r="CB67">
        <v>0.8</v>
      </c>
      <c r="CC67" t="s">
        <v>285</v>
      </c>
      <c r="CD67">
        <v>0.8</v>
      </c>
      <c r="CE67" t="s">
        <v>285</v>
      </c>
      <c r="CF67">
        <v>0.8</v>
      </c>
      <c r="CG67" t="s">
        <v>285</v>
      </c>
      <c r="CH67">
        <v>0.18</v>
      </c>
      <c r="CI67" t="s">
        <v>285</v>
      </c>
      <c r="CN67">
        <v>0.8</v>
      </c>
      <c r="CO67" t="s">
        <v>54</v>
      </c>
      <c r="CP67" t="s">
        <v>52</v>
      </c>
    </row>
    <row r="68" spans="1:94" x14ac:dyDescent="0.25">
      <c r="A68" s="7" t="s">
        <v>82</v>
      </c>
      <c r="B68">
        <v>52</v>
      </c>
      <c r="C68" s="7"/>
      <c r="D68" t="s">
        <v>50</v>
      </c>
      <c r="G68" t="s">
        <v>52</v>
      </c>
      <c r="H68">
        <v>1</v>
      </c>
      <c r="I68" s="7" t="s">
        <v>53</v>
      </c>
      <c r="J68" s="7">
        <v>50</v>
      </c>
      <c r="K68" s="7">
        <v>1</v>
      </c>
      <c r="L68" t="s">
        <v>52</v>
      </c>
      <c r="M68">
        <v>0.5</v>
      </c>
      <c r="N68">
        <v>0.75</v>
      </c>
      <c r="P68" s="7">
        <v>85</v>
      </c>
      <c r="Q68" s="7">
        <v>228</v>
      </c>
      <c r="R68" s="7">
        <f t="shared" si="18"/>
        <v>0.37280701754385964</v>
      </c>
      <c r="S68" s="7">
        <v>93</v>
      </c>
      <c r="T68" s="7">
        <v>221</v>
      </c>
      <c r="U68" s="7">
        <f t="shared" si="6"/>
        <v>0.42081447963800905</v>
      </c>
      <c r="V68" s="7">
        <v>191.5</v>
      </c>
      <c r="W68" s="7">
        <v>236</v>
      </c>
      <c r="X68" s="7">
        <f t="shared" si="7"/>
        <v>0.81144067796610164</v>
      </c>
      <c r="Y68" s="7">
        <v>198</v>
      </c>
      <c r="Z68" s="7">
        <v>244</v>
      </c>
      <c r="AA68" s="7">
        <f t="shared" si="8"/>
        <v>0.81147540983606559</v>
      </c>
      <c r="AB68" s="7">
        <v>109</v>
      </c>
      <c r="AC68" s="7">
        <v>252</v>
      </c>
      <c r="AD68" s="7">
        <f t="shared" si="9"/>
        <v>0.43253968253968256</v>
      </c>
      <c r="AE68" s="7">
        <f t="shared" si="17"/>
        <v>0.56981545350474361</v>
      </c>
      <c r="AF68" s="7"/>
      <c r="AG68" s="9"/>
      <c r="AO68" s="3">
        <v>131.16669999999999</v>
      </c>
      <c r="AP68" s="3" t="s">
        <v>54</v>
      </c>
      <c r="AQ68" s="3" t="s">
        <v>52</v>
      </c>
      <c r="BH68" t="s">
        <v>52</v>
      </c>
      <c r="BY68" t="s">
        <v>52</v>
      </c>
      <c r="CP68" t="s">
        <v>52</v>
      </c>
    </row>
    <row r="69" spans="1:94" x14ac:dyDescent="0.25">
      <c r="A69" s="7" t="s">
        <v>79</v>
      </c>
      <c r="B69">
        <v>50</v>
      </c>
      <c r="C69" s="7" t="s">
        <v>100</v>
      </c>
      <c r="D69" t="s">
        <v>50</v>
      </c>
      <c r="G69" t="s">
        <v>51</v>
      </c>
      <c r="H69">
        <v>1</v>
      </c>
      <c r="I69" s="7" t="s">
        <v>53</v>
      </c>
      <c r="J69" s="7">
        <v>50</v>
      </c>
      <c r="K69" s="7">
        <v>1</v>
      </c>
      <c r="L69" t="s">
        <v>52</v>
      </c>
      <c r="M69">
        <v>0.5</v>
      </c>
      <c r="N69">
        <v>0.75</v>
      </c>
      <c r="P69" s="7">
        <v>85</v>
      </c>
      <c r="Q69" s="7">
        <v>228</v>
      </c>
      <c r="R69" s="7">
        <f t="shared" si="18"/>
        <v>0.37280701754385964</v>
      </c>
      <c r="S69" s="7">
        <v>93</v>
      </c>
      <c r="T69" s="7">
        <v>221</v>
      </c>
      <c r="U69" s="7">
        <f t="shared" si="6"/>
        <v>0.42081447963800905</v>
      </c>
      <c r="V69" s="7">
        <v>89.7</v>
      </c>
      <c r="W69" s="7">
        <v>236</v>
      </c>
      <c r="X69" s="7">
        <f t="shared" si="7"/>
        <v>0.3800847457627119</v>
      </c>
      <c r="Y69" s="7">
        <v>92.72</v>
      </c>
      <c r="Z69" s="7">
        <v>244</v>
      </c>
      <c r="AA69" s="7">
        <f t="shared" si="8"/>
        <v>0.38</v>
      </c>
      <c r="AB69" s="7">
        <v>109</v>
      </c>
      <c r="AC69" s="7">
        <v>252</v>
      </c>
      <c r="AD69" s="7">
        <f t="shared" si="9"/>
        <v>0.43253968253968256</v>
      </c>
      <c r="AE69" s="7">
        <f t="shared" si="17"/>
        <v>0.39724918509685259</v>
      </c>
      <c r="AF69" s="7"/>
      <c r="AG69" s="9"/>
      <c r="AO69" s="3">
        <v>91.806700000000006</v>
      </c>
      <c r="AP69" s="3" t="s">
        <v>54</v>
      </c>
      <c r="AQ69" s="3" t="s">
        <v>52</v>
      </c>
      <c r="BH69" t="s">
        <v>52</v>
      </c>
      <c r="BY69" t="s">
        <v>52</v>
      </c>
      <c r="BZ69">
        <v>2.6</v>
      </c>
      <c r="CA69" t="s">
        <v>289</v>
      </c>
      <c r="CB69">
        <v>1.22</v>
      </c>
      <c r="CC69" t="s">
        <v>284</v>
      </c>
      <c r="CD69">
        <v>1.76</v>
      </c>
      <c r="CE69" t="s">
        <v>284</v>
      </c>
      <c r="CF69">
        <v>1.67</v>
      </c>
      <c r="CG69" t="s">
        <v>284</v>
      </c>
      <c r="CH69">
        <v>2.19</v>
      </c>
      <c r="CI69" t="s">
        <v>289</v>
      </c>
      <c r="CN69">
        <v>1.87</v>
      </c>
      <c r="CO69" t="s">
        <v>54</v>
      </c>
      <c r="CP69" t="s">
        <v>52</v>
      </c>
    </row>
    <row r="70" spans="1:94" x14ac:dyDescent="0.25">
      <c r="A70" s="7" t="s">
        <v>79</v>
      </c>
      <c r="B70">
        <v>50</v>
      </c>
      <c r="C70" s="7" t="s">
        <v>80</v>
      </c>
      <c r="D70" t="s">
        <v>50</v>
      </c>
      <c r="G70" t="s">
        <v>51</v>
      </c>
      <c r="H70">
        <v>1</v>
      </c>
      <c r="I70" s="7" t="s">
        <v>53</v>
      </c>
      <c r="J70" s="7">
        <v>50</v>
      </c>
      <c r="K70" s="7">
        <v>1</v>
      </c>
      <c r="L70" t="s">
        <v>52</v>
      </c>
      <c r="M70">
        <v>0.5</v>
      </c>
      <c r="N70">
        <v>0.75</v>
      </c>
      <c r="P70" s="7">
        <v>85</v>
      </c>
      <c r="Q70" s="7">
        <v>228</v>
      </c>
      <c r="R70" s="7">
        <f t="shared" si="18"/>
        <v>0.37280701754385964</v>
      </c>
      <c r="S70" s="7">
        <v>93</v>
      </c>
      <c r="T70" s="7">
        <v>221</v>
      </c>
      <c r="U70" s="7">
        <f t="shared" si="6"/>
        <v>0.42081447963800905</v>
      </c>
      <c r="V70" s="7">
        <v>89.7</v>
      </c>
      <c r="W70" s="7">
        <v>236</v>
      </c>
      <c r="X70" s="7">
        <f t="shared" si="7"/>
        <v>0.3800847457627119</v>
      </c>
      <c r="Y70" s="7">
        <v>92.72</v>
      </c>
      <c r="Z70" s="7">
        <v>244</v>
      </c>
      <c r="AA70" s="7">
        <f t="shared" si="8"/>
        <v>0.38</v>
      </c>
      <c r="AB70" s="7">
        <v>109</v>
      </c>
      <c r="AC70" s="7">
        <v>252</v>
      </c>
      <c r="AD70" s="7">
        <f t="shared" si="9"/>
        <v>0.43253968253968256</v>
      </c>
      <c r="AE70" s="7">
        <f t="shared" si="17"/>
        <v>0.39724918509685259</v>
      </c>
      <c r="AF70" s="7"/>
      <c r="AG70" s="9"/>
      <c r="AO70" s="3">
        <v>91.806700000000006</v>
      </c>
      <c r="AP70" s="3" t="s">
        <v>54</v>
      </c>
      <c r="AQ70" s="3" t="s">
        <v>52</v>
      </c>
      <c r="BH70" t="s">
        <v>52</v>
      </c>
      <c r="BY70" t="s">
        <v>52</v>
      </c>
      <c r="BZ70">
        <v>4.4800000000000004</v>
      </c>
      <c r="CA70" t="s">
        <v>289</v>
      </c>
      <c r="CB70">
        <v>2.0299999999999998</v>
      </c>
      <c r="CC70" t="s">
        <v>284</v>
      </c>
      <c r="CD70">
        <v>2.93</v>
      </c>
      <c r="CE70" t="s">
        <v>284</v>
      </c>
      <c r="CF70">
        <v>2.78</v>
      </c>
      <c r="CG70" t="s">
        <v>284</v>
      </c>
      <c r="CH70">
        <v>3.64</v>
      </c>
      <c r="CI70" t="s">
        <v>289</v>
      </c>
      <c r="CN70">
        <v>3.12</v>
      </c>
      <c r="CO70" t="s">
        <v>54</v>
      </c>
      <c r="CP70" t="s">
        <v>52</v>
      </c>
    </row>
    <row r="71" spans="1:94" x14ac:dyDescent="0.25">
      <c r="A71" s="7" t="s">
        <v>79</v>
      </c>
      <c r="B71">
        <v>50</v>
      </c>
      <c r="C71" s="7" t="s">
        <v>65</v>
      </c>
      <c r="D71" t="s">
        <v>50</v>
      </c>
      <c r="G71" t="s">
        <v>51</v>
      </c>
      <c r="H71">
        <v>1</v>
      </c>
      <c r="I71" s="7" t="s">
        <v>53</v>
      </c>
      <c r="J71" s="7">
        <v>50</v>
      </c>
      <c r="K71" s="7">
        <v>1</v>
      </c>
      <c r="L71" t="s">
        <v>52</v>
      </c>
      <c r="M71">
        <v>0.5</v>
      </c>
      <c r="N71">
        <v>0.75</v>
      </c>
      <c r="P71" s="7">
        <v>85</v>
      </c>
      <c r="Q71" s="7">
        <v>228</v>
      </c>
      <c r="R71" s="7">
        <f t="shared" si="18"/>
        <v>0.37280701754385964</v>
      </c>
      <c r="S71" s="7">
        <v>93</v>
      </c>
      <c r="T71" s="7">
        <v>221</v>
      </c>
      <c r="U71" s="7">
        <f t="shared" si="6"/>
        <v>0.42081447963800905</v>
      </c>
      <c r="V71" s="7">
        <v>89.7</v>
      </c>
      <c r="W71" s="7">
        <v>236</v>
      </c>
      <c r="X71" s="7">
        <f t="shared" si="7"/>
        <v>0.3800847457627119</v>
      </c>
      <c r="Y71" s="7">
        <v>92.72</v>
      </c>
      <c r="Z71" s="7">
        <v>244</v>
      </c>
      <c r="AA71" s="7">
        <f t="shared" si="8"/>
        <v>0.38</v>
      </c>
      <c r="AB71" s="7">
        <v>109</v>
      </c>
      <c r="AC71" s="7">
        <v>252</v>
      </c>
      <c r="AD71" s="7">
        <f t="shared" si="9"/>
        <v>0.43253968253968256</v>
      </c>
      <c r="AE71" s="7">
        <f t="shared" si="17"/>
        <v>0.39724918509685259</v>
      </c>
      <c r="AF71" s="7"/>
      <c r="AG71" s="9"/>
      <c r="AO71" s="3">
        <v>91.806700000000006</v>
      </c>
      <c r="AP71" s="3" t="s">
        <v>54</v>
      </c>
      <c r="AQ71" s="3" t="s">
        <v>52</v>
      </c>
      <c r="BH71" t="s">
        <v>52</v>
      </c>
      <c r="BY71" t="s">
        <v>52</v>
      </c>
      <c r="BZ71">
        <v>3.57</v>
      </c>
      <c r="CA71" t="s">
        <v>289</v>
      </c>
      <c r="CB71">
        <v>1.74</v>
      </c>
      <c r="CC71" t="s">
        <v>284</v>
      </c>
      <c r="CD71">
        <v>2.5099999999999998</v>
      </c>
      <c r="CE71" t="s">
        <v>284</v>
      </c>
      <c r="CF71">
        <v>2.38</v>
      </c>
      <c r="CG71" t="s">
        <v>284</v>
      </c>
      <c r="CH71">
        <v>3.12</v>
      </c>
      <c r="CI71" t="s">
        <v>289</v>
      </c>
      <c r="CN71">
        <v>2.67</v>
      </c>
      <c r="CO71" t="s">
        <v>54</v>
      </c>
      <c r="CP71" t="s">
        <v>52</v>
      </c>
    </row>
    <row r="72" spans="1:94" x14ac:dyDescent="0.25">
      <c r="A72" s="7" t="s">
        <v>79</v>
      </c>
      <c r="B72">
        <v>50</v>
      </c>
      <c r="C72" s="7" t="s">
        <v>81</v>
      </c>
      <c r="D72" t="s">
        <v>50</v>
      </c>
      <c r="G72" t="s">
        <v>51</v>
      </c>
      <c r="H72">
        <v>1</v>
      </c>
      <c r="I72" s="7" t="s">
        <v>53</v>
      </c>
      <c r="J72" s="7">
        <v>50</v>
      </c>
      <c r="K72" s="7">
        <v>1</v>
      </c>
      <c r="L72" t="s">
        <v>52</v>
      </c>
      <c r="M72">
        <v>0.5</v>
      </c>
      <c r="N72">
        <v>0.75</v>
      </c>
      <c r="P72" s="7">
        <v>85</v>
      </c>
      <c r="Q72" s="7">
        <v>228</v>
      </c>
      <c r="R72" s="7">
        <f t="shared" si="18"/>
        <v>0.37280701754385964</v>
      </c>
      <c r="S72" s="7">
        <v>93</v>
      </c>
      <c r="T72" s="7">
        <v>221</v>
      </c>
      <c r="U72" s="7">
        <f t="shared" ref="U72:U82" si="19">S72/T72</f>
        <v>0.42081447963800905</v>
      </c>
      <c r="V72" s="7">
        <v>89.7</v>
      </c>
      <c r="W72" s="7">
        <v>236</v>
      </c>
      <c r="X72" s="7">
        <f t="shared" ref="X72:X82" si="20">V72/W72</f>
        <v>0.3800847457627119</v>
      </c>
      <c r="Y72" s="7">
        <v>92.72</v>
      </c>
      <c r="Z72" s="7">
        <v>244</v>
      </c>
      <c r="AA72" s="7">
        <f t="shared" ref="AA72:AA82" si="21">Y72/Z72</f>
        <v>0.38</v>
      </c>
      <c r="AB72" s="7">
        <v>109</v>
      </c>
      <c r="AC72" s="7">
        <v>252</v>
      </c>
      <c r="AD72" s="7">
        <f t="shared" ref="AD72:AD82" si="22">AB72/AC72</f>
        <v>0.43253968253968256</v>
      </c>
      <c r="AE72" s="7">
        <f t="shared" si="17"/>
        <v>0.39724918509685259</v>
      </c>
      <c r="AF72" s="7"/>
      <c r="AG72" s="9"/>
      <c r="AO72" s="3">
        <v>91.806700000000006</v>
      </c>
      <c r="AP72" s="3" t="s">
        <v>54</v>
      </c>
      <c r="AQ72" s="3" t="s">
        <v>52</v>
      </c>
      <c r="BH72" t="s">
        <v>52</v>
      </c>
      <c r="BY72" t="s">
        <v>52</v>
      </c>
      <c r="BZ72">
        <v>2.74</v>
      </c>
      <c r="CA72" t="s">
        <v>289</v>
      </c>
      <c r="CB72">
        <v>1.59</v>
      </c>
      <c r="CC72" t="s">
        <v>284</v>
      </c>
      <c r="CD72">
        <v>2.29</v>
      </c>
      <c r="CE72" t="s">
        <v>284</v>
      </c>
      <c r="CF72">
        <v>2.17</v>
      </c>
      <c r="CG72" t="s">
        <v>284</v>
      </c>
      <c r="CH72">
        <v>2.84</v>
      </c>
      <c r="CI72" t="s">
        <v>289</v>
      </c>
      <c r="CN72">
        <v>2.4</v>
      </c>
      <c r="CO72" t="s">
        <v>54</v>
      </c>
      <c r="CP72" t="s">
        <v>52</v>
      </c>
    </row>
    <row r="73" spans="1:94" customFormat="1" ht="15" hidden="1" x14ac:dyDescent="0.25">
      <c r="A73" t="s">
        <v>144</v>
      </c>
      <c r="B73">
        <v>81</v>
      </c>
      <c r="C73" t="s">
        <v>69</v>
      </c>
      <c r="D73" t="s">
        <v>50</v>
      </c>
      <c r="G73" t="s">
        <v>52</v>
      </c>
      <c r="H73">
        <v>1</v>
      </c>
      <c r="I73" t="s">
        <v>53</v>
      </c>
      <c r="J73">
        <v>81</v>
      </c>
      <c r="K73">
        <v>1</v>
      </c>
      <c r="L73" t="s">
        <v>52</v>
      </c>
      <c r="M73">
        <v>0.67</v>
      </c>
      <c r="N73">
        <v>0.92</v>
      </c>
      <c r="P73">
        <v>228</v>
      </c>
      <c r="Q73">
        <v>228</v>
      </c>
      <c r="R73">
        <f t="shared" si="18"/>
        <v>1</v>
      </c>
      <c r="S73">
        <v>198.9</v>
      </c>
      <c r="T73">
        <v>221</v>
      </c>
      <c r="U73">
        <f t="shared" si="19"/>
        <v>0.9</v>
      </c>
      <c r="W73">
        <v>236</v>
      </c>
      <c r="X73">
        <f t="shared" si="20"/>
        <v>0</v>
      </c>
      <c r="Z73">
        <v>244</v>
      </c>
      <c r="AA73">
        <f t="shared" si="21"/>
        <v>0</v>
      </c>
      <c r="AC73">
        <v>252</v>
      </c>
      <c r="AD73">
        <f t="shared" si="22"/>
        <v>0</v>
      </c>
      <c r="AQ73" t="s">
        <v>52</v>
      </c>
      <c r="BH73" t="s">
        <v>52</v>
      </c>
      <c r="BY73" t="s">
        <v>52</v>
      </c>
      <c r="BZ73">
        <v>0.93</v>
      </c>
      <c r="CA73" t="s">
        <v>285</v>
      </c>
      <c r="CB73">
        <v>0.72</v>
      </c>
      <c r="CC73" t="s">
        <v>284</v>
      </c>
      <c r="CP73" t="s">
        <v>52</v>
      </c>
    </row>
    <row r="74" spans="1:94" customFormat="1" ht="15" hidden="1" x14ac:dyDescent="0.25">
      <c r="A74" t="s">
        <v>144</v>
      </c>
      <c r="B74">
        <v>81</v>
      </c>
      <c r="C74" t="s">
        <v>205</v>
      </c>
      <c r="D74" t="s">
        <v>50</v>
      </c>
      <c r="G74" t="s">
        <v>51</v>
      </c>
      <c r="H74">
        <v>1</v>
      </c>
      <c r="I74" t="s">
        <v>53</v>
      </c>
      <c r="J74">
        <v>81</v>
      </c>
      <c r="K74">
        <v>1</v>
      </c>
      <c r="L74" t="s">
        <v>52</v>
      </c>
      <c r="M74">
        <v>0.67</v>
      </c>
      <c r="N74">
        <v>0.92</v>
      </c>
      <c r="P74">
        <v>228</v>
      </c>
      <c r="Q74">
        <v>228</v>
      </c>
      <c r="R74">
        <f t="shared" si="18"/>
        <v>1</v>
      </c>
      <c r="S74">
        <v>198.9</v>
      </c>
      <c r="T74">
        <v>221</v>
      </c>
      <c r="U74">
        <f t="shared" si="19"/>
        <v>0.9</v>
      </c>
      <c r="W74">
        <v>236</v>
      </c>
      <c r="X74">
        <f t="shared" si="20"/>
        <v>0</v>
      </c>
      <c r="Z74">
        <v>244</v>
      </c>
      <c r="AA74">
        <f t="shared" si="21"/>
        <v>0</v>
      </c>
      <c r="AC74">
        <v>252</v>
      </c>
      <c r="AD74">
        <f t="shared" si="22"/>
        <v>0</v>
      </c>
      <c r="AQ74" t="s">
        <v>52</v>
      </c>
      <c r="BH74" t="s">
        <v>52</v>
      </c>
      <c r="BY74" t="s">
        <v>52</v>
      </c>
      <c r="BZ74">
        <v>1.85</v>
      </c>
      <c r="CA74" t="s">
        <v>284</v>
      </c>
      <c r="CB74">
        <v>1.34</v>
      </c>
      <c r="CC74" t="s">
        <v>284</v>
      </c>
      <c r="CP74" t="s">
        <v>52</v>
      </c>
    </row>
    <row r="75" spans="1:94" x14ac:dyDescent="0.25">
      <c r="A75" s="7" t="s">
        <v>182</v>
      </c>
      <c r="B75">
        <v>131</v>
      </c>
      <c r="C75" s="7"/>
      <c r="D75" t="s">
        <v>50</v>
      </c>
      <c r="G75" t="s">
        <v>51</v>
      </c>
      <c r="H75">
        <v>1</v>
      </c>
      <c r="I75" s="7" t="s">
        <v>53</v>
      </c>
      <c r="J75" s="7">
        <v>131</v>
      </c>
      <c r="K75" s="7">
        <v>1</v>
      </c>
      <c r="L75" t="s">
        <v>52</v>
      </c>
      <c r="M75">
        <v>0.6</v>
      </c>
      <c r="N75">
        <v>0.84</v>
      </c>
      <c r="P75" s="7">
        <v>124</v>
      </c>
      <c r="Q75" s="7">
        <v>228</v>
      </c>
      <c r="R75" s="7">
        <f t="shared" si="18"/>
        <v>0.54385964912280704</v>
      </c>
      <c r="S75" s="7">
        <v>110</v>
      </c>
      <c r="T75" s="7">
        <v>221</v>
      </c>
      <c r="U75" s="7">
        <f t="shared" si="19"/>
        <v>0.49773755656108598</v>
      </c>
      <c r="V75" s="7">
        <v>123</v>
      </c>
      <c r="W75" s="7">
        <v>236</v>
      </c>
      <c r="X75" s="7">
        <f t="shared" si="20"/>
        <v>0.52118644067796616</v>
      </c>
      <c r="Y75" s="7">
        <v>124</v>
      </c>
      <c r="Z75" s="7">
        <v>244</v>
      </c>
      <c r="AA75" s="7">
        <f t="shared" si="21"/>
        <v>0.50819672131147542</v>
      </c>
      <c r="AB75" s="7">
        <v>131</v>
      </c>
      <c r="AC75" s="7">
        <v>252</v>
      </c>
      <c r="AD75" s="7">
        <f t="shared" si="22"/>
        <v>0.51984126984126988</v>
      </c>
      <c r="AE75" s="7">
        <f t="shared" ref="AE75:AE78" si="23">AVERAGE(R75,U75,X75,AA75,AD75)</f>
        <v>0.51816432750292085</v>
      </c>
      <c r="AF75" s="7"/>
      <c r="AG75" s="9"/>
      <c r="AO75" s="3">
        <v>123.66670000000001</v>
      </c>
      <c r="AP75" s="3" t="s">
        <v>54</v>
      </c>
      <c r="AQ75" s="3" t="s">
        <v>52</v>
      </c>
      <c r="BH75" t="s">
        <v>52</v>
      </c>
      <c r="BY75" t="s">
        <v>52</v>
      </c>
      <c r="BZ75">
        <v>1.41</v>
      </c>
      <c r="CA75" t="s">
        <v>285</v>
      </c>
      <c r="CB75">
        <v>1.36</v>
      </c>
      <c r="CC75" t="s">
        <v>285</v>
      </c>
      <c r="CD75">
        <v>1.81</v>
      </c>
      <c r="CE75" t="s">
        <v>284</v>
      </c>
      <c r="CF75">
        <v>1.58</v>
      </c>
      <c r="CG75" t="s">
        <v>284</v>
      </c>
      <c r="CH75">
        <v>1.1100000000000001</v>
      </c>
      <c r="CI75" t="s">
        <v>285</v>
      </c>
      <c r="CN75">
        <v>1.45</v>
      </c>
      <c r="CO75" t="s">
        <v>54</v>
      </c>
      <c r="CP75" t="s">
        <v>52</v>
      </c>
    </row>
    <row r="76" spans="1:94" x14ac:dyDescent="0.25">
      <c r="A76" s="7" t="s">
        <v>83</v>
      </c>
      <c r="B76">
        <v>158</v>
      </c>
      <c r="C76" s="7"/>
      <c r="D76" t="s">
        <v>50</v>
      </c>
      <c r="G76" t="s">
        <v>52</v>
      </c>
      <c r="H76">
        <v>1</v>
      </c>
      <c r="I76" s="7" t="s">
        <v>53</v>
      </c>
      <c r="J76" s="7">
        <v>158</v>
      </c>
      <c r="K76" s="7">
        <v>2</v>
      </c>
      <c r="L76" t="s">
        <v>52</v>
      </c>
      <c r="M76">
        <v>0.77</v>
      </c>
      <c r="N76">
        <v>0.93</v>
      </c>
      <c r="P76" s="7">
        <v>228</v>
      </c>
      <c r="Q76" s="7">
        <v>228</v>
      </c>
      <c r="R76" s="7">
        <f t="shared" si="18"/>
        <v>1</v>
      </c>
      <c r="S76" s="7">
        <v>221</v>
      </c>
      <c r="T76" s="7">
        <v>221</v>
      </c>
      <c r="U76" s="7">
        <f t="shared" si="19"/>
        <v>1</v>
      </c>
      <c r="V76" s="7">
        <v>236</v>
      </c>
      <c r="W76" s="7">
        <v>236</v>
      </c>
      <c r="X76" s="7">
        <f t="shared" si="20"/>
        <v>1</v>
      </c>
      <c r="Y76" s="7">
        <v>244</v>
      </c>
      <c r="Z76" s="7">
        <v>244</v>
      </c>
      <c r="AA76" s="7">
        <f t="shared" si="21"/>
        <v>1</v>
      </c>
      <c r="AB76" s="7">
        <v>252</v>
      </c>
      <c r="AC76" s="7">
        <v>252</v>
      </c>
      <c r="AD76" s="7">
        <f t="shared" si="22"/>
        <v>1</v>
      </c>
      <c r="AE76" s="7">
        <f t="shared" si="23"/>
        <v>1</v>
      </c>
      <c r="AF76" s="7"/>
      <c r="AG76" s="9"/>
      <c r="AO76" s="3">
        <v>236</v>
      </c>
      <c r="AP76" s="3" t="s">
        <v>54</v>
      </c>
      <c r="AQ76" s="3" t="s">
        <v>52</v>
      </c>
      <c r="BF76">
        <v>339</v>
      </c>
      <c r="BG76" t="s">
        <v>285</v>
      </c>
      <c r="BH76" t="s">
        <v>287</v>
      </c>
      <c r="BY76" t="s">
        <v>52</v>
      </c>
      <c r="BZ76">
        <v>1.31</v>
      </c>
      <c r="CA76" t="s">
        <v>285</v>
      </c>
      <c r="CB76">
        <v>1.01</v>
      </c>
      <c r="CC76" t="s">
        <v>284</v>
      </c>
      <c r="CD76">
        <v>0.33</v>
      </c>
      <c r="CE76" t="s">
        <v>288</v>
      </c>
      <c r="CF76">
        <v>0.56999999999999995</v>
      </c>
      <c r="CG76" t="s">
        <v>285</v>
      </c>
      <c r="CH76">
        <v>0.1</v>
      </c>
      <c r="CI76" t="s">
        <v>289</v>
      </c>
      <c r="CN76">
        <v>0.64</v>
      </c>
      <c r="CO76" t="s">
        <v>54</v>
      </c>
      <c r="CP76" t="s">
        <v>52</v>
      </c>
    </row>
    <row r="77" spans="1:94" x14ac:dyDescent="0.25">
      <c r="A77" s="7" t="s">
        <v>84</v>
      </c>
      <c r="B77">
        <v>11</v>
      </c>
      <c r="C77" s="7" t="s">
        <v>85</v>
      </c>
      <c r="D77" t="s">
        <v>50</v>
      </c>
      <c r="G77" t="s">
        <v>51</v>
      </c>
      <c r="H77">
        <v>1</v>
      </c>
      <c r="I77" s="7" t="s">
        <v>53</v>
      </c>
      <c r="J77" s="7">
        <v>11</v>
      </c>
      <c r="K77" s="7">
        <v>2</v>
      </c>
      <c r="L77" t="s">
        <v>52</v>
      </c>
      <c r="M77">
        <v>0.5</v>
      </c>
      <c r="N77">
        <v>0.75</v>
      </c>
      <c r="P77" s="7">
        <v>155</v>
      </c>
      <c r="Q77" s="7">
        <v>228</v>
      </c>
      <c r="R77" s="7">
        <f t="shared" si="18"/>
        <v>0.67982456140350878</v>
      </c>
      <c r="S77" s="7">
        <v>110</v>
      </c>
      <c r="T77" s="7">
        <v>221</v>
      </c>
      <c r="U77" s="7">
        <f t="shared" si="19"/>
        <v>0.49773755656108598</v>
      </c>
      <c r="V77" s="7">
        <v>118</v>
      </c>
      <c r="W77" s="7">
        <v>236</v>
      </c>
      <c r="X77" s="7">
        <f t="shared" si="20"/>
        <v>0.5</v>
      </c>
      <c r="Y77" s="7">
        <v>122</v>
      </c>
      <c r="Z77" s="7">
        <v>244</v>
      </c>
      <c r="AA77" s="7">
        <f t="shared" si="21"/>
        <v>0.5</v>
      </c>
      <c r="AB77" s="7">
        <v>126</v>
      </c>
      <c r="AC77" s="7">
        <v>252</v>
      </c>
      <c r="AD77" s="7">
        <f t="shared" si="22"/>
        <v>0.5</v>
      </c>
      <c r="AE77" s="7">
        <f t="shared" si="23"/>
        <v>0.53551242359291895</v>
      </c>
      <c r="AF77" s="7"/>
      <c r="AG77" s="9"/>
      <c r="AO77" s="3">
        <v>122</v>
      </c>
      <c r="AP77" s="3" t="s">
        <v>54</v>
      </c>
      <c r="AQ77" s="3" t="s">
        <v>52</v>
      </c>
      <c r="BH77" t="s">
        <v>52</v>
      </c>
      <c r="BY77" t="s">
        <v>52</v>
      </c>
      <c r="CP77" t="s">
        <v>52</v>
      </c>
    </row>
    <row r="78" spans="1:94" x14ac:dyDescent="0.25">
      <c r="A78" s="7" t="s">
        <v>84</v>
      </c>
      <c r="B78">
        <v>11</v>
      </c>
      <c r="C78" s="7" t="s">
        <v>96</v>
      </c>
      <c r="D78" t="s">
        <v>50</v>
      </c>
      <c r="G78" t="s">
        <v>51</v>
      </c>
      <c r="H78">
        <v>1</v>
      </c>
      <c r="I78" s="7" t="s">
        <v>53</v>
      </c>
      <c r="J78" s="7">
        <v>11</v>
      </c>
      <c r="K78" s="7">
        <v>2</v>
      </c>
      <c r="L78" t="s">
        <v>52</v>
      </c>
      <c r="M78">
        <v>0.5</v>
      </c>
      <c r="N78">
        <v>0.75</v>
      </c>
      <c r="P78" s="7">
        <v>124</v>
      </c>
      <c r="Q78" s="7">
        <v>228</v>
      </c>
      <c r="R78" s="7">
        <f t="shared" si="18"/>
        <v>0.54385964912280704</v>
      </c>
      <c r="S78" s="7">
        <v>110</v>
      </c>
      <c r="T78" s="7">
        <v>221</v>
      </c>
      <c r="U78" s="7">
        <f t="shared" si="19"/>
        <v>0.49773755656108598</v>
      </c>
      <c r="V78" s="7">
        <v>118</v>
      </c>
      <c r="W78" s="7">
        <v>236</v>
      </c>
      <c r="X78" s="7">
        <f t="shared" si="20"/>
        <v>0.5</v>
      </c>
      <c r="Y78" s="7">
        <v>122</v>
      </c>
      <c r="Z78" s="7">
        <v>244</v>
      </c>
      <c r="AA78" s="7">
        <f t="shared" si="21"/>
        <v>0.5</v>
      </c>
      <c r="AB78" s="7">
        <v>126</v>
      </c>
      <c r="AC78" s="7">
        <v>252</v>
      </c>
      <c r="AD78" s="7">
        <f t="shared" si="22"/>
        <v>0.5</v>
      </c>
      <c r="AE78" s="7">
        <f t="shared" si="23"/>
        <v>0.50831944113677863</v>
      </c>
      <c r="AF78" s="7"/>
      <c r="AG78" s="9"/>
      <c r="AO78" s="3">
        <v>121.33329999999999</v>
      </c>
      <c r="AP78" s="3" t="s">
        <v>54</v>
      </c>
      <c r="AQ78" s="3" t="s">
        <v>52</v>
      </c>
      <c r="BH78" t="s">
        <v>52</v>
      </c>
      <c r="BY78" t="s">
        <v>52</v>
      </c>
      <c r="BZ78">
        <v>2.64</v>
      </c>
      <c r="CA78" t="s">
        <v>285</v>
      </c>
      <c r="CB78">
        <v>2.2799999999999998</v>
      </c>
      <c r="CC78" t="s">
        <v>284</v>
      </c>
      <c r="CD78">
        <v>2.78</v>
      </c>
      <c r="CE78" t="s">
        <v>284</v>
      </c>
      <c r="CF78">
        <v>2.42</v>
      </c>
      <c r="CG78" t="s">
        <v>284</v>
      </c>
      <c r="CH78">
        <v>2.08</v>
      </c>
      <c r="CI78" t="s">
        <v>284</v>
      </c>
      <c r="CN78">
        <v>2.4500000000000002</v>
      </c>
      <c r="CO78" t="s">
        <v>54</v>
      </c>
      <c r="CP78" t="s">
        <v>52</v>
      </c>
    </row>
    <row r="79" spans="1:94" customFormat="1" ht="15" hidden="1" x14ac:dyDescent="0.25">
      <c r="A79" t="s">
        <v>84</v>
      </c>
      <c r="B79">
        <v>11</v>
      </c>
      <c r="C79" t="s">
        <v>108</v>
      </c>
      <c r="D79" t="s">
        <v>50</v>
      </c>
      <c r="G79" t="s">
        <v>51</v>
      </c>
      <c r="H79">
        <v>1</v>
      </c>
      <c r="I79" t="s">
        <v>53</v>
      </c>
      <c r="J79">
        <v>11</v>
      </c>
      <c r="K79">
        <v>2</v>
      </c>
      <c r="L79" t="s">
        <v>52</v>
      </c>
      <c r="M79">
        <v>0.5</v>
      </c>
      <c r="N79">
        <v>0.75</v>
      </c>
      <c r="P79">
        <v>124</v>
      </c>
      <c r="Q79">
        <v>228</v>
      </c>
      <c r="R79">
        <f t="shared" si="18"/>
        <v>0.54385964912280704</v>
      </c>
      <c r="S79">
        <v>110</v>
      </c>
      <c r="T79">
        <v>221</v>
      </c>
      <c r="U79">
        <f t="shared" si="19"/>
        <v>0.49773755656108598</v>
      </c>
      <c r="W79">
        <v>236</v>
      </c>
      <c r="X79">
        <f t="shared" si="20"/>
        <v>0</v>
      </c>
      <c r="Z79">
        <v>244</v>
      </c>
      <c r="AA79">
        <f t="shared" si="21"/>
        <v>0</v>
      </c>
      <c r="AC79">
        <v>252</v>
      </c>
      <c r="AD79">
        <f t="shared" si="22"/>
        <v>0</v>
      </c>
      <c r="AQ79" t="s">
        <v>52</v>
      </c>
      <c r="BH79" t="s">
        <v>52</v>
      </c>
      <c r="BY79" t="s">
        <v>52</v>
      </c>
      <c r="BZ79">
        <v>1.1100000000000001</v>
      </c>
      <c r="CA79" t="s">
        <v>285</v>
      </c>
      <c r="CB79">
        <v>1.08</v>
      </c>
      <c r="CC79" t="s">
        <v>284</v>
      </c>
      <c r="CP79" t="s">
        <v>52</v>
      </c>
    </row>
    <row r="80" spans="1:94" x14ac:dyDescent="0.25">
      <c r="A80" s="7" t="s">
        <v>84</v>
      </c>
      <c r="B80">
        <v>11</v>
      </c>
      <c r="C80" s="7" t="s">
        <v>97</v>
      </c>
      <c r="D80" t="s">
        <v>50</v>
      </c>
      <c r="G80" t="s">
        <v>51</v>
      </c>
      <c r="H80">
        <v>1</v>
      </c>
      <c r="I80" s="7" t="s">
        <v>53</v>
      </c>
      <c r="J80" s="7">
        <v>11</v>
      </c>
      <c r="K80" s="7">
        <v>2</v>
      </c>
      <c r="L80" t="s">
        <v>52</v>
      </c>
      <c r="M80">
        <v>0.5</v>
      </c>
      <c r="N80">
        <v>0.75</v>
      </c>
      <c r="P80" s="7">
        <v>124</v>
      </c>
      <c r="Q80" s="7">
        <v>228</v>
      </c>
      <c r="R80" s="7">
        <f t="shared" si="18"/>
        <v>0.54385964912280704</v>
      </c>
      <c r="S80" s="7">
        <v>110</v>
      </c>
      <c r="T80" s="7">
        <v>221</v>
      </c>
      <c r="U80" s="7">
        <f t="shared" si="19"/>
        <v>0.49773755656108598</v>
      </c>
      <c r="V80" s="7">
        <v>118</v>
      </c>
      <c r="W80" s="7">
        <v>236</v>
      </c>
      <c r="X80" s="7">
        <f t="shared" si="20"/>
        <v>0.5</v>
      </c>
      <c r="Y80" s="7">
        <v>122</v>
      </c>
      <c r="Z80" s="7">
        <v>244</v>
      </c>
      <c r="AA80" s="7">
        <f t="shared" si="21"/>
        <v>0.5</v>
      </c>
      <c r="AB80" s="7">
        <v>126</v>
      </c>
      <c r="AC80" s="7">
        <v>252</v>
      </c>
      <c r="AD80" s="7">
        <f t="shared" si="22"/>
        <v>0.5</v>
      </c>
      <c r="AE80" s="7">
        <f t="shared" ref="AE80:AE82" si="24">AVERAGE(R80,U80,X80,AA80,AD80)</f>
        <v>0.50831944113677863</v>
      </c>
      <c r="AF80" s="7"/>
      <c r="AG80" s="9"/>
      <c r="AO80" s="3">
        <v>121.33329999999999</v>
      </c>
      <c r="AP80" s="3" t="s">
        <v>54</v>
      </c>
      <c r="AQ80" s="3" t="s">
        <v>52</v>
      </c>
      <c r="BH80" t="s">
        <v>52</v>
      </c>
      <c r="BY80" t="s">
        <v>52</v>
      </c>
      <c r="BZ80">
        <v>2.64</v>
      </c>
      <c r="CA80" t="s">
        <v>285</v>
      </c>
      <c r="CB80">
        <v>2.2799999999999998</v>
      </c>
      <c r="CC80" t="s">
        <v>284</v>
      </c>
      <c r="CD80">
        <v>2.78</v>
      </c>
      <c r="CE80" t="s">
        <v>284</v>
      </c>
      <c r="CF80">
        <v>2.42</v>
      </c>
      <c r="CG80" t="s">
        <v>284</v>
      </c>
      <c r="CH80">
        <v>2.2799999999999998</v>
      </c>
      <c r="CI80" t="s">
        <v>284</v>
      </c>
      <c r="CN80">
        <v>2.4500000000000002</v>
      </c>
      <c r="CO80" t="s">
        <v>54</v>
      </c>
      <c r="CP80" t="s">
        <v>52</v>
      </c>
    </row>
    <row r="81" spans="1:94" x14ac:dyDescent="0.25">
      <c r="A81" s="7" t="s">
        <v>84</v>
      </c>
      <c r="B81">
        <v>11</v>
      </c>
      <c r="C81" s="7" t="s">
        <v>98</v>
      </c>
      <c r="D81" t="s">
        <v>50</v>
      </c>
      <c r="G81" t="s">
        <v>51</v>
      </c>
      <c r="H81">
        <v>1</v>
      </c>
      <c r="I81" s="7" t="s">
        <v>53</v>
      </c>
      <c r="J81" s="7">
        <v>11</v>
      </c>
      <c r="K81" s="7">
        <v>2</v>
      </c>
      <c r="L81" t="s">
        <v>52</v>
      </c>
      <c r="M81">
        <v>0.5</v>
      </c>
      <c r="N81">
        <v>0.75</v>
      </c>
      <c r="P81" s="7">
        <v>124</v>
      </c>
      <c r="Q81" s="7">
        <v>228</v>
      </c>
      <c r="R81" s="7">
        <f t="shared" si="18"/>
        <v>0.54385964912280704</v>
      </c>
      <c r="S81" s="7">
        <v>110</v>
      </c>
      <c r="T81" s="7">
        <v>221</v>
      </c>
      <c r="U81" s="7">
        <f t="shared" si="19"/>
        <v>0.49773755656108598</v>
      </c>
      <c r="V81" s="7">
        <v>118</v>
      </c>
      <c r="W81" s="7">
        <v>236</v>
      </c>
      <c r="X81" s="7">
        <f t="shared" si="20"/>
        <v>0.5</v>
      </c>
      <c r="Y81" s="7">
        <v>122</v>
      </c>
      <c r="Z81" s="7">
        <v>244</v>
      </c>
      <c r="AA81" s="7">
        <f t="shared" si="21"/>
        <v>0.5</v>
      </c>
      <c r="AB81" s="7">
        <v>126</v>
      </c>
      <c r="AC81" s="7">
        <v>252</v>
      </c>
      <c r="AD81" s="7">
        <f t="shared" si="22"/>
        <v>0.5</v>
      </c>
      <c r="AE81" s="7">
        <f t="shared" si="24"/>
        <v>0.50831944113677863</v>
      </c>
      <c r="AF81" s="7"/>
      <c r="AG81" s="9"/>
      <c r="AO81" s="3">
        <v>121.33329999999999</v>
      </c>
      <c r="AP81" s="3" t="s">
        <v>54</v>
      </c>
      <c r="AQ81" s="3" t="s">
        <v>52</v>
      </c>
      <c r="BH81" t="s">
        <v>52</v>
      </c>
      <c r="BY81" t="s">
        <v>52</v>
      </c>
      <c r="BZ81">
        <v>2.64</v>
      </c>
      <c r="CA81" t="s">
        <v>285</v>
      </c>
      <c r="CB81">
        <v>2.2799999999999998</v>
      </c>
      <c r="CC81" t="s">
        <v>284</v>
      </c>
      <c r="CD81">
        <v>2.78</v>
      </c>
      <c r="CE81" t="s">
        <v>284</v>
      </c>
      <c r="CF81">
        <v>2.42</v>
      </c>
      <c r="CG81" t="s">
        <v>284</v>
      </c>
      <c r="CH81">
        <v>2.2799999999999998</v>
      </c>
      <c r="CI81" t="s">
        <v>284</v>
      </c>
      <c r="CN81">
        <v>2.4500000000000002</v>
      </c>
      <c r="CO81" t="s">
        <v>54</v>
      </c>
      <c r="CP81" t="s">
        <v>52</v>
      </c>
    </row>
    <row r="82" spans="1:94" x14ac:dyDescent="0.25">
      <c r="A82" s="7" t="s">
        <v>84</v>
      </c>
      <c r="B82">
        <v>11</v>
      </c>
      <c r="C82" s="7" t="s">
        <v>196</v>
      </c>
      <c r="D82" t="s">
        <v>50</v>
      </c>
      <c r="G82" t="s">
        <v>51</v>
      </c>
      <c r="H82">
        <v>1</v>
      </c>
      <c r="I82" s="7" t="s">
        <v>53</v>
      </c>
      <c r="J82" s="7">
        <v>11</v>
      </c>
      <c r="K82" s="7">
        <v>2</v>
      </c>
      <c r="L82" t="s">
        <v>52</v>
      </c>
      <c r="M82">
        <v>0.5</v>
      </c>
      <c r="N82">
        <v>0.75</v>
      </c>
      <c r="P82" s="7">
        <v>124</v>
      </c>
      <c r="Q82" s="7">
        <v>228</v>
      </c>
      <c r="R82" s="7">
        <f t="shared" si="18"/>
        <v>0.54385964912280704</v>
      </c>
      <c r="S82" s="7">
        <v>110</v>
      </c>
      <c r="T82" s="7">
        <v>221</v>
      </c>
      <c r="U82" s="7">
        <f t="shared" si="19"/>
        <v>0.49773755656108598</v>
      </c>
      <c r="V82" s="7">
        <v>118</v>
      </c>
      <c r="W82" s="7">
        <v>236</v>
      </c>
      <c r="X82" s="7">
        <f t="shared" si="20"/>
        <v>0.5</v>
      </c>
      <c r="Y82" s="7">
        <v>122</v>
      </c>
      <c r="Z82" s="7">
        <v>244</v>
      </c>
      <c r="AA82" s="7">
        <f t="shared" si="21"/>
        <v>0.5</v>
      </c>
      <c r="AB82" s="7">
        <v>126</v>
      </c>
      <c r="AC82" s="7">
        <v>252</v>
      </c>
      <c r="AD82" s="7">
        <f t="shared" si="22"/>
        <v>0.5</v>
      </c>
      <c r="AE82" s="7">
        <f t="shared" si="24"/>
        <v>0.50831944113677863</v>
      </c>
      <c r="AF82" s="7"/>
      <c r="AG82" s="9"/>
      <c r="AO82" s="3">
        <v>121.33329999999999</v>
      </c>
      <c r="AP82" s="3" t="s">
        <v>54</v>
      </c>
      <c r="AQ82" s="3" t="s">
        <v>52</v>
      </c>
      <c r="BH82" t="s">
        <v>52</v>
      </c>
      <c r="BY82" t="s">
        <v>52</v>
      </c>
      <c r="CP82" t="s">
        <v>52</v>
      </c>
    </row>
  </sheetData>
  <autoFilter ref="A1:AQ82" xr:uid="{DAD897DF-4857-45A5-B37C-EF49DE6B2D13}">
    <filterColumn colId="0">
      <filters>
        <filter val="BARLEY"/>
        <filter val="GRASS"/>
        <filter val="MILLET"/>
        <filter val="MIXED FORAGE"/>
        <filter val="OATS"/>
        <filter val="RYE"/>
        <filter val="SAINFOIN"/>
        <filter val="SORGHUM"/>
        <filter val="SORGHUM - DUAL PURPOSE"/>
        <filter val="SORGHUM FORAGE"/>
        <filter val="SPELT"/>
        <filter val="TRITICALE"/>
        <filter val="WHEAT"/>
      </filters>
    </filterColumn>
    <filterColumn colId="2">
      <filters blank="1">
        <filter val="ALU"/>
        <filter val="ASG"/>
        <filter val="BCM"/>
        <filter val="BGH"/>
        <filter val="BRM"/>
        <filter val="BRR"/>
        <filter val="CAN"/>
        <filter val="COM"/>
        <filter val="DOP"/>
        <filter val="FTA"/>
        <filter val="GMA"/>
        <filter val="GRS"/>
        <filter val="HRS"/>
        <filter val="HRW"/>
        <filter val="HWS"/>
        <filter val="ICG"/>
        <filter val="IGS"/>
        <filter val="JPN"/>
        <filter val="LEG"/>
        <filter val="LGG"/>
        <filter val="LGM"/>
        <filter val="LSG"/>
        <filter val="MSG"/>
        <filter val="NAG"/>
        <filter val="NSG"/>
        <filter val="ORG"/>
        <filter val="OTP"/>
        <filter val="RAN"/>
        <filter val="RIN"/>
        <filter val="RPE"/>
        <filter val="SMO"/>
        <filter val="SPR"/>
        <filter val="SSG"/>
        <filter val="SUD"/>
        <filter val="SWS"/>
        <filter val="SWT"/>
        <filter val="SWW"/>
        <filter val="TIM"/>
        <filter val="WCR"/>
        <filter val="WIN"/>
        <filter val="WPU"/>
        <filter val="WTA"/>
        <filter val="WTR"/>
      </filters>
    </filterColumn>
    <filterColumn colId="40">
      <customFilters>
        <customFilter operator="notEqual" val=" "/>
      </customFilters>
    </filterColumn>
  </autoFilter>
  <pageMargins left="0.25" right="0.25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654E5FDC1BF542998DEB82411A1779" ma:contentTypeVersion="6" ma:contentTypeDescription="Create a new document." ma:contentTypeScope="" ma:versionID="f4ce28983f680e5ce59d96bcdebe3791">
  <xsd:schema xmlns:xsd="http://www.w3.org/2001/XMLSchema" xmlns:xs="http://www.w3.org/2001/XMLSchema" xmlns:p="http://schemas.microsoft.com/office/2006/metadata/properties" xmlns:ns1="http://schemas.microsoft.com/sharepoint/v3" xmlns:ns2="5a404b74-d374-4aad-b91c-db1fadb1a89d" targetNamespace="http://schemas.microsoft.com/office/2006/metadata/properties" ma:root="true" ma:fieldsID="1384a8d5f7d710f676e1c3412354d0c2" ns1:_="" ns2:_="">
    <xsd:import namespace="http://schemas.microsoft.com/sharepoint/v3"/>
    <xsd:import namespace="5a404b74-d374-4aad-b91c-db1fadb1a8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04b74-d374-4aad-b91c-db1fadb1a8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613AA31-21FC-4154-B2EA-C3B622239023}"/>
</file>

<file path=customXml/itemProps2.xml><?xml version="1.0" encoding="utf-8"?>
<ds:datastoreItem xmlns:ds="http://schemas.openxmlformats.org/officeDocument/2006/customXml" ds:itemID="{9A5E2FA4-F395-4E1A-BD8F-039BD8DEE44B}"/>
</file>

<file path=customXml/itemProps3.xml><?xml version="1.0" encoding="utf-8"?>
<ds:datastoreItem xmlns:ds="http://schemas.openxmlformats.org/officeDocument/2006/customXml" ds:itemID="{120B9FE6-4A26-4870-ADA5-4002BC22E678}"/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NCT DetailRpt 2027 G20260706-17</vt:lpstr>
      <vt:lpstr>Sheet1</vt:lpstr>
      <vt:lpstr>NCT HistoryRpt 2026 G20260706-1</vt:lpstr>
      <vt:lpstr>% of CASS</vt:lpstr>
      <vt:lpstr>% of CASS for DR</vt:lpstr>
      <vt:lpstr>'% of CASS'!Print_Area</vt:lpstr>
      <vt:lpstr>'% of CASS for DR'!Print_Area</vt:lpstr>
      <vt:lpstr>'% of CASS'!Print_Titles</vt:lpstr>
      <vt:lpstr>'% of CASS for DR'!Print_Titles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Rader, Janae - FPAC-FSA, CO</dc:creator>
  <cp:lastModifiedBy>Rader, Janae - FPAC-FSA, CO</cp:lastModifiedBy>
  <cp:lastPrinted>2026-07-06T22:57:27Z</cp:lastPrinted>
  <dcterms:created xsi:type="dcterms:W3CDTF">2026-07-06T22:09:04Z</dcterms:created>
  <dcterms:modified xsi:type="dcterms:W3CDTF">2026-07-23T18:58:11Z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0x010100F4654E5FDC1BF542998DEB82411A1779</vt:lpwstr>
  </property>
</Properties>
</file>